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US_SKU_Spend" sheetId="2" state="visible" r:id="rId4"/>
    <sheet name="CA_SKU_Spend" sheetId="3" state="visible" r:id="rId5"/>
    <sheet name="CTR_by_Colour" sheetId="4" state="visible" r:id="rId6"/>
    <sheet name="US_Campaigns" sheetId="5" state="visible" r:id="rId7"/>
    <sheet name="CA_Campaigns" sheetId="6" state="visible" r:id="rId8"/>
    <sheet name="NonHero_Drivers" sheetId="7" state="visible" r:id="rId9"/>
    <sheet name="Issues_To_Check" sheetId="8" state="visible" r:id="rId10"/>
    <sheet name="Method_Notes" sheetId="9" state="visible" r:id="rId11"/>
    <sheet name="CTR_30d_Data" sheetId="10" state="visible" r:id="rId12"/>
    <sheet name="Day2_Check" sheetId="11" state="visible" r:id="rId13"/>
  </sheets>
  <definedNames>
    <definedName function="false" hidden="true" localSheetId="5" name="_xlnm._FilterDatabase" vbProcedure="false">CA_Campaigns!$A$4:$T$155</definedName>
    <definedName function="false" hidden="true" localSheetId="2" name="_xlnm._FilterDatabase" vbProcedure="false">CA_SKU_Spend!$A$4:$L$103</definedName>
    <definedName function="false" hidden="true" localSheetId="9" name="_xlnm._FilterDatabase" vbProcedure="false">CTR_30d_Data!$A$4:$N$931</definedName>
    <definedName function="false" hidden="true" localSheetId="4" name="_xlnm._FilterDatabase" vbProcedure="false">US_Campaigns!$A$4:$T$208</definedName>
    <definedName function="false" hidden="true" localSheetId="1" name="_xlnm._FilterDatabase" vbProcedure="false">US_SKU_Spend!$A$4:$K$96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<sst xmlns="http://schemas.openxmlformats.org/spreadsheetml/2006/main" count="12237" uniqueCount="2699">
  <si>
    <t xml:space="preserve">Prime Day - Day 1 (Oct 6, 2026): hero vs non-hero ad spend</t>
  </si>
  <si>
    <t xml:space="preserve">Answers Erik's question on non-hero spend. Hero = White (Bamboo) / Black (Satin). Spend by variation from Sellerboard per-SKU SP spend; LTSF from Ecotero campaign data.</t>
  </si>
  <si>
    <t xml:space="preserve">FX: 1 CAD = USD</t>
  </si>
  <si>
    <t xml:space="preserve">Input. Rate used on Joseph's live board (fxCad). Sellerboard reports CA spend converted to USD.</t>
  </si>
  <si>
    <t xml:space="preserve">US (USD)</t>
  </si>
  <si>
    <t xml:space="preserve">Product</t>
  </si>
  <si>
    <t xml:space="preserve">SP spend</t>
  </si>
  <si>
    <t xml:space="preserve">Hero spend</t>
  </si>
  <si>
    <t xml:space="preserve">Hero %</t>
  </si>
  <si>
    <t xml:space="preserve">Non-hero spend</t>
  </si>
  <si>
    <t xml:space="preserve">LTSF campaigns (this product only)</t>
  </si>
  <si>
    <t xml:space="preserve">LTSF campaigns shared across products (full amount)</t>
  </si>
  <si>
    <t xml:space="preserve">Non-hero outside LTSF - low</t>
  </si>
  <si>
    <t xml:space="preserve">Non-hero outside LTSF - high</t>
  </si>
  <si>
    <t xml:space="preserve">Hero % excluding LTSF</t>
  </si>
  <si>
    <t xml:space="preserve">Bamboo 4pc</t>
  </si>
  <si>
    <t xml:space="preserve">Bamboo 6pc</t>
  </si>
  <si>
    <t xml:space="preserve">Satin 4pc</t>
  </si>
  <si>
    <t xml:space="preserve">Total</t>
  </si>
  <si>
    <t xml:space="preserve">Total row counts each shared LTSF campaign once. "Low" assumes all shared LTSF spend landed on this product; "high" assumes none did.</t>
  </si>
  <si>
    <t xml:space="preserve">Canada (CAD)</t>
  </si>
  <si>
    <t xml:space="preserve">Satin 6pc</t>
  </si>
  <si>
    <t xml:space="preserve">Spend by campaign category (each campaign counted once)</t>
  </si>
  <si>
    <t xml:space="preserve">Category</t>
  </si>
  <si>
    <t xml:space="preserve">US spend (USD)</t>
  </si>
  <si>
    <t xml:space="preserve">US share</t>
  </si>
  <si>
    <t xml:space="preserve">CA spend (CAD)</t>
  </si>
  <si>
    <t xml:space="preserve">CA share</t>
  </si>
  <si>
    <t xml:space="preserve">Ranking</t>
  </si>
  <si>
    <t xml:space="preserve">Conversion</t>
  </si>
  <si>
    <t xml:space="preserve">Defensive / Brand</t>
  </si>
  <si>
    <t xml:space="preserve">Discovery (keyword)</t>
  </si>
  <si>
    <t xml:space="preserve">Auto (multi-colour, Amazon picks ad)</t>
  </si>
  <si>
    <t xml:space="preserve">Product targeting</t>
  </si>
  <si>
    <t xml:space="preserve">LTSF / Clearance</t>
  </si>
  <si>
    <t xml:space="preserve">Other</t>
  </si>
  <si>
    <t xml:space="preserve">Campaign totals include spend on other products a shared campaign carries, so this total is slightly above the product SP spend above.</t>
  </si>
  <si>
    <t xml:space="preserve">Key findings</t>
  </si>
  <si>
    <t xml:space="preserve">1. US: LTSF clearance is about $1,130 of the $1,926 non-hero spend. Excluding it, the hero takes about 75%, leaving roughly $795 (about 19% of spend) on other colours.</t>
  </si>
  <si>
    <t xml:space="preserve">2. Largest non-LTSF leak: discovery autos carrying several colours, where Amazon picks the ad. DBS4 "Auto...FULL-GREY" spent $333.83 at a $3.97 CPC, 52.8% ACoS, 167% of budget, est. -$154 (Sellerboard). DBS6 "Auto...QUEEN-WHITE-6PCS" spent $93.08 at $4.65 CPC, 146% ACoS.</t>
  </si>
  <si>
    <t xml:space="preserve">3. Planned size variants: King satin keywords run on King Grey (~$85 across king exacts) and Twin bamboo keywords on Twin Burgundy/Navy (~$58 on $5-budget exacts paying $5-10 a click). Worth testing against Erik's CTR-first rule.</t>
  </si>
  <si>
    <t xml:space="preserve">4. Canada: Bamboo 4pc puts ~2% of spend on White and Satin 4pc ~16% on Black because ranking/defensive campaigns are built on Taupe, Olive and Queen Grey. Needs a decision on CA preferred colours.</t>
  </si>
  <si>
    <t xml:space="preserve">5. Build issue: "DBS4-SP-BROAD-(PD-LTSF)" advertises Satin 4pc SKUs (e.g. SATIN-4PC-KING-GREY), not Bamboo 4pc. See Issues_To_Check.</t>
  </si>
  <si>
    <t xml:space="preserve">6. Day 2 context: Joseph's system paused 42 non-hero ads under the hero colour rule and cut placement modifiers on autos on Oct 7. Early read: the FULL-GREY auto shows 0 impressions / $0 on Oct 7 so far. Full Day 2 data lands Oct 8 (see Day2_Check).</t>
  </si>
  <si>
    <t xml:space="preserve">7. CTR by colour (last 30 days, generic keywords only - see CTR_by_Colour): Satin Black out-clicks other colours on Queen (1.00% vs 0.45%), Full (1.63% vs 0.63%) and Twin (1.13% vs 0.50%). Bamboo Twin White out-clicks Twin Burgundy/Navy (1.83% vs 0.34%). Bamboo Full Olive out-clicks Full White (1.08% vs 0.41%) but converts lower. Satin King Grey vs Black is inconclusive (Black sample too small) - needs a test.</t>
  </si>
  <si>
    <t xml:space="preserve">US - Day 1 (Oct 6, 2026) Sponsored Products spend by advertised SKU</t>
  </si>
  <si>
    <t xml:space="preserve">Source: Sellerboard (Ecotero account) per-SKU ad spend, USD. Hero = White (Bamboo) / Black (Satin).</t>
  </si>
  <si>
    <t xml:space="preserve">SKU</t>
  </si>
  <si>
    <t xml:space="preserve">Size</t>
  </si>
  <si>
    <t xml:space="preserve">Colour</t>
  </si>
  <si>
    <t xml:space="preserve">Hero colour?</t>
  </si>
  <si>
    <t xml:space="preserve">SP spend (USD)</t>
  </si>
  <si>
    <t xml:space="preserve">SB / SBV spend (USD)</t>
  </si>
  <si>
    <t xml:space="preserve">Total ad spend (USD)</t>
  </si>
  <si>
    <t xml:space="preserve">% of product SP spend</t>
  </si>
  <si>
    <t xml:space="preserve">Units sold (all channels)</t>
  </si>
  <si>
    <t xml:space="preserve">Note</t>
  </si>
  <si>
    <t xml:space="preserve">BAMBOO-KING-WHITE</t>
  </si>
  <si>
    <t xml:space="preserve">King</t>
  </si>
  <si>
    <t xml:space="preserve">White</t>
  </si>
  <si>
    <t xml:space="preserve">Yes</t>
  </si>
  <si>
    <t xml:space="preserve">BAMBOO-QUEEN-WHITE</t>
  </si>
  <si>
    <t xml:space="preserve">Queen</t>
  </si>
  <si>
    <t xml:space="preserve">BAMBOO-FULL-OLIVE</t>
  </si>
  <si>
    <t xml:space="preserve">Full</t>
  </si>
  <si>
    <t xml:space="preserve">Olive</t>
  </si>
  <si>
    <t xml:space="preserve">No</t>
  </si>
  <si>
    <t xml:space="preserve">PD-LTSF auto + older LTSF campaigns</t>
  </si>
  <si>
    <t xml:space="preserve">BAMBOO-TWIN-LIGHTGREY</t>
  </si>
  <si>
    <t xml:space="preserve">Twin</t>
  </si>
  <si>
    <t xml:space="preserve">Lightgrey</t>
  </si>
  <si>
    <t xml:space="preserve">PD-LTSF auto + LTSF clearance broad only</t>
  </si>
  <si>
    <t xml:space="preserve">BAMBOO-QUEEN-MIDGREY</t>
  </si>
  <si>
    <t xml:space="preserve">Midgrey</t>
  </si>
  <si>
    <t xml:space="preserve">100% from DBS4 "Auto...FULL-GREY" discovery auto (multi-colour)</t>
  </si>
  <si>
    <t xml:space="preserve">BAMBOO-TWIN-BURGUNDY-NEW</t>
  </si>
  <si>
    <t xml:space="preserve">Burgundy</t>
  </si>
  <si>
    <t xml:space="preserve">Twin ranking exacts are built on Twin Burgundy</t>
  </si>
  <si>
    <t xml:space="preserve">BAMBOO-FULL-PURPLE</t>
  </si>
  <si>
    <t xml:space="preserve">Purple</t>
  </si>
  <si>
    <t xml:space="preserve">BAMBOO-TWIN-NAVYBLUE</t>
  </si>
  <si>
    <t xml:space="preserve">Navyblue</t>
  </si>
  <si>
    <t xml:space="preserve">Carried in Twin ranking exacts (Burgundy-named) and autos</t>
  </si>
  <si>
    <t xml:space="preserve">BAMBOO-KING-LIGHTBLUE</t>
  </si>
  <si>
    <t xml:space="preserve">Lightblue</t>
  </si>
  <si>
    <t xml:space="preserve">BAMBOO-QUEEN-LIGHTBLUE</t>
  </si>
  <si>
    <t xml:space="preserve">BAMBOO-QUEEN-OLIVE</t>
  </si>
  <si>
    <t xml:space="preserve">BAMBOO-KING-BURGUNDY-NEW</t>
  </si>
  <si>
    <t xml:space="preserve">BAMBOO-TWIN-OLIVE</t>
  </si>
  <si>
    <t xml:space="preserve">BAMBOO-FULL-SAGE GREEN</t>
  </si>
  <si>
    <t xml:space="preserve">Sage Green</t>
  </si>
  <si>
    <t xml:space="preserve">BAMBOO-TWIN-WHITE</t>
  </si>
  <si>
    <t xml:space="preserve">BAMBOO-FULL-LIGHTOLIVE</t>
  </si>
  <si>
    <t xml:space="preserve">Lightolive</t>
  </si>
  <si>
    <t xml:space="preserve">BAMBOO-KING-OLIVE</t>
  </si>
  <si>
    <t xml:space="preserve">BAMBOO-TWIN-PURPLE</t>
  </si>
  <si>
    <t xml:space="preserve">BAMBOO-TWIN-LIGHTBLUE</t>
  </si>
  <si>
    <t xml:space="preserve">BAMBOO-CALIFKING-LIGHT PINK</t>
  </si>
  <si>
    <t xml:space="preserve">Califking</t>
  </si>
  <si>
    <t xml:space="preserve">Light Pink</t>
  </si>
  <si>
    <t xml:space="preserve">BAMBOO-KING-CREME</t>
  </si>
  <si>
    <t xml:space="preserve">Creme</t>
  </si>
  <si>
    <t xml:space="preserve">BAMBOO-TWIN-TAUPE</t>
  </si>
  <si>
    <t xml:space="preserve">Taupe</t>
  </si>
  <si>
    <t xml:space="preserve">BAMBOO-TWIN-LIGHTOLIVE</t>
  </si>
  <si>
    <t xml:space="preserve">BAMBOO-FULL-CREME</t>
  </si>
  <si>
    <t xml:space="preserve">BAMBOO-TWIN-MIDGREY</t>
  </si>
  <si>
    <t xml:space="preserve">BAMBOO-QUEEN-PURPLE</t>
  </si>
  <si>
    <t xml:space="preserve">BAMBOO-TWIN-GREY</t>
  </si>
  <si>
    <t xml:space="preserve">Grey</t>
  </si>
  <si>
    <t xml:space="preserve">BAMBOO-FULL-GREY</t>
  </si>
  <si>
    <t xml:space="preserve">BAMBOO-CALIFKING-BURGUNDY-NEW</t>
  </si>
  <si>
    <t xml:space="preserve">BAMBOO-TWIN-LIGHT PINK</t>
  </si>
  <si>
    <t xml:space="preserve">BAMBOO-FULL-MIDGREY</t>
  </si>
  <si>
    <t xml:space="preserve">BAMBOO-TWIN-CREME</t>
  </si>
  <si>
    <t xml:space="preserve">BAMBOO-KING-WHITE-6PCS</t>
  </si>
  <si>
    <t xml:space="preserve">BAMBOO-QUEEN-OLIVE-6PCS</t>
  </si>
  <si>
    <t xml:space="preserve">PD-LTSF auto + DBS6 Queen White autos/exact also carry it</t>
  </si>
  <si>
    <t xml:space="preserve">BAMBOO-QUEEN-WHITE-6PCS</t>
  </si>
  <si>
    <t xml:space="preserve">BAMBOO-KING-LIGHT PINK-6PCS</t>
  </si>
  <si>
    <t xml:space="preserve">BAMBOO-QUEEN-LIGHTGREY-6PCS</t>
  </si>
  <si>
    <t xml:space="preserve">BAMBOO-FULL-OLIVE-6PCS</t>
  </si>
  <si>
    <t xml:space="preserve">BAMBOO-KING-PURPLE-6PCS</t>
  </si>
  <si>
    <t xml:space="preserve">BAMBOO-QUEEN-LIGHTOLIVE-6PCS</t>
  </si>
  <si>
    <t xml:space="preserve">BAMBOO-TWIN-OLIVE-6PCS</t>
  </si>
  <si>
    <t xml:space="preserve">BAMBOO-QUEEN-SAGE GREEN-6PCS</t>
  </si>
  <si>
    <t xml:space="preserve">BAMBOO-FULL-PURPLE-6PCS</t>
  </si>
  <si>
    <t xml:space="preserve">BAMBOO-QUEEN-LIGHTBLUE-6PCS</t>
  </si>
  <si>
    <t xml:space="preserve">BAMBOO-TWIN-SAGE GREEN-6PCS</t>
  </si>
  <si>
    <t xml:space="preserve">BAMBOO-KING-SAGE GREEN-6PCS</t>
  </si>
  <si>
    <t xml:space="preserve">BAMBOO-TWIN-NAVYBLUE-6PCS</t>
  </si>
  <si>
    <t xml:space="preserve">BAMBOO-KING-BURGUNDY-6PCS</t>
  </si>
  <si>
    <t xml:space="preserve">BAMBOO-CALIFKING-BLACK-6PCS</t>
  </si>
  <si>
    <t xml:space="preserve">Black</t>
  </si>
  <si>
    <t xml:space="preserve">BAMBOO-FULL-LIGHTOLIVE-6PCS</t>
  </si>
  <si>
    <t xml:space="preserve">BAMBOO-CALIFKING-WHITE-6PCS</t>
  </si>
  <si>
    <t xml:space="preserve">BAMBOO-QUEEN-CREME-6PCS</t>
  </si>
  <si>
    <t xml:space="preserve">BAMBOO-FULL-CREME-6PCS</t>
  </si>
  <si>
    <t xml:space="preserve">BAMBOO-CALIFKING-CREME-6PCS</t>
  </si>
  <si>
    <t xml:space="preserve">BAMBOO-TWIN-LIGHTOLIVE-6PCS</t>
  </si>
  <si>
    <t xml:space="preserve">SATIN-QUEEN-BLACK</t>
  </si>
  <si>
    <t xml:space="preserve">SATIN-4PC-KING-GREY</t>
  </si>
  <si>
    <t xml:space="preserve">King keywords run on King Grey by design (ranking/test exacts) - also carried by DBS4 PD-LTSF broad</t>
  </si>
  <si>
    <t xml:space="preserve">SATIN-FULL-BLACK</t>
  </si>
  <si>
    <t xml:space="preserve">SATIN-4PCS-FULL-ROSEWOOD</t>
  </si>
  <si>
    <t xml:space="preserve">Rosewood</t>
  </si>
  <si>
    <t xml:space="preserve">SATIN-QUEEN-GREY</t>
  </si>
  <si>
    <t xml:space="preserve">SATIN-WHITE-QUEEN</t>
  </si>
  <si>
    <t xml:space="preserve">SATIN-FULL-GREY</t>
  </si>
  <si>
    <t xml:space="preserve">SATIN-TWIN-BLACK-NEW</t>
  </si>
  <si>
    <t xml:space="preserve">SATIN-STRIPE-FULL-GOLD</t>
  </si>
  <si>
    <t xml:space="preserve">Gold</t>
  </si>
  <si>
    <t xml:space="preserve">SATIN-4PCS-KING-RED</t>
  </si>
  <si>
    <t xml:space="preserve">Red</t>
  </si>
  <si>
    <t xml:space="preserve">SATIN-SEA-TEAL-TWIN</t>
  </si>
  <si>
    <t xml:space="preserve">Sea Teal</t>
  </si>
  <si>
    <t xml:space="preserve">SATIN-4PC-FULL-DARK GREEN</t>
  </si>
  <si>
    <t xml:space="preserve">Dark Green</t>
  </si>
  <si>
    <t xml:space="preserve">SATIN-KING-PURPLE</t>
  </si>
  <si>
    <t xml:space="preserve">SATIN-TWIN-GREY</t>
  </si>
  <si>
    <t xml:space="preserve">SATIN-FULL-BLUE</t>
  </si>
  <si>
    <t xml:space="preserve">Blue</t>
  </si>
  <si>
    <t xml:space="preserve">SATIN-KING-BLACK</t>
  </si>
  <si>
    <t xml:space="preserve">SATIN-3PC-TWIN-BURNT ORANGE</t>
  </si>
  <si>
    <t xml:space="preserve">Burnt Orange</t>
  </si>
  <si>
    <t xml:space="preserve">SATIN-FULL-PURPLE</t>
  </si>
  <si>
    <t xml:space="preserve">SATIN-QUEEN-PURPLE</t>
  </si>
  <si>
    <t xml:space="preserve">SATIN-STRIPE-FULL-PURPLE</t>
  </si>
  <si>
    <t xml:space="preserve">SATIN-STRIPE-TWIN-BLACK</t>
  </si>
  <si>
    <t xml:space="preserve">SATIN-QUEEN-PINK</t>
  </si>
  <si>
    <t xml:space="preserve">Pink</t>
  </si>
  <si>
    <t xml:space="preserve">SATIN-SEA-TEAL-QUEEN</t>
  </si>
  <si>
    <t xml:space="preserve">SATIN-QUEEN-BLUE</t>
  </si>
  <si>
    <t xml:space="preserve">SATIN-KING-BLUE</t>
  </si>
  <si>
    <t xml:space="preserve">SATIN-GOLD-TWIN</t>
  </si>
  <si>
    <t xml:space="preserve">SATIN-4PC-TWIN-LAVENDER</t>
  </si>
  <si>
    <t xml:space="preserve">Lavender</t>
  </si>
  <si>
    <t xml:space="preserve">SATIN-CHAMPAGNE-TWIN</t>
  </si>
  <si>
    <t xml:space="preserve">Champagne</t>
  </si>
  <si>
    <t xml:space="preserve">SATIN-3PC-TWIN-DARK GREEN</t>
  </si>
  <si>
    <t xml:space="preserve">SATIN-4PC-FULL-SAGE GREEN</t>
  </si>
  <si>
    <t xml:space="preserve">SATIN-4PCS-KING-ROSEWOOD</t>
  </si>
  <si>
    <t xml:space="preserve">SATIN-TWIN-BLUE</t>
  </si>
  <si>
    <t xml:space="preserve">SATIN-3PC-TWIN-SAGE GREEN</t>
  </si>
  <si>
    <t xml:space="preserve">SATIN-IVORY-KING</t>
  </si>
  <si>
    <t xml:space="preserve">Ivory</t>
  </si>
  <si>
    <t xml:space="preserve">SATIN-RED-FULL</t>
  </si>
  <si>
    <t xml:space="preserve">SATIN-ROSEWOOD-QUEEN</t>
  </si>
  <si>
    <t xml:space="preserve">SATIN-4PC-TWIN-BLUSH PINK</t>
  </si>
  <si>
    <t xml:space="preserve">Blush Pink</t>
  </si>
  <si>
    <t xml:space="preserve">CA - Day 1 (Oct 6, 2026) Sponsored Products spend by advertised SKU</t>
  </si>
  <si>
    <t xml:space="preserve">Source: Sellerboard (Ecotero account) per-SKU ad spend, converted by Sellerboard to USD; CAD column uses the FX rate on the Summary tab. Hero = White (Bamboo) / Black (Satin).</t>
  </si>
  <si>
    <t xml:space="preserve">SP spend (CAD)</t>
  </si>
  <si>
    <t xml:space="preserve">BAMBOO-KING-TAUPE</t>
  </si>
  <si>
    <t xml:space="preserve">BAMBOO-QUEEN-TAUPE</t>
  </si>
  <si>
    <t xml:space="preserve">BAMBOO-CALIFKING-CREME</t>
  </si>
  <si>
    <t xml:space="preserve">BAMBOO-CALIFKING-MIDGREY</t>
  </si>
  <si>
    <t xml:space="preserve">BAMBOO-CALIFKING-LIGHTGREY</t>
  </si>
  <si>
    <t xml:space="preserve">BAMBOO-KING-BLACK</t>
  </si>
  <si>
    <t xml:space="preserve">BAMBOO-FULL-LIGHTBLUE</t>
  </si>
  <si>
    <t xml:space="preserve">BAMBOO-QUEEN-LIGHTGREY</t>
  </si>
  <si>
    <t xml:space="preserve">BAMBOO-KING-LIGHT PINK</t>
  </si>
  <si>
    <t xml:space="preserve">BAMBOO-TWIN-SAGE GREEN</t>
  </si>
  <si>
    <t xml:space="preserve">BAMBOO-QUEEN-BURGUNDY-NEW</t>
  </si>
  <si>
    <t xml:space="preserve">BAMBOO-KING-LIGHTGREY</t>
  </si>
  <si>
    <t xml:space="preserve">BAMBOO-QUEEN-SAGE GREEN</t>
  </si>
  <si>
    <t xml:space="preserve">BAMBOO-CALIFKING-WHITE</t>
  </si>
  <si>
    <t xml:space="preserve">BAMBOO-QUEEN-LIGHT PINK</t>
  </si>
  <si>
    <t xml:space="preserve">BAMBOO-CALIFKING-BLACK</t>
  </si>
  <si>
    <t xml:space="preserve">BAMBOO-KING-GREY</t>
  </si>
  <si>
    <t xml:space="preserve">BAMBOO-KING-TAUPE-6PCS</t>
  </si>
  <si>
    <t xml:space="preserve">BAMBOO-FULL-WHITE-6PCS</t>
  </si>
  <si>
    <t xml:space="preserve">BAMBOO-KING-LIGHTBLUE-6PCS</t>
  </si>
  <si>
    <t xml:space="preserve">BAMBOO-CALIFKING-GREY-6PCS</t>
  </si>
  <si>
    <t xml:space="preserve">BAMBOO-CALIFKING-LIGHTBLUE-6PCS</t>
  </si>
  <si>
    <t xml:space="preserve">BAMBOO-CALIFKING-NAVYBLUE-6PCS</t>
  </si>
  <si>
    <t xml:space="preserve">SATIN-4PC-QUEEN-LAVENDER</t>
  </si>
  <si>
    <t xml:space="preserve">SATIN-STRIPE-QUEEN-BLACK</t>
  </si>
  <si>
    <t xml:space="preserve">SATIN-4PC-QUEEN-SAGE GREEN</t>
  </si>
  <si>
    <t xml:space="preserve">SATIN-STRIPE-KING-PINK</t>
  </si>
  <si>
    <t xml:space="preserve">SATIN-FULL-BLUSH PINK</t>
  </si>
  <si>
    <t xml:space="preserve">SATIN-4PC-RED-QUEEN</t>
  </si>
  <si>
    <t xml:space="preserve">SATIN-CHAMPAGNE-QUEEN</t>
  </si>
  <si>
    <t xml:space="preserve">SATIN-STRIPE-FULL-RED</t>
  </si>
  <si>
    <t xml:space="preserve">SATIN-FULL-PINK</t>
  </si>
  <si>
    <t xml:space="preserve">SATIN-WHITE-TWIN</t>
  </si>
  <si>
    <t xml:space="preserve">SATIN-STRIPE-TWIN-GOLD</t>
  </si>
  <si>
    <t xml:space="preserve">SATIN-STRIPE-QUEEN-RED</t>
  </si>
  <si>
    <t xml:space="preserve">SATIN-STRIPE-FULL-WHITE</t>
  </si>
  <si>
    <t xml:space="preserve">SATIN-STRIPE-KING-GOLD</t>
  </si>
  <si>
    <t xml:space="preserve">SATIN-TAUPE-QUEEN</t>
  </si>
  <si>
    <t xml:space="preserve">SATIN-4PC-QUEEN-BURNT ORANGE</t>
  </si>
  <si>
    <t xml:space="preserve">SATIN-TWIN-PINK</t>
  </si>
  <si>
    <t xml:space="preserve">SATIN-STRIPE-QUEEN-PURPLE</t>
  </si>
  <si>
    <t xml:space="preserve">SATIN-STRIPE-QUEEN-GOLD</t>
  </si>
  <si>
    <t xml:space="preserve">SATIN-4PC-FULL-BABY BLUE</t>
  </si>
  <si>
    <t xml:space="preserve">Baby Blue</t>
  </si>
  <si>
    <t xml:space="preserve">SATIN-QUEEN-BLACK-6-PCS</t>
  </si>
  <si>
    <t xml:space="preserve">SATIN-STRIPE-KING-GRAY--6-PCS</t>
  </si>
  <si>
    <t xml:space="preserve">Gray</t>
  </si>
  <si>
    <t xml:space="preserve">SATIN-STRIPE-FULL-BLACK--6-PCS</t>
  </si>
  <si>
    <t xml:space="preserve">SATIN-6PC-FULL-WHITE</t>
  </si>
  <si>
    <t xml:space="preserve">SATIN-STONEGREY-QUEEN-6PCS</t>
  </si>
  <si>
    <t xml:space="preserve">Stonegrey</t>
  </si>
  <si>
    <t xml:space="preserve">SATIN-STRIPE-KING-WHITE--6-PCS</t>
  </si>
  <si>
    <t xml:space="preserve">SATIN-ROSEWOOD-TWIN-6PCS</t>
  </si>
  <si>
    <t xml:space="preserve">SATIN-ROSEWOOD-QUEEN-6PCS</t>
  </si>
  <si>
    <t xml:space="preserve">SATIN-SEA-TEAL-FULL-6PCS</t>
  </si>
  <si>
    <t xml:space="preserve">SATIN-SEA-TEAL-KING-6PCS</t>
  </si>
  <si>
    <t xml:space="preserve">SATIN-STRIPE-QUEEN-PINK--6-PCS</t>
  </si>
  <si>
    <t xml:space="preserve">SATIN-FULL-BLACK-6PCS</t>
  </si>
  <si>
    <t xml:space="preserve">SATIN-STRIPE-QUEEN-RED--6-PCS</t>
  </si>
  <si>
    <t xml:space="preserve">SATIN-KING-PINK-6PCS</t>
  </si>
  <si>
    <t xml:space="preserve">SATIN-6PC-QUEEN-BLUSH PINK</t>
  </si>
  <si>
    <t xml:space="preserve">SATIN-TWIN-PURPLE-6PCS</t>
  </si>
  <si>
    <t xml:space="preserve">SATIN-STRIPE-TWIN-BLACK--6-PCS</t>
  </si>
  <si>
    <t xml:space="preserve">SATIN-6PC-FULL-NAVY BLUE</t>
  </si>
  <si>
    <t xml:space="preserve">Navy Blue</t>
  </si>
  <si>
    <t xml:space="preserve">SATIN-KING-PURPLE-6PCS</t>
  </si>
  <si>
    <t xml:space="preserve">SATIN-WHITE-QUEEN-6PCS</t>
  </si>
  <si>
    <t xml:space="preserve">SATIN-6PC-FULL-LAVENDER</t>
  </si>
  <si>
    <t xml:space="preserve">SATIN-GOLD-KING-6PCS</t>
  </si>
  <si>
    <t xml:space="preserve">SATIN-STRIPE-QUEEN-WHITE--6-PCS</t>
  </si>
  <si>
    <t xml:space="preserve">SATIN-GOLD-QUEEN-6PCS</t>
  </si>
  <si>
    <t xml:space="preserve">Click-through rate: hero colour vs other colours (US, last 30 days)</t>
  </si>
  <si>
    <t xml:space="preserve">Erik's rule: advertise the colour that earns the highest click-through on the search results, then conversion. Generic keywords only (keywords naming a colour excluded). Directional proxy - see Method_Notes.</t>
  </si>
  <si>
    <t xml:space="preserve">Colour group</t>
  </si>
  <si>
    <t xml:space="preserve">Campaigns</t>
  </si>
  <si>
    <t xml:space="preserve">Impressions</t>
  </si>
  <si>
    <t xml:space="preserve">Clicks</t>
  </si>
  <si>
    <t xml:space="preserve">CTR</t>
  </si>
  <si>
    <t xml:space="preserve">Orders</t>
  </si>
  <si>
    <t xml:space="preserve">CVR</t>
  </si>
  <si>
    <t xml:space="preserve">Spend (USD)</t>
  </si>
  <si>
    <t xml:space="preserve">Read</t>
  </si>
  <si>
    <t xml:space="preserve">Black (hero)</t>
  </si>
  <si>
    <t xml:space="preserve">Black out-clicks other colours ~2x. Biggest non-Black queen campaign is the "satin sheets queen" exact named on White - check its live ad.</t>
  </si>
  <si>
    <t xml:space="preserve">Other colours</t>
  </si>
  <si>
    <t xml:space="preserve">Black out-clicks Grey/others ~2.6x and converts better. Keep Full on Black.</t>
  </si>
  <si>
    <t xml:space="preserve">Black out-clicks others ~2x.</t>
  </si>
  <si>
    <t xml:space="preserve">Inconclusive: Black has higher CTR but only 2.6k impressions and lower CVR; Grey carries the volume. Split-test.</t>
  </si>
  <si>
    <t xml:space="preserve">White (hero)</t>
  </si>
  <si>
    <t xml:space="preserve">White out-clicks Burgundy/Navy ~5x. Supports moving Twin exacts from Burgundy to White.</t>
  </si>
  <si>
    <t xml:space="preserve">Olive out-clicks White ~2.6x, but White converts better (17% vs 12%). Mixed - test before changing.</t>
  </si>
  <si>
    <t xml:space="preserve">Similar CTR; small non-hero sample.</t>
  </si>
  <si>
    <t xml:space="preserve">Non-hero sample too small to compare.</t>
  </si>
  <si>
    <t xml:space="preserve">Rows with very few impressions (under ~5,000) are not reliable. Colour = colour in the campaign name.</t>
  </si>
  <si>
    <t xml:space="preserve">US - Day 1 (Oct 6, 2026) campaigns advertising each deal product</t>
  </si>
  <si>
    <t xml:space="preserve">Source: Ecotero Command Center PPC campaigns (campaign totals, USD). A campaign that advertises several products is listed under each one ("Shared" = Yes); use "Count once" to total without double counting. "SKU in campaign name" is what the name says - names do not always match the ads actually running.</t>
  </si>
  <si>
    <t xml:space="preserve">Campaign ID</t>
  </si>
  <si>
    <t xml:space="preserve">Campaign name</t>
  </si>
  <si>
    <t xml:space="preserve">Match type</t>
  </si>
  <si>
    <t xml:space="preserve">Objective</t>
  </si>
  <si>
    <t xml:space="preserve">SKU in campaign name</t>
  </si>
  <si>
    <t xml:space="preserve">Name colour = hero?</t>
  </si>
  <si>
    <t xml:space="preserve">Shared across products?</t>
  </si>
  <si>
    <t xml:space="preserve">Also advertises</t>
  </si>
  <si>
    <t xml:space="preserve">Count once</t>
  </si>
  <si>
    <t xml:space="preserve">CPC (USD)</t>
  </si>
  <si>
    <t xml:space="preserve">Sales (USD)</t>
  </si>
  <si>
    <t xml:space="preserve">ACoS</t>
  </si>
  <si>
    <t xml:space="preserve">55487419943563</t>
  </si>
  <si>
    <t xml:space="preserve">DBS4-SP-AUTO-(PD-LTSF)-Aged Deal SKUs</t>
  </si>
  <si>
    <t xml:space="preserve">Auto</t>
  </si>
  <si>
    <t xml:space="preserve">310976801193815</t>
  </si>
  <si>
    <t xml:space="preserve">DBS4-SP-Auto-(AUTO)-Auto-(Discovery)-DO-BAMBOO-FULL-GREY</t>
  </si>
  <si>
    <t xml:space="preserve">Discovery</t>
  </si>
  <si>
    <t xml:space="preserve">305062484006669</t>
  </si>
  <si>
    <t xml:space="preserve">DBS4-SP-Auto-(AUTO)-Auto-(Discovery)-DO-BAMBOO-KING-WHITE</t>
  </si>
  <si>
    <t xml:space="preserve">389142860904839</t>
  </si>
  <si>
    <t xml:space="preserve">DBS4-SP-Decolure Bamboo Sheets-(LSV)-Broad-(Defensive)-DO-BAMBOO-KING-WHITE</t>
  </si>
  <si>
    <t xml:space="preserve">Broad</t>
  </si>
  <si>
    <t xml:space="preserve">Defensive</t>
  </si>
  <si>
    <t xml:space="preserve">291577934636516</t>
  </si>
  <si>
    <t xml:space="preserve">DBS4-SP-Cooling Bamboo Sheets-[Bamboo|Cooling]-(MSV)-Exact-(Ranking)-DO-BAMBOO-KING-WHITE</t>
  </si>
  <si>
    <t xml:space="preserve">Exact</t>
  </si>
  <si>
    <t xml:space="preserve">526089960409455</t>
  </si>
  <si>
    <t xml:space="preserve">DBS4-SP-B08KQHRDDG-(PAT)-Targeting-(Conversion)-DO-BAMBOO-KING-WHITE</t>
  </si>
  <si>
    <t xml:space="preserve">Product Targeting</t>
  </si>
  <si>
    <t xml:space="preserve">Conversions</t>
  </si>
  <si>
    <t xml:space="preserve">217202192519686</t>
  </si>
  <si>
    <t xml:space="preserve">DBS4-SP-bamboo sheets queen size-[Bamboo|Queen]-(HSV)-Broad-(DISC)-DO-BAMBOO-QUEEN-WHITE</t>
  </si>
  <si>
    <t xml:space="preserve">26875799662688</t>
  </si>
  <si>
    <t xml:space="preserve">DBS4-SP-Conquest-(PAT)-Targeting-(Conquesting)-FIX-BAMBOO-QUEEN-WHITE-TEST</t>
  </si>
  <si>
    <t xml:space="preserve">BAMBOO-QUEEN-WHITE-TEST</t>
  </si>
  <si>
    <t xml:space="preserve">379276084224195</t>
  </si>
  <si>
    <t xml:space="preserve">Decolure_SP_Exact_PAT_Defensive</t>
  </si>
  <si>
    <t xml:space="preserve">Bamboo 6pc, Satin 4pc</t>
  </si>
  <si>
    <t xml:space="preserve">435654690515168</t>
  </si>
  <si>
    <t xml:space="preserve">DBS4-SP-Bamboo Sheets Queen-[Bamboo|Queen]-(MSV)-Exact-(Ranking)-DO-BAMBOO-QUEEN-WHITE</t>
  </si>
  <si>
    <t xml:space="preserve">457513225586449</t>
  </si>
  <si>
    <t xml:space="preserve">DECOLURE - Bamboo 4Pcs- LTSF Campaign</t>
  </si>
  <si>
    <t xml:space="preserve">Liquidation</t>
  </si>
  <si>
    <t xml:space="preserve">225300380920122</t>
  </si>
  <si>
    <t xml:space="preserve">DBS4-SP-Bamboo Sheets Cooling-[Bamboo|Cooling]-(MSV)-Exact-(Ranking)-DO-BAMBOO-KING-WHITE</t>
  </si>
  <si>
    <t xml:space="preserve">1477422308688</t>
  </si>
  <si>
    <t xml:space="preserve">DBS4-SP-king size sheets set bamboo cooling-[Bamboo|Cooling]-(LSV)-Exact-(Ranking)-FIX-BAMBOO-KING-WHITE</t>
  </si>
  <si>
    <t xml:space="preserve">39362978301776</t>
  </si>
  <si>
    <t xml:space="preserve">DBS6-SP-LTSF-ALL-Broad-(Clearance)-DO-AGED-ALL</t>
  </si>
  <si>
    <t xml:space="preserve">AGED-ALL</t>
  </si>
  <si>
    <t xml:space="preserve">476122833243587</t>
  </si>
  <si>
    <t xml:space="preserve">DBS4-SP-B07MZ4GKZH-(PAT)-Targeting-(Conversion)-DO-BAMBOO-KING-WHITE</t>
  </si>
  <si>
    <t xml:space="preserve">169190618188277</t>
  </si>
  <si>
    <t xml:space="preserve">DBS4-SP-bamboo cool sheets-[Bamboo|Cooling]-(LSV)-Exact-(Ranking)-FIX-BAMBOO-KING-WHITE-TAIL-3</t>
  </si>
  <si>
    <t xml:space="preserve">BAMBOO-KING-WHITE-TAIL-3</t>
  </si>
  <si>
    <t xml:space="preserve">6072077389058</t>
  </si>
  <si>
    <t xml:space="preserve">DBS4-SP-Cooling King Bed Sheets-[Cooling|King]-(LSV)-Exact-(Ranking)-DO-BAMBOO-KING-WHITE</t>
  </si>
  <si>
    <t xml:space="preserve">308189422883149</t>
  </si>
  <si>
    <t xml:space="preserve">DBS4-SP-Bamboo Cooling Sheets King Size-[Bamboo|Cooling]-(LSV)-Exact-(Ranking)-DO-BAMBOO-KING-WHITE</t>
  </si>
  <si>
    <t xml:space="preserve">81668335931852</t>
  </si>
  <si>
    <t xml:space="preserve">DBS6-SP-LTSF-TWIN-Phrase-(Clearance)-DO-AGED-TWIN</t>
  </si>
  <si>
    <t xml:space="preserve">Phrase</t>
  </si>
  <si>
    <t xml:space="preserve">AGED-TWIN</t>
  </si>
  <si>
    <t xml:space="preserve">332114561773037</t>
  </si>
  <si>
    <t xml:space="preserve">DBS4-SP-100 Bamboo-(VLSV)-Broad-(Discovery)-DO-BAMBOO-QUEEN-WHITE</t>
  </si>
  <si>
    <t xml:space="preserve">468904898254533</t>
  </si>
  <si>
    <t xml:space="preserve">DBS4-SP-Sheets Full Size Bed Bamboo-(VLSV)-Exact-(Ranking)-DO-BAMBOO-FULL-WHITE</t>
  </si>
  <si>
    <t xml:space="preserve">BAMBOO-FULL-WHITE</t>
  </si>
  <si>
    <t xml:space="preserve">173753122670008</t>
  </si>
  <si>
    <t xml:space="preserve">DBS4-SP-Bamboo Sheets Twin-(MSV)-Exact-(Ranking)-DO-BAMBOO-TWIN-WHITE</t>
  </si>
  <si>
    <t xml:space="preserve">254494086894356</t>
  </si>
  <si>
    <t xml:space="preserve">DBS4-SP-Twin Bamboo Bed Sheets-[Bamboo|Twin]-(HSV)-Exact-(Ranking)-DO-BAMBOO-TWIN-BURGUNDY-NEW</t>
  </si>
  <si>
    <t xml:space="preserve">562907116323646</t>
  </si>
  <si>
    <t xml:space="preserve">DECOLURE - B4 - QUEEN OLIVE - PRIME CAMPAIGN 2 (LTSF)</t>
  </si>
  <si>
    <t xml:space="preserve">510977750871435</t>
  </si>
  <si>
    <t xml:space="preserve">DBS4-SP-B07YKCZHGK-(PAT)-Targeting-(Conversion)-DO-BAMBOO-KING-CREME</t>
  </si>
  <si>
    <t xml:space="preserve">133572104497162</t>
  </si>
  <si>
    <t xml:space="preserve">DBS4-SP-Decolure Bamboo Sheets-(LSV)-Exact-(Defensive)-DO-BAMBOO-KING-WHITE</t>
  </si>
  <si>
    <t xml:space="preserve">165736265830033</t>
  </si>
  <si>
    <t xml:space="preserve">DBS4-SP-Bamboo Twin Sheets Set-[Bamboo|Twin]-(MSV)-Exact-(Ranking)-DO-BAMBOO-TWIN-BURGUNDY-NEW</t>
  </si>
  <si>
    <t xml:space="preserve">120999019617631</t>
  </si>
  <si>
    <t xml:space="preserve">DBS4-SP-Cooling Sheets Bamboo-[Bamboo|Cooling]-(MSV)-Exact-(Ranking)-DO-BAMBOO-KING-WHITE</t>
  </si>
  <si>
    <t xml:space="preserve">25448313713632</t>
  </si>
  <si>
    <t xml:space="preserve">DBS4-SP-Twin Sheets Set Bamboo-[Bamboo|Twin]-(MSV)-Exact-(Ranking)-DO-BAMBOO-TWIN-BURGUNDY-NEW</t>
  </si>
  <si>
    <t xml:space="preserve">208669798220852</t>
  </si>
  <si>
    <t xml:space="preserve">DBS4-SP-bamboo cooling sheets queen size bed set deep pockets-[Bamboo|Cooling]-(LSV)-Exact-(Ranking)-FIX-BAMBOO-QUEEN-WHITE</t>
  </si>
  <si>
    <t xml:space="preserve">456564870715953</t>
  </si>
  <si>
    <t xml:space="preserve">DBS4-SP-Twin Sheets Bamboo-[Bamboo|Twin]-(LSV)-Exact-(Ranking)-DO-BAMBOO-TWIN-BURGUNDY-NEW</t>
  </si>
  <si>
    <t xml:space="preserve">428094781835473</t>
  </si>
  <si>
    <t xml:space="preserve">DCS-SP-Auto/LTSF-Def-Multi LTSF SKUs</t>
  </si>
  <si>
    <t xml:space="preserve">462304093247311</t>
  </si>
  <si>
    <t xml:space="preserve">DBS4-SP-Twin Bamboo Sheets-[Bamboo|Twin]-(LSV)-Exact-(Ranking)-DO-BAMBOO-TWIN-BURGUNDY-NEW</t>
  </si>
  <si>
    <t xml:space="preserve">99023725891341</t>
  </si>
  <si>
    <t xml:space="preserve">DBS4-SP-Bamboo Sheets Twin Size-[Bamboo|Twin]-(MSV)-Exact-(Ranking)-DO-BAMBOO-TWIN-BURGUNDY-NEW</t>
  </si>
  <si>
    <t xml:space="preserve">382575122533704</t>
  </si>
  <si>
    <t xml:space="preserve">DBS4-SP-Purple Bamboo Sheets-(VLSV)-Exact-(Ranking)-DO-BAMBOO-QUEEN-PURPLE</t>
  </si>
  <si>
    <t xml:space="preserve">554499949808410</t>
  </si>
  <si>
    <t xml:space="preserve">DBS4-SP-Deep Pocket King Sheet Set-(HSV)-Exact-(Ranking)-DO-BAMBOO-KING-WHITE</t>
  </si>
  <si>
    <t xml:space="preserve">345754272659953</t>
  </si>
  <si>
    <t xml:space="preserve">BAMBOO-KING-LIGHTGREY-6PCS_SP_Exact_PAT_Defensive</t>
  </si>
  <si>
    <t xml:space="preserve">BAMBOO-KING-LIGHTGREY-6PCS</t>
  </si>
  <si>
    <t xml:space="preserve">185547153772861</t>
  </si>
  <si>
    <t xml:space="preserve">DBS4-SP-cooling sheets queen bamboo-[Bamboo|Cooling]-(LSV)-Exact-(Ranking)-FIX-BAMBOO-QUEEN-WHITE-TAIL-3</t>
  </si>
  <si>
    <t xml:space="preserve">BAMBOO-QUEEN-WHITE-TAIL-3</t>
  </si>
  <si>
    <t xml:space="preserve">76960646285047</t>
  </si>
  <si>
    <t xml:space="preserve">DBS4-SP-bamboo cooling sheet set queen size-[Bamboo|Cooling]-(LSV)-Exact-(Ranking)-FIX-BAMBOO-QUEEN-WHITE</t>
  </si>
  <si>
    <t xml:space="preserve">87038130582671</t>
  </si>
  <si>
    <t xml:space="preserve">DBS4-SP-King Size Sheets With Deep Pockets Bamboo-(NOSV)-Exact-(Ranking)-DO-BAMBOO-KING-WHITE</t>
  </si>
  <si>
    <t xml:space="preserve">22719198073084</t>
  </si>
  <si>
    <t xml:space="preserve">DBS4-SP-100 Bamboo Deep Pocket Sheets-(NOSV)-Exact-(Ranking)-DO-BAMBOO-KING-WHITE</t>
  </si>
  <si>
    <t xml:space="preserve">225439324065969</t>
  </si>
  <si>
    <t xml:space="preserve">DBS4-SP-Queen Bamboo Cooling Sheets-[Bamboo|Cooling|Queen]-(MSV)-Exact-(Ranking)-DO-BAMBOO-QUEEN-TAUPE</t>
  </si>
  <si>
    <t xml:space="preserve">211288192866770</t>
  </si>
  <si>
    <t xml:space="preserve">DBS4-SP-King Sheets Bamboo-(MSV)-Broad-(DISC)-DO-BAMBOO-KING-WHITE</t>
  </si>
  <si>
    <t xml:space="preserve">196321329286598</t>
  </si>
  <si>
    <t xml:space="preserve">DBS4-SP-Cooling Bamboo Sheets King Size-[Bamboo|Cooling|King]-(MSV)-Exact-(Ranking)-DO-BAMBOO-KING-WHITE</t>
  </si>
  <si>
    <t xml:space="preserve">158097764408802</t>
  </si>
  <si>
    <t xml:space="preserve">DBS4-SP-King Bamboo Cooling Sheets-[Bamboo|Cooling|King]-(MSV)-Exact-(Ranking)-DO-BAMBOO-KING-WHITE</t>
  </si>
  <si>
    <t xml:space="preserve">382995705013765</t>
  </si>
  <si>
    <t xml:space="preserve">DBS4-SP-Bamboo Sheets Queen Size-[Bamboo|Queen]-(HSV)-Exact-(Ranking)-UD-BAMBOO-QUEEN-WHITE</t>
  </si>
  <si>
    <t xml:space="preserve">87932013445748</t>
  </si>
  <si>
    <t xml:space="preserve">DBS4-SP-bamboo sheets california king-[Bamboo|California King]-(LSV)-Broad-(DISC)-DO-BAMBOO-CALIFKING-WHITE</t>
  </si>
  <si>
    <t xml:space="preserve">49275908512250</t>
  </si>
  <si>
    <t xml:space="preserve">DBS4-SP-Bamboo Sheets King Size-(HSV)-Exact-(Ranking)-DO-BAMBOO-KING-WHITE</t>
  </si>
  <si>
    <t xml:space="preserve">545053729101534</t>
  </si>
  <si>
    <t xml:space="preserve">DBS6-SP-B0CQ2ZWGNQ-(PAT)-Targeting-(Defensive)-DO-BAMBOO-QUEEN-WHITE-6PCS</t>
  </si>
  <si>
    <t xml:space="preserve">369952566354344</t>
  </si>
  <si>
    <t xml:space="preserve">DBS4-SP-Decolure Bamboo Sheets King Size-(VLSV)-Exact-(Defensive)-DO-BAMBOO-KING-WHITE</t>
  </si>
  <si>
    <t xml:space="preserve">102747157073163</t>
  </si>
  <si>
    <t xml:space="preserve">DBS4-SP-Bamboo Sheets-(VHSV)-Broad-(DISC)-DO-BAMBOO-KING-WHITE</t>
  </si>
  <si>
    <t xml:space="preserve">562604829151641</t>
  </si>
  <si>
    <t xml:space="preserve">DBS4-SP-Cooling Sheets King-[Cooling|King]-(MSV)-Exact-(Ranking)-DO-BAMBOO-KING-WHITE</t>
  </si>
  <si>
    <t xml:space="preserve">71043506344686</t>
  </si>
  <si>
    <t xml:space="preserve">DBS4-SP-Bamboo King Sheets Cooling-[Bamboo|Cooling|King]-(MSV)-Exact-(Ranking)-DO-BAMBOO-KING-WHITE</t>
  </si>
  <si>
    <t xml:space="preserve">143443584538583</t>
  </si>
  <si>
    <t xml:space="preserve">DBS4-SP-Bamboo Twin Sheets-[Bamboo|Twin]-(LSV)-Exact-(Ranking)-DO-BAMBOO-TWIN-BURGUNDY-NEW</t>
  </si>
  <si>
    <t xml:space="preserve">302124675724544</t>
  </si>
  <si>
    <t xml:space="preserve">BAMBOO-KING-WHITE-6PCS_SP_Exact_PAT_Defensive</t>
  </si>
  <si>
    <t xml:space="preserve">245612168284181</t>
  </si>
  <si>
    <t xml:space="preserve">DBS4-SP-B08KQJ62YC-(PAT)-Targeting-(Defensive)-DO-BAMBOO-KING-CREME</t>
  </si>
  <si>
    <t xml:space="preserve">333865346729447</t>
  </si>
  <si>
    <t xml:space="preserve">DBS4-SP-Bamboo Sheets-(VHSV)-Exact-(Ranking)-DO-BAMBOO-KING-WHITE</t>
  </si>
  <si>
    <t xml:space="preserve">191809923571642</t>
  </si>
  <si>
    <t xml:space="preserve">DBS4-SP-Cooling Sheets-[Cooling]-(VHSV)-Broad-(Ranking)-DO-BAMBOO-KING-WHITE</t>
  </si>
  <si>
    <t xml:space="preserve">1107397301058</t>
  </si>
  <si>
    <t xml:space="preserve">DBS6-SP-AUTO-(PD-LTSF)-Aged Deal SKUs</t>
  </si>
  <si>
    <t xml:space="preserve">121651242312774</t>
  </si>
  <si>
    <t xml:space="preserve">DBS6-SP-Conquest-(PAT)-Targeting-(Conquesting)-FIX-BAMBOO-KING-WHITE-6PCS-TEST</t>
  </si>
  <si>
    <t xml:space="preserve">BAMBOO-KING-WHITE-6PCS-TEST</t>
  </si>
  <si>
    <t xml:space="preserve">510803362556792</t>
  </si>
  <si>
    <t xml:space="preserve">DBS6-SP-Auto-(AUTO)-Auto-(Discovery)-DO-BAMBOO-QUEEN-WHITE-6PCS</t>
  </si>
  <si>
    <t xml:space="preserve">254869041005775</t>
  </si>
  <si>
    <t xml:space="preserve">DBS6-SP-Viscose Bamboo Sheets-[Bamboo]-(LSV)-Exact-(Ranking)-DO-BAMBOO-QUEEN-WHITE-6PCS</t>
  </si>
  <si>
    <t xml:space="preserve">9667625127383</t>
  </si>
  <si>
    <t xml:space="preserve">DBS6-SP-BROAD-(PD-LTSF)</t>
  </si>
  <si>
    <t xml:space="preserve">513623957286497</t>
  </si>
  <si>
    <t xml:space="preserve">DBS6-SP-Bamboo Sheets King-[Bamboo|King]-(MSV)-Exact-(Ranking)-DO-BAMBOO-KING-WHITE-6PCS</t>
  </si>
  <si>
    <t xml:space="preserve">241199145520819</t>
  </si>
  <si>
    <t xml:space="preserve">DBS6-SP-bamboo king size sheets-[Bamboo|King]-(LSV)-Exact-(Ranking)-FIX-BAMBOO-KING-WHITE-6PCS</t>
  </si>
  <si>
    <t xml:space="preserve">Bamboo 4pc, Satin 4pc</t>
  </si>
  <si>
    <t xml:space="preserve">533426117411325</t>
  </si>
  <si>
    <t xml:space="preserve">DBS6-SP-Bamboo Sheets With Corner Straps-(VLSV)-Exact-(Ranking)-DO-BAMBOO-KING-WHITE-6PCS</t>
  </si>
  <si>
    <t xml:space="preserve">202385220762690</t>
  </si>
  <si>
    <t xml:space="preserve">DBS6-SP-Bamboo King Size Sheets Set-[Bamboo|King]-(LSV)-Exact-(Ranking)-DO-BAMBOO-KING-WHITE-6PCS</t>
  </si>
  <si>
    <t xml:space="preserve">431300851562322</t>
  </si>
  <si>
    <t xml:space="preserve">DBS6-SP-King Bed Bamboo Sheets-[Bamboo|King]-(LSV)-Exact-(Ranking)-DO-BAMBOO-KING-WHITE-6PCS</t>
  </si>
  <si>
    <t xml:space="preserve">392665575151100</t>
  </si>
  <si>
    <t xml:space="preserve">DBS6-SP-King Bamboo Sheets-[Bamboo|King]-(MSV)-Exact-(Ranking)-DO-BAMBOO-KING-WHITE-6PCS</t>
  </si>
  <si>
    <t xml:space="preserve">527146846610002</t>
  </si>
  <si>
    <t xml:space="preserve">DBS6-SP-Auto-(AUTO)-Auto-(Discovery)-DO-BAMBOO-KING-TAUPE-6PCS</t>
  </si>
  <si>
    <t xml:space="preserve">383426992646935</t>
  </si>
  <si>
    <t xml:space="preserve">DBS6-SP-B01M16WBW1-(PAT)-Targeting-(Conversion)-DO-BAMBOO-KING-WHITE-6PCS-2</t>
  </si>
  <si>
    <t xml:space="preserve">BAMBOO-KING-WHITE-6PCS-2</t>
  </si>
  <si>
    <t xml:space="preserve">251521788502529</t>
  </si>
  <si>
    <t xml:space="preserve">DBS6-SP-luxury bamboo sheets-[Bamboo]-(LSV)-Exact-(Ranking)-FIX-BAMBOO-KING-WHITE-6PCS</t>
  </si>
  <si>
    <t xml:space="preserve">1303427675670</t>
  </si>
  <si>
    <t xml:space="preserve">DBS6-SP-bamboo king bedding sets-[Bamboo|King]-(LSV)-Exact-(Ranking)-FIX-BAMBOO-KING-WHITE-6PCS</t>
  </si>
  <si>
    <t xml:space="preserve">347045434156993</t>
  </si>
  <si>
    <t xml:space="preserve">DBS6-SP-White Bamboo Sheets King-(VLSV)-Exact-(Ranking)-DO-BAMBOO-KING-WHITE-6PCS</t>
  </si>
  <si>
    <t xml:space="preserve">119663397336558</t>
  </si>
  <si>
    <t xml:space="preserve">DBS6-SP-king sheet set bamboo-[Bamboo|King]-(LSV)-Exact-(Ranking)-FIX-BAMBOO-KING-WHITE-6PCS</t>
  </si>
  <si>
    <t xml:space="preserve">225180165014398</t>
  </si>
  <si>
    <t xml:space="preserve">DBS6-SP-B01M16WBW1-(PAT)-Targeting-(Conversion)-DO-BAMBOO-KING-WHITE-6PCS</t>
  </si>
  <si>
    <t xml:space="preserve">419634737502911</t>
  </si>
  <si>
    <t xml:space="preserve">DBS6-SP-Bamboo King Bed Sheets-[Bamboo|King]-(VLSV)-Exact-(Ranking)-DO-BAMBOO-KING-WHITE-6PCS</t>
  </si>
  <si>
    <t xml:space="preserve">541905359751100</t>
  </si>
  <si>
    <t xml:space="preserve">DBS6-SP-Bamboo Sheets King Size-(HSV)-Exact-(Ranking)-DO-BAMBOO-KING-WHITE-6PCS</t>
  </si>
  <si>
    <t xml:space="preserve">306476588679201</t>
  </si>
  <si>
    <t xml:space="preserve">DBS6-SP-Bamboo Sheets Deep Pockets King Size-(VLSV)-Exact-(Ranking)-DO-BAMBOO-KING-WHITE-6PCS</t>
  </si>
  <si>
    <t xml:space="preserve">535474942363283</t>
  </si>
  <si>
    <t xml:space="preserve">DBS6-SP-Cooling Bedsheets-(VLSV)-Exact-(Ranking)-DO-BAMBOO-KING-WHITE-6PCS</t>
  </si>
  <si>
    <t xml:space="preserve">368342086454131</t>
  </si>
  <si>
    <t xml:space="preserve">DBS6-SP-Decolure-(VLSV)-Broad-(DISC)-DO-BAMBOO-KING-WHITE-6PCS</t>
  </si>
  <si>
    <t xml:space="preserve">353991924713193</t>
  </si>
  <si>
    <t xml:space="preserve">DBS6-SP-Top Rated Bamboo Sheets-(VLSV)-Exact-(Ranking)-DO-BAMBOO-KING-WHITE-6PCS</t>
  </si>
  <si>
    <t xml:space="preserve">155145984330218</t>
  </si>
  <si>
    <t xml:space="preserve">DBS6-SP-B0CQ33H4QW-(PAT)-Targeting-(Conversion)-DO-BAMBOO-KING-WHITE-6PCS</t>
  </si>
  <si>
    <t xml:space="preserve">279051864839728</t>
  </si>
  <si>
    <t xml:space="preserve">DBS6-SP-deep pocket king sheet set bamboo-[Bamboo|King]-(LSV)-Exact-(Ranking)-FIX-BAMBOO-KING-WHITE-6PCS</t>
  </si>
  <si>
    <t xml:space="preserve">26764527985227</t>
  </si>
  <si>
    <t xml:space="preserve">DBS6-SP-bamboo bed-[Bamboo]-(LSV)-Exact-(Ranking)-FIX-BAMBOO-KING-WHITE-6PCS</t>
  </si>
  <si>
    <t xml:space="preserve">379630868482465</t>
  </si>
  <si>
    <t xml:space="preserve">DBS6-SP-B08KQHRDDG-(PAT)-Targeting-(Conversion)-DO-BAMBOO-KING-WHITE-6PCS</t>
  </si>
  <si>
    <t xml:space="preserve">218683011911228</t>
  </si>
  <si>
    <t xml:space="preserve">DBS6-SP-sage green bamboo sheets-[Bamboo]-(LSV)-Exact-(Ranking)-FIX-BAMBOO-KING-SAGE GREEN-6PCS-TAIL-7</t>
  </si>
  <si>
    <t xml:space="preserve">BAMBOO-KING-SAGE GREEN-6PCS-TAIL-7</t>
  </si>
  <si>
    <t xml:space="preserve">116307143071943</t>
  </si>
  <si>
    <t xml:space="preserve">DBS6-SP-bamboo fitted sheet-[Bamboo]-(LSV)-Exact-(Ranking)-FIX-BAMBOO-KING-WHITE-6PCS</t>
  </si>
  <si>
    <t xml:space="preserve">144590692050229</t>
  </si>
  <si>
    <t xml:space="preserve">DBS4-SP-Bamboo Bedding Set-(LSV)-Exact-(Ranking)-FIX-BAMBOO-KING-WHITE-6PCS</t>
  </si>
  <si>
    <t xml:space="preserve">482466705246472</t>
  </si>
  <si>
    <t xml:space="preserve">DBS6-SP-Sheet Set Bamboo-(VLSV)-Exact-(Ranking)-DO-BAMBOO-KING-WHITE-6PCS</t>
  </si>
  <si>
    <t xml:space="preserve">1430681685451</t>
  </si>
  <si>
    <t xml:space="preserve">DBS6-SP-B08KQHRDDG-(PAT)-Targeting-(Conversion)-DO-BAMBOO-KING-WHITE-6PCS-3</t>
  </si>
  <si>
    <t xml:space="preserve">BAMBOO-KING-WHITE-6PCS-3</t>
  </si>
  <si>
    <t xml:space="preserve">362568651961548</t>
  </si>
  <si>
    <t xml:space="preserve">DBS6-SP-Auto-(AUTO)-Auto-(Discovery)-DO-BAMBOO-QUEEN-WHITE-6PCS-2</t>
  </si>
  <si>
    <t xml:space="preserve">BAMBOO-QUEEN-WHITE-6PCS-2</t>
  </si>
  <si>
    <t xml:space="preserve">50256895533723</t>
  </si>
  <si>
    <t xml:space="preserve">DBS6-SP-olive green bamboo sheets-[Bamboo]-(LSV)-Exact-(Ranking)-FIX-BAMBOO-QUEEN-OLIVE-6PCS-TAIL-4</t>
  </si>
  <si>
    <t xml:space="preserve">BAMBOO-QUEEN-OLIVE-6PCS-TAIL-4</t>
  </si>
  <si>
    <t xml:space="preserve">134721185110692</t>
  </si>
  <si>
    <t xml:space="preserve">DBS6-SP-burgundy bamboo sheets-[Bamboo]-(LSV)-Exact-(Ranking)-FIX-BAMBOO-KING-BURGUNDY-6PCS-TAIL-9</t>
  </si>
  <si>
    <t xml:space="preserve">BAMBOO-KING-BURGUNDY-6PCS-TAIL-9</t>
  </si>
  <si>
    <t xml:space="preserve">197669526281714</t>
  </si>
  <si>
    <t xml:space="preserve">DBS6-SP-B0B8JLLT45-(PAT)-Targeting-(Conversion)-DO-BAMBOO-KING-WHITE-6PCS</t>
  </si>
  <si>
    <t xml:space="preserve">533716121437919</t>
  </si>
  <si>
    <t xml:space="preserve">DBS6-SP-B08KQHRDDG-(PAT)-Targeting-(Conversion)-DO-BAMBOO-KING-WHITE-6PCS-2</t>
  </si>
  <si>
    <t xml:space="preserve">204889087783620</t>
  </si>
  <si>
    <t xml:space="preserve">DBS6-SP-bamboo spandex sheets-[Bamboo]-(LSV)-Exact-(Ranking)-FIX-BAMBOO-KING-WHITE-6PCS</t>
  </si>
  <si>
    <t xml:space="preserve">462253690600400</t>
  </si>
  <si>
    <t xml:space="preserve">DBS6-SP-Black Bamboo Sheets-(LSV)-Exact-(Ranking)-DO-BAMBOO-KING-BLACK-6PCS</t>
  </si>
  <si>
    <t xml:space="preserve">BAMBOO-KING-BLACK-6PCS</t>
  </si>
  <si>
    <t xml:space="preserve">175596464561008</t>
  </si>
  <si>
    <t xml:space="preserve">DBS6-SP-bamboo viscose sheets king-[Bamboo|King]-(LSV)-Exact-(Ranking)-FIX-BAMBOO-KING-WHITE-6PCS-TAIL</t>
  </si>
  <si>
    <t xml:space="preserve">BAMBOO-KING-WHITE-6PCS-TAIL</t>
  </si>
  <si>
    <t xml:space="preserve">88477223510958</t>
  </si>
  <si>
    <t xml:space="preserve">DBS6-SP-organic bamboo sheets king-[Bamboo|King]-(LSV)-Exact-(Ranking)-FIX-BAMBOO-KING-WHITE-6PCS</t>
  </si>
  <si>
    <t xml:space="preserve">86445196435995</t>
  </si>
  <si>
    <t xml:space="preserve">DBS6-SP-Twin Size Cooling Sheets-[Cooling|Twin]-(VLSV)-Exact-(Ranking)-DO-BAMBOO-TWIN-WHITE-6PCS</t>
  </si>
  <si>
    <t xml:space="preserve">BAMBOO-TWIN-WHITE-6PCS</t>
  </si>
  <si>
    <t xml:space="preserve">336651778622177</t>
  </si>
  <si>
    <t xml:space="preserve">DBS6-SP-Cali King Bamboo Sheets-(VLSV)-Exact-(Ranking)-DO-BAMBOO-KING-WHITE-6PCS</t>
  </si>
  <si>
    <t xml:space="preserve">425184862920451</t>
  </si>
  <si>
    <t xml:space="preserve">DBS6-SP-King Size Deep Pocket Bamboo Sheets-(VLSV)-Exact-(Ranking)-DO-BAMBOO-KING-WHITE-6PCS</t>
  </si>
  <si>
    <t xml:space="preserve">232044380795319</t>
  </si>
  <si>
    <t xml:space="preserve">DBS6-SP-rayon bamboo sheets-[Bamboo]-(LSV)-Exact-(Ranking)-FIX-BAMBOO-KING-WHITE-6PCS</t>
  </si>
  <si>
    <t xml:space="preserve">153784770307916</t>
  </si>
  <si>
    <t xml:space="preserve">DBS6-SP-rayon from bamboo sheets-[Bamboo]-(LSV)-Exact-(Ranking)-FIX-BAMBOO-KING-WHITE-6PCS</t>
  </si>
  <si>
    <t xml:space="preserve">392130012975535</t>
  </si>
  <si>
    <t xml:space="preserve">DBS6-SP-Bamboo Sheets Queen-[Bamboo|Queen]-(MSV)-Exact-(Ranking)-DO-BAMBOO-QUEEN-WHITE-6PCS</t>
  </si>
  <si>
    <t xml:space="preserve">402706089986099</t>
  </si>
  <si>
    <t xml:space="preserve">DBS6-SP-B09PYB9C45-(PAT)-Targeting-(Conversion)-DO-BAMBOO-KING-WHITE-6PCS-2</t>
  </si>
  <si>
    <t xml:space="preserve">211773624217551</t>
  </si>
  <si>
    <t xml:space="preserve">DBS6-SP-Deep Pocket Cooling Sheets-[Cooling]-(LSV)-Exact-(Ranking)-DO-BAMBOO-QUEEN-WHITE-6PCS</t>
  </si>
  <si>
    <t xml:space="preserve">520122850283150</t>
  </si>
  <si>
    <t xml:space="preserve">DBS6-SP-Decolure Bamboo Sheets-(LSV)-Exact-(Defensive)-DO-BAMBOO-KING-WHITE-6PCS</t>
  </si>
  <si>
    <t xml:space="preserve">86819977221353</t>
  </si>
  <si>
    <t xml:space="preserve">DBS6-SP-B09PYB9C45-(PAT)-Targeting-(Conversion)-DO-BAMBOO-KING-WHITE-6PCS</t>
  </si>
  <si>
    <t xml:space="preserve">198169891468620</t>
  </si>
  <si>
    <t xml:space="preserve">DBS6-SP-bamboo sheets cal king-[Bamboo|California King]-(LSV)-Exact-(Ranking)-FIX-BAMBOO-CALIFKING-WHITE-6PCS</t>
  </si>
  <si>
    <t xml:space="preserve">478262875796652</t>
  </si>
  <si>
    <t xml:space="preserve">DBS6-SP-Bamboo Sheet-(VHSV)-Exact-(Ranking)-DO-BAMBOO-KING-WHITE-6PCS</t>
  </si>
  <si>
    <t xml:space="preserve">345840472037965</t>
  </si>
  <si>
    <t xml:space="preserve">DBS6-SP-Queen Bamboo Sheets-(LSV)-Exact-(Ranking)-DO-BAMBOO-QUEEN-WHITE-6PCS</t>
  </si>
  <si>
    <t xml:space="preserve">219163343895217</t>
  </si>
  <si>
    <t xml:space="preserve">DBS6-SP-bamboo sheets full size set-[Bamboo|Full]-(LSV)-Exact-(Ranking)-FIX-BAMBOO-FULL-WHITE-6PCS-TAIL-5</t>
  </si>
  <si>
    <t xml:space="preserve">BAMBOO-FULL-WHITE-6PCS-TAIL-5</t>
  </si>
  <si>
    <t xml:space="preserve">100258832206742</t>
  </si>
  <si>
    <t xml:space="preserve">DBS6-SP-bamboo sheets king size-[Bamboo|King]-(HSV)-Broad-(DISC)-DO-BAMBOO-KING-WHITE-6PCS</t>
  </si>
  <si>
    <t xml:space="preserve">476538825652636</t>
  </si>
  <si>
    <t xml:space="preserve">DBS6-SP-Auto-(AUTO)-Auto-(Discovery)-DO-BAMBOO-QUEEN-OLIVE-6PCS-2</t>
  </si>
  <si>
    <t xml:space="preserve">BAMBOO-QUEEN-OLIVE-6PCS-2</t>
  </si>
  <si>
    <t xml:space="preserve">562824739344240</t>
  </si>
  <si>
    <t xml:space="preserve">DBS6-SP-Decolure Bamboo Sheets Queen Size-(VLSV)-Exact-(Defensive)-DO-BAMBOO-QUEEN-OLIVE-6PCS</t>
  </si>
  <si>
    <t xml:space="preserve">32930947848456</t>
  </si>
  <si>
    <t xml:space="preserve">DBS6-SP-bamboo sheets queen size-[Bamboo|Queen]-(HSV)-Broad-(DISC)-DO-BAMBOO-QUEEN-WHITE-6PCS</t>
  </si>
  <si>
    <t xml:space="preserve">28289013937211</t>
  </si>
  <si>
    <t xml:space="preserve">DBS6-SP-Sheets Queen Size Bed Set-(VHSV)-Exact-(Conversion)-DO-BAMBOO-QUEEN-WHITE-6PCS</t>
  </si>
  <si>
    <t xml:space="preserve">504037860004352</t>
  </si>
  <si>
    <t xml:space="preserve">D-S4-SP-satin sheets queen-(Satin)-HSV-Exact-Rank-DO-SATIN-WHITE-QUEEN-V2</t>
  </si>
  <si>
    <t xml:space="preserve">SATIN-WHITE-QUEEN-V2</t>
  </si>
  <si>
    <t xml:space="preserve">218935810648861</t>
  </si>
  <si>
    <t xml:space="preserve">DBS4-SP-BROAD-(PD-LTSF)</t>
  </si>
  <si>
    <t xml:space="preserve">527361393975073</t>
  </si>
  <si>
    <t xml:space="preserve">DSS4-SP-Satin Sheets-[Satin]-(HSV)-Exact-(Ranking)-DO-SATIN-QUEEN-BLACK</t>
  </si>
  <si>
    <t xml:space="preserve">Bamboo 4pc, Bamboo 6pc</t>
  </si>
  <si>
    <t xml:space="preserve">512077609025515</t>
  </si>
  <si>
    <t xml:space="preserve">DECOLURE - SATIN 4 - LTSF Campaign</t>
  </si>
  <si>
    <t xml:space="preserve">96870561028328</t>
  </si>
  <si>
    <t xml:space="preserve">DSS4-SP-King Size Silk Sheets-[Silk|King]-(LSV)-Exact-(Ranking)-DO-SATIN-4PC-KING-GREY</t>
  </si>
  <si>
    <t xml:space="preserve">189967409565927</t>
  </si>
  <si>
    <t xml:space="preserve">DSS4-SP-Satin Sheets King Size-[Satin|King]-(LSV)-Exact-(Ranking)-DO-SATIN-4PC-KING-GREY</t>
  </si>
  <si>
    <t xml:space="preserve">100830568607053</t>
  </si>
  <si>
    <t xml:space="preserve">D-S4-SP-silk sheets queen-(Silk)-HSV-Exact-Rank-DO-SATIN-QUEEN-BLACK</t>
  </si>
  <si>
    <t xml:space="preserve">108995710931187</t>
  </si>
  <si>
    <t xml:space="preserve">DSS4-SP-Silk Sheets Twin-[Silk|Twin]-(MSV)-Exact-(Ranking)-DO-SATIN-TWIN-BLACK-NEW</t>
  </si>
  <si>
    <t xml:space="preserve">270922378285651</t>
  </si>
  <si>
    <t xml:space="preserve">DSS4-SP-BROAD-(PD-LTSF)</t>
  </si>
  <si>
    <t xml:space="preserve">152256281509429</t>
  </si>
  <si>
    <t xml:space="preserve">DSS4-SP-Satin Sheets Full-[Satin|Full]-(MSV)-Broad-(Discovery)-DO-SATIN-FULL-GREY</t>
  </si>
  <si>
    <t xml:space="preserve">414850094869263</t>
  </si>
  <si>
    <t xml:space="preserve">DSS4-SP-Auto-(AUTO)-Auto-(Discovery)-DO-SATIN-QUEEN-BLACK</t>
  </si>
  <si>
    <t xml:space="preserve">152213290901148</t>
  </si>
  <si>
    <t xml:space="preserve">DSS4-SP-KEYWORD-GROUP=KEYWORDS RELATED TO YOUR PRODUCT CATEGORY-(PAT)-Targeting-(Conversion)-DO-SATIN-4PCS-FULL-ROSEWOOD</t>
  </si>
  <si>
    <t xml:space="preserve">204281123271494</t>
  </si>
  <si>
    <t xml:space="preserve">DSS4-SP-Satin Full Size Bed Sheets-[Satin|Full]-(LSV)-Exact-(Ranking)-DO-SATIN-FULL-BLACK</t>
  </si>
  <si>
    <t xml:space="preserve">244008066214488</t>
  </si>
  <si>
    <t xml:space="preserve">DSS4-SP-Satin Bed Sheets Full-[Satin|Full]-(LSV)-Exact-(Ranking)-DO-SATIN-FULL-BLACK</t>
  </si>
  <si>
    <t xml:space="preserve">246449445739132</t>
  </si>
  <si>
    <t xml:space="preserve">DSS4-SP-Full Satin Sheets Set-[Satin|Full]-(LSV)-Exact-(Ranking)-DO-SATIN-FULL-BLACK</t>
  </si>
  <si>
    <t xml:space="preserve">82540637405662</t>
  </si>
  <si>
    <t xml:space="preserve">DSS4-SP-Satin Sheets Full Size-[Satin|Full]-(LSV)-Exact-(Ranking)-DO-SATIN-FULL-BLACK</t>
  </si>
  <si>
    <t xml:space="preserve">245425710999426</t>
  </si>
  <si>
    <t xml:space="preserve">DSS4-SP-Queen Satin Sheet Set-[Satin|Queen]-(MSV)-Broad-(Discovery)-DO-SATIN-QUEEN-GREY</t>
  </si>
  <si>
    <t xml:space="preserve">119446025046609</t>
  </si>
  <si>
    <t xml:space="preserve">D-S4-red satin sheets - [Satin] - Exact - Ran - DO - SATIN-4PC-RED-QUEEN</t>
  </si>
  <si>
    <t xml:space="preserve">280056080556526</t>
  </si>
  <si>
    <t xml:space="preserve">DSS4-SP-king size satin sheets set-[Satin|King]-(LSV)-Exact-(Conversion)-DO-SATIN-4PC-KING-GREY-TEST</t>
  </si>
  <si>
    <t xml:space="preserve">SATIN-4PC-KING-GREY-TEST</t>
  </si>
  <si>
    <t xml:space="preserve">171902714860303</t>
  </si>
  <si>
    <t xml:space="preserve">DSS4-SP-King Sheets Silk-[Silk|King]-(LSV)-Exact-(Ranking)-DO-SATIN-4PC-KING-GREY</t>
  </si>
  <si>
    <t xml:space="preserve">459348017927929</t>
  </si>
  <si>
    <t xml:space="preserve">DSS4-SP-Satin Sheets Deep Pocket-[Satin]-(VLSV)-Exact-(Ranking)-DO-SATIN-QUEEN-BLACK</t>
  </si>
  <si>
    <t xml:space="preserve">159484070732130</t>
  </si>
  <si>
    <t xml:space="preserve">DSS4-SP-Black Satin Sheets Full-[Satin|Full]-(LSV)-Exact-(Ranking)-DO-SATIN-FULL-BLACK</t>
  </si>
  <si>
    <t xml:space="preserve">33389871513217</t>
  </si>
  <si>
    <t xml:space="preserve">DSS4-SP-Satin Sheets King-[Satin|King]-(MSV)-Exact-(Ranking)-DO-SATIN-4PC-KING-GREY</t>
  </si>
  <si>
    <t xml:space="preserve">115346154431177</t>
  </si>
  <si>
    <t xml:space="preserve">D-S4-black silk sheets king - [Silk|King] - Exact - Ran - DO - SATIN-KING-BLACK</t>
  </si>
  <si>
    <t xml:space="preserve">59818700734597</t>
  </si>
  <si>
    <t xml:space="preserve">D-S4-satin king sheets set - [Satin|King] - Exact - Ran - DO - SATIN-4PC-KING-GREY</t>
  </si>
  <si>
    <t xml:space="preserve">208595143922254</t>
  </si>
  <si>
    <t xml:space="preserve">DSS4-SP-Auto-(AUTO)-Auto-(Discovery)-DO-SATIN-QUEEN-GREY</t>
  </si>
  <si>
    <t xml:space="preserve">279063293275463</t>
  </si>
  <si>
    <t xml:space="preserve">D-S4-white silk sheets queen - [Silk|Queen] - Exact - Ran - DO - SATIN-WHITE-QUEEN</t>
  </si>
  <si>
    <t xml:space="preserve">156074162580081</t>
  </si>
  <si>
    <t xml:space="preserve">DSS4-SP-Sateen Sheets King Size-[Satin|King]-(LSV)-Exact-(Ranking)-DO-SATIN-4PC-KING-GREY</t>
  </si>
  <si>
    <t xml:space="preserve">173283715685585</t>
  </si>
  <si>
    <t xml:space="preserve">DSS4-SP-Full Silk Bed Sheets-[Silk|Full]-(LSV)-Exact-(Ranking)-DO-SATIN-FULL-BLACK</t>
  </si>
  <si>
    <t xml:space="preserve">144083150047312</t>
  </si>
  <si>
    <t xml:space="preserve">DSS4-SP-satin sheets king deep pocket-[unassigned]-(NOSV)-Exact-(Conversion)-DO-SATIN-4PC-KING-GREY-TEST</t>
  </si>
  <si>
    <t xml:space="preserve">36991466146796</t>
  </si>
  <si>
    <t xml:space="preserve">DSS4-SP-Full Size Bed Sheets Silk-[Silk|Full]-(LSV)-Exact-(Ranking)-DO-SATIN-FULL-BLACK</t>
  </si>
  <si>
    <t xml:space="preserve">323452708337783</t>
  </si>
  <si>
    <t xml:space="preserve">DSS4-SP-Auto-(AUTO)-Auto-(Discovery)-DO-SATIN-QUEEN-BLACK-2</t>
  </si>
  <si>
    <t xml:space="preserve">SATIN-QUEEN-BLACK-2</t>
  </si>
  <si>
    <t xml:space="preserve">217109942552945</t>
  </si>
  <si>
    <t xml:space="preserve">DSS4-SP-Queen Sheets Silk-[Silk|Queen]-(LSV)-Broad-(Discovery)-DO-SATIN-QUEEN-BLACK</t>
  </si>
  <si>
    <t xml:space="preserve">484073051253364</t>
  </si>
  <si>
    <t xml:space="preserve">D-S4-SP-decolure satin sheets-Brand-Agr-Broad-Def-DO-SATIN-QUEEN-BLACK</t>
  </si>
  <si>
    <t xml:space="preserve">199606181244375</t>
  </si>
  <si>
    <t xml:space="preserve">DSS4-SP-Purple Satin Sheets-[Satin]-(LSV)-Exact-(Ranking)-DO-SATIN-QUEEN-PURPLE</t>
  </si>
  <si>
    <t xml:space="preserve">120561743176244</t>
  </si>
  <si>
    <t xml:space="preserve">D-S4-pink satin sheets - [Satin] - Broad - Disc - DO - SATIN-4PCS-FULL-STRIPE-PINK</t>
  </si>
  <si>
    <t xml:space="preserve">SATIN-4PCS-FULL-STRIPE-PINK</t>
  </si>
  <si>
    <t xml:space="preserve">79231677791815</t>
  </si>
  <si>
    <t xml:space="preserve">DSS4-SP-Satin Bed Sheets Queen-[Satin|Queen]-(MSV)-Exact-(Ranking)-DO-SATIN-QUEEN-BLACK</t>
  </si>
  <si>
    <t xml:space="preserve">234075729975572</t>
  </si>
  <si>
    <t xml:space="preserve">DSS4-SP-Black Silk Sheets-[Silk]-(MSV)-Exact-(Ranking)-DO-SATIN-QUEEN-BLACK</t>
  </si>
  <si>
    <t xml:space="preserve">152302990884047</t>
  </si>
  <si>
    <t xml:space="preserve">D-S4-silk queen bed sheets set - [Silk|Queen] - Exact - Ran - DO - SATIN-QUEEN-BLACK</t>
  </si>
  <si>
    <t xml:space="preserve">398108140003951</t>
  </si>
  <si>
    <t xml:space="preserve">DSS4-SP-Decolure-(VLSV)-Exact-(Defensive)-DO-SATIN-QUEEN-BLACK</t>
  </si>
  <si>
    <t xml:space="preserve">134608688897105</t>
  </si>
  <si>
    <t xml:space="preserve">DSS4-SP-Silk Black Sheets-[Silk]-(LSV)-Exact-(Ranking)-DO-SATIN-QUEEN-BLACK</t>
  </si>
  <si>
    <t xml:space="preserve">237149166614031</t>
  </si>
  <si>
    <t xml:space="preserve">SSS4-PHRASE-(satin sheets)-Browse Kws Migr.</t>
  </si>
  <si>
    <t xml:space="preserve">59027451312414</t>
  </si>
  <si>
    <t xml:space="preserve">DSS4-SP-queen satin sheets set-[Satin|Queen]-(NOSV)-Exact-(Conversion)-DO-SATIN-QUEEN-BLACK-TEST</t>
  </si>
  <si>
    <t xml:space="preserve">SATIN-QUEEN-BLACK-TEST</t>
  </si>
  <si>
    <t xml:space="preserve">276983621807441</t>
  </si>
  <si>
    <t xml:space="preserve">DSS4-SP-Twin Silk Sheets-[Silk|Twin]-(LSV)-Exact-(Ranking)-DO-SATIN-TWIN-BLACK-NEW</t>
  </si>
  <si>
    <t xml:space="preserve">167888639670385</t>
  </si>
  <si>
    <t xml:space="preserve">DSS4-SP-Silk Sheets King Size-[Silk|King]-(LSV)-Exact-(Ranking)-DO-SATIN-4PC-KING-GREY</t>
  </si>
  <si>
    <t xml:space="preserve">103662305423437</t>
  </si>
  <si>
    <t xml:space="preserve">DSS4-SP-Satin Sheets Queen-[Satin|Queen]-(LSV)-Broad-(Discovery)-DO-SATIN-QUEEN-BLACK</t>
  </si>
  <si>
    <t xml:space="preserve">194304596900893</t>
  </si>
  <si>
    <t xml:space="preserve">DSS4-SP-red satin sheets king-[Satin|King]-(NOSV)-Exact-(Conversion)-DO-SATIN-4PCS-KING-RED-TEST</t>
  </si>
  <si>
    <t xml:space="preserve">SATIN-4PCS-KING-RED-TEST</t>
  </si>
  <si>
    <t xml:space="preserve">238180925389130</t>
  </si>
  <si>
    <t xml:space="preserve">D-S4-SP-queen size silk sheets-(Silk)-MSV-Exact-Rank-DO-SATIN-QUEEN-BLACK</t>
  </si>
  <si>
    <t xml:space="preserve">46580844907741</t>
  </si>
  <si>
    <t xml:space="preserve">DSS4-SP-satin sheet set queen-[Satin|Queen]-(VLSV)-Exact-(Conversion)-DO-SATIN-QUEEN-BLACK-TEST</t>
  </si>
  <si>
    <t xml:space="preserve">54895613793659</t>
  </si>
  <si>
    <t xml:space="preserve">D-S4-green satin sheets - [Satin] - Exact - Ran - DO - SATIN-4PC-QUEEN-DARK GREEN</t>
  </si>
  <si>
    <t xml:space="preserve">SATIN-4PC-QUEEN-DARK GREEN</t>
  </si>
  <si>
    <t xml:space="preserve">94783726039090</t>
  </si>
  <si>
    <t xml:space="preserve">DSS4-SP-AUTO-(PD-LTSF)-Aged Deal SKUs</t>
  </si>
  <si>
    <t xml:space="preserve">75384181188544</t>
  </si>
  <si>
    <t xml:space="preserve">DSS4-SP-Queen Size Satin Sheets-[Satin|Queen]-(LSV)-Exact-(Ranking)-DO-SATIN-QUEEN-BLACK</t>
  </si>
  <si>
    <t xml:space="preserve">406858750561527</t>
  </si>
  <si>
    <t xml:space="preserve">DSS4-SP-B08HM6WT6X-(PAT)-Targeting-(Conquest)-DO-SATIN-QUEEN-BLACK</t>
  </si>
  <si>
    <t xml:space="preserve">Conquesting</t>
  </si>
  <si>
    <t xml:space="preserve">86566020622084</t>
  </si>
  <si>
    <t xml:space="preserve">DSS4-SP-Black Satin Sheets Queen-[Satin|Queen]-(LSV)-Exact-(Ranking)-DO-SATIN-QUEEN-BLACK</t>
  </si>
  <si>
    <t xml:space="preserve">102524994194293</t>
  </si>
  <si>
    <t xml:space="preserve">DSS4-SP-Full Satin Sheets-[Satin|Full]-(LSV)-Exact-(Ranking)-DO-SATIN-FULL-BLACK</t>
  </si>
  <si>
    <t xml:space="preserve">49674570581247</t>
  </si>
  <si>
    <t xml:space="preserve">DSS4-SP-Queen Size Sheets Silk-[Silk|Queen]-(LSV)-Exact-(Ranking)-DO-SATIN-QUEEN-BLACK</t>
  </si>
  <si>
    <t xml:space="preserve">41799378121169</t>
  </si>
  <si>
    <t xml:space="preserve">DSS4-SP-silk bed sheets king size-[Silk|King]-(VLSV)-Exact-(Conversion)-DO-SATIN-4PC-KING-GREY-TEST</t>
  </si>
  <si>
    <t xml:space="preserve">274778889527487</t>
  </si>
  <si>
    <t xml:space="preserve">DSS4-SP-Queen Size Satin Sheets Set-[Satin|Queen]-(LSV)-Exact-(Ranking)-DO-SATIN-QUEEN-BLACK-2</t>
  </si>
  <si>
    <t xml:space="preserve">181043135198607</t>
  </si>
  <si>
    <t xml:space="preserve">DSS4-SP-Silk Satin Sheets-[Satin]-(LSV)-Exact-(Ranking)-DO-SATIN-QUEEN-BLACK</t>
  </si>
  <si>
    <t xml:space="preserve">195376730173968</t>
  </si>
  <si>
    <t xml:space="preserve">DSS4-SP-Twin Satin Sheets-[Satin|Twin]-(LSV)-Exact-(Ranking)-DO-SATIN-TWIN-BLACK-NEW</t>
  </si>
  <si>
    <t xml:space="preserve">166165612969671</t>
  </si>
  <si>
    <t xml:space="preserve">DSS4-SP-Full Silk Sheets-[Silk|Full]-(LSV)-Exact-(Ranking)-DO-SATIN-FULL-BLACK</t>
  </si>
  <si>
    <t xml:space="preserve">118688193849833</t>
  </si>
  <si>
    <t xml:space="preserve">DSS4-SP-Silk Bed Sheets Full-[Silk|Full]-(MSV)-Exact-(Ranking)-DO-SATIN-FULL-BLACK</t>
  </si>
  <si>
    <t xml:space="preserve">445331298405761</t>
  </si>
  <si>
    <t xml:space="preserve">DSS4-SP-B09G17XZC5-(PAT)-Targeting-(Conquest)-DO-SATIN-QUEEN-GREY</t>
  </si>
  <si>
    <t xml:space="preserve">103102083390917</t>
  </si>
  <si>
    <t xml:space="preserve">DSS4-SP-silk bedsheets full size bed-[Silk|Full]-(LSV)-Exact-(Conversion)-DO-SATIN-FULL-BLACK-TEST</t>
  </si>
  <si>
    <t xml:space="preserve">SATIN-FULL-BLACK-TEST</t>
  </si>
  <si>
    <t xml:space="preserve">119253927903556</t>
  </si>
  <si>
    <t xml:space="preserve">D-S4-SP-gold silk sheets-(Silk)-MSV-Exact-Rank-DO-SATIN-GOLD-QUEEN</t>
  </si>
  <si>
    <t xml:space="preserve">SATIN-GOLD-QUEEN</t>
  </si>
  <si>
    <t xml:space="preserve">53401686626359</t>
  </si>
  <si>
    <t xml:space="preserve">DSS4-SP-Silk Sheets Full-[Silk|Full]-(MSV)-Exact-(Ranking)-DO-SATIN-FULL-BLACK</t>
  </si>
  <si>
    <t xml:space="preserve">34608790713465</t>
  </si>
  <si>
    <t xml:space="preserve">DSS4-SP-Silk Bedsheets-[Silk]-(LSV)-Exact-(Ranking)-DO-SATIN-QUEEN-BLACK</t>
  </si>
  <si>
    <t xml:space="preserve">240944286816337</t>
  </si>
  <si>
    <t xml:space="preserve">DSS4-SP-B08P16XLP2-(PAT)-Targeting-(Conquest)-DO-SATIN-QUEEN-BLACK</t>
  </si>
  <si>
    <t xml:space="preserve">152138103637187</t>
  </si>
  <si>
    <t xml:space="preserve">DSS4-SP-Satin Sheets King-[Satin|King]-(MSV)-Phrase-(Discovery)-DO-SATIN-4PC-KING-GREY</t>
  </si>
  <si>
    <t xml:space="preserve">192099983632467</t>
  </si>
  <si>
    <t xml:space="preserve">D-S4-gold satin sheets - [Satin] - Phrase - Conv - DO - SATIN-STRIPE-TWIN-GOLD</t>
  </si>
  <si>
    <t xml:space="preserve">170402329751715</t>
  </si>
  <si>
    <t xml:space="preserve">DSS4-SP-Satin Bed Sheets Queen-[Satin|Queen]-(MSV)-Broad-(Discovery)-DO-SATIN-QUEEN-GREY</t>
  </si>
  <si>
    <t xml:space="preserve">125893435398877</t>
  </si>
  <si>
    <t xml:space="preserve">DSS4-SP-Silk Satin Sheets-[Satin]-(LSV)-Phrase-(Discovery)-DO-SATIN-QUEEN-GREY</t>
  </si>
  <si>
    <t xml:space="preserve">CA - Day 1 (Oct 6, 2026) campaigns advertising each deal product</t>
  </si>
  <si>
    <t xml:space="preserve">Source: Ecotero Command Center PPC campaigns (campaign totals, CAD). A campaign that advertises several products is listed under each one ("Shared" = Yes); use "Count once" to total without double counting. "SKU in campaign name" is what the name says - names do not always match the ads actually running.</t>
  </si>
  <si>
    <t xml:space="preserve">Spend (CAD)</t>
  </si>
  <si>
    <t xml:space="preserve">CPC (CAD)</t>
  </si>
  <si>
    <t xml:space="preserve">Sales (CAD)</t>
  </si>
  <si>
    <t xml:space="preserve">58846483429019</t>
  </si>
  <si>
    <t xml:space="preserve">DBS4-CA-SP-AUTO-(PD-LTSF)-Aged Deal SKUs</t>
  </si>
  <si>
    <t xml:space="preserve">67523305673170</t>
  </si>
  <si>
    <t xml:space="preserve">DBS4-CA-SP-Auto-(AUTO)-Auto-(Discovery)-DO-BAMBOO-FULL-BLACK</t>
  </si>
  <si>
    <t xml:space="preserve">BAMBOO-FULL-BLACK</t>
  </si>
  <si>
    <t xml:space="preserve">556882202453641</t>
  </si>
  <si>
    <t xml:space="preserve">DECOLURE - All SKU - Prime Campaign - High LTSF Charge</t>
  </si>
  <si>
    <t xml:space="preserve">Satin 4pc, Satin 6pc</t>
  </si>
  <si>
    <t xml:space="preserve">722305506558</t>
  </si>
  <si>
    <t xml:space="preserve">DBS4-CA-SP-BROAD-(PD-LTSF)</t>
  </si>
  <si>
    <t xml:space="preserve">519336685394450</t>
  </si>
  <si>
    <t xml:space="preserve">BAMBOO-QUEEN-TAUPE SP EX - TT - 8124 bamboo sheets ZB</t>
  </si>
  <si>
    <t xml:space="preserve">184314823645958</t>
  </si>
  <si>
    <t xml:space="preserve">DBS4-CA-SP-Decolure Bamboo Sheets-(VLSV)-Exact-(Defensive)-DO-BAMBOO-KING-TAUPE</t>
  </si>
  <si>
    <t xml:space="preserve">420811336431276</t>
  </si>
  <si>
    <t xml:space="preserve">Bamboo 4 Pcs B08KQJMZ8Q - bamboo sheets queen size</t>
  </si>
  <si>
    <t xml:space="preserve">451730563061312</t>
  </si>
  <si>
    <t xml:space="preserve">DBS4-CA-SP-Bamboo Sheets King-[Bamboo|King]-(MSV)-Exact-(Ranking)-DO-BAMBOO-KING-TAUPE</t>
  </si>
  <si>
    <t xml:space="preserve">398348552892938</t>
  </si>
  <si>
    <t xml:space="preserve">BAMBOO-QUEEN-OLIVE SP BR 04102024 Decolure-Branded KW ZB</t>
  </si>
  <si>
    <t xml:space="preserve">376141856045333</t>
  </si>
  <si>
    <t xml:space="preserve">DBS4-CA-SP-Organic Bamboo Sheets-[Bamboo]-(VLSV)-Exact-(Ranking)-DO-BAMBOO-KING-TAUPE</t>
  </si>
  <si>
    <t xml:space="preserve">386318421864974</t>
  </si>
  <si>
    <t xml:space="preserve">DBS4-CA-SP-B08KQJ61T7-(PAT)-Targeting-(Ranking)-DO-BAMBOO-QUEEN-OLIVE</t>
  </si>
  <si>
    <t xml:space="preserve">559320196626290</t>
  </si>
  <si>
    <t xml:space="preserve">DBS4-CA-SP-Bamboo Queen Sheets-[Bamboo|Queen]-(VLSV)-Exact-(Ranking)-DO-BAMBOO-QUEEN-TAUPE</t>
  </si>
  <si>
    <t xml:space="preserve">33369664492843</t>
  </si>
  <si>
    <t xml:space="preserve">BAMBOO-QUEEN-OLIVE SP Exact 092822 High Rel 2 JP</t>
  </si>
  <si>
    <t xml:space="preserve">375066673206911</t>
  </si>
  <si>
    <t xml:space="preserve">Bamboo Sheets 4 Pcs B08KQHRDDG - bamboo king size bed sheets</t>
  </si>
  <si>
    <t xml:space="preserve">231651601426405</t>
  </si>
  <si>
    <t xml:space="preserve">DEAL CAMPAIGN B4-BROAD</t>
  </si>
  <si>
    <t xml:space="preserve">521448945097660</t>
  </si>
  <si>
    <t xml:space="preserve">DBS4-CA-SP-B07X8FPWJH-(PAT)-Targeting-(Conversion)-DO-BAMBOO-QUEEN-OLIVE</t>
  </si>
  <si>
    <t xml:space="preserve">380485763019154</t>
  </si>
  <si>
    <t xml:space="preserve">DBS4-CA-SP-King Size Bed Sheets Cooling-[Cooling|King]-(VLSV)-Exact-(Ranking)-DO-BAMBOO-KING-TAUPE</t>
  </si>
  <si>
    <t xml:space="preserve">459704733500591</t>
  </si>
  <si>
    <t xml:space="preserve">Decolure_Automatic_B4_CA_LTSF_1</t>
  </si>
  <si>
    <t xml:space="preserve">427699350598315</t>
  </si>
  <si>
    <t xml:space="preserve">DECOLURE - Bamboo 4 PCS - B08KQHRDDG - double bed sheets bamboo - Exact</t>
  </si>
  <si>
    <t xml:space="preserve">440404381964351</t>
  </si>
  <si>
    <t xml:space="preserve">BAMBOO-QUEEN-TAUPE SP EX - TT - 8124 queen sheets bamboo ZB</t>
  </si>
  <si>
    <t xml:space="preserve">47529222479606</t>
  </si>
  <si>
    <t xml:space="preserve">DBS4-CA-SP-Queen Bed Sheets Bamboo Cooling-(VLSV)-Exact-(Ranking)-DO-BAMBOO-QUEEN-WHITE</t>
  </si>
  <si>
    <t xml:space="preserve">191172769063677</t>
  </si>
  <si>
    <t xml:space="preserve">DBS4-CA-SP-Bamboo King Size Sheets-[Bamboo|King]-(VLSV)-Exact-(Ranking)-DO-BAMBOO-KING-TAUPE</t>
  </si>
  <si>
    <t xml:space="preserve">562624252747320</t>
  </si>
  <si>
    <t xml:space="preserve">Decolure_Automatic_B4_CA_LTSF_3</t>
  </si>
  <si>
    <t xml:space="preserve">530352029264453</t>
  </si>
  <si>
    <t xml:space="preserve">DBS4-CA-SP-Bamboo Viscose Sheets Queen-[Bamboo|Queen]-(VLSV)-Exact-(Ranking)-DO-BAMBOO-QUEEN-OLIVE</t>
  </si>
  <si>
    <t xml:space="preserve">367014870111009</t>
  </si>
  <si>
    <t xml:space="preserve">Decolure-SP_Exact_PAT_B0D69WR3MW_CA_Bamboo Queen 4 &amp; 6</t>
  </si>
  <si>
    <t xml:space="preserve">467706449994759</t>
  </si>
  <si>
    <t xml:space="preserve">Bamboo Sheets 4 Pcs B08KQHRDDG - king sheets bamboo</t>
  </si>
  <si>
    <t xml:space="preserve">251787466967113</t>
  </si>
  <si>
    <t xml:space="preserve">BAMBOO-QUEEN-OLIVE SP Exact 020823 3 JP</t>
  </si>
  <si>
    <t xml:space="preserve">132147199158670</t>
  </si>
  <si>
    <t xml:space="preserve">BAMBOO-QUEEN-OLIVE SP Exact 022323 STR 12 JP</t>
  </si>
  <si>
    <t xml:space="preserve">555946226950410</t>
  </si>
  <si>
    <t xml:space="preserve">DBS4-CA-SP-Sheets King-(VLSV)-Exact-(Ranking)-DO-BAMBOO-KING-TAUPE</t>
  </si>
  <si>
    <t xml:space="preserve">532495245231724</t>
  </si>
  <si>
    <t xml:space="preserve">DBS4-CA-SP-King Bed Sheets Cooling-[Cooling|King]-(VLSV)-Exact-(Conversion)-DO-BAMBOO-KING-WHITE</t>
  </si>
  <si>
    <t xml:space="preserve">296656623571415</t>
  </si>
  <si>
    <t xml:space="preserve">DBS4-CA-SP-Bamboo Full Sheets-[Bamboo|Full]-(VLSV)-Exact-(Ranking)-DO-BAMBOO-FULL-OLIVE</t>
  </si>
  <si>
    <t xml:space="preserve">401335870451730</t>
  </si>
  <si>
    <t xml:space="preserve">BAMBOO-QUEEN-OLIVE SP EXACT 1424 5 MA</t>
  </si>
  <si>
    <t xml:space="preserve">481721008407608</t>
  </si>
  <si>
    <t xml:space="preserve">Bamboo 4 Pcs B08KQJMZ8Q - drap bambou queen</t>
  </si>
  <si>
    <t xml:space="preserve">184371477344401</t>
  </si>
  <si>
    <t xml:space="preserve">Bamboo Sheets 4 Pcs - B08KQJ3M9N - bed sheets king size - Exact</t>
  </si>
  <si>
    <t xml:space="preserve">416805838954672</t>
  </si>
  <si>
    <t xml:space="preserve">DBS4-CA-SP-King Bamboo Sheets-[Bamboo|King]-(VLSV)-Exact-(Ranking)-DO-BAMBOO-KING-TAUPE</t>
  </si>
  <si>
    <t xml:space="preserve">394924617015340</t>
  </si>
  <si>
    <t xml:space="preserve">Decolure_Automatic_B4_CA_LTSF_2</t>
  </si>
  <si>
    <t xml:space="preserve">84609523123133</t>
  </si>
  <si>
    <t xml:space="preserve">DBS4-CA-SP-california king bamboo sheets-[Bamboo|California King]-(VLSV)-Broad-(DISC)-DO-BAMBOO-CALIFKING-WHITE</t>
  </si>
  <si>
    <t xml:space="preserve">335495821781973</t>
  </si>
  <si>
    <t xml:space="preserve">DBS4-CA-SP-+queen +bed +sheets-(NOSV)-Broad-(Ranking)-DO-BAMBOO-QUEEN-OLIVE</t>
  </si>
  <si>
    <t xml:space="preserve">291506687728421</t>
  </si>
  <si>
    <t xml:space="preserve">Decolure_Automatic_B4_CA_LTSF_4</t>
  </si>
  <si>
    <t xml:space="preserve">433915312721349</t>
  </si>
  <si>
    <t xml:space="preserve">Decolure_Automatic_B4_CA_LTSF_5</t>
  </si>
  <si>
    <t xml:space="preserve">406873592095709</t>
  </si>
  <si>
    <t xml:space="preserve">DBS4-CA-SP-Auto-(AUTO)-Auto-(Discovery)-DO-BAMBOO-QUEEN-OLIVE</t>
  </si>
  <si>
    <t xml:space="preserve">392333172623650</t>
  </si>
  <si>
    <t xml:space="preserve">DBS6-CA-SP-Bamboo Sheets-[Bamboo]-(HSV)-Exact-(Ranking)-DO-BAMBOO-QUEEN-WHITE-6PCS</t>
  </si>
  <si>
    <t xml:space="preserve">161103069385105</t>
  </si>
  <si>
    <t xml:space="preserve">DBS6-CA-SP-BROAD-(PD-LTSF)</t>
  </si>
  <si>
    <t xml:space="preserve">488836883884871</t>
  </si>
  <si>
    <t xml:space="preserve">DBS6-CA-SP-Bamboo Cooling Sheets Queen-[Bamboo|Cooling]-(VLSV)-Exact-(Ranking)-DO-BAMBOO-QUEEN-OLIVE-6PCS</t>
  </si>
  <si>
    <t xml:space="preserve">255614823896883</t>
  </si>
  <si>
    <t xml:space="preserve">DBS6-CA-SP-AUTO-(PD-LTSF)-Aged Deal SKUs</t>
  </si>
  <si>
    <t xml:space="preserve">330297761579189</t>
  </si>
  <si>
    <t xml:space="preserve">DBS6-CA-SP-Cooling Sheets King-[Cooling|King]-(MSV)-Exact-(Ranking)-DO-BAMBOO-KING-TAUPE-6PCS</t>
  </si>
  <si>
    <t xml:space="preserve">533870189147931</t>
  </si>
  <si>
    <t xml:space="preserve">BAMBOO-KING-OLIVE-6PCS SP BR Catch ALL</t>
  </si>
  <si>
    <t xml:space="preserve">BAMBOO-KING-OLIVE-6PCS</t>
  </si>
  <si>
    <t xml:space="preserve">372205280228814</t>
  </si>
  <si>
    <t xml:space="preserve">DBS6-CA-SP-Bamboo Sheet-[Bamboo]-(VLSV)-Broad-(Discovery)-DO-BAMBOO-QUEEN-WHITE-6PCS</t>
  </si>
  <si>
    <t xml:space="preserve">Broad · Exact</t>
  </si>
  <si>
    <t xml:space="preserve">547109180313907</t>
  </si>
  <si>
    <t xml:space="preserve">DBS6-CA-SP-Decolure Bamboo Sheets-(VLSV)-Exact-(Defensive)-DO-BAMBOO-QUEEN-OLIVE-6PCS</t>
  </si>
  <si>
    <t xml:space="preserve">517645806942534</t>
  </si>
  <si>
    <t xml:space="preserve">BAMBOO-FULL-OLIVE-6PCS decolure bamboo sheet SP EX 121024 ZB</t>
  </si>
  <si>
    <t xml:space="preserve">549186897285120</t>
  </si>
  <si>
    <t xml:space="preserve">DBS6-CA-SP-Bamboo Sheets Queen-[Bamboo|Queen]-(MSV)-Exact-(Conversion)-DO-BAMBOO-QUEEN-WHITE-6PCS</t>
  </si>
  <si>
    <t xml:space="preserve">448889457143871</t>
  </si>
  <si>
    <t xml:space="preserve">BAMBOO-KING-OLIVE-6PCS SP EX &amp; BR Catch</t>
  </si>
  <si>
    <t xml:space="preserve">369986076086717</t>
  </si>
  <si>
    <t xml:space="preserve">DBS6-CA-SP-King Size Bed Sheets Bamboo-[Bamboo|King]-(VLSV)-Exact-(Conversion)-DO-BAMBOO-KING-TAUPE-6PCS</t>
  </si>
  <si>
    <t xml:space="preserve">500006300623056</t>
  </si>
  <si>
    <t xml:space="preserve">DBS6-CA-SP-Queen Bed Sheets Cooling-[Cooling|Queen]-(VLSV)-Exact-(Ranking)-DO-BAMBOO-QUEEN-OLIVE-6PCS</t>
  </si>
  <si>
    <t xml:space="preserve">521946881101510</t>
  </si>
  <si>
    <t xml:space="preserve">DBS6-CA-SP-Queen Size Bamboo Sheets Set-[Bamboo|Queen]-(VLSV)-Exact-(Ranking)-DO-BAMBOO-QUEEN-OLIVE-6PCS</t>
  </si>
  <si>
    <t xml:space="preserve">494152600726781</t>
  </si>
  <si>
    <t xml:space="preserve">DBS6-CA-SP-Bamboo Queen Bed Sheets-[Bamboo|Queen]-(VLSV)-Exact-(Ranking)-DO-BAMBOO-QUEEN-OLIVE-6PCS</t>
  </si>
  <si>
    <t xml:space="preserve">295770313945930</t>
  </si>
  <si>
    <t xml:space="preserve">BAMBOO-KING-OLIVE-6PCS SP EX - bamboo sheet set</t>
  </si>
  <si>
    <t xml:space="preserve">386704827901149</t>
  </si>
  <si>
    <t xml:space="preserve">DBS6-CA-SP-Viscose Bamboo Sheets-[Bamboo]-(VLSV)-Exact-(Conversion)-DO-BAMBOO-QUEEN-WHITE-6PCS</t>
  </si>
  <si>
    <t xml:space="preserve">280275907179556</t>
  </si>
  <si>
    <t xml:space="preserve">Bamboo Sheets 6 Pcs - B0CQ32JTTK - california king sheet set - Exact</t>
  </si>
  <si>
    <t xml:space="preserve">552750242622772</t>
  </si>
  <si>
    <t xml:space="preserve">Decolure_Automatic_B6_CA_LTSF_8</t>
  </si>
  <si>
    <t xml:space="preserve">363895062243103</t>
  </si>
  <si>
    <t xml:space="preserve">DBS6-CA-SP-Bamboo Sheets King Size-[Bamboo|King]-(VLSV)-Exact-(Conversion)-DO-BAMBOO-KING-TAUPE-6PCS</t>
  </si>
  <si>
    <t xml:space="preserve">483747899626173</t>
  </si>
  <si>
    <t xml:space="preserve">DBS6-CA-SP-Drap Bambou Queen-(VLSV)-Exact-(Ranking)-DO-BAMBOO-QUEEN-WHITE-6PCS</t>
  </si>
  <si>
    <t xml:space="preserve">321865604245408</t>
  </si>
  <si>
    <t xml:space="preserve">DBS6-CA-SP-Bamboo King Sheet Set-[Bamboo|King]-(VLSV)-Exact-(Ranking)-DO-BAMBOO-KING-TAUPE-6PCS</t>
  </si>
  <si>
    <t xml:space="preserve">397290376478199</t>
  </si>
  <si>
    <t xml:space="preserve">DBS6-CA-SP-King Size Bamboo Sheets-[Bamboo|King]-(VLSV)-Exact-(Conversion)-DO-BAMBOO-KING-TAUPE-6PCS</t>
  </si>
  <si>
    <t xml:space="preserve">300851731388729</t>
  </si>
  <si>
    <t xml:space="preserve">DBS6-CA-SP-Bamboo King Sheets-[Bamboo|King]-(VLSV)-Exact-(Ranking)-DO-BAMBOO-KING-TAUPE-6PCS</t>
  </si>
  <si>
    <t xml:space="preserve">512838724899956</t>
  </si>
  <si>
    <t xml:space="preserve">BAMBOO-FULL-OLIVE-6PCS decolure SP EX 121024 ZB</t>
  </si>
  <si>
    <t xml:space="preserve">433452822955965</t>
  </si>
  <si>
    <t xml:space="preserve">DBS6-CA-SP-Bamboo Fitted Sheet King-(VLSV)-Exact-(Ranking)-DO-BAMBOO-KING-TAUPE-6PCS</t>
  </si>
  <si>
    <t xml:space="preserve">400951995677056</t>
  </si>
  <si>
    <t xml:space="preserve">BAMBOO-QUEEN-SAGE GREEN-6PCS SP BR - Catch All</t>
  </si>
  <si>
    <t xml:space="preserve">462182254773486</t>
  </si>
  <si>
    <t xml:space="preserve">Decolure_Automatic_B6_CA_LTSF_3</t>
  </si>
  <si>
    <t xml:space="preserve">537676926540767</t>
  </si>
  <si>
    <t xml:space="preserve">DBS6-CA-SP-Bamboo Sheets Full-[Bamboo|Full]-(VLSV)-Exact-(Conversion)-DO-BAMBOO-FULL-WHITE-6PCS</t>
  </si>
  <si>
    <t xml:space="preserve">28196451996457</t>
  </si>
  <si>
    <t xml:space="preserve">Bamboo Sheets 6 Pcs - B0CQ2ZWGNQ - bed sheets - Exact</t>
  </si>
  <si>
    <t xml:space="preserve">321155469011808</t>
  </si>
  <si>
    <t xml:space="preserve">DBS6-CA-SP-King Bamboo Sheet Set-[Bamboo|King]-(VLSV)-Exact-(Conversion)-DO-BAMBOO-KING-TAUPE-6PCS</t>
  </si>
  <si>
    <t xml:space="preserve">425453435636627</t>
  </si>
  <si>
    <t xml:space="preserve">DBS6-CA-SP-King Bamboo Sheets-[Bamboo|King]-(VLSV)-Exact-(Conversion)-DO-BAMBOO-KING-TAUPE-6PCS</t>
  </si>
  <si>
    <t xml:space="preserve">343050399498000</t>
  </si>
  <si>
    <t xml:space="preserve">DBS6-CA-SP-King Bed Sheets Bamboo-[Bamboo|King]-(VLSV)-Exact-(Conversion)-DO-BAMBOO-KING-TAUPE-6PCS</t>
  </si>
  <si>
    <t xml:space="preserve">312193550503862</t>
  </si>
  <si>
    <t xml:space="preserve">DBS6-CA-SP-Bamboo Bed Sheets-[Bamboo]-(VLSV)-Exact-(Conversion)-DO-BAMBOO-QUEEN-WHITE-6PCS</t>
  </si>
  <si>
    <t xml:space="preserve">412841891461578</t>
  </si>
  <si>
    <t xml:space="preserve">BAMBOO-QUEEN-WHITE-6PCS SP EX queen bamboo sheets ZB</t>
  </si>
  <si>
    <t xml:space="preserve">441389096470232</t>
  </si>
  <si>
    <t xml:space="preserve">DBS6-CA-SP-B0CQ2ZWGNQ-(PAT)-Targeting-(Defensive)-DO-BAMBOO-FULL-OLIVE-6PCS</t>
  </si>
  <si>
    <t xml:space="preserve">148879938841787</t>
  </si>
  <si>
    <t xml:space="preserve">DBS6-CA-SP-King Sheets Deep Pocket-(MSV)-Exact-(Ranking)-DO-BAMBOO-KING-TAUPE-6PCS</t>
  </si>
  <si>
    <t xml:space="preserve">327019649649414</t>
  </si>
  <si>
    <t xml:space="preserve">DBS6-CA-SP-+bamboo +sheets +king-(NOSV)-Broad-(Ranking)-DO-BAMBOO-KING-TAUPE-6PCS</t>
  </si>
  <si>
    <t xml:space="preserve">Bamboo 4pc, Satin 6pc</t>
  </si>
  <si>
    <t xml:space="preserve">498055566111220</t>
  </si>
  <si>
    <t xml:space="preserve">Decolure_Automatic_S6_CA_LTSF_8</t>
  </si>
  <si>
    <t xml:space="preserve">371412386139385</t>
  </si>
  <si>
    <t xml:space="preserve">DSS4-CA-SP-Auto-(AUTO)-Auto-(Discovery)-DO-SATIN-4PC-QUEEN-LAVENDER</t>
  </si>
  <si>
    <t xml:space="preserve">278575527241723</t>
  </si>
  <si>
    <t xml:space="preserve">Decolure - Satin 4 Pcs - Deal Specific - Broad Catch Alll</t>
  </si>
  <si>
    <t xml:space="preserve">407106337210701</t>
  </si>
  <si>
    <t xml:space="preserve">DSS4-CA-SP-Satin Sheets-[Satin]-(LSV)-Exact-(Ranking)-DO-SATIN-QUEEN-GREY</t>
  </si>
  <si>
    <t xml:space="preserve">25354163122093</t>
  </si>
  <si>
    <t xml:space="preserve">DSS4-CA-SP-Auto-(AUTO)-Auto-(Discovery)-DO-SATIN-FULL-PINK</t>
  </si>
  <si>
    <t xml:space="preserve">275284251040088</t>
  </si>
  <si>
    <t xml:space="preserve">DSS4-CA-SP-Queen Silk Sheets-[Silk|Queen]-(NOSV)-Exact-(Ranking)-DO-SATIN-QUEEN-GREY</t>
  </si>
  <si>
    <t xml:space="preserve">204071000448640</t>
  </si>
  <si>
    <t xml:space="preserve">DSS4-CA-SP-Satin Sheet-[Satin]-(NOSV)-Broad-(Discovery)-DO-SATIN-QUEEN-GREY</t>
  </si>
  <si>
    <t xml:space="preserve">536006927098485</t>
  </si>
  <si>
    <t xml:space="preserve">SATIN-QUEEN-GREY SP BR 04102024 Decolure-Branded KW ZB</t>
  </si>
  <si>
    <t xml:space="preserve">191957439751261</t>
  </si>
  <si>
    <t xml:space="preserve">SATIN-QUEEN-GREY SP Prod 092022 Tough competitor JP</t>
  </si>
  <si>
    <t xml:space="preserve">510191282535504</t>
  </si>
  <si>
    <t xml:space="preserve">SATIN-QUEEN-GREY SP AUTO SC 04112024 ZB</t>
  </si>
  <si>
    <t xml:space="preserve">47885105467399</t>
  </si>
  <si>
    <t xml:space="preserve">DSS4-CA-SP-satin sheet set-[Satin]-(NOSV)-Exact-(Conversion)-DO-SATIN-KING-BLACK-TEST</t>
  </si>
  <si>
    <t xml:space="preserve">SATIN-KING-BLACK-TEST</t>
  </si>
  <si>
    <t xml:space="preserve">45959642891442</t>
  </si>
  <si>
    <t xml:space="preserve">DSS4-CA-SP-Satin Sheet Double Bed-(NOSV)-Exact-(Ranking)-DO-SATIN-FULL-BLUSH PINK</t>
  </si>
  <si>
    <t xml:space="preserve">218713956714151</t>
  </si>
  <si>
    <t xml:space="preserve">DSS4-CA-SP-sheets-[unassigned]-(MSV)-Exact-(Conversion)-DO-SATIN-QUEEN-GREY-TEST</t>
  </si>
  <si>
    <t xml:space="preserve">SATIN-QUEEN-GREY-TEST</t>
  </si>
  <si>
    <t xml:space="preserve">74876011502861</t>
  </si>
  <si>
    <t xml:space="preserve">SATIN-GOLD-FULL SP Exact 081922 High Rel 13 JP</t>
  </si>
  <si>
    <t xml:space="preserve">SATIN-GOLD-FULL</t>
  </si>
  <si>
    <t xml:space="preserve">110811318222779</t>
  </si>
  <si>
    <t xml:space="preserve">DSS4-CA-SP-satin bed sheets-[Satin]-(VLSV)-Exact-(Conversion)-DO-SATIN-KING-BLACK-TEST</t>
  </si>
  <si>
    <t xml:space="preserve">59092921907123</t>
  </si>
  <si>
    <t xml:space="preserve">DSS4-CA-SP-Silk Sheet-[Silk]-(NOSV)-Phrase-(Discovery)-DO-SATIN-QUEEN-GREY</t>
  </si>
  <si>
    <t xml:space="preserve">479600440216523</t>
  </si>
  <si>
    <t xml:space="preserve">Decolure_Automatic_S4_CA_LTSF_7</t>
  </si>
  <si>
    <t xml:space="preserve">248304225563794</t>
  </si>
  <si>
    <t xml:space="preserve">DSS4-CA-SP-Silk Sheets Sets-(NOSV)-Exact-(Ranking)-DO-SATIN-QUEEN-GREY</t>
  </si>
  <si>
    <t xml:space="preserve">297093967991103</t>
  </si>
  <si>
    <t xml:space="preserve">DSS4-CA-SP-Satin Bed Sheets King-[Satin|King]-(NOSV)-Exact-(Ranking)-DO-SATIN-KING-BLACK</t>
  </si>
  <si>
    <t xml:space="preserve">373930642750601</t>
  </si>
  <si>
    <t xml:space="preserve">Satin Sheets 4 Pieces B0839LD2WQ - king size bed sheets silk</t>
  </si>
  <si>
    <t xml:space="preserve">271145467868131</t>
  </si>
  <si>
    <t xml:space="preserve">DSS4-CA-SP-Pink Satin Sheets-[Satin]-(NOSV)-Exact-(Ranking)-DO-SATIN-QUEEN-PINK</t>
  </si>
  <si>
    <t xml:space="preserve">88616211742022</t>
  </si>
  <si>
    <t xml:space="preserve">DSS4-CA-SP-Satin Sheets Queen Size-[Satin|Queen]-(NOSV)-Exact-(Ranking)-DO-SATIN-QUEEN-GREY</t>
  </si>
  <si>
    <t xml:space="preserve">198385860729982</t>
  </si>
  <si>
    <t xml:space="preserve">DSS4-CA-SP-Pink Silk Sheets Queen-[Silk|Queen]-(NOSV)-Exact-(Ranking)-DO-SATIN-QUEEN-PINK</t>
  </si>
  <si>
    <t xml:space="preserve">104837170920826</t>
  </si>
  <si>
    <t xml:space="preserve">DSS4-CA-SP-AUTO-(PD-LTSF)-Aged Deal SKUs</t>
  </si>
  <si>
    <t xml:space="preserve">118371645059933</t>
  </si>
  <si>
    <t xml:space="preserve">DSS4-CA-SP-Queen Satin Sheets-[Satin|Queen]-(NOSV)-Exact-(Ranking)-DO-SATIN-QUEEN-GREY</t>
  </si>
  <si>
    <t xml:space="preserve">267946406827772</t>
  </si>
  <si>
    <t xml:space="preserve">DSS4-CA-SP-Silk King Size Bed Sheets-(NOSV)-Exact-(Ranking)-DO-SATIN-KING-BLACK</t>
  </si>
  <si>
    <t xml:space="preserve">38005704095628</t>
  </si>
  <si>
    <t xml:space="preserve">DSS4-CA-SP-Black Satin Sheets King-[Satin|King]-(NOSV)-Exact-(Ranking)-DO-SATIN-4PC-KING-GREY</t>
  </si>
  <si>
    <t xml:space="preserve">524940404358085</t>
  </si>
  <si>
    <t xml:space="preserve">DSS4-CA-SP-Queen Sheets Set Silk-(NOSV)-Exact-(Ranking)-DO-SATIN-QUEEN-GREY</t>
  </si>
  <si>
    <t xml:space="preserve">228725844839043</t>
  </si>
  <si>
    <t xml:space="preserve">DSS4-CA-SP-Silk Sheet Set Full-[Silk|Full]-(NOSV)-Exact-(Ranking)-DO-SATIN-FULL-BLUSH PINK</t>
  </si>
  <si>
    <t xml:space="preserve">162039924550894</t>
  </si>
  <si>
    <t xml:space="preserve">DSS4-CA-SP-Satin Sheets Queen-[Satin|Queen]-(VLSV)-Exact-(Ranking)-DO-SATIN-QUEEN-GREY</t>
  </si>
  <si>
    <t xml:space="preserve">232248015668615</t>
  </si>
  <si>
    <t xml:space="preserve">DSS4-CA-SP-BROAD-(PD-LTSF)</t>
  </si>
  <si>
    <t xml:space="preserve">351898848635003</t>
  </si>
  <si>
    <t xml:space="preserve">DSS4-CA-SP-Deep Queen Sheet Set-(NOSV)-Exact-(Ranking)-DO-SATIN-QUEEN-GREY</t>
  </si>
  <si>
    <t xml:space="preserve">81846263840893</t>
  </si>
  <si>
    <t xml:space="preserve">DSS4-CA-SP-satin bed sheets queen-[Satin|Queen]-(VLSV)-Exact-(Conversion)-DO-SATIN-QUEEN-GREY-TEST</t>
  </si>
  <si>
    <t xml:space="preserve">223530203156046</t>
  </si>
  <si>
    <t xml:space="preserve">DSS4-CA-SP-silk double bed sheets-[unassigned]-(NOSV)-Exact-(Conversion)-DO-SATIN-FULL-BLACK-TEST</t>
  </si>
  <si>
    <t xml:space="preserve">224436912567900</t>
  </si>
  <si>
    <t xml:space="preserve">DSS4-CA-SP-Auto-(AUTO)-Auto-(Discovery)-DO-SATIN-QUEEN-GREY</t>
  </si>
  <si>
    <t xml:space="preserve">185090088184669</t>
  </si>
  <si>
    <t xml:space="preserve">DSS4-CA-SP-Double Satin Sheets-(NOSV)-Exact-(Conversion)-DO-SATIN-FULL-BLACK</t>
  </si>
  <si>
    <t xml:space="preserve">487684108513625</t>
  </si>
  <si>
    <t xml:space="preserve">DSS4-CA-SP-King Size Bed Sheets Deep Pocket-(VLSV)-Exact-(Ranking)-DO-SATIN-KING-BLACK</t>
  </si>
  <si>
    <t xml:space="preserve">445023565147994</t>
  </si>
  <si>
    <t xml:space="preserve">DSS4-CA-SP-Black Queen Bed Sheets-(NOSV)-Exact-(Ranking)-DO-SATIN-QUEEN-BLACK</t>
  </si>
  <si>
    <t xml:space="preserve">288529128953591</t>
  </si>
  <si>
    <t xml:space="preserve">Decolure_Automatic_S4_CA_LTSF_3</t>
  </si>
  <si>
    <t xml:space="preserve">539357346141805</t>
  </si>
  <si>
    <t xml:space="preserve">Decolure_Automatic_S4_CA_LTSF_1</t>
  </si>
  <si>
    <t xml:space="preserve">430281458579033</t>
  </si>
  <si>
    <t xml:space="preserve">DSS6-CA-SP-Satin Sheets-[Satin]-(LSV)-Exact-(Ranking)-DO-SATIN-QUEEN-BLACK-6-PCS</t>
  </si>
  <si>
    <t xml:space="preserve">62438660866279</t>
  </si>
  <si>
    <t xml:space="preserve">DSS6-CA-SP-satin sheets-[Satin]-(LSV)-Broad-(DISC)-DO-SATIN-QUEEN-BLACK-6-PCS</t>
  </si>
  <si>
    <t xml:space="preserve">267571686867721</t>
  </si>
  <si>
    <t xml:space="preserve">DSS6-CA-SP-AUTO-(PD-LTSF)-Aged Deal SKUs</t>
  </si>
  <si>
    <t xml:space="preserve">231283432284094</t>
  </si>
  <si>
    <t xml:space="preserve">DSS6-CA-SP-BROAD-(PD-LTSF)</t>
  </si>
  <si>
    <t xml:space="preserve">296849548675425</t>
  </si>
  <si>
    <t xml:space="preserve">DSS6-CA-SP-Satin Sheets King-[Satin|King]-(NOSV)-Exact-(Conversion)-DO-SATIN-STRIPE-KING-GRAY--6-PCS</t>
  </si>
  <si>
    <t xml:space="preserve">92085512881415</t>
  </si>
  <si>
    <t xml:space="preserve">DSS6-CA-SP-satin sheets queen-[Satin|Queen]-(VLSV)-Broad-(DISC)-DO-SATIN-QUEEN-BLACK-6-PCS</t>
  </si>
  <si>
    <t xml:space="preserve">453358455932880</t>
  </si>
  <si>
    <t xml:space="preserve">Decolure_Automatic_S6_CA_LTSF_1</t>
  </si>
  <si>
    <t xml:space="preserve">429770366751956</t>
  </si>
  <si>
    <t xml:space="preserve">DSS6-CA-SP-King Size Satin Sheets-[Satin|King]-(NOSV)-Exact-(Conversion)-DO-SATIN-STRIPE-KING-GRAY--6-PCS</t>
  </si>
  <si>
    <t xml:space="preserve">480168508097656</t>
  </si>
  <si>
    <t xml:space="preserve">DSS6-CA-SP-Satin Sheets-[Satin]-(LSV)-Exact-(Conversion)-DO-SATIN-STONEGREY-QUEEN-6PCS</t>
  </si>
  <si>
    <t xml:space="preserve">495221973635223</t>
  </si>
  <si>
    <t xml:space="preserve">DSS6-CA-SP-Queen Silk Sheets-[Silk|Queen]-(NOSV)-Exact-(Ranking)-DO-SATIN-QUEEN-BLACK-6-PCS</t>
  </si>
  <si>
    <t xml:space="preserve">277801828874037</t>
  </si>
  <si>
    <t xml:space="preserve">DSS6-CA-SP-silk sheet-[Silk]-(NOSV)-Exact-(Conversion)-DO-SATIN-QUEEN-BLACK-6-PCS-TEST</t>
  </si>
  <si>
    <t xml:space="preserve">SATIN-QUEEN-BLACK-6-PCS-TEST</t>
  </si>
  <si>
    <t xml:space="preserve">373593677422184</t>
  </si>
  <si>
    <t xml:space="preserve">DECOLURE_Manual_S6 _satin sheets king_BM</t>
  </si>
  <si>
    <t xml:space="preserve">383080065565490</t>
  </si>
  <si>
    <t xml:space="preserve">DSS6-CA-SP-King Size Bed Sheets Silk-[Silk|King]-(NOSV)-Exact-(Conversion)-DO-SATIN-STRIPE-KING-GRAY--6-PCS</t>
  </si>
  <si>
    <t xml:space="preserve">414411065467316</t>
  </si>
  <si>
    <t xml:space="preserve">DSS6-CA-SP-King Cooling Sheets-(NOSV)-Exact-(Ranking)-DO-SATIN-STRIPE-KING-GRAY--6-PCS</t>
  </si>
  <si>
    <t xml:space="preserve">441705068264067</t>
  </si>
  <si>
    <t xml:space="preserve">DSS6-CA-SP-King Size Silk Sheet Set-(NOSV)-Exact-(Ranking)-DO-SATIN-STRIPE-KING-GRAY--6-PCS</t>
  </si>
  <si>
    <t xml:space="preserve">354111041406787</t>
  </si>
  <si>
    <t xml:space="preserve">DECOLURE_Manual_S6 _silk sheets king_BM</t>
  </si>
  <si>
    <t xml:space="preserve">370507201021645</t>
  </si>
  <si>
    <t xml:space="preserve">Decolure_Automatic_S6_CA_LTSF_2</t>
  </si>
  <si>
    <t xml:space="preserve">414172343936588</t>
  </si>
  <si>
    <t xml:space="preserve">DSS6-CA-SP-King Satin Sheet Set-(NOSV)-Exact-(Conversion)-DO-SATIN-STRIPE-KING-GRAY--6-PCS</t>
  </si>
  <si>
    <t xml:space="preserve">494240982910997</t>
  </si>
  <si>
    <t xml:space="preserve">DSS6-CA-SP-Queen Bedsheet Sets-(NOSV)-Exact-(Ranking)-DO-SATIN-QUEEN-BLACK-6-PCS</t>
  </si>
  <si>
    <t xml:space="preserve">530488477665591</t>
  </si>
  <si>
    <t xml:space="preserve">DSS6-CA-SP-Drap Contour King-(VLSV)-Exact-(Ranking)-DO-SATIN-STRIPE-KING-GRAY--6-PCS</t>
  </si>
  <si>
    <t xml:space="preserve">278671111021006</t>
  </si>
  <si>
    <t xml:space="preserve">DSS6-CA-SP-silky sheets-[Silk]-(NOSV)-Exact-(Conversion)-DO-SATIN-QUEEN-BLACK-6-PCS-TEST</t>
  </si>
  <si>
    <t xml:space="preserve">490713015814110</t>
  </si>
  <si>
    <t xml:space="preserve">DSS6-CA-SP-King Bedsheet Sets-(NOSV)-Exact-(Ranking)-DO-SATIN-STRIPE-KING-GRAY--6-PCS</t>
  </si>
  <si>
    <t xml:space="preserve">483372698329865</t>
  </si>
  <si>
    <t xml:space="preserve">Decolure_Automatic_S6_CA_LTSF_3</t>
  </si>
  <si>
    <t xml:space="preserve">326792020803527</t>
  </si>
  <si>
    <t xml:space="preserve">DSS6-CA-SP-B0839LQK8K-(PAT)-Targeting-(Defensive)-DO-SATIN-IVORY-QUEEN-6PCS</t>
  </si>
  <si>
    <t xml:space="preserve">SATIN-IVORY-QUEEN-6PCS</t>
  </si>
  <si>
    <t xml:space="preserve">439538313916439</t>
  </si>
  <si>
    <t xml:space="preserve">DSS6-CA-SP-Satin Bed Sheets Double-(NOSV)-Exact-(Ranking)-DO-SATIN-FULL-BLACK-6PCS</t>
  </si>
  <si>
    <t xml:space="preserve">435902638663065</t>
  </si>
  <si>
    <t xml:space="preserve">Decolure_Automatic_S6_CA_LTSF_4</t>
  </si>
  <si>
    <t xml:space="preserve">520928700342895</t>
  </si>
  <si>
    <t xml:space="preserve">Decolure_Automatic_S6_CA_LTSF_6</t>
  </si>
  <si>
    <t xml:space="preserve">US - which campaigns carry the biggest non-hero SKUs (Day 1)</t>
  </si>
  <si>
    <t xml:space="preserve">Source: Sellerboard PPC, campaigns filtered by SKU text (substring search, so a 4pc search also matches the 6pc SKU of the same colour). Spend shown is the campaign total, not the SKU's share.</t>
  </si>
  <si>
    <t xml:space="preserve">Non-hero SKU</t>
  </si>
  <si>
    <t xml:space="preserve">SKU SP spend (USD)</t>
  </si>
  <si>
    <t xml:space="preserve">Campaign carrying it</t>
  </si>
  <si>
    <t xml:space="preserve">Campaign type</t>
  </si>
  <si>
    <t xml:space="preserve">Campaign spend (USD)</t>
  </si>
  <si>
    <t xml:space="preserve">CPC</t>
  </si>
  <si>
    <t xml:space="preserve">Comment</t>
  </si>
  <si>
    <t xml:space="preserve">Auto (multi-colour)</t>
  </si>
  <si>
    <t xml:space="preserve">Only campaign carrying this SKU. 167% of $200 budget used, est. -$153.72.</t>
  </si>
  <si>
    <t xml:space="preserve">Intended (aged stock).</t>
  </si>
  <si>
    <t xml:space="preserve">Named Queen White but also carries Olive. 1 order, est. -$73.32.</t>
  </si>
  <si>
    <t xml:space="preserve">Ranking exact named Queen White but carries Olive too.</t>
  </si>
  <si>
    <t xml:space="preserve">Ranking (colour keyword)</t>
  </si>
  <si>
    <t xml:space="preserve">Colour keyword - Olive is correct here.</t>
  </si>
  <si>
    <t xml:space="preserve">Match is the 6pc Full Olive.</t>
  </si>
  <si>
    <t xml:space="preserve">0 orders.</t>
  </si>
  <si>
    <t xml:space="preserve">Named Full White but carries Full Olive.</t>
  </si>
  <si>
    <t xml:space="preserve">Product targeting (defensive)</t>
  </si>
  <si>
    <t xml:space="preserve">Colour keyword.</t>
  </si>
  <si>
    <t xml:space="preserve">Same loss-making auto.</t>
  </si>
  <si>
    <t xml:space="preserve">$5 budget, 267% used.</t>
  </si>
  <si>
    <t xml:space="preserve">$5 budget, 202% used, 0 orders.</t>
  </si>
  <si>
    <t xml:space="preserve">$5 budget, 191% used, 0 orders.</t>
  </si>
  <si>
    <t xml:space="preserve">$5 budget, 143% used, 0 orders.</t>
  </si>
  <si>
    <t xml:space="preserve">BAMBOO-named LTSF broad carrying Satin SKUs. Est. -$203.80.</t>
  </si>
  <si>
    <t xml:space="preserve">121% of budget.</t>
  </si>
  <si>
    <t xml:space="preserve">7 more King Grey exacts (Sateen/Satin/Silk king terms)</t>
  </si>
  <si>
    <t xml:space="preserve">Ranking / Conversion</t>
  </si>
  <si>
    <t xml:space="preserve">Small campaigns, $0.83-$5.20 each.</t>
  </si>
  <si>
    <t xml:space="preserve">Issues to check / actions</t>
  </si>
  <si>
    <t xml:space="preserve">#</t>
  </si>
  <si>
    <t xml:space="preserve">Market</t>
  </si>
  <si>
    <t xml:space="preserve">Issue</t>
  </si>
  <si>
    <t xml:space="preserve">Campaign / ID</t>
  </si>
  <si>
    <t xml:space="preserve">Day 1 numbers</t>
  </si>
  <si>
    <t xml:space="preserve">Suggested action</t>
  </si>
  <si>
    <t xml:space="preserve">Owner</t>
  </si>
  <si>
    <t xml:space="preserve">Status</t>
  </si>
  <si>
    <t xml:space="preserve">US</t>
  </si>
  <si>
    <t xml:space="preserve">Bamboo 4pc LTSF broad is advertising Satin 4pc SKUs, so Bamboo 4pc has no LTSF broad and Satin has two.</t>
  </si>
  <si>
    <t xml:space="preserve">DBS4-SP-BROAD-(PD-LTSF) - 218935810648861</t>
  </si>
  <si>
    <t xml:space="preserve">$151.25 spend, 125 clicks, 14 orders, 34.3% ACoS, est. -$203.80 (Sellerboard). Carries SATIN-4PC-KING-GREY.</t>
  </si>
  <si>
    <t xml:space="preserve">Open the campaign in console and check product ads. Swap to Bamboo 4pc aged SKUs or rename and keep as a Satin campaign.</t>
  </si>
  <si>
    <t xml:space="preserve">Open</t>
  </si>
  <si>
    <t xml:space="preserve">Multi-colour discovery auto at very high CPC - biggest non-hero leak outside LTSF.</t>
  </si>
  <si>
    <t xml:space="preserve">DBS4-SP-Auto-(AUTO)-Auto-(Discovery)-DO-BAMBOO-FULL-GREY - 310976801193815</t>
  </si>
  <si>
    <t xml:space="preserve">$333.83, CPC $3.97, 52.8% ACoS, 167% of $200 budget, est. -$153.72. Carries Queen Midgrey, Twin Navy and others.</t>
  </si>
  <si>
    <t xml:space="preserve">Confirm the Day 2 hero-colour pause covered this campaign; keep only hero ads per size; check top-of-search modifier.</t>
  </si>
  <si>
    <t xml:space="preserve">Queen White 6pc auto carrying Olive at $4.65 CPC.</t>
  </si>
  <si>
    <t xml:space="preserve">DBS6-SP-Auto-(AUTO)-Auto-(Discovery)-DO-BAMBOO-QUEEN-WHITE-6PCS - 510803362556792</t>
  </si>
  <si>
    <t xml:space="preserve">$93.08, 20 clicks, 1 order, 146% ACoS, est. -$73.32.</t>
  </si>
  <si>
    <t xml:space="preserve">Pause non-hero ads in this auto; review bids/placements.</t>
  </si>
  <si>
    <t xml:space="preserve">Twin ranking exacts built on Twin Burgundy with $5 budgets running far over budget at $5-10 CPC.</t>
  </si>
  <si>
    <t xml:space="preserve">DBS4 Twin exacts (-DO-BAMBOO-TWIN-BURGUNDY-NEW)</t>
  </si>
  <si>
    <t xml:space="preserve">~$58 across 7 campaigns, 140-270% budget utilisation, mostly 0 orders.</t>
  </si>
  <si>
    <t xml:space="preserve">30-day CTR on generic twin keywords: Twin White 1.83% vs Twin Burgundy/Navy 0.34% (CTR_by_Colour). Move Twin exacts to White unless stock prevents it.</t>
  </si>
  <si>
    <t xml:space="preserve">King satin keywords run on King Grey rather than Black.</t>
  </si>
  <si>
    <t xml:space="preserve">DSS4 King exacts (-DO-SATIN-4PC-KING-GREY)</t>
  </si>
  <si>
    <t xml:space="preserve">~$85 across king ranking/test exacts; King Grey SKU total $126.20 incl. LTSF broad.</t>
  </si>
  <si>
    <t xml:space="preserve">30-day: King Grey 1.43% CTR / 17.3% CVR on 68k impressions vs King Black 2.11% CTR / 7.3% CVR on only 2.6k. Inconclusive - run a split test on the same keyword and placement.</t>
  </si>
  <si>
    <t xml:space="preserve">CA</t>
  </si>
  <si>
    <t xml:space="preserve">Bamboo 4pc puts ~2% of spend on White - campaigns are built on Taupe / Olive.</t>
  </si>
  <si>
    <t xml:space="preserve">DBS4-CA ranking + defensive campaigns (-DO-BAMBOO-KING-TAUPE / QUEEN-OLIVE)</t>
  </si>
  <si>
    <t xml:space="preserve">See Summary - CA block.</t>
  </si>
  <si>
    <t xml:space="preserve">Confirm CA preferred colours for Bamboo 4pc with Joseph/Erik; if White is preferred, re-point ads.</t>
  </si>
  <si>
    <t xml:space="preserve">Satin 4pc puts ~16% of spend on Black - ranking built on Queen Grey.</t>
  </si>
  <si>
    <t xml:space="preserve">DSS4-CA ranking campaigns (-DO-SATIN-QUEEN-GREY)</t>
  </si>
  <si>
    <t xml:space="preserve">Confirm CA preferred colour for Satin 4pc.</t>
  </si>
  <si>
    <t xml:space="preserve">Queen Lavender discovery auto losing money.</t>
  </si>
  <si>
    <t xml:space="preserve">DSS4-CA-SP-Auto-(AUTO)-Auto-(Discovery)-DO-SATIN-4PC-QUEEN-LAVENDER - 371412386139385</t>
  </si>
  <si>
    <t xml:space="preserve">C$73.31, 51 clicks, 1 order, 179.7% ACoS.</t>
  </si>
  <si>
    <t xml:space="preserve">Pause or cut bids; move budget to hero.</t>
  </si>
  <si>
    <t xml:space="preserve">Abnormal CTR on Bamboo 6pc Olive exacts - possible invalid clicks.</t>
  </si>
  <si>
    <t xml:space="preserve">DBS6-CA exacts on QUEEN-OLIVE-6PCS: "bamboo cooling sheets queen" (488836883884871), "queen bed sheets cooling", "queen size bamboo sheets set", "bamboo queen bed sheets"</t>
  </si>
  <si>
    <t xml:space="preserve">116 imp/69 clicks, 18/16, 25/17, 48/17 - CTR 35-89%. ~C$65 spend, 1 order.</t>
  </si>
  <si>
    <t xml:space="preserve">Check search-term report; if clicks look invalid, pause and raise with Amazon Ads support for invalid-click credit.</t>
  </si>
  <si>
    <t xml:space="preserve">Main "satin sheets queen" exact is named on Satin Queen WHITE, not Black.</t>
  </si>
  <si>
    <t xml:space="preserve">Day 1: $183.11, 11 orders. Last 30 days: $2,173, 213k impressions, 0.38% CTR. Sellerboard shows only $34.90 on SATIN-WHITE-QUEEN on Day 1, so it likely carries Black as well.</t>
  </si>
  <si>
    <t xml:space="preserve">Check which product ads are live; per CTR data Black should be the ad on this keyword.</t>
  </si>
  <si>
    <t xml:space="preserve">Owner and Status columns (yellow) are for the team to fill in.</t>
  </si>
  <si>
    <t xml:space="preserve">Method and caveats</t>
  </si>
  <si>
    <t xml:space="preserve">Window: Oct 6, 2026 (Prime Big Deal Days, Day 1), whole UTC day as returned by Sellerboard and Ecotero.</t>
  </si>
  <si>
    <t xml:space="preserve">Spend by variation: Sellerboard (Ecotero account) per-SKU Sponsored Products spend. Coverage: US 98.7% of account SP spend; remaining SKUs under $1.44 each. Product totals match Ecotero within 1.5%.</t>
  </si>
  <si>
    <t xml:space="preserve">Hero definition: White for Bamboo 4pc/6pc, Black for Satin 4pc/6pc (per Joseph's Day 1 variation note). Canada preferred colours are not confirmed - see Issues_To_Check.</t>
  </si>
  <si>
    <t xml:space="preserve">LTSF spend: Ecotero campaign data - campaigns whose name contains LTSF / Clearance / AGED or whose objective is Liquidation. Includes older LTSF campaigns, not only the 16 PD-LTSF campaigns, so it is higher than the portfolio figure posted in Slack ($1,086 US).</t>
  </si>
  <si>
    <t xml:space="preserve">Campaign spend is the campaign total. A campaign that advertises several products is listed under each one; the Summary separates "this product only" from "shared" LTSF spend and shows a low/high range.</t>
  </si>
  <si>
    <t xml:space="preserve">"SKU in campaign name" comes from the naming convention. Several campaigns carry SKUs other than the one in their name (e.g. the FULL-GREY auto), so treat it as a label, not the ad list.</t>
  </si>
  <si>
    <t xml:space="preserve">CTR by colour is a PROXY: Amazon ad-level (advertised product) clicks are not available in these tools, so CTR_by_Colour groups keyword campaigns by the colour in the campaign name over the last 30 days (Sep 8 - Oct 7), excluding LTSF campaigns and keywords that contain a colour word. Campaigns differ in keyword, bid and placement, and names do not always match live ads, so treat it as directional. A clean test = same keyword and placement, colour swapped.</t>
  </si>
  <si>
    <t xml:space="preserve">Day 2 (Oct 7): Amazon daily campaign reports had not landed when this was built (Ecotero showed ~$10 per product; Sellerboard ad cost lags hours). Day2_Check lists the early signals only; rerun on Oct 8 for the full comparison.</t>
  </si>
  <si>
    <t xml:space="preserve">Canada: Sellerboard reports CA spend converted to USD; the CAD columns divide by the FX input on Summary (0.72). Ecotero campaign data for CA is already in CAD. Expect a ~2-3% gap between the two sources.</t>
  </si>
  <si>
    <t xml:space="preserve">Sellerboard per-SKU "units from PPC" is known to undercount, so ad-attributed units per SKU are not used.</t>
  </si>
  <si>
    <t xml:space="preserve">US keyword campaigns, last 30 days (Sep 8 - Oct 7, 2026) - input data for CTR_by_Colour</t>
  </si>
  <si>
    <t xml:space="preserve">Source: Ecotero Command Center PPC campaigns. Excludes autos, product targeting and LTSF campaigns. Colour = colour in the campaign name (may differ from live ads).</t>
  </si>
  <si>
    <t xml:space="preserve">Colour keyword?</t>
  </si>
  <si>
    <t xml:space="preserve">SKU in name</t>
  </si>
  <si>
    <t xml:space="preserve">Keyword(s)</t>
  </si>
  <si>
    <t xml:space="preserve">bamboo sheets california king</t>
  </si>
  <si>
    <t xml:space="preserve">DBS4-SP-California King Bamboo Sheet Sets-(LSV)-Exact-(Ranking)-FIX-BAMBOO-CALIFKING-WHITE</t>
  </si>
  <si>
    <t xml:space="preserve">california king bamboo sheet sets</t>
  </si>
  <si>
    <t xml:space="preserve">DBS4-SP-Cal King Bamboo Sheet Set-(LSV)-Exact-(Ranking)-FIX-BAMBOO-CALIFKING-WHITE</t>
  </si>
  <si>
    <t xml:space="preserve">cal king bamboo sheet set</t>
  </si>
  <si>
    <t xml:space="preserve">DBS4-SP-Cal King Bamboo Sheets-[Bamboo|California King]-(VLSV)-Exact-(Ranking)-DO-BAMBOO-CALIFKING-WHITE</t>
  </si>
  <si>
    <t xml:space="preserve">california king bamboo sheets · cal king bamboo sheets</t>
  </si>
  <si>
    <t xml:space="preserve">DBS4-SP-Bamboo Sheets California King-(LSV)-Exact-(Ranking)-DO-BAMBOO-CALIFKING-WHITE</t>
  </si>
  <si>
    <t xml:space="preserve">DBS4-SP-California King Sheets Bamboo-[Bamboo|California King]-(VLSV)-Exact-(Ranking)-DO-BAMBOO-CALIFKING-WHITE</t>
  </si>
  <si>
    <t xml:space="preserve">california king sheets bamboo · cal king sheets bamboo</t>
  </si>
  <si>
    <t xml:space="preserve">DBS4-SP-Cal King Bamboo Sheets Deep Pocket Fitted-[Bamboo|California King]-(VLSV)-Exact-(Conversion)-FIX-BAMBOO-CALIFKING-WHITE</t>
  </si>
  <si>
    <t xml:space="preserve">cal king bamboo sheets deep pocket fitted</t>
  </si>
  <si>
    <t xml:space="preserve">DBS4-SP-California King Cooling Sheets-[Cooling|California King]-(LSV)-Exact-(Ranking)-DO-BAMBOO-CALIFKING-WHITE</t>
  </si>
  <si>
    <t xml:space="preserve">california king cooling sheets</t>
  </si>
  <si>
    <t xml:space="preserve">DBS4-SP-California King Sheet Sets Bamboo-[Bamboo|California King]-(LSV)-Exact-(Ranking)-DO-BAMBOO-CALIFKING-WHITE</t>
  </si>
  <si>
    <t xml:space="preserve">california king sheet sets bamboo · cal king sheet set bamboo</t>
  </si>
  <si>
    <t xml:space="preserve">DBS4-SP-Bamboo Sheets Cal King-(VLSV)-Exact-(Ranking)-DO-BAMBOO-CALIFKING-WHITE</t>
  </si>
  <si>
    <t xml:space="preserve">bamboo sheets cal king</t>
  </si>
  <si>
    <t xml:space="preserve">DBS4-SP-Bamboo California King Sheets-[Bamboo|California King]-(LSV)-Exact-(Ranking)-DO-BAMBOO-CALIFKING-WHITE</t>
  </si>
  <si>
    <t xml:space="preserve">bamboo california king sheets</t>
  </si>
  <si>
    <t xml:space="preserve">DBS4-SP-California King Sheet Sets Cooling-[Cooling|California King]-(LSV)-Exact-(Ranking)-DO-BAMBOO-CALIFKING-WHITE</t>
  </si>
  <si>
    <t xml:space="preserve">california king sheet sets cooling</t>
  </si>
  <si>
    <t xml:space="preserve">DBS4-SP-Bamboo Cal King Sheets-(VLSV)-Exact-(Ranking)-DO-BAMBOO-CALIFKING-WHITE</t>
  </si>
  <si>
    <t xml:space="preserve">bamboo cal king sheets</t>
  </si>
  <si>
    <t xml:space="preserve">DBS4-SP-California King Sheets Cooling-[Cooling|California King]-(LSV)-Exact-(Ranking)-DO-BAMBOO-CALIFKING-WHITE</t>
  </si>
  <si>
    <t xml:space="preserve">california king sheets cooling</t>
  </si>
  <si>
    <t xml:space="preserve">DBS4-SP-Bamboo Sheets Cal King Deep Pocket-(VLSV)-Exact-(Ranking)-DO-BAMBOO-CALIFKING-WHITE</t>
  </si>
  <si>
    <t xml:space="preserve">bamboo sheets cal king deep pocket</t>
  </si>
  <si>
    <t xml:space="preserve">DBS4-SP-Best California King Sheets-(VLSV)-Exact-(Conversion)-DO-BAMBOO-CALIFKING-WHITE</t>
  </si>
  <si>
    <t xml:space="preserve">best california king sheets</t>
  </si>
  <si>
    <t xml:space="preserve">DBS4-SP-Cal King Bamboo Sheet Set-[Bamboo|California King]-(MSV)-Exact-(Ranking)-DO-BAMBOO-CALIFKING-WHITE</t>
  </si>
  <si>
    <t xml:space="preserve">DBS4-SP-California King Bamboo Sheet Sets-[Bamboo|California King]-(MSV)-Exact-(Ranking)-DO-BAMBOO-CALIFKING-WHITE</t>
  </si>
  <si>
    <t xml:space="preserve">DBS4-SP-California King Sheet Sets Bamboo-(VLSV)-Exact-(Ranking)-DO-BAMBOO-CALIFKING-WHITE</t>
  </si>
  <si>
    <t xml:space="preserve">california king sheet sets bamboo</t>
  </si>
  <si>
    <t xml:space="preserve">sheets full size bed bamboo</t>
  </si>
  <si>
    <t xml:space="preserve">DBS4-SP-Bamboo Sheets Full Size-[Bamboo|Full]-(MSV)-Exact-(Ranking)-DO-BAMBOO-FULL-OLIVE</t>
  </si>
  <si>
    <t xml:space="preserve">bamboo sheets full · bamboo sheets full size</t>
  </si>
  <si>
    <t xml:space="preserve">DBS4-SP-Cooling Sheets Full Size-[Cooling|Full]-(MSV)-Exact-(Ranking)-DO-BAMBOO-FULL-OLIVE</t>
  </si>
  <si>
    <t xml:space="preserve">cooling sheets full · cooling sheets full size</t>
  </si>
  <si>
    <t xml:space="preserve">DBS4-SP-Full Size Sheets Bamboo-[Bamboo|Full]-(LSV)-Exact-(Ranking)-DO-BAMBOO-FULL-OLIVE</t>
  </si>
  <si>
    <t xml:space="preserve">full size bamboo sheet sets · full size sheets bamboo</t>
  </si>
  <si>
    <t xml:space="preserve">DBS4-SP-Bamboo Sheets Full Size Set-(VLSV)-Exact-(Ranking)-DO-BAMBOO-FULL-WHITE</t>
  </si>
  <si>
    <t xml:space="preserve">bamboo sheets full size set</t>
  </si>
  <si>
    <t xml:space="preserve">DBS4-SP-Bamboo Cooling Sheets Full Size-[Bamboo|Cooling|Full]-(MSV)-Exact-(Ranking)-DO-BAMBOO-FULL-OLIVE</t>
  </si>
  <si>
    <t xml:space="preserve">bamboo cooling sheets full size</t>
  </si>
  <si>
    <t xml:space="preserve">DBS4-SP-Full Bamboo Sheets Sets-(VLSV)-Exact-(Ranking)-DO-BAMBOO-FULL-WHITE</t>
  </si>
  <si>
    <t xml:space="preserve">full bamboo sheets sets</t>
  </si>
  <si>
    <t xml:space="preserve">DBS4-SP-Bamboo Full Size Bed Sheets-[Bamboo|Full]-(MSV)-Exact-(Ranking)-DO-BAMBOO-FULL-OLIVE</t>
  </si>
  <si>
    <t xml:space="preserve">bamboo full size bed sheets</t>
  </si>
  <si>
    <t xml:space="preserve">DBS4-SP-Bamboo Sheets Full Size Bed Set-(VLSV)-Exact-(Ranking)-DO-BAMBOO-FULL-WHITE</t>
  </si>
  <si>
    <t xml:space="preserve">bamboo sheets full size bed set</t>
  </si>
  <si>
    <t xml:space="preserve">DBS4-SP-Bamboo Sheet Set Full-(VLSV)-Exact-(Ranking)-DO-BAMBOO-FULL-WHITE</t>
  </si>
  <si>
    <t xml:space="preserve">bamboo sheets sets full</t>
  </si>
  <si>
    <t xml:space="preserve">DBS4-SP-Full Size Bamboo Sheets-(VLSV)-Exact-(Ranking)-DO-BAMBOO-FULL-WHITE</t>
  </si>
  <si>
    <t xml:space="preserve">full size bamboo sheets</t>
  </si>
  <si>
    <t xml:space="preserve">DBS4-SP-Bamboo Bed Sheets Full-(VLSV)-Exact-(Ranking)-DO-BAMBOO-FULL-WHITE</t>
  </si>
  <si>
    <t xml:space="preserve">bamboo bed sheets full · bamboo bed sheets full size</t>
  </si>
  <si>
    <t xml:space="preserve">DBS4-SP-Bed Sheets Full Size Bamboo-(VLSV)-Exact-(Ranking)-DO-BAMBOO-FULL-WHITE</t>
  </si>
  <si>
    <t xml:space="preserve">bed sheets full size bamboo</t>
  </si>
  <si>
    <t xml:space="preserve">DBS4-SP-Bamboo Full Size Sheets-[Bamboo|Full]-(VLSV)-Exact-(Ranking)-DO-BAMBOO-FULL-OLIVE</t>
  </si>
  <si>
    <t xml:space="preserve">bamboo full sheets · bamboo full size sheets</t>
  </si>
  <si>
    <t xml:space="preserve">DBS4-SP-Cooling Sheets Full Size-[Cooling|Full]-(MSV)-Exact-(Ranking)-DO-BAMBOO-FULL-LIGHTBLUE</t>
  </si>
  <si>
    <t xml:space="preserve">cooling sheets full size</t>
  </si>
  <si>
    <t xml:space="preserve">DBS4-SP-Full Bamboo Sheets-(LSV)-Exact-(Ranking)-DO-BAMBOO-FULL-WHITE</t>
  </si>
  <si>
    <t xml:space="preserve">full bamboo sheets</t>
  </si>
  <si>
    <t xml:space="preserve">DBS4-SP-Full Sheet Set Bamboo-[Bamboo|Full]-(VLSV)-Exact-(Ranking)-DO-BAMBOO-FULL-OLIVE</t>
  </si>
  <si>
    <t xml:space="preserve">full sheet set bamboo</t>
  </si>
  <si>
    <t xml:space="preserve">DBS4-SP-Full Size Sheet Sets Bamboo-(VLSV)-Exact-(Ranking)-DO-BAMBOO-FULL-WHITE</t>
  </si>
  <si>
    <t xml:space="preserve">full size sheet sets bamboo</t>
  </si>
  <si>
    <t xml:space="preserve">DBS4-SP-Cooling Fitted Sheet Full-(LSV)-Exact-(Ranking)-DO-BAMBOO-FULL-LIGHTBLUE</t>
  </si>
  <si>
    <t xml:space="preserve">cooling fitted sheet full</t>
  </si>
  <si>
    <t xml:space="preserve">DBS4-SP-Full Size Sheets Cooling-[Cooling|Full]-(LSV)-Exact-(Ranking)-DO-BAMBOO-FULL-LIGHTBLUE</t>
  </si>
  <si>
    <t xml:space="preserve">full size sheets cooling</t>
  </si>
  <si>
    <t xml:space="preserve">DBS4-SP-Bamboo Fitted Sheet Full-(VLSV)-Exact-(Ranking)-DO-BAMBOO-FULL-WHITE</t>
  </si>
  <si>
    <t xml:space="preserve">bamboo fitted sheet full</t>
  </si>
  <si>
    <t xml:space="preserve">DBS4-SP-Full Sheets Bamboo-(VLSV)-Exact-(Ranking)-DO-BAMBOO-FULL-WHITE</t>
  </si>
  <si>
    <t xml:space="preserve">full sheets bamboo · full size sheets bamboo</t>
  </si>
  <si>
    <t xml:space="preserve">DBS4-SP-Cooling Full Size Sheets-[Cooling|Full]-(LSV)-Exact-(Ranking)-DO-BAMBOO-FULL-LIGHTBLUE</t>
  </si>
  <si>
    <t xml:space="preserve">cooling full size sheets</t>
  </si>
  <si>
    <t xml:space="preserve">DBS4-SP-Full Size Bed Sheets Cooling-[Cooling|Full]-(LSV)-Exact-(Ranking)-DO-BAMBOO-FULL-LIGHTBLUE</t>
  </si>
  <si>
    <t xml:space="preserve">full bed sheets cooling · full size bed sheets cooling</t>
  </si>
  <si>
    <t xml:space="preserve">DBS4-SP-Full Bamboo Bed Sheets-(VLSV)-Exact-(Ranking)-DO-BAMBOO-FULL-WHITE</t>
  </si>
  <si>
    <t xml:space="preserve">full bamboo bed sheets</t>
  </si>
  <si>
    <t xml:space="preserve">DBS4-SP-Full Size Bed Sheets Bamboo-[Bamboo|Full]-(LSV)-Exact-(Ranking)-DO-BAMBOO-FULL-OLIVE</t>
  </si>
  <si>
    <t xml:space="preserve">full bed sheets bamboo · full size bed sheets bamboo</t>
  </si>
  <si>
    <t xml:space="preserve">DBS4-SP-Full Olive Green Sheets-(VLSV)-Exact-(Conversion)-DO-BAMBOO-FULL-OLIVE</t>
  </si>
  <si>
    <t xml:space="preserve">full olive green sheets</t>
  </si>
  <si>
    <t xml:space="preserve">DBS4-SP-Full Bamboo Fitted Sheet-(VLSV)-Exact-(Conversion)-DO-BAMBOO-FULL-LIGHTBLUE</t>
  </si>
  <si>
    <t xml:space="preserve">full bamboo fitted sheet</t>
  </si>
  <si>
    <t xml:space="preserve">DBS4-SP-Full Size Bed Sheets Bamboo-(VLSV)-Exact-(Ranking)-DO-BAMBOO-FULL-WHITE</t>
  </si>
  <si>
    <t xml:space="preserve">full size bed sheets bamboo</t>
  </si>
  <si>
    <t xml:space="preserve">decolure · decolure bamboo sheets · decolure bamboo sheets king size +2 more keywords</t>
  </si>
  <si>
    <t xml:space="preserve">DBS4-SP-Cooling Sheet-[Cooling]-(LSV)-Exact-(Ranking)-DO-BAMBOO-KING-WHITE</t>
  </si>
  <si>
    <t xml:space="preserve">cooling sheet · cool sheets</t>
  </si>
  <si>
    <t xml:space="preserve">bamboo sheets</t>
  </si>
  <si>
    <t xml:space="preserve">DBS4-SP-Extra Deep 20-24 Inch Pocket King Size Bamboo Sheets-[Bamboo|King]-(LSV)-Exact-(Conversion)-FIX-BAMBOO-KING-WHITE</t>
  </si>
  <si>
    <t xml:space="preserve">extra deep 20-24 inch pocket king size bamboo sheets</t>
  </si>
  <si>
    <t xml:space="preserve">cooling sheets king</t>
  </si>
  <si>
    <t xml:space="preserve">cooling sheets</t>
  </si>
  <si>
    <t xml:space="preserve">DBS4-SP-Decolure Bamboo Sheets-(MSV)-Exact-(Ranking)-DO-BAMBOO-KING-WHITE</t>
  </si>
  <si>
    <t xml:space="preserve">decolure bamboo sheets</t>
  </si>
  <si>
    <t xml:space="preserve">DBS4-SP-Deep Pocket Bamboo Sheets King-[Bamboo|King]-(LSV)-Exact-(Conversion)-FIX-BAMBOO-KING-WHITE</t>
  </si>
  <si>
    <t xml:space="preserve">deep pocket bamboo sheets king</t>
  </si>
  <si>
    <t xml:space="preserve">king sheets bamboo</t>
  </si>
  <si>
    <t xml:space="preserve">DBS4-SP-Bamboo Sheets King-[Bamboo|King]-(MSV)-Exact-(Ranking)-DO-BAMBOO-KING-WHITE</t>
  </si>
  <si>
    <t xml:space="preserve">bamboo sheets king</t>
  </si>
  <si>
    <t xml:space="preserve">bamboo bed sheets king · bamboo king sheets · bamboo king size sheets +2 more keywords</t>
  </si>
  <si>
    <t xml:space="preserve">DBS4-SP-King Bed Sheets Cooling-[Cooling|King]-(LSV)-Exact-(Ranking)-DO-BAMBOO-KING-WHITE</t>
  </si>
  <si>
    <t xml:space="preserve">king bed sheets cooling · king size sheets set cooling · organic cooling sheets king</t>
  </si>
  <si>
    <t xml:space="preserve">DBS4-SP-bamboo viscose bed sheets cooling-[Bamboo|Cooling]-(LSV)-Exact-(Ranking)-FIX-BAMBOO-KING-WHITE-TAIL-7</t>
  </si>
  <si>
    <t xml:space="preserve">BAMBOO-KING-WHITE-TAIL-7</t>
  </si>
  <si>
    <t xml:space="preserve">bamboo viscose bed sheets cooling</t>
  </si>
  <si>
    <t xml:space="preserve">DBS4-SP-Bamboo Viscose Sheets King-[Bamboo|King]-(VLSV)-Exact-(Conversion)-FIX-BAMBOO-KING-WHITE</t>
  </si>
  <si>
    <t xml:space="preserve">bamboo viscose sheets king</t>
  </si>
  <si>
    <t xml:space="preserve">deep pocket king sheet set · deep pocket king sheet set bamboo</t>
  </si>
  <si>
    <t xml:space="preserve">DBS4-SP-Bamboo King Size Sheet-(VLSV)-Exact-(Conversion)-DO-BAMBOO-KING-WHITE</t>
  </si>
  <si>
    <t xml:space="preserve">100 viscose bamboo sheet king · bamboo king sheet set · bamboo king size sheet +1 more keywords</t>
  </si>
  <si>
    <t xml:space="preserve">DBS4-SP-rayon from bamboo sheets-[Bamboo]-(LSV)-Exact-(Ranking)-FIX-BAMBOO-KING-WHITE</t>
  </si>
  <si>
    <t xml:space="preserve">rayon from bamboo sheets</t>
  </si>
  <si>
    <t xml:space="preserve">DBS4-SP-Bamboo Sheets King Deep Pocket-(VLSV)-Exact-(Ranking)-DO-BAMBOO-KING-CREME</t>
  </si>
  <si>
    <t xml:space="preserve">bamboo sheets king 18 deep pocket · bamboo sheets king brown · bamboo sheets king cooling +2 more keywords</t>
  </si>
  <si>
    <t xml:space="preserve">DBS4-SP-luxury bamboo sheets-[Bamboo]-(LSV)-Exact-(Ranking)-FIX-BAMBOO-KING-WHITE</t>
  </si>
  <si>
    <t xml:space="preserve">luxury bamboo sheets</t>
  </si>
  <si>
    <t xml:space="preserve">bamboo cooling sheets king size</t>
  </si>
  <si>
    <t xml:space="preserve">DBS4-SP-100% bamboo viscose sheets-[Bamboo]-(LSV)-Exact-(Ranking)-FIX-BAMBOO-KING-WHITE</t>
  </si>
  <si>
    <t xml:space="preserve">100 bamboo viscose sheets</t>
  </si>
  <si>
    <t xml:space="preserve">cooling bamboo sheets king · cooling king bed sheets · cool sheets for hot sleepers king</t>
  </si>
  <si>
    <t xml:space="preserve">king size sheets set bamboo cooling</t>
  </si>
  <si>
    <t xml:space="preserve">DBS4-SP-Green Bamboo Sheets-[Bamboo]-(LSV)-Exact-(Ranking)-DO-BAMBOO-KING-OLIVE</t>
  </si>
  <si>
    <t xml:space="preserve">emerald green bamboo sheets king · green bamboo sheets · green bed sheets king</t>
  </si>
  <si>
    <t xml:space="preserve">DBS4-SP-Decolure Bamboo Sheets King Size-(VLSV)-Exact-(Ranking)-DO-BAMBOO-KING-WHITE</t>
  </si>
  <si>
    <t xml:space="preserve">decolure bamboo sheets king size</t>
  </si>
  <si>
    <t xml:space="preserve">DBS4-SP-Cooling Sheet-[Cooling]-(LSV)-Exact-(Ranking)-DO-BAMBOO-KING-WHITE-2</t>
  </si>
  <si>
    <t xml:space="preserve">BAMBOO-KING-WHITE-2</t>
  </si>
  <si>
    <t xml:space="preserve">cooling bed sheets for night sweats · cooling deep pocket sheets · cooling sheet +1 more keywords</t>
  </si>
  <si>
    <t xml:space="preserve">DBS4-SP-Cooling Bamboo Sheets King Size-[Bamboo|Cooling]-(LSV)-Exact-(Conversion)-FIX-BAMBOO-KING-WHITE</t>
  </si>
  <si>
    <t xml:space="preserve">cooling bamboo sheets king size</t>
  </si>
  <si>
    <t xml:space="preserve">DBS4-SP-Black Cooling Sheets-(VLSV)-Exact-(Ranking)-DO-BAMBOO-KING-BLACK</t>
  </si>
  <si>
    <t xml:space="preserve">black cooling sheets</t>
  </si>
  <si>
    <t xml:space="preserve">DBS4-SP-King Cooling Sheets-[Cooling|King]-(MSV)-Exact-(Ranking)-DO-BAMBOO-KING-WHITE</t>
  </si>
  <si>
    <t xml:space="preserve">king cooling sheets · king size cooling sheets</t>
  </si>
  <si>
    <t xml:space="preserve">bamboo cool sheets</t>
  </si>
  <si>
    <t xml:space="preserve">DBS4-SP-King Bed Sheets Bamboo-(VLSV)-Exact-(Ranking)-DO-BAMBOO-KING-WHITE</t>
  </si>
  <si>
    <t xml:space="preserve">king bamboo sheets · king bed sheets bamboo · king sheets bamboo +1 more keywords</t>
  </si>
  <si>
    <t xml:space="preserve">DBS4-SP-blue bamboo sheets-[Bamboo]-(LSV)-Exact-(Ranking)-FIX-BAMBOO-KING-WHITE</t>
  </si>
  <si>
    <t xml:space="preserve">blue bamboo sheets</t>
  </si>
  <si>
    <t xml:space="preserve">DBS4-SP-doz bamboo sheets-[Bamboo]-(LSV)-Exact-(Ranking)-FIX-BAMBOO-KING-WHITE</t>
  </si>
  <si>
    <t xml:space="preserve">doz bamboo sheets</t>
  </si>
  <si>
    <t xml:space="preserve">DBS4-SP-King Size Bamboo Sheet Sets-(VLSV)-Exact-(Ranking)-DO-BAMBOO-KING-WHITE</t>
  </si>
  <si>
    <t xml:space="preserve">king size bamboo sheets set</t>
  </si>
  <si>
    <t xml:space="preserve">cooling bamboo sheets</t>
  </si>
  <si>
    <t xml:space="preserve">DBS4-SP-rayon bamboo sheets king-[Bamboo|King]-(LSV)-Exact-(Ranking)-FIX-BAMBOO-KING-WHITE-TAIL-3</t>
  </si>
  <si>
    <t xml:space="preserve">rayon bamboo sheets king</t>
  </si>
  <si>
    <t xml:space="preserve">DBS4-SP-Bamboo King Size Sheets Set-[Bamboo|King]-(LSV)-Exact-(Ranking)-DO-BAMBOO-KING-WHITE</t>
  </si>
  <si>
    <t xml:space="preserve">bamboo king size sheets set</t>
  </si>
  <si>
    <t xml:space="preserve">DBS4-SP-King Sheets Cooling-[Cooling|King]-(MSV)-Exact-(Ranking)-DO-BAMBOO-KING-WHITE</t>
  </si>
  <si>
    <t xml:space="preserve">king sheets bamboo cooling · king sheets cooling · king sheets deep pocket bamboo</t>
  </si>
  <si>
    <t xml:space="preserve">DBS4-SP-Bamboo Fitted Sheet King-(LSV)-Exact-(Ranking)-DO-BAMBOO-KING-WHITE</t>
  </si>
  <si>
    <t xml:space="preserve">bamboo fitted sheet king</t>
  </si>
  <si>
    <t xml:space="preserve">DBS4-SP-King Bed Bamboo Sheets-(MSV)-Exact-(Ranking)-DO-BAMBOO-KING-WHITE</t>
  </si>
  <si>
    <t xml:space="preserve">king bed bamboo sheets</t>
  </si>
  <si>
    <t xml:space="preserve">DBS4-SP-Deep Pocket Bamboo Sheets-[Bamboo]-(LSV)-Exact-(Ranking)-DO-BAMBOO-KING-WHITE</t>
  </si>
  <si>
    <t xml:space="preserve">deep pocket bamboo sheets</t>
  </si>
  <si>
    <t xml:space="preserve">DBS4-SP-King Sheets Cooling-(MSV)-Exact-(Ranking)-DO-BAMBOO-KING-WHITE</t>
  </si>
  <si>
    <t xml:space="preserve">king sheets cooling · king size sheets cooling</t>
  </si>
  <si>
    <t xml:space="preserve">DBS4-SP-Bamboo Sheet Set-[Bamboo]-(MSV)-Exact-(Ranking)-DO-BAMBOO-KING-WHITE</t>
  </si>
  <si>
    <t xml:space="preserve">bamboo sheet set · sheets bamboo</t>
  </si>
  <si>
    <t xml:space="preserve">king size bed sheets bamboo · king size sheets bamboo cooling · king size sheets with deep pockets bamboo</t>
  </si>
  <si>
    <t xml:space="preserve">DBS4-SP-rayon bamboo sheets-[Bamboo]-(LSV)-Exact-(Ranking)-FIX-BAMBOO-KING-WHITE</t>
  </si>
  <si>
    <t xml:space="preserve">rayon bamboo sheets</t>
  </si>
  <si>
    <t xml:space="preserve">DBS4-SP-Organic Bamboo Sheets King-[Bamboo|King]-(LSV)-Exact-(Ranking)-DO-BAMBOO-KING-WHITE</t>
  </si>
  <si>
    <t xml:space="preserve">organic bamboo sheets king</t>
  </si>
  <si>
    <t xml:space="preserve">DBS4-SP-bamboo rayon sheets-[Bamboo]-(LSV)-Exact-(Ranking)-FIX-BAMBOO-KING-WHITE</t>
  </si>
  <si>
    <t xml:space="preserve">bamboo rayon sheets</t>
  </si>
  <si>
    <t xml:space="preserve">DBS4-SP-Malouf Bamboo Sheets-(NOSV)-Exact-(Conversion)-DO-BAMBOO-KING-WHITE</t>
  </si>
  <si>
    <t xml:space="preserve">cozy earth bamboo sheets · malouf bamboo sheets · zen home bamboo sheets</t>
  </si>
  <si>
    <t xml:space="preserve">DBS4-SP-King Size Sheets Set Cooling-[Cooling|King]-(MSV)-Exact-(Ranking)-DO-BAMBOO-KING-WHITE</t>
  </si>
  <si>
    <t xml:space="preserve">king sheet set cooling</t>
  </si>
  <si>
    <t xml:space="preserve">DBS4-SP-Bamboo Sheet With Corner Strap-(VHSV)-Exact-(Ranking)-DO-BAMBOO-KING-WHITE</t>
  </si>
  <si>
    <t xml:space="preserve">bamboo sheets with corner straps</t>
  </si>
  <si>
    <t xml:space="preserve">DBS4-SP-Pure Bamboo Sheets-(MSV)-Exact-(Ranking)-DO-BAMBOO-KING-WHITE</t>
  </si>
  <si>
    <t xml:space="preserve">pure bamboo sheets</t>
  </si>
  <si>
    <t xml:space="preserve">DBS4-SP-King Bamboo Cooling Sheets-[Bamboo|Cooling]-(LSV)-Exact-(Conversion)-FIX-BAMBOO-KING-WHITE</t>
  </si>
  <si>
    <t xml:space="preserve">king bamboo cooling sheets</t>
  </si>
  <si>
    <t xml:space="preserve">DBS4-SP-King Size Bamboo Sheets-[Bamboo|King]-(LSV)-Exact-(Ranking)-DO-BAMBOO-KING-WHITE</t>
  </si>
  <si>
    <t xml:space="preserve">king size bamboo sheets · king size bamboo sheets sets on sale</t>
  </si>
  <si>
    <t xml:space="preserve">DBS4-SP-Bamboo Sheet Set King-[Bamboo|King]-(LSV)-Exact-(Ranking)-DO-BAMBOO-KING-WHITE</t>
  </si>
  <si>
    <t xml:space="preserve">bamboo sheet set king · bamboo sheet sets for king size bed</t>
  </si>
  <si>
    <t xml:space="preserve">DBS4-SP-White Bamboo Sheets-(VLSV)-Exact-(Ranking)-DO-BAMBOO-KING-WHITE</t>
  </si>
  <si>
    <t xml:space="preserve">white bamboo sheets</t>
  </si>
  <si>
    <t xml:space="preserve">DBS4-SP-bamboo matress-[Bamboo]-(LSV)-Exact-(Ranking)-FIX-BAMBOO-KING-WHITE</t>
  </si>
  <si>
    <t xml:space="preserve">bamboo matress</t>
  </si>
  <si>
    <t xml:space="preserve">DBS4-SP-Bamboo Sheets King Size-(HSV)-Broad-(DISC)-DO-BAMBOO-KING-WHITE</t>
  </si>
  <si>
    <t xml:space="preserve">bamboo sheets king size</t>
  </si>
  <si>
    <t xml:space="preserve">DBS4-SP-Hypoallergenic Sheets-(LSV)-Exact-(Ranking)-DO-BAMBOO-KING-WHITE</t>
  </si>
  <si>
    <t xml:space="preserve">hypoallergenic sheets</t>
  </si>
  <si>
    <t xml:space="preserve">DBS4-SP-Cooling Bed Sheets-(HSV)-Exact-(Ranking)-DO-BAMBOO-KING-WHITE</t>
  </si>
  <si>
    <t xml:space="preserve">cooling bed sheets</t>
  </si>
  <si>
    <t xml:space="preserve">DBS4-SP-Bamboo Viscose Cooling Sheets-[Bamboo|Cooling]-(VLSV)-Exact-(Conversion)-FIX-BAMBOO-KING-WHITE</t>
  </si>
  <si>
    <t xml:space="preserve">bamboo viscose cooling sheets</t>
  </si>
  <si>
    <t xml:space="preserve">DBS4-SP-Pure Bamboo Sheets King-(LSV)-Exact-(Conversion)-DO-BAMBOO-KING-WHITE</t>
  </si>
  <si>
    <t xml:space="preserve">pure bamboo sheets king · sheets for king size bed bamboo</t>
  </si>
  <si>
    <t xml:space="preserve">DBS4-SP-patterned bamboo sheets-[Bamboo]-(LSV)-Exact-(Ranking)-FIX-BAMBOO-KING-WHITE-TAIL-2</t>
  </si>
  <si>
    <t xml:space="preserve">BAMBOO-KING-WHITE-TAIL-2</t>
  </si>
  <si>
    <t xml:space="preserve">patterned bamboo sheets</t>
  </si>
  <si>
    <t xml:space="preserve">DBS4-SP-100 Viscose Bamboo Sheets-(VLSV)-Exact-(Ranking)-DO-BAMBOO-KING-WHITE</t>
  </si>
  <si>
    <t xml:space="preserve">100 viscose bamboo sheets</t>
  </si>
  <si>
    <t xml:space="preserve">DBS4-SP-Bambu Sheets-(VLSV)-Exact-(Ranking)-DO-BAMBOO-KING-WHITE</t>
  </si>
  <si>
    <t xml:space="preserve">bambu sheets</t>
  </si>
  <si>
    <t xml:space="preserve">DBS4-SP-Decolure-(VLSV)-Exact-(Ranking)-DO-BAMBOO-KING-WHITE</t>
  </si>
  <si>
    <t xml:space="preserve">decolure</t>
  </si>
  <si>
    <t xml:space="preserve">DBS4-SP-Bamboo Sheets Deep Pocket-[Bamboo]-(LSV)-Exact-(Ranking)-DO-BAMBOO-KING-WHITE</t>
  </si>
  <si>
    <t xml:space="preserve">bamboo sheets deep pocket</t>
  </si>
  <si>
    <t xml:space="preserve">DBS4-SP-Bamboo Viscose Sheets-[Bamboo]-(MSV)-Exact-(Ranking)-DO-BAMBOO-KING-WHITE</t>
  </si>
  <si>
    <t xml:space="preserve">bamboo viscose sheets</t>
  </si>
  <si>
    <t xml:space="preserve">DBS4-SP-Deep Pocket King Sheet Set Bamboo-(VLSV)-Exact-(Ranking)-DO-BAMBOO-KING-WHITE</t>
  </si>
  <si>
    <t xml:space="preserve">deep pocket king sheet set bamboo</t>
  </si>
  <si>
    <t xml:space="preserve">DBS4-SP-bamboo linen sheets-[Bamboo]-(LSV)-Exact-(Ranking)-FIX-BAMBOO-KING-WHITE-TAIL</t>
  </si>
  <si>
    <t xml:space="preserve">BAMBOO-KING-WHITE-TAIL</t>
  </si>
  <si>
    <t xml:space="preserve">bamboo linen sheets</t>
  </si>
  <si>
    <t xml:space="preserve">DBS4-SP-Bamboo Deep Pocket King Sheets-(VLSV)-Exact-(Ranking)-DO-BAMBOO-KING-WHITE</t>
  </si>
  <si>
    <t xml:space="preserve">bamboo deep pocket king sheets</t>
  </si>
  <si>
    <t xml:space="preserve">DBS4-SP-Cooling Sheets-[Cooling]-(VHSV)-Exact-(Ranking)-DO-BAMBOO-KING-WHITE</t>
  </si>
  <si>
    <t xml:space="preserve">DBS4-SP-Best Bamboo Sheets King-(VLSV)-Exact-(Ranking)-DO-BAMBOO-KING-WHITE</t>
  </si>
  <si>
    <t xml:space="preserve">best bamboo sheets · best bamboo sheets king</t>
  </si>
  <si>
    <t xml:space="preserve">DBS4-SP-tafts bamboo sheets-[Bamboo]-(LSV)-Exact-(Ranking)-FIX-BAMBOO-KING-WHITE</t>
  </si>
  <si>
    <t xml:space="preserve">tafts bamboo sheets</t>
  </si>
  <si>
    <t xml:space="preserve">DBS4-SP-Bambo Sheets-[Bamboo]-(LSV)-Exact-(Ranking)-DO-BAMBOO-KING-WHITE</t>
  </si>
  <si>
    <t xml:space="preserve">bambo sheets</t>
  </si>
  <si>
    <t xml:space="preserve">DBS4-SP-Bamboo Fitted Sheet-(MSV)-Exact-(Ranking)-DO-BAMBOO-KING-WHITE</t>
  </si>
  <si>
    <t xml:space="preserve">bamboo fitted sheet</t>
  </si>
  <si>
    <t xml:space="preserve">DBS4-SP-Cooling Bamboo King Sheets-[Bamboo|Cooling]-(VLSV)-Exact-(Conversion)-FIX-BAMBOO-KING-WHITE</t>
  </si>
  <si>
    <t xml:space="preserve">cooling bamboo king sheets</t>
  </si>
  <si>
    <t xml:space="preserve">DBS4-SP-Bamboo Sheets King Size Set-(VLSV)-Exact-(Ranking)-DO-BAMBOO-KING-WHITE</t>
  </si>
  <si>
    <t xml:space="preserve">bamboo sheets king size set</t>
  </si>
  <si>
    <t xml:space="preserve">DBS4-SP-Sábanas De Bamboo King-[Bamboo|King]-(LSV)-Exact-(Conversion)-FIX-BAMBOO-KING-WHITE</t>
  </si>
  <si>
    <t xml:space="preserve">sábanas de bamboo king</t>
  </si>
  <si>
    <t xml:space="preserve">DBS4-SP-Bed Sheets King Size Bamboo-(VLSV)-Exact-(Ranking)-DO-BAMBOO-KING-WHITE</t>
  </si>
  <si>
    <t xml:space="preserve">bed sheets king size bamboo</t>
  </si>
  <si>
    <t xml:space="preserve">DBS4-SP-Luxury King Sheets-(VLSV)-Exact-(Ranking)-DO-BAMBOO-KING-WHITE</t>
  </si>
  <si>
    <t xml:space="preserve">luxury king sheets</t>
  </si>
  <si>
    <t xml:space="preserve">DBS4-SP-Cooling Sheets King Size-(HSV)-Exact-(Ranking)-DO-BAMBOO-KING-WHITE</t>
  </si>
  <si>
    <t xml:space="preserve">cooling sheets king size</t>
  </si>
  <si>
    <t xml:space="preserve">DBS4-SP-Cooling Deep Pocket King Sheet Set-[Cooling|King]-(LSV)-Exact-(Ranking)-DO-BAMBOO-KING-WHITE</t>
  </si>
  <si>
    <t xml:space="preserve">cooling deep pocket king sheet set</t>
  </si>
  <si>
    <t xml:space="preserve">DBS4-SP-Cozy House Bamboo Sheets-(MSV)-Exact-(Conversion)-DO-BAMBOO-KING-WHITE</t>
  </si>
  <si>
    <t xml:space="preserve">cozy house bamboo sheets</t>
  </si>
  <si>
    <t xml:space="preserve">DBS4-SP-Bamboo Bedsheets-[Bamboo]-(LSV)-Exact-(Ranking)-DO-BAMBOO-KING-WHITE</t>
  </si>
  <si>
    <t xml:space="preserve">bamboo bedsheets</t>
  </si>
  <si>
    <t xml:space="preserve">DBS4-SP-Bamboo Bed Sheets Moisture Wicking-[Bamboo|Cooling]-(LSV)-Exact-(Conversion)-FIX-BAMBOO-KING-WHITE</t>
  </si>
  <si>
    <t xml:space="preserve">bamboo bed sheets moisture wicking</t>
  </si>
  <si>
    <t xml:space="preserve">DBS4-SP-Cooling King Sheets Deep Pocket-[Cooling|King]-(VLSV)-Exact-(Ranking)-DO-BAMBOO-KING-WHITE</t>
  </si>
  <si>
    <t xml:space="preserve">cooling king sheets deep pocket</t>
  </si>
  <si>
    <t xml:space="preserve">DBS4-SP-Bamboo King Fitted Sheet-(LSV)-Exact-(Ranking)-DO-BAMBOO-KING-WHITE</t>
  </si>
  <si>
    <t xml:space="preserve">bamboo king fitted sheet</t>
  </si>
  <si>
    <t xml:space="preserve">DBS4-SP-Bamboo Sheets Deep Pockets King Size-(VLSV)-Exact-(Ranking)-DO-BAMBOO-KING-WHITE</t>
  </si>
  <si>
    <t xml:space="preserve">bamboo sheets deep pockets king size</t>
  </si>
  <si>
    <t xml:space="preserve">DBS4-SP-Bed Sheets Bamboo-[Bamboo]-(MSV)-Exact-(Ranking)-DO-BAMBOO-KING-WHITE</t>
  </si>
  <si>
    <t xml:space="preserve">bed sheets bamboo</t>
  </si>
  <si>
    <t xml:space="preserve">DBS4-SP-King Size Sheets Set Bamboo-[Bamboo|King]-(LSV)-Exact-(Ranking)-DO-BAMBOO-KING-WHITE</t>
  </si>
  <si>
    <t xml:space="preserve">king size sheets set bamboo</t>
  </si>
  <si>
    <t xml:space="preserve">DBS4-SP-King Size Bed Sheets Bamboo-(VLSV)-Exact-(Ranking)-DO-BAMBOO-KING-WHITE</t>
  </si>
  <si>
    <t xml:space="preserve">king size bed sheets bamboo</t>
  </si>
  <si>
    <t xml:space="preserve">DBS4-SP-Cooling Bed Sheets King-(LSV)-Exact-(Ranking)-DO-BAMBOO-KING-WHITE</t>
  </si>
  <si>
    <t xml:space="preserve">cooling bed sheets king</t>
  </si>
  <si>
    <t xml:space="preserve">DBS4-SP-Bamboo Bed Sheets-[Bamboo]-(MSV)-Exact-(Ranking)-DO-BAMBOO-KING-WHITE</t>
  </si>
  <si>
    <t xml:space="preserve">bamboo bed sheets</t>
  </si>
  <si>
    <t xml:space="preserve">DBS4-SP-Cooling King Sheets-(VLSV)-Exact-(Ranking)-DO-BAMBOO-KING-WHITE</t>
  </si>
  <si>
    <t xml:space="preserve">cooling king sheets</t>
  </si>
  <si>
    <t xml:space="preserve">DBS4-SP-King Size Cooling Bed Sheets-[Cooling|King]-(VLSV)-Exact-(Ranking)-DO-BAMBOO-KING-WHITE</t>
  </si>
  <si>
    <t xml:space="preserve">king size cooling bed sheets</t>
  </si>
  <si>
    <t xml:space="preserve">DBS4-SP-King Size Sheets Bamboo-(VLSV)-Exact-(Ranking)-DO-BAMBOO-KING-WHITE</t>
  </si>
  <si>
    <t xml:space="preserve">king size sheets bamboo</t>
  </si>
  <si>
    <t xml:space="preserve">DBS4-SP-Luxury Bamboo Bed Sheets-(VLSV)-Exact-(Ranking)-DO-BAMBOO-KING-WHITE</t>
  </si>
  <si>
    <t xml:space="preserve">luxury bamboo bed sheets</t>
  </si>
  <si>
    <t xml:space="preserve">DBS4-SP-Bed Sheets Cooling-[Cooling]-(LSV)-Exact-(Ranking)-DO-BAMBOO-KING-WHITE</t>
  </si>
  <si>
    <t xml:space="preserve">bed sheets cooling</t>
  </si>
  <si>
    <t xml:space="preserve">DBS4-SP-King Size Sheets Set Bamboo-[Bamboo|King]-(LSV)-Exact-(Ranking)-DO-BAMBOO-KING-OLIVE</t>
  </si>
  <si>
    <t xml:space="preserve">DBS4-SP-King Size Bamboo Bed Sheets-(VLSV)-Exact-(Ranking)-DO-BAMBOO-KING-WHITE</t>
  </si>
  <si>
    <t xml:space="preserve">king bamboo bed sheets · king size bamboo bed sheets</t>
  </si>
  <si>
    <t xml:space="preserve">DBS4-SP-King Size Cooling Sheets Deep Pocket Set-[Cooling|King]-(LSV)-Exact-(Ranking)-DO-BAMBOO-KING-WHITE</t>
  </si>
  <si>
    <t xml:space="preserve">king size cooling sheets deep pocket set</t>
  </si>
  <si>
    <t xml:space="preserve">DBS4-SP-Organic Cooling Sheets-[Cooling]-(VLSV)-Exact-(Ranking)-DO-BAMBOO-KING-WHITE</t>
  </si>
  <si>
    <t xml:space="preserve">organic cooling sheets</t>
  </si>
  <si>
    <t xml:space="preserve">DBS4-SP-Bamboo Flat Sheet Only-(VLSV)-Exact-(Ranking)-DO-BAMBOO-KING-WHITE</t>
  </si>
  <si>
    <t xml:space="preserve">bamboo flat sheet only</t>
  </si>
  <si>
    <t xml:space="preserve">DBS4-SP-Bamboo Sheet King Size Deep Pocket-(NOSV)-Exact-(Ranking)-DO-BAMBOO-KING-WHITE</t>
  </si>
  <si>
    <t xml:space="preserve">bamboo sheet king · bamboo sheet king size deep pocket</t>
  </si>
  <si>
    <t xml:space="preserve">DBS4-SP-Cooling Sheets For Hot Sleepers-[Cooling]-(LSV)-Exact-(Ranking)-DO-BAMBOO-KING-WHITE</t>
  </si>
  <si>
    <t xml:space="preserve">cooling sheets for hot sleepers · cool sheets for hot sleepers</t>
  </si>
  <si>
    <t xml:space="preserve">bamboo king sheets cooling</t>
  </si>
  <si>
    <t xml:space="preserve">DBS4-SP-cooling sheets king size bamboo-[Bamboo|Cooling]-(LSV)-Exact-(Ranking)-FIX-BAMBOO-KING-WHITE-TAIL-6</t>
  </si>
  <si>
    <t xml:space="preserve">BAMBOO-KING-WHITE-TAIL-6</t>
  </si>
  <si>
    <t xml:space="preserve">cooling sheets king size bamboo</t>
  </si>
  <si>
    <t xml:space="preserve">cooling sheets bamboo</t>
  </si>
  <si>
    <t xml:space="preserve">DBS4-SP-King Size Cooling Sheet Set-(VLSV)-Exact-(Ranking)-DO-BAMBOO-KING-WHITE</t>
  </si>
  <si>
    <t xml:space="preserve">king size cooling sheet set</t>
  </si>
  <si>
    <t xml:space="preserve">bamboo sheets cooling</t>
  </si>
  <si>
    <t xml:space="preserve">DBS4-SP-White Bamboo Sheets King-(VLSV)-Exact-(Ranking)-DO-BAMBOO-KING-WHITE</t>
  </si>
  <si>
    <t xml:space="preserve">white bamboo sheets king</t>
  </si>
  <si>
    <t xml:space="preserve">DBS4-SP-Bamboo Sheets Organic-(VLSV)-Exact-(Ranking)-DO-BAMBOO-KING-WHITE</t>
  </si>
  <si>
    <t xml:space="preserve">bamboo sheets organic</t>
  </si>
  <si>
    <t xml:space="preserve">DBS4-SP-King Bamboo Sheets Deep Pocket-(LSV)-Exact-(Ranking)-DO-BAMBOO-KING-WHITE</t>
  </si>
  <si>
    <t xml:space="preserve">king bamboo sheets deep pocket</t>
  </si>
  <si>
    <t xml:space="preserve">DBS4-SP-King Sheets Deep Pocket Bamboo-(VLSV)-Exact-(Ranking)-DO-BAMBOO-KING-WHITE</t>
  </si>
  <si>
    <t xml:space="preserve">king sheets deep pocket bamboo</t>
  </si>
  <si>
    <t xml:space="preserve">DBS4-SP-Sheets King Size Bamboo-(VLSV)-Exact-(Ranking)-DO-BAMBOO-KING-WHITE</t>
  </si>
  <si>
    <t xml:space="preserve">sheets king size bamboo</t>
  </si>
  <si>
    <t xml:space="preserve">DBS4-SP-bedlifes bamboo sheets-[Bamboo]-(LSV)-Exact-(Ranking)-FIX-BAMBOO-KING-WHITE</t>
  </si>
  <si>
    <t xml:space="preserve">bedlifes bamboo sheets</t>
  </si>
  <si>
    <t xml:space="preserve">DBS4-SP-bamboo cooling sheets king size deep pocket-[Bamboo|Cooling]-(LSV)-Exact-(Ranking)-FIX-BAMBOO-KING-WHITE-TAIL</t>
  </si>
  <si>
    <t xml:space="preserve">bamboo cooling sheets king size deep pocket</t>
  </si>
  <si>
    <t xml:space="preserve">DBS4-SP-Soft Bamboo Sheets-(VLSV)-Exact-(Ranking)-DO-BAMBOO-KING-WHITE</t>
  </si>
  <si>
    <t xml:space="preserve">soft bamboo sheets</t>
  </si>
  <si>
    <t xml:space="preserve">DBS4-SP-Sheet Set Bamboo-(VLSV)-Exact-(Ranking)-DO-BAMBOO-KING-WHITE</t>
  </si>
  <si>
    <t xml:space="preserve">sheet set bamboo</t>
  </si>
  <si>
    <t xml:space="preserve">DBS4-SP-Sheets Bamboo King Size Bed Set-(VLSV)-Exact-(Ranking)-DO-BAMBOO-KING-WHITE</t>
  </si>
  <si>
    <t xml:space="preserve">sheets bamboo king size bed set</t>
  </si>
  <si>
    <t xml:space="preserve">DBS4-SP-Sheets Cooling-(VLSV)-Exact-(Ranking)-DO-BAMBOO-KING-WHITE</t>
  </si>
  <si>
    <t xml:space="preserve">sheets cooling</t>
  </si>
  <si>
    <t xml:space="preserve">DBS4-SP-Deep Pocket Bamboo Sheets King-[Bamboo|King]-(MSV)-Exact-(Ranking)-DO-BAMBOO-KING-WHITE</t>
  </si>
  <si>
    <t xml:space="preserve">DBS4-SP-Bamboo Bed Sheets King Size-(VLSV)-Exact-(Ranking)-DO-BAMBOO-KING-WHITE</t>
  </si>
  <si>
    <t xml:space="preserve">bamboo bed sheets king size</t>
  </si>
  <si>
    <t xml:space="preserve">DBS4-SP-Rayon From Bamboo Sheets-[Bamboo]-(MSV)-Exact-(Ranking)-DO-BAMBOO-KING-WHITE</t>
  </si>
  <si>
    <t xml:space="preserve">DBS4-SP-Bed Sheets Bamboo King-(VLSV)-Exact-(Ranking)-DO-BAMBOO-KING-WHITE</t>
  </si>
  <si>
    <t xml:space="preserve">bed sheets bamboo king</t>
  </si>
  <si>
    <t xml:space="preserve">DBS4-SP-King Size Bamboo Sheets Set Deep Pocket-(VLSV)-Exact-(Ranking)-DO-BAMBOO-KING-WHITE</t>
  </si>
  <si>
    <t xml:space="preserve">king size bamboo sheets set deep pocket</t>
  </si>
  <si>
    <t xml:space="preserve">DBS4-SP-King Size Deep Pocket Bamboo Sheets-(VLSV)-Exact-(Ranking)-DO-BAMBOO-KING-WHITE</t>
  </si>
  <si>
    <t xml:space="preserve">king size deep pocket bamboo sheets</t>
  </si>
  <si>
    <t xml:space="preserve">DBS4-SP-Best Cooling Sheets-[Cooling]-(LSV)-Exact-(Ranking)-DO-BAMBOO-KING-WHITE</t>
  </si>
  <si>
    <t xml:space="preserve">best cooling sheets</t>
  </si>
  <si>
    <t xml:space="preserve">DBS4-SP-bella sheets bamboo-[Bamboo]-(LSV)-Exact-(Ranking)-FIX-BAMBOO-KING-WHITE</t>
  </si>
  <si>
    <t xml:space="preserve">bella sheets bamboo</t>
  </si>
  <si>
    <t xml:space="preserve">DBS4-SP-Bamboo King Sheet Set-(VLSV)-Exact-(Ranking)-DO-BAMBOO-KING-WHITE</t>
  </si>
  <si>
    <t xml:space="preserve">bamboo king sheet set</t>
  </si>
  <si>
    <t xml:space="preserve">DBS4-SP-Bamboo Sheets Olive-(VHSV)-Exact-(Ranking)-DO-BAMBOO-KING-OLIVE</t>
  </si>
  <si>
    <t xml:space="preserve">bamboo sheets olive</t>
  </si>
  <si>
    <t xml:space="preserve">DBS4-SP-Deep Pocket Moisture Wicking King Sheets-(NOSV)-Exact-(Ranking)-DO-BAMBOO-KING-WHITE</t>
  </si>
  <si>
    <t xml:space="preserve">deep pocket cooling sheets · deep pocket king sheets cooling</t>
  </si>
  <si>
    <t xml:space="preserve">DBS4-SP-Deep Bamboo Sheets-(VLSV)-Exact-(Ranking)-DO-BAMBOO-KING-WHITE</t>
  </si>
  <si>
    <t xml:space="preserve">deep bamboo sheets</t>
  </si>
  <si>
    <t xml:space="preserve">DBS4-SP-King Size Sheets Deep Pocket Set Bamboo-(VLSV)-Exact-(Ranking)-DO-BAMBOO-KING-WHITE</t>
  </si>
  <si>
    <t xml:space="preserve">king size sheets deep pocket set bamboo</t>
  </si>
  <si>
    <t xml:space="preserve">DBS4-SP-King Sheets Bamboo Viscose-(VLSV)-Exact-(Ranking)-DO-BAMBOO-KING-WHITE</t>
  </si>
  <si>
    <t xml:space="preserve">king sheets bamboo viscose</t>
  </si>
  <si>
    <t xml:space="preserve">DBS4-SP-Bamboo Organic Sheets-(VLSV)-Exact-(Ranking)-DO-BAMBOO-KING-WHITE</t>
  </si>
  <si>
    <t xml:space="preserve">bamboo organic sheets</t>
  </si>
  <si>
    <t xml:space="preserve">DBS4-SP-King Sheets Bamboo Deep Pocket-(VLSV)-Exact-(Ranking)-DO-BAMBOO-KING-WHITE</t>
  </si>
  <si>
    <t xml:space="preserve">king sheets bamboo deep pocket</t>
  </si>
  <si>
    <t xml:space="preserve">DBS4-SP-Top Rated Bamboo Sheets-(VLSV)-Exact-(Ranking)-DO-BAMBOO-KING-WHITE</t>
  </si>
  <si>
    <t xml:space="preserve">top rated bamboo sheets</t>
  </si>
  <si>
    <t xml:space="preserve">DBS4-SP-Bamboo Cooling Sheets King Size-(LSV)-Exact-(Ranking)-DO-BAMBOO-KING-WHITE</t>
  </si>
  <si>
    <t xml:space="preserve">bamboo cooling sheets king · bamboo cooling sheets king size</t>
  </si>
  <si>
    <t xml:space="preserve">DBS4-SP-Best Bamboo Sheets King Size-[Bamboo|King]-(VLSV)-Exact-(Ranking)-DO-BAMBOO-KING-WHITE</t>
  </si>
  <si>
    <t xml:space="preserve">best bamboo sheets king size</t>
  </si>
  <si>
    <t xml:space="preserve">DBS4-SP-Cooling Sheets Set-[Cooling]-(VLSV)-Exact-(Ranking)-DO-BAMBOO-KING-WHITE</t>
  </si>
  <si>
    <t xml:space="preserve">cooling sheets set</t>
  </si>
  <si>
    <t xml:space="preserve">DBS4-SP-Cooling Sheet Set King Size-[Cooling|King]-(VLSV)-Exact-(Ranking)-DO-BAMBOO-KING-WHITE</t>
  </si>
  <si>
    <t xml:space="preserve">cooling sheet set king size</t>
  </si>
  <si>
    <t xml:space="preserve">DBS4-SP-Natural Bamboo Sheets-(VLSV)-Exact-(Ranking)-DO-BAMBOO-KING-WHITE</t>
  </si>
  <si>
    <t xml:space="preserve">natural bamboo sheets</t>
  </si>
  <si>
    <t xml:space="preserve">DBS4-SP-King Size Sheets Cooling-[Cooling|King]-(LSV)-Exact-(Ranking)-DO-BAMBOO-KING-CREME</t>
  </si>
  <si>
    <t xml:space="preserve">DBS4-SP-Bed Sheets Bamboo-[Bamboo]-(LSV)-Exact-(Ranking)-DO-BAMBOO-KING-WHITE</t>
  </si>
  <si>
    <t xml:space="preserve">DBS4-SP-sabanas bambu organico-[Bamboo]-(VLSV)-Exact-(Defensive)-FIX-BAMBOO-KING-WHITE</t>
  </si>
  <si>
    <t xml:space="preserve">sabanas bambu organico</t>
  </si>
  <si>
    <t xml:space="preserve">DBS4-SP-Rayon Bamboo Sheets-[Bamboo]-(MSV)-Exact-(Ranking)-DO-BAMBOO-KING-WHITE</t>
  </si>
  <si>
    <t xml:space="preserve">DBS4-SP-Bamboo Taupe Sheets King-(NOSV)-Exact-(Ranking)-DO-BAMBOO-KING-TAUPE</t>
  </si>
  <si>
    <t xml:space="preserve">dark taupe bamboo sheets</t>
  </si>
  <si>
    <t xml:space="preserve">DBS4-SP-Antimicrobial Bamboo Sheets-(VLSV)-Exact-(Ranking)-DO-BAMBOO-KING-WHITE</t>
  </si>
  <si>
    <t xml:space="preserve">antimicrobial bamboo sheets</t>
  </si>
  <si>
    <t xml:space="preserve">DBS4-SP-bamboo bed sheets cooling-[Bamboo|Cooling]-(LSV)-Exact-(Ranking)-FIX-BAMBOO-KING-WHITE-TAIL-4</t>
  </si>
  <si>
    <t xml:space="preserve">BAMBOO-KING-WHITE-TAIL-4</t>
  </si>
  <si>
    <t xml:space="preserve">bamboo bed sheets cooling</t>
  </si>
  <si>
    <t xml:space="preserve">DBS4-SP-Cooling Bed Set-[Cooling]-(LSV)-Exact-(Ranking)-DO-BAMBOO-KING-WHITE</t>
  </si>
  <si>
    <t xml:space="preserve">cooling bed set</t>
  </si>
  <si>
    <t xml:space="preserve">100 bamboo deep pocket sheets</t>
  </si>
  <si>
    <t xml:space="preserve">DBS4-SP-Decolure 100 Bamboo Sheets-(NOSV)-Exact-(Defensive)-DO-BAMBOO-KING-WHITE</t>
  </si>
  <si>
    <t xml:space="preserve">decolure 100 bamboo sheets · decolure 100 organic bamboo sheets</t>
  </si>
  <si>
    <t xml:space="preserve">DBS4-SP-King Sheet Set Deep Pocket Taupe-(NOSV)-Exact-(Conversion)-DO-BAMBOO-KING-CREME</t>
  </si>
  <si>
    <t xml:space="preserve">king sheet set deep pocket taupe</t>
  </si>
  <si>
    <t xml:space="preserve">DBS4-SP-King Size Sheets Set Bamboo Cooling-[Bamboo|Cooling|King]-(MSV)-Exact-(Ranking)-DO-BAMBOO-KING-WHITE</t>
  </si>
  <si>
    <t xml:space="preserve">DBS4-SP-100 Bamboo Viscose Sheets-[Bamboo]-(MSV)-Exact-(Ranking)-DO-BAMBOO-KING-WHITE</t>
  </si>
  <si>
    <t xml:space="preserve">DBS4-SP-Buttery Soft Bamboo Sheets-(VLSV)-Exact-(Ranking)-DO-BAMBOO-KING-WHITE</t>
  </si>
  <si>
    <t xml:space="preserve">buttery soft bamboo sheets</t>
  </si>
  <si>
    <t xml:space="preserve">DBS4-SP-Cooling Bed-[Cooling]-(LSV)-Exact-(Ranking)-DO-BAMBOO-KING-WHITE</t>
  </si>
  <si>
    <t xml:space="preserve">cooling bed</t>
  </si>
  <si>
    <t xml:space="preserve">DBS4-SP-Green Sheets And Bed Skirt-(NOSV)-Exact-(Conversion)-DO-BAMBOO-KING-OLIVE</t>
  </si>
  <si>
    <t xml:space="preserve">green sheets and bed skirt</t>
  </si>
  <si>
    <t xml:space="preserve">DBS4-SP-King Deep Pocket 100 Bamboo Sheets-(NOSV)-Exact-(Conversion)-DO-BAMBOO-KING-WHITE</t>
  </si>
  <si>
    <t xml:space="preserve">king deep pocket 100 bamboo sheets</t>
  </si>
  <si>
    <t xml:space="preserve">DBS4-SP-Bamboo Sheets Bamboo Sateen Sheets-(VLSV)-Exact-(Ranking)-DO-BAMBOO-KING-WHITE</t>
  </si>
  <si>
    <t xml:space="preserve">bamboo sheets bamboo sateen sheets</t>
  </si>
  <si>
    <t xml:space="preserve">DBS4-SP-Bamboo Sheets-[Bamboo]-(VHSV)-Exact-(Ranking)-DO-BAMBOO-KING-CREME</t>
  </si>
  <si>
    <t xml:space="preserve">DBS4-SP-Bampure 100 Organic Bamboo Sheets King Size-(NOSV)-Exact-(Ranking)-DO-BAMBOO-KING-WHITE</t>
  </si>
  <si>
    <t xml:space="preserve">bampure 100 organic bamboo sheets king size</t>
  </si>
  <si>
    <t xml:space="preserve">DBS4-SP-Bed Sheets Bamboo Sheets-(VLSV)-Exact-(Ranking)-DO-BAMBOO-KING-WHITE</t>
  </si>
  <si>
    <t xml:space="preserve">bed sheets bamboo sheets</t>
  </si>
  <si>
    <t xml:space="preserve">DBS4-SP-Cool Bamboo Sheets-(VLSV)-Exact-(Ranking)-DO-BAMBOO-KING-WHITE</t>
  </si>
  <si>
    <t xml:space="preserve">cool bamboo sheets</t>
  </si>
  <si>
    <t xml:space="preserve">bamboo sheets queen</t>
  </si>
  <si>
    <t xml:space="preserve">100 bamboo · 100 bamboo sheet queen size · 100 organic +60 more keywords</t>
  </si>
  <si>
    <t xml:space="preserve">bamboo sheets queen size</t>
  </si>
  <si>
    <t xml:space="preserve">DBS4-SP-Cooling Sheets Queen-(HSV)-Exact-(Ranking)-DO-BAMBOO-QUEEN-WHITE</t>
  </si>
  <si>
    <t xml:space="preserve">cooling sheets queen</t>
  </si>
  <si>
    <t xml:space="preserve">DBS4-SP-Queen Sheet Set Bamboo-[Bamboo|Queen]-(LSV)-Exact-(Ranking)-DO-BAMBOO-QUEEN-WHITE</t>
  </si>
  <si>
    <t xml:space="preserve">queen sheet bamboo · queen sheet set bamboo · queen size sheet bamboo</t>
  </si>
  <si>
    <t xml:space="preserve">purple bamboo sheets</t>
  </si>
  <si>
    <t xml:space="preserve">DBS4-SP-Cool Sheets Queen-[Cooling|Queen]-(LSV)-Exact-(Ranking)-DO-BAMBOO-QUEEN-WHITE</t>
  </si>
  <si>
    <t xml:space="preserve">cool sheets queen</t>
  </si>
  <si>
    <t xml:space="preserve">DBS4-SP-bamboo cooling sheets queen-[Bamboo|Cooling]-(LSV)-Exact-(Ranking)-FIX-BAMBOO-QUEEN-WHITE</t>
  </si>
  <si>
    <t xml:space="preserve">bamboo cooling sheets queen</t>
  </si>
  <si>
    <t xml:space="preserve">DBS4-SP-Bamboo Deep Pocket Queen Sheets-(LSV)-Exact-(Ranking)-FIX-BAMBOO-QUEEN-TAUPE</t>
  </si>
  <si>
    <t xml:space="preserve">bamboo deep pocket queen sheets</t>
  </si>
  <si>
    <t xml:space="preserve">DBS4-SP-Bamboo Cooling Sheets-(MSV)-Exact-(Ranking)-DO-BAMBOO-QUEEN-WHITE</t>
  </si>
  <si>
    <t xml:space="preserve">bamboo cooling sheets</t>
  </si>
  <si>
    <t xml:space="preserve">DBS4-SP-Bamboo Queen Bed Sheets-[Bamboo|Queen]-(LSV)-Exact-(Ranking)-DO-BAMBOO-QUEEN-OLIVE</t>
  </si>
  <si>
    <t xml:space="preserve">army green sheets queen · bamboo queen bed sheets</t>
  </si>
  <si>
    <t xml:space="preserve">DBS4-SP-Queen Cooling Sheets-[Cooling|Queen]-(MSV)-Exact-(Ranking)-DO-BAMBOO-QUEEN-WHITE</t>
  </si>
  <si>
    <t xml:space="preserve">queen cooling sheets</t>
  </si>
  <si>
    <t xml:space="preserve">DBS4-SP-bamboo cooling sheets queen size-[Bamboo|Cooling]-(LSV)-Exact-(Ranking)-FIX-BAMBOO-QUEEN-WHITE-TAIL-5</t>
  </si>
  <si>
    <t xml:space="preserve">BAMBOO-QUEEN-WHITE-TAIL-5</t>
  </si>
  <si>
    <t xml:space="preserve">bamboo cooling sheets queen size</t>
  </si>
  <si>
    <t xml:space="preserve">DBS4-SP-100 Bamboo Sheets Queen-(VLSV)-Exact-(Ranking)-DO-BAMBOO-QUEEN-OLIVE</t>
  </si>
  <si>
    <t xml:space="preserve">100 bamboo sheets · 100 bamboo sheets king · 100 bamboo sheets queen</t>
  </si>
  <si>
    <t xml:space="preserve">DBS4-SP-Cool Sheets For Hot Sleepers-[Cooling]-(LSV)-Exact-(Ranking)-DO-BAMBOO-QUEEN-WHITE</t>
  </si>
  <si>
    <t xml:space="preserve">cool bed sheets · cool sheets · cool sheets for hot sleepers</t>
  </si>
  <si>
    <t xml:space="preserve">DBS4-SP-Queen Bamboo Sheet Set-(MSV)-Exact-(Ranking)-DO-BAMBOO-QUEEN-TAUPE</t>
  </si>
  <si>
    <t xml:space="preserve">queen bamboo sheet set</t>
  </si>
  <si>
    <t xml:space="preserve">DBS4-SP-bamboo viscose sheets queen-[Bamboo|Queen]-(LSV)-Exact-(Ranking)-FIX-BAMBOO-QUEEN-WHITE-TAIL-4</t>
  </si>
  <si>
    <t xml:space="preserve">BAMBOO-QUEEN-WHITE-TAIL-4</t>
  </si>
  <si>
    <t xml:space="preserve">bamboo viscose sheets queen</t>
  </si>
  <si>
    <t xml:space="preserve">DBS4-SP-Bamboo Bed Sheets Queen Size-(VLSV)-Exact-(Ranking)-DO-BAMBOO-QUEEN-TAUPE</t>
  </si>
  <si>
    <t xml:space="preserve">bamboo bed sheets queen size</t>
  </si>
  <si>
    <t xml:space="preserve">DBS4-SP-Bamboo Sheets Queen Size Bed Set-(VLSV)-Exact-(Ranking)-DO-BAMBOO-QUEEN-WHITE</t>
  </si>
  <si>
    <t xml:space="preserve">bamboo sheets queen size bed set</t>
  </si>
  <si>
    <t xml:space="preserve">DBS4-SP-Queen Sheets Deep Pocket Cooling-[Cooling|Queen]-(LSV)-Exact-(Ranking)-DO-BAMBOO-QUEEN-WHITE</t>
  </si>
  <si>
    <t xml:space="preserve">queen sheets deep pocket cooling</t>
  </si>
  <si>
    <t xml:space="preserve">bamboo cooling sheets queen size bed set deep pockets</t>
  </si>
  <si>
    <t xml:space="preserve">DBS4-SP-Bamboo Queen Size Sheets-(VLSV)-Exact-(Ranking)-DO-BAMBOO-QUEEN-TAUPE</t>
  </si>
  <si>
    <t xml:space="preserve">bamboo queen size sheets</t>
  </si>
  <si>
    <t xml:space="preserve">DBS4-SP-Bamboo Sheets Queen Size Deep Pocket-(LSV)-Exact-(Ranking)-DO-BAMBOO-QUEEN-WHITE</t>
  </si>
  <si>
    <t xml:space="preserve">bamboo sheets queen size deep pocket</t>
  </si>
  <si>
    <t xml:space="preserve">DBS4-SP-Queen Size Bamboo Sheets Set-(LSV)-Exact-(Ranking)-DO-BAMBOO-QUEEN-TAUPE</t>
  </si>
  <si>
    <t xml:space="preserve">queen size bamboo sheets set</t>
  </si>
  <si>
    <t xml:space="preserve">DBS4-SP-Cooling Fitted Sheet Queen-(MSV)-Exact-(Ranking)-DO-BAMBOO-QUEEN-WHITE</t>
  </si>
  <si>
    <t xml:space="preserve">cooling fitted sheet queen</t>
  </si>
  <si>
    <t xml:space="preserve">DBS4-SP-Organic Bamboo Sheets Queen Size-[Bamboo|Queen]-(LSV)-Exact-(Conversion)-FIX-BAMBOO-QUEEN-WHITE</t>
  </si>
  <si>
    <t xml:space="preserve">organic bamboo sheets queen size</t>
  </si>
  <si>
    <t xml:space="preserve">DBS4-SP-Bamboo Soft Sheets-(VLSV)-Exact-(Ranking)-DO-BAMBOO-QUEEN-WHITE</t>
  </si>
  <si>
    <t xml:space="preserve">bamboo cooling bed set · bamboo sheets deep pockets queen size · bamboo soft sheets</t>
  </si>
  <si>
    <t xml:space="preserve">DBS4-SP-Bamboo Queen Sheet Set Deep Pocket-(VLSV)-Exact-(Ranking)-DO-BAMBOO-QUEEN-TAUPE</t>
  </si>
  <si>
    <t xml:space="preserve">bamboo queen sheet set deep pocket</t>
  </si>
  <si>
    <t xml:space="preserve">DBS4-SP-Queen Sheet Set Cooling-[Cooling|Queen]-(LSV)-Exact-(Ranking)-DO-BAMBOO-QUEEN-WHITE</t>
  </si>
  <si>
    <t xml:space="preserve">queen sheet set cooling</t>
  </si>
  <si>
    <t xml:space="preserve">DBS4-SP-Best Bamboo Sheets Queen-(VLSV)-Exact-(Ranking)-DO-BAMBOO-QUEEN-TAUPE</t>
  </si>
  <si>
    <t xml:space="preserve">best bamboo sheets queen</t>
  </si>
  <si>
    <t xml:space="preserve">DBS4-SP-Organic Bamboo Sheets-[Bamboo]-(LSV)-Exact-(Ranking)-DO-BAMBOO-QUEEN-WHITE</t>
  </si>
  <si>
    <t xml:space="preserve">organic bamboo sheets</t>
  </si>
  <si>
    <t xml:space="preserve">DBS4-SP-Cooling Bedsheets Queen Size-[Cooling|Queen]-(LSV)-Exact-(Ranking)-DO-BAMBOO-QUEEN-WHITE</t>
  </si>
  <si>
    <t xml:space="preserve">cooling bedsheets queen size</t>
  </si>
  <si>
    <t xml:space="preserve">DBS4-SP-White Bamboo Sheets Queen-(VLSV)-Exact-(Ranking)-DO-BAMBOO-QUEEN-WHITE</t>
  </si>
  <si>
    <t xml:space="preserve">white bamboo sheets queen</t>
  </si>
  <si>
    <t xml:space="preserve">DBS4-SP-Queen Cooling Sheet Set-[Cooling|Queen]-(LSV)-Exact-(Ranking)-DO-BAMBOO-QUEEN-WHITE</t>
  </si>
  <si>
    <t xml:space="preserve">queen cooling sheet set</t>
  </si>
  <si>
    <t xml:space="preserve">DBS4-SP-Bamboo Dark Green Sheets-(VLSV)-Exact-(Conversion)-DO-BAMBOO-QUEEN-OLIVE</t>
  </si>
  <si>
    <t xml:space="preserve">bamboo dark green sheets</t>
  </si>
  <si>
    <t xml:space="preserve">DBS4-SP-Bed Sheets Queen Size Bamboo-(VLSV)-Exact-(Ranking)-DO-BAMBOO-QUEEN-TAUPE</t>
  </si>
  <si>
    <t xml:space="preserve">bed sheets queen size bamboo</t>
  </si>
  <si>
    <t xml:space="preserve">DBS4-SP-Queen Cooling Sheets Deep Pockets-[Cooling|Queen]-(LSV)-Exact-(Ranking)-DO-BAMBOO-QUEEN-WHITE</t>
  </si>
  <si>
    <t xml:space="preserve">queen cooling sheets deep pockets</t>
  </si>
  <si>
    <t xml:space="preserve">DBS4-SP-Queen Bed Sheet Set Cooling-[Cooling|Queen]-(VLSV)-Exact-(Ranking)-DO-BAMBOO-QUEEN-WHITE</t>
  </si>
  <si>
    <t xml:space="preserve">queen bed sheet set cooling</t>
  </si>
  <si>
    <t xml:space="preserve">DBS4-SP-Moss Green Sheets King-(VLSV)-Exact-(Conversion)-DO-BAMBOO-QUEEN-OLIVE</t>
  </si>
  <si>
    <t xml:space="preserve">moss green sheets king · queen emerald green sheets</t>
  </si>
  <si>
    <t xml:space="preserve">DBS4-SP-Extra Deep 20-24 Inch Pocket Queen Size Bamboo Sheets-[Bamboo|Queen]-(LSV)-Exact-(Conversion)-FIX-BAMBOO-QUEEN-WHITE</t>
  </si>
  <si>
    <t xml:space="preserve">extra deep 20-24 inch pocket queen size bamboo sheets</t>
  </si>
  <si>
    <t xml:space="preserve">DBS4-SP-Cooling Sheets Queen Size Bed Set-[Cooling|Queen]-(VLSV)-Exact-(Ranking)-DO-BAMBOO-QUEEN-WHITE</t>
  </si>
  <si>
    <t xml:space="preserve">cooling sheets queen size bed set</t>
  </si>
  <si>
    <t xml:space="preserve">cooling sheets queen bamboo</t>
  </si>
  <si>
    <t xml:space="preserve">DBS4-SP-Bamboo Queen Sheet Set-[Bamboo|Queen]-(LSV)-Exact-(Ranking)-DO-BAMBOO-QUEEN-WHITE</t>
  </si>
  <si>
    <t xml:space="preserve">bamboo queen sheet set</t>
  </si>
  <si>
    <t xml:space="preserve">DBS4-SP-Bamboo Queen Sheets Cooling-[Bamboo|Cooling|Queen]-(MSV)-Exact-(Ranking)-DO-BAMBOO-QUEEN-TAUPE</t>
  </si>
  <si>
    <t xml:space="preserve">bamboo queen sheets cooling</t>
  </si>
  <si>
    <t xml:space="preserve">DBS4-SP-Bamboo Sheet Set Queen Size-[Bamboo|Queen]-(VLSV)-Exact-(Conversion)-FIX-BAMBOO-QUEEN-WHITE</t>
  </si>
  <si>
    <t xml:space="preserve">bamboo sheet set queen size</t>
  </si>
  <si>
    <t xml:space="preserve">DBS4-SP-Queen Size Sheet Set Cooling-[Cooling|Queen]-(LSV)-Exact-(Ranking)-DO-BAMBOO-QUEEN-WHITE</t>
  </si>
  <si>
    <t xml:space="preserve">queen size sheet set cooling</t>
  </si>
  <si>
    <t xml:space="preserve">DBS4-SP-Bamboo Green Sheets-(VLSV)-Exact-(Ranking)-DO-BAMBOO-QUEEN-SAGE GREEN</t>
  </si>
  <si>
    <t xml:space="preserve">bamboo green sheets</t>
  </si>
  <si>
    <t xml:space="preserve">DBS4-SP-Queen Bamboo Sheets Cooling-[Bamboo|Cooling]-(VLSV)-Exact-(Conversion)-FIX-BAMBOO-QUEEN-WHITE</t>
  </si>
  <si>
    <t xml:space="preserve">queen bamboo sheets cooling</t>
  </si>
  <si>
    <t xml:space="preserve">DBS4-SP-Bamboo Queen Bed Sheets Cooling-[Bamboo|Cooling|Queen]-(MSV)-Exact-(Ranking)-DO-BAMBOO-QUEEN-TAUPE</t>
  </si>
  <si>
    <t xml:space="preserve">bamboo queen bed sheets cooling</t>
  </si>
  <si>
    <t xml:space="preserve">DBS4-SP-Queen Deep Pocket Bamboo Sheets-[Bamboo|Queen]-(LSV)-Exact-(Ranking)-DO-BAMBOO-QUEEN-WHITE</t>
  </si>
  <si>
    <t xml:space="preserve">queen deep pocket bamboo sheets</t>
  </si>
  <si>
    <t xml:space="preserve">queen bamboo cooling sheets</t>
  </si>
  <si>
    <t xml:space="preserve">DBS4-SP-Queen Size Bamboo Sheets-[Bamboo|Queen]-(LSV)-Exact-(Ranking)-DO-BAMBOO-QUEEN-WHITE</t>
  </si>
  <si>
    <t xml:space="preserve">queen bamboo sheets · queen size bamboo sheets</t>
  </si>
  <si>
    <t xml:space="preserve">DBS4-SP-Sábanas De Bamboo Queen-[Bamboo|Queen]-(LSV)-Exact-(Conversion)-FIX-BAMBOO-QUEEN-WHITE</t>
  </si>
  <si>
    <t xml:space="preserve">sábanas de bamboo queen</t>
  </si>
  <si>
    <t xml:space="preserve">DBS4-SP-Sheets Queen Cooling-[Cooling|Queen]-(LSV)-Exact-(Ranking)-DO-BAMBOO-QUEEN-WHITE</t>
  </si>
  <si>
    <t xml:space="preserve">sheets queen cooling</t>
  </si>
  <si>
    <t xml:space="preserve">DBS4-SP-Queen Bamboo Bed Sheet Sets-[Bamboo|Queen]-(LSV)-Exact-(Ranking)-DO-BAMBOO-QUEEN-WHITE</t>
  </si>
  <si>
    <t xml:space="preserve">queen bamboo bed sheet sets</t>
  </si>
  <si>
    <t xml:space="preserve">DBS4-SP-Queen Bed Sheet Set Bamboo-(VLSV)-Exact-(Ranking)-DO-BAMBOO-QUEEN-TAUPE</t>
  </si>
  <si>
    <t xml:space="preserve">queen bed sheet set bamboo</t>
  </si>
  <si>
    <t xml:space="preserve">DBS4-SP-Oeko-tex Certified Bamboo Sheets Queen-[Bamboo|Queen]-(LSV)-Exact-(Conversion)-FIX-BAMBOO-QUEEN-WHITE</t>
  </si>
  <si>
    <t xml:space="preserve">oeko-tex certified bamboo sheets queen</t>
  </si>
  <si>
    <t xml:space="preserve">DBS4-SP-Bamboo Cooling Queen Sheets-[Bamboo|Cooling]-(LSV)-Exact-(Ranking)-DO-BAMBOO-QUEEN-WHITE</t>
  </si>
  <si>
    <t xml:space="preserve">bamboo cooling queen sheets</t>
  </si>
  <si>
    <t xml:space="preserve">DBS4-SP-Queen Deep Pocket Bamboo Sheet Sets-(VLSV)-Exact-(Ranking)-DO-BAMBOO-QUEEN-WHITE</t>
  </si>
  <si>
    <t xml:space="preserve">queen deep pocket bamboo sheet sets</t>
  </si>
  <si>
    <t xml:space="preserve">DBS4-SP-Sheets Queen Size Bamboo-(VLSV)-Exact-(Ranking)-DO-BAMBOO-QUEEN-WHITE</t>
  </si>
  <si>
    <t xml:space="preserve">sheets queen bamboo · sheets queen size bamboo</t>
  </si>
  <si>
    <t xml:space="preserve">DBS4-SP-Cooling Bed Sheets Queen-(MSV)-Exact-(Ranking)-DO-BAMBOO-QUEEN-WHITE</t>
  </si>
  <si>
    <t xml:space="preserve">cooling bed sheets queen</t>
  </si>
  <si>
    <t xml:space="preserve">DBS4-SP-Bamboo Sheets Queen Set-(VLSV)-Exact-(Ranking)-DO-BAMBOO-QUEEN-WHITE</t>
  </si>
  <si>
    <t xml:space="preserve">bamboo sheets queen set · bamboo sheets queen size set</t>
  </si>
  <si>
    <t xml:space="preserve">DBS4-SP-Burgundy Bed Sheet Set Queen-(VLSV)-Exact-(Ranking)-DO-BAMBOO-QUEEN-BURGUNDY-NEW</t>
  </si>
  <si>
    <t xml:space="preserve">burgundy bed sheet set queen</t>
  </si>
  <si>
    <t xml:space="preserve">DBS4-SP-Bed Sheets Bamboo Queen-(VLSV)-Exact-(Conversion)-DO-BAMBOO-QUEEN-WHITE</t>
  </si>
  <si>
    <t xml:space="preserve">bed sheets bamboo queen</t>
  </si>
  <si>
    <t xml:space="preserve">bamboo cooling sheet set queen size</t>
  </si>
  <si>
    <t xml:space="preserve">DBS4-SP-Queen Bamboo Sheet Set Deep Pocket-(VLSV)-Exact-(Conversion)-DO-BAMBOO-QUEEN-WHITE</t>
  </si>
  <si>
    <t xml:space="preserve">queen bamboo sheet set deep pocket</t>
  </si>
  <si>
    <t xml:space="preserve">DBS4-SP-Cooling Bamboo Sheets Queen Size-[Bamboo|Cooling]-(LSV)-Exact-(Ranking)-DO-BAMBOO-QUEEN-WHITE</t>
  </si>
  <si>
    <t xml:space="preserve">cooling bamboo sheets queen · cooling bamboo sheets queen size</t>
  </si>
  <si>
    <t xml:space="preserve">DBS4-SP-Red Queen Bedding-(VLSV)-Exact-(Ranking)-DO-BAMBOO-QUEEN-BURGUNDY-NEW</t>
  </si>
  <si>
    <t xml:space="preserve">red queen bedding</t>
  </si>
  <si>
    <t xml:space="preserve">DBS4-SP-Queen Size Sheet Set Bamboo-(VLSV)-Exact-(Conversion)-DO-BAMBOO-QUEEN-WHITE</t>
  </si>
  <si>
    <t xml:space="preserve">queen size sheet set bamboo</t>
  </si>
  <si>
    <t xml:space="preserve">DBS4-SP-Sheets For Queen Size Bed Bamboo-(VLSV)-Exact-(Ranking)-DO-BAMBOO-QUEEN-WHITE</t>
  </si>
  <si>
    <t xml:space="preserve">sheets for queen size bed bamboo</t>
  </si>
  <si>
    <t xml:space="preserve">DBS4-SP-White Bamboo Sheets Queen Set-(VLSV)-Exact-(Conversion)-DO-BAMBOO-QUEEN-WHITE</t>
  </si>
  <si>
    <t xml:space="preserve">white bamboo sheets queen set</t>
  </si>
  <si>
    <t xml:space="preserve">bamboo twin sheets</t>
  </si>
  <si>
    <t xml:space="preserve">twin bamboo sheets</t>
  </si>
  <si>
    <t xml:space="preserve">DBS4-SP-Twin Bamboo Sheets Set-(LSV)-Exact-(Ranking)-DO-BAMBOO-TWIN-WHITE</t>
  </si>
  <si>
    <t xml:space="preserve">twin bamboo sheet sets · twin size bamboo sheet sets</t>
  </si>
  <si>
    <t xml:space="preserve">bamboo sheets twin</t>
  </si>
  <si>
    <t xml:space="preserve">twin bamboo bed sheets</t>
  </si>
  <si>
    <t xml:space="preserve">DBS4-SP-Bamboo Fitted Sheet Twin-(VLSV)-Exact-(Ranking)-DO-BAMBOO-TWIN-LIGHTBLUE</t>
  </si>
  <si>
    <t xml:space="preserve">bamboo fitted sheet twin</t>
  </si>
  <si>
    <t xml:space="preserve">DBS4-SP-Twin Cooling Sheets-[Cooling|Twin]-(LSV)-Exact-(Ranking)-DO-BAMBOO-TWIN-LIGHTBLUE</t>
  </si>
  <si>
    <t xml:space="preserve">twin cooling sheets</t>
  </si>
  <si>
    <t xml:space="preserve">twin sheets set bamboo</t>
  </si>
  <si>
    <t xml:space="preserve">bamboo sheets twin size</t>
  </si>
  <si>
    <t xml:space="preserve">bamboo twin sheets set</t>
  </si>
  <si>
    <t xml:space="preserve">DBS4-SP-Twin Bed Sheets Cooling-[Cooling|Twin]-(LSV)-Exact-(Ranking)-DO-BAMBOO-TWIN-LIGHTBLUE</t>
  </si>
  <si>
    <t xml:space="preserve">twin bed sheets cooling</t>
  </si>
  <si>
    <t xml:space="preserve">twin sheets bamboo</t>
  </si>
  <si>
    <t xml:space="preserve">DBS4-SP-Twin Sheets Cooling-[Cooling|Twin]-(LSV)-Exact-(Ranking)-DO-BAMBOO-TWIN-LIGHTBLUE</t>
  </si>
  <si>
    <t xml:space="preserve">twin sheets cooling</t>
  </si>
  <si>
    <t xml:space="preserve">DBS4-SP-Twin Size Bamboo Sheets-[Bamboo|Twin]-(MSV)-Exact-(Ranking)-DO-BAMBOO-TWIN-BURGUNDY-NEW</t>
  </si>
  <si>
    <t xml:space="preserve">twin size bamboo sheets</t>
  </si>
  <si>
    <t xml:space="preserve">DBS4-SP-Twin Hunter Green Sheets-(NOSV)-Exact-(Conversion)-DO-BAMBOO-TWIN-OLIVE</t>
  </si>
  <si>
    <t xml:space="preserve">twin hunter green sheets</t>
  </si>
  <si>
    <t xml:space="preserve">DBS6-SP-bamboo sheets california king-[Bamboo|California King]-(LSV)-Broad-(DISC)-DO-BAMBOO-CALIFKING-WHITE-6PCS</t>
  </si>
  <si>
    <t xml:space="preserve">DBS6-SP-california king bamboo sheet sets-[Bamboo|California King]-(LSV)-Exact-(Ranking)-FIX-BAMBOO-CALIFKING-WHITE-6PCS</t>
  </si>
  <si>
    <t xml:space="preserve">DBS6-SP-cal king bamboo sheets-[Bamboo|California King]-(LSV)-Exact-(Ranking)-FIX-BAMBOO-CALIFKING-WHITE-6PCS-TAIL-6</t>
  </si>
  <si>
    <t xml:space="preserve">BAMBOO-CALIFKING-WHITE-6PCS-TAIL-6</t>
  </si>
  <si>
    <t xml:space="preserve">cal king bamboo sheets</t>
  </si>
  <si>
    <t xml:space="preserve">DBS6-SP-cal king bamboo sheet set-[Bamboo|California King]-(LSV)-Exact-(Ranking)-FIX-BAMBOO-CALIFKING-WHITE-6PCS</t>
  </si>
  <si>
    <t xml:space="preserve">DBS6-SP-Bamboo Sheets California King-(LSV)-Exact-(Ranking)-DO-BAMBOO-CALIFKING-WHITE-6PCS</t>
  </si>
  <si>
    <t xml:space="preserve">bamboo sheets california king · bamboo sheets california king size · bamboo sheets cal king size</t>
  </si>
  <si>
    <t xml:space="preserve">DBS6-SP-bamboo cal king sheets-[Bamboo|California King]-(LSV)-Exact-(Ranking)-FIX-BAMBOO-CALIFKING-WHITE-6PCS-TAIL-10</t>
  </si>
  <si>
    <t xml:space="preserve">BAMBOO-CALIFKING-WHITE-6PCS-TAIL-10</t>
  </si>
  <si>
    <t xml:space="preserve">DBS6-SP-California King Sheet Sets Cooling-[Cooling|California King]-(LSV)-Exact-(Ranking)-DO-BAMBOO-CALIFKING-WHITE-6PCS</t>
  </si>
  <si>
    <t xml:space="preserve">DBS6-SP-black bamboo-[Bamboo]-(LSV)-Exact-(Ranking)-FIX-BAMBOO-CALIFKING-BLACK-6PCS-TAIL-8</t>
  </si>
  <si>
    <t xml:space="preserve">BAMBOO-CALIFKING-BLACK-6PCS-TAIL-8</t>
  </si>
  <si>
    <t xml:space="preserve">black bamboo</t>
  </si>
  <si>
    <t xml:space="preserve">DBS6-SP-Bamboo Sheets Cal King Deep Pocket-(VLSV)-Exact-(Ranking)-DO-BAMBOO-CALIFKING-WHITE-6PCS</t>
  </si>
  <si>
    <t xml:space="preserve">bamboo sheets california king deep pocket · bamboo sheets cal king deep pocket · bamboo sheets cal king size deep pocket</t>
  </si>
  <si>
    <t xml:space="preserve">DBS6-SP-Cooling California King Sheets-[Cooling|California King]-(LSV)-Exact-(Ranking)-DO-BAMBOO-CALIFKING-WHITE-6PCS</t>
  </si>
  <si>
    <t xml:space="preserve">cooling california king sheets</t>
  </si>
  <si>
    <t xml:space="preserve">DBS6-SP-California King Sheets Cooling-[Cooling|California King]-(LSV)-Exact-(Ranking)-DO-BAMBOO-CALIFKING-WHITE-6PCS</t>
  </si>
  <si>
    <t xml:space="preserve">DBS6-SP-California King Sheets Bamboo-(VLSV)-Exact-(Ranking)-DO-BAMBOO-CALIFKING-WHITE-6PCS</t>
  </si>
  <si>
    <t xml:space="preserve">california king sheet bamboo · california king sheets bamboo · cal king sheets bamboo</t>
  </si>
  <si>
    <t xml:space="preserve">DBS6-SP-Bamboo California King Sheet Sets-(VLSV)-Exact-(Ranking)-DO-BAMBOO-CALIFKING-WHITE-6PCS</t>
  </si>
  <si>
    <t xml:space="preserve">bamboo california king sheet sets</t>
  </si>
  <si>
    <t xml:space="preserve">DBS6-SP-bamboo sheets full-[Bamboo|Full]-(MSV)-Broad-(DISC)-DO-BAMBOO-FULL-WHITE-6PCS</t>
  </si>
  <si>
    <t xml:space="preserve">bamboo sheets full</t>
  </si>
  <si>
    <t xml:space="preserve">DBS6-SP-full size bamboo sheet sets-[Bamboo|Full]-(LSV)-Exact-(Ranking)-FIX-BAMBOO-FULL-WHITE-6PCS</t>
  </si>
  <si>
    <t xml:space="preserve">full size bamboo sheet sets</t>
  </si>
  <si>
    <t xml:space="preserve">DBS6-SP-Full Size Bamboo Sheets-[Bamboo|Full]-(MSV)-Exact-(Ranking)-DO-BAMBOO-FULL-WHITE-6PCS</t>
  </si>
  <si>
    <t xml:space="preserve">full bamboo sheets · full size bamboo sheets · full-size bamboo sheets</t>
  </si>
  <si>
    <t xml:space="preserve">DBS6-SP-Bamboo Sheets Full-[Bamboo|Full]-(MSV)-Exact-(Ranking)-DO-BAMBOO-FULL-WHITE-6PCS</t>
  </si>
  <si>
    <t xml:space="preserve">DBS6-SP-Bamboo Cooling Sheets Full Size-[Cooling|Full]-(LSV)-Exact-(Ranking)-DO-BAMBOO-FULL-WHITE-6PCS</t>
  </si>
  <si>
    <t xml:space="preserve">DBS6-SP-Bamboo Full Size Bed Sheets-[Bamboo|Full]-(LSV)-Exact-(Ranking)-DO-BAMBOO-FULL-WHITE-6PCS</t>
  </si>
  <si>
    <t xml:space="preserve">DBS6-SP-Bamboo Full Sheets-(VLSV)-Exact-(Ranking)-DO-BAMBOO-FULL-WHITE-6PCS</t>
  </si>
  <si>
    <t xml:space="preserve">bamboo full sheets</t>
  </si>
  <si>
    <t xml:space="preserve">DBS6-SP-Bamboo Full Size Sheet Sets-(VLSV)-Exact-(Ranking)-DO-BAMBOO-FULL-WHITE-6PCS</t>
  </si>
  <si>
    <t xml:space="preserve">bamboo full size sheet sets</t>
  </si>
  <si>
    <t xml:space="preserve">DBS6-SP-Cooling Bed Sheets Full-(VLSV)-Exact-(Ranking)-DO-BAMBOO-FULL-WHITE-6PCS</t>
  </si>
  <si>
    <t xml:space="preserve">cooling bed sheet full · cooling bed sheets full</t>
  </si>
  <si>
    <t xml:space="preserve">DBS6-SP-bamboo bed sheets full size-[Bamboo|Full]-(LSV)-Exact-(Ranking)-FIX-BAMBOO-FULL-WHITE-6PCS-TAIL-5</t>
  </si>
  <si>
    <t xml:space="preserve">bamboo bed sheets full size</t>
  </si>
  <si>
    <t xml:space="preserve">DBS6-SP-Full Size Bed Sheets Bamboo-(VLSV)-Exact-(Ranking)-DO-BAMBOO-FULL-WHITE-6PCS</t>
  </si>
  <si>
    <t xml:space="preserve">DBS6-SP-Full Size Sheets Bamboo-[Bamboo|Full]-(LSV)-Exact-(Ranking)-DO-BAMBOO-FULL-WHITE-6PCS</t>
  </si>
  <si>
    <t xml:space="preserve">DBS6-SP-Sheets Full Size Bed Bamboo-(VLSV)-Exact-(Ranking)-DO-BAMBOO-FULL-WHITE-6PCS</t>
  </si>
  <si>
    <t xml:space="preserve">DBS6-SP-Bamboo Bed Sheets Full-(VLSV)-Exact-(Ranking)-DO-BAMBOO-FULL-WHITE-6PCS</t>
  </si>
  <si>
    <t xml:space="preserve">bamboo bed sheets full</t>
  </si>
  <si>
    <t xml:space="preserve">DBS6-SP-Cooling Bed Sheets Full Size-[Cooling|Full]-(LSV)-Exact-(Ranking)-DO-BAMBOO-FULL-WHITE-6PCS</t>
  </si>
  <si>
    <t xml:space="preserve">cooling bed sheets full · cooling bed sheets full size</t>
  </si>
  <si>
    <t xml:space="preserve">DBS6-SP-Bamboo Full Size Sheets-(VLSV)-Exact-(Ranking)-DO-BAMBOO-FULL-WHITE-6PCS</t>
  </si>
  <si>
    <t xml:space="preserve">bamboo full size sheets</t>
  </si>
  <si>
    <t xml:space="preserve">DBS6-SP-Cooling Full Size Sheets-[Cooling|Full]-(LSV)-Exact-(Ranking)-DO-BAMBOO-FULL-WHITE-6PCS</t>
  </si>
  <si>
    <t xml:space="preserve">DBS6-SP-Full Sheet Set Bamboo-(VLSV)-Exact-(Ranking)-DO-BAMBOO-FULL-WHITE-6PCS</t>
  </si>
  <si>
    <t xml:space="preserve">full sheet set bamboo · full size sheets set bamboo</t>
  </si>
  <si>
    <t xml:space="preserve">DBS6-SP-Bamboo Sheet Set Full-(VLSV)-Exact-(Ranking)-DO-BAMBOO-FULL-WHITE-6PCS</t>
  </si>
  <si>
    <t xml:space="preserve">bamboo sheet set full</t>
  </si>
  <si>
    <t xml:space="preserve">DBS6-SP-Bamboo Sheets Full Size Bed Set-(VLSV)-Exact-(Ranking)-DO-BAMBOO-FULL-WHITE-6PCS</t>
  </si>
  <si>
    <t xml:space="preserve">DBS6-SP-Purple Bamboo Sheets Full-(VLSV)-Exact-(Conversion)-DO-BAMBOO-FULL-PURPLE-6PCS</t>
  </si>
  <si>
    <t xml:space="preserve">purple bamboo sheets full</t>
  </si>
  <si>
    <t xml:space="preserve">DBS6-SP-Bamboo Sheets Full Size Bed-(VLSV)-Exact-(Ranking)-DO-BAMBOO-FULL-WHITE-6PCS</t>
  </si>
  <si>
    <t xml:space="preserve">bamboo sheets for full size bed · bamboo sheets full size bed</t>
  </si>
  <si>
    <t xml:space="preserve">DBS6-SP-Full Bamboo Sheets Sets-[Bamboo|Full]-(LSV)-Exact-(Ranking)-DO-BAMBOO-FULL-WHITE-6PCS</t>
  </si>
  <si>
    <t xml:space="preserve">DBS6-SP-Full Bed Sheets Bamboo-(VLSV)-Exact-(Ranking)-DO-BAMBOO-FULL-WHITE-6PCS</t>
  </si>
  <si>
    <t xml:space="preserve">full bed sheets bamboo</t>
  </si>
  <si>
    <t xml:space="preserve">DBS6-SP-Full Bamboo Bed Sheets-(VLSV)-Exact-(Ranking)-DO-BAMBOO-FULL-WHITE-6PCS</t>
  </si>
  <si>
    <t xml:space="preserve">full bamboo bed sheets · full size bamboo bed sheets</t>
  </si>
  <si>
    <t xml:space="preserve">DBS6-SP-Full Size Bamboo Bed Sheets-(VLSV)-Exact-(Ranking)-DO-BAMBOO-FULL-WHITE-6PCS</t>
  </si>
  <si>
    <t xml:space="preserve">full size bamboo bed sheets</t>
  </si>
  <si>
    <t xml:space="preserve">DBS6-SP-100% bamboo sheets king size-[Bamboo|King]-(LSV)-Exact-(Ranking)-FIX-BAMBOO-KING-WHITE-6PCS</t>
  </si>
  <si>
    <t xml:space="preserve">100 bamboo sheets king size</t>
  </si>
  <si>
    <t xml:space="preserve">DBS6-SP-bamboo sheets-[Bamboo]-(VHSV)-Broad-(DISC)-DO-BAMBOO-KING-WHITE-6PCS</t>
  </si>
  <si>
    <t xml:space="preserve">DBS6-SP-Decolure Bamboo Sheets-(MSV)-Exact-(Ranking)-DO-BAMBOO-KING-WHITE-6PCS</t>
  </si>
  <si>
    <t xml:space="preserve">DBS6-SP-king bamboo sheets-[Bamboo|King]-(LSV)-Exact-(Ranking)-FIX-BAMBOO-KING-WHITE-6PCS</t>
  </si>
  <si>
    <t xml:space="preserve">king bamboo sheets</t>
  </si>
  <si>
    <t xml:space="preserve">DBS6-SP-green bamboo sheets-[Bamboo]-(LSV)-Exact-(Ranking)-FIX-BAMBOO-KING-SAGE GREEN-6PCS</t>
  </si>
  <si>
    <t xml:space="preserve">green bamboo sheets</t>
  </si>
  <si>
    <t xml:space="preserve">sage green bamboo sheets</t>
  </si>
  <si>
    <t xml:space="preserve">DBS6-SP-Bamboo Bed Sheets-[Bamboo]-(MSV)-Exact-(Ranking)-DO-BAMBOO-KING-WHITE-6PCS</t>
  </si>
  <si>
    <t xml:space="preserve">DBS6-SP-Cool Bed Sheets-(VLSV)-Exact-(Ranking)-DO-BAMBOO-KING-WHITE-6PCS</t>
  </si>
  <si>
    <t xml:space="preserve">burgundy bamboo sheets</t>
  </si>
  <si>
    <t xml:space="preserve">DBS6-SP-purple bamboo sheets-[Bamboo]-(LSV)-Exact-(Ranking)-FIX-BAMBOO-KING-PURPLE-6PCS</t>
  </si>
  <si>
    <t xml:space="preserve">DBS6-SP-Bamboo Cooling Sheets-(MSV)-Exact-(Ranking)-DO-BAMBOO-KING-WHITE-6PCS</t>
  </si>
  <si>
    <t xml:space="preserve">DBS6-SP-bamboo king fitted sheet-[Bamboo|King]-(LSV)-Exact-(Ranking)-FIX-BAMBOO-KING-WHITE-6PCS</t>
  </si>
  <si>
    <t xml:space="preserve">DBS6-SP-Bamboo Cooling Sheets King Size-(LSV)-Exact-(Ranking)-DO-BAMBOO-KING-WHITE-6PCS</t>
  </si>
  <si>
    <t xml:space="preserve">DBS6-SP-King Sheets-(VHSV)-Phrase-(Discovery)-DO-BAMBOO-KING-WHITE-6PCS</t>
  </si>
  <si>
    <t xml:space="preserve">king sheets</t>
  </si>
  <si>
    <t xml:space="preserve">DBS6-SP-Bamboo Bed Sheet-(VLSV)-Exact-(Ranking)-DO-BAMBOO-KING-WHITE-6PCS</t>
  </si>
  <si>
    <t xml:space="preserve">DBS6-SP-King Sheets-(VHSV)-Broad-(Discovery)-DO-BAMBOO-KING-WHITE-6PCS</t>
  </si>
  <si>
    <t xml:space="preserve">bamboo king size sheets</t>
  </si>
  <si>
    <t xml:space="preserve">DBS6-SP-cooling bamboo sheets king size-[Bamboo|Cooling]-(LSV)-Exact-(Ranking)-FIX-BAMBOO-KING-WHITE-6PCS</t>
  </si>
  <si>
    <t xml:space="preserve">bamboo spandex sheets</t>
  </si>
  <si>
    <t xml:space="preserve">DBS6-SP-black bamboo sheets king-[Bamboo|King]-(LSV)-Exact-(Ranking)-FIX-BAMBOO-KING-BLACK-6PCS-TAIL-8</t>
  </si>
  <si>
    <t xml:space="preserve">BAMBOO-KING-BLACK-6PCS-TAIL-8</t>
  </si>
  <si>
    <t xml:space="preserve">black bamboo sheets king</t>
  </si>
  <si>
    <t xml:space="preserve">bamboo king bedding sets</t>
  </si>
  <si>
    <t xml:space="preserve">cooling bedsheets</t>
  </si>
  <si>
    <t xml:space="preserve">DBS6-SP-King Size Bamboo Sheets Set-[Bamboo|King]-(MSV)-Exact-(Ranking)-DO-BAMBOO-KING-WHITE-6PCS</t>
  </si>
  <si>
    <t xml:space="preserve">king bamboo sheet sets · king size bamboo sheets set</t>
  </si>
  <si>
    <t xml:space="preserve">king sheet set bamboo</t>
  </si>
  <si>
    <t xml:space="preserve">black bamboo sheets</t>
  </si>
  <si>
    <t xml:space="preserve">DBS6-SP-cooling bamboo sheets king-[Bamboo|Cooling]-(LSV)-Exact-(Ranking)-FIX-BAMBOO-KING-WHITE-6PCS</t>
  </si>
  <si>
    <t xml:space="preserve">cooling bamboo sheets king</t>
  </si>
  <si>
    <t xml:space="preserve">DBS6-SP-Cooling Sheets For Hot Sleepers-(VLSV)-Exact-(Ranking)-DO-BAMBOO-KING-WHITE-6PCS</t>
  </si>
  <si>
    <t xml:space="preserve">DBS6-SP-King Sheets Bamboo-[Bamboo|King]-(MSV)-Exact-(Ranking)-DO-BAMBOO-KING-WHITE-6PCS</t>
  </si>
  <si>
    <t xml:space="preserve">king sheets bamboo · king size sheet bamboo</t>
  </si>
  <si>
    <t xml:space="preserve">DBS6-SP-Decolure Bamboo Sheets King Size-(VLSV)-Exact-(Ranking)-DO-BAMBOO-KING-WHITE-6PCS</t>
  </si>
  <si>
    <t xml:space="preserve">DBS6-SP-Bamboo Sheets Pink-(VLSV)-Exact-(Ranking)-DO-BAMBOO-KING-LIGHT PINK-6PCS</t>
  </si>
  <si>
    <t xml:space="preserve">bamboo sheets pink</t>
  </si>
  <si>
    <t xml:space="preserve">DBS6-SP-extra deep 20-24 inch pocket king size bamboo sheets-[Bamboo|King]-(LSV)-Exact-(Ranking)-FIX-BAMBOO-KING-WHITE-6PCS</t>
  </si>
  <si>
    <t xml:space="preserve">bamboo bed</t>
  </si>
  <si>
    <t xml:space="preserve">DBS6-SP- cooling king size sheets-(VLSV)-Exact-(Ranking)-DO-BAMBOO-KING-WHITE-6PCS</t>
  </si>
  <si>
    <t xml:space="preserve">cooling king size sheets</t>
  </si>
  <si>
    <t xml:space="preserve">DBS6-SP-Cooling Bed Sheets King-[Cooling|King]-(LSV)-Exact-(Ranking)-DO-BAMBOO-KING-WHITE-6PCS</t>
  </si>
  <si>
    <t xml:space="preserve">cooling bed sheets king · cooling bedsheets king</t>
  </si>
  <si>
    <t xml:space="preserve">DBS6-SP-King Bed Sheets Bamboo-[Bamboo|King]-(LSV)-Exact-(Ranking)-DO-BAMBOO-KING-WHITE-6PCS</t>
  </si>
  <si>
    <t xml:space="preserve">king bed sheets bamboo · king size bed sheets bamboo</t>
  </si>
  <si>
    <t xml:space="preserve">DBS6-SP-King Cooling Sheets Deep Pocket-[Cooling|King]-(LSV)-Exact-(Ranking)-DO-BAMBOO-KING-WHITE-6PCS</t>
  </si>
  <si>
    <t xml:space="preserve">king cooling sheets deep pocket</t>
  </si>
  <si>
    <t xml:space="preserve">DBS6-SP-king bamboo cooling sheets-[Bamboo|Cooling]-(LSV)-Exact-(Ranking)-FIX-BAMBOO-KING-WHITE-6PCS</t>
  </si>
  <si>
    <t xml:space="preserve">DBS6-SP-blue bamboo sheets-[Bamboo]-(LSV)-Exact-(Ranking)-FIX-BAMBOO-KING-LIGHTBLUE-6PCS</t>
  </si>
  <si>
    <t xml:space="preserve">DBS6-SP-Bamboo Sheet Set King Size-[Bamboo|King]-(VLSV)-Exact-(Ranking)-DO-BAMBOO-KING-WHITE-6PCS</t>
  </si>
  <si>
    <t xml:space="preserve">bamboo sheet set king size · bamboo sheet sets king size · bamboo sheets set king</t>
  </si>
  <si>
    <t xml:space="preserve">DBS6-SP-Bamboo King Sheets-[Bamboo|King]-(MSV)-Exact-(Ranking)-DO-BAMBOO-KING-WHITE-6PCS</t>
  </si>
  <si>
    <t xml:space="preserve">bamboo king sheets</t>
  </si>
  <si>
    <t xml:space="preserve">DBS6-SP-bamboo sheets black-[Bamboo]-(LSV)-Exact-(Ranking)-FIX-BAMBOO-KING-BLACK-6PCS-TAIL-4</t>
  </si>
  <si>
    <t xml:space="preserve">BAMBOO-KING-BLACK-6PCS-TAIL-4</t>
  </si>
  <si>
    <t xml:space="preserve">bamboo sheets black</t>
  </si>
  <si>
    <t xml:space="preserve">DBS6-SP-bamboo king sheets cooling-[Bamboo|Cooling]-(LSV)-Exact-(Ranking)-FIX-BAMBOO-KING-WHITE-6PCS</t>
  </si>
  <si>
    <t xml:space="preserve">DBS6-SP-king size sheets set bamboo cooling-[Bamboo|Cooling]-(LSV)-Exact-(Ranking)-FIX-BAMBOO-KING-WHITE-6PCS</t>
  </si>
  <si>
    <t xml:space="preserve">bamboo king bed sheets · bamboo king size bed sheets</t>
  </si>
  <si>
    <t xml:space="preserve">DBS6-SP-Bambu Sheets-(VLSV)-Exact-(Ranking)-DO-BAMBOO-KING-WHITE-6PCS</t>
  </si>
  <si>
    <t xml:space="preserve">bamboo bedding set</t>
  </si>
  <si>
    <t xml:space="preserve">DBS6-SP-Cooling King Bed Sheets-[Cooling|King]-(LSV)-Exact-(Ranking)-DO-BAMBOO-KING-WHITE-6PCS</t>
  </si>
  <si>
    <t xml:space="preserve">cooling king bed sheets</t>
  </si>
  <si>
    <t xml:space="preserve">DBS6-SP-King Size Cooling Sheets Set-[Cooling|King]-(LSV)-Exact-(Ranking)-DO-BAMBOO-KING-WHITE-6PCS</t>
  </si>
  <si>
    <t xml:space="preserve">king size cooling sheets set</t>
  </si>
  <si>
    <t xml:space="preserve">DBS6-SP-Cooling Sheets For Night Sweats-(VLSV)-Exact-(Ranking)-DO-BAMBOO-KING-WHITE-6PCS</t>
  </si>
  <si>
    <t xml:space="preserve">cooling sheets for night sweats</t>
  </si>
  <si>
    <t xml:space="preserve">DBS6-SP-Purple Bamboo Sheets King-(VLSV)-Exact-(Conversion)-DO-BAMBOO-KING-PURPLE-6PCS</t>
  </si>
  <si>
    <t xml:space="preserve">purple bamboo sheets king</t>
  </si>
  <si>
    <t xml:space="preserve">california king bamboo sheets · cali king bamboo sheets</t>
  </si>
  <si>
    <t xml:space="preserve">DBS6-SP-Bamboo King Sheets Deep Pocket-(VLSV)-Exact-(Conversion)-DO-BAMBOO-KING-WHITE-6PCS</t>
  </si>
  <si>
    <t xml:space="preserve">bamboo king sheets deep pocket</t>
  </si>
  <si>
    <t xml:space="preserve">DBS6-SP-King Bamboo Sheets Deep Pocket-(LSV)-Exact-(Ranking)-DO-BAMBOO-KING-WHITE-6PCS</t>
  </si>
  <si>
    <t xml:space="preserve">DBS6-SP-sábanas de bamboo king-[Bamboo|King]-(LSV)-Exact-(Ranking)-FIX-BAMBOO-KING-WHITE-6PCS</t>
  </si>
  <si>
    <t xml:space="preserve">bamboo sheets deep pocket king size · bamboo sheets deep pockets king size</t>
  </si>
  <si>
    <t xml:space="preserve">DBS6-SP-King Bamboo Sheets-(MSV)-Exact-(Ranking)-DO-BAMBOO-KING-WHITE-6PCS</t>
  </si>
  <si>
    <t xml:space="preserve">DBS6-SP-Best Bamboo Sheets King Size-(VLSV)-Exact-(Ranking)-DO-BAMBOO-KING-WHITE-6PCS</t>
  </si>
  <si>
    <t xml:space="preserve">DBS6-SP-Bedsure Bamboo Sheets-(LSV)-Exact-(Conversion)-DO-BAMBOO-KING-WHITE-6PCS</t>
  </si>
  <si>
    <t xml:space="preserve">bedsure bamboo sheets</t>
  </si>
  <si>
    <t xml:space="preserve">DBS6-SP-Deep Pocket Bamboo Sheets King-[Bamboo|King]-(LSV)-Exact-(Ranking)-DO-BAMBOO-KING-WHITE-6PCS</t>
  </si>
  <si>
    <t xml:space="preserve">DBS6-SP-Bamboo Sheets With Elastic Corner Straps-(VLSV)-Exact-(Ranking)-DO-BAMBOO-KING-WHITE-6PCS</t>
  </si>
  <si>
    <t xml:space="preserve">bamboo sheets with elastic corner straps</t>
  </si>
  <si>
    <t xml:space="preserve">DBS6-SP-Bamboo King Sheets Set-[Bamboo|King]-(VLSV)-Exact-(Ranking)-DO-BAMBOO-KING-WHITE-6PCS</t>
  </si>
  <si>
    <t xml:space="preserve">bamboo king sheets set</t>
  </si>
  <si>
    <t xml:space="preserve">DBS6-SP-bboo sheets-[Bamboo]-(LSV)-Exact-(Ranking)-FIX-BAMBOO-KING-WHITE-6PCS</t>
  </si>
  <si>
    <t xml:space="preserve">bboo sheets</t>
  </si>
  <si>
    <t xml:space="preserve">DBS6-SP-Deep Pocket Bamboo Sheets-[Bamboo]-(LSV)-Exact-(Ranking)-DO-BAMBOO-KING-WHITE-6PCS</t>
  </si>
  <si>
    <t xml:space="preserve">DBS6-SP-Sheets Bamboo King Size Bed Set-(VLSV)-Exact-(Ranking)-DO-BAMBOO-KING-WHITE-6PCS</t>
  </si>
  <si>
    <t xml:space="preserve">DBS6-SP-King Size Bamboo Sheets Set Deep Pocket-(VLSV)-Exact-(Ranking)-DO-BAMBOO-KING-WHITE-6PCS</t>
  </si>
  <si>
    <t xml:space="preserve">DBS6-SP-Cooling King Size Sheets Set-[Cooling|King]-(VLSV)-Exact-(Ranking)-DO-BAMBOO-KING-WHITE-6PCS</t>
  </si>
  <si>
    <t xml:space="preserve">cooling king size sheets set</t>
  </si>
  <si>
    <t xml:space="preserve">DBS6-SP-Cooling Bed Set-(VLSV)-Exact-(Ranking)-DO-BAMBOO-KING-WHITE-6PCS</t>
  </si>
  <si>
    <t xml:space="preserve">DBS6-SP-King Sheets Bamboo Deep Pocket-(VLSV)-Exact-(Ranking)-DO-BAMBOO-KING-WHITE-6PCS</t>
  </si>
  <si>
    <t xml:space="preserve">king sheets bamboo deep pocket · king size sheets bamboo deep pocket</t>
  </si>
  <si>
    <t xml:space="preserve">king deep pocket bamboo sheets · king size deep pocket bamboo sheets</t>
  </si>
  <si>
    <t xml:space="preserve">DBS6-SP-King Size Bamboo Sheets Set-(MSV)-Exact-(Ranking)-DO-BAMBOO-KING-WHITE-6PCS</t>
  </si>
  <si>
    <t xml:space="preserve">DBS6-SP-Bed Sheets Bamboo King-(VLSV)-Exact-(Ranking)-DO-BAMBOO-KING-WHITE-6PCS</t>
  </si>
  <si>
    <t xml:space="preserve">DBS6-SP-cooling sheets king size bamboo-[Bamboo|Cooling]-(LSV)-Exact-(Ranking)-FIX-BAMBOO-KING-WHITE-6PCS-TAIL-4</t>
  </si>
  <si>
    <t xml:space="preserve">BAMBOO-KING-WHITE-6PCS-TAIL-4</t>
  </si>
  <si>
    <t xml:space="preserve">DBS6-SP-Bamboo Organic Sheets-(VLSV)-Exact-(Ranking)-DO-BAMBOO-KING-WHITE-6PCS</t>
  </si>
  <si>
    <t xml:space="preserve">DBS6-SP-King Sheets Deep Pocket Cooling-[Cooling|King]-(LSV)-Exact-(Ranking)-DO-BAMBOO-KING-WHITE-6PCS</t>
  </si>
  <si>
    <t xml:space="preserve">king sheets deep pocket cooling</t>
  </si>
  <si>
    <t xml:space="preserve">DBS6-SP-Cooling Bedding-(VLSV)-Exact-(Ranking)-DO-BAMBOO-KING-WHITE-6PCS</t>
  </si>
  <si>
    <t xml:space="preserve">cooling bedding</t>
  </si>
  <si>
    <t xml:space="preserve">DBS6-SP-Decolure Sheets-(VLSV)-Exact-(Defensive)-DO-BAMBOO-KING-WHITE-6PCS</t>
  </si>
  <si>
    <t xml:space="preserve">decolure sheets</t>
  </si>
  <si>
    <t xml:space="preserve">DBS6-SP-Cariloha Bamboo Sheets-(MSV)-Exact-(Conversion)-DO-BAMBOO-KING-WHITE-6PCS</t>
  </si>
  <si>
    <t xml:space="preserve">cariloha bamboo sheets</t>
  </si>
  <si>
    <t xml:space="preserve">DBS6-SP-King Size Bamboo Sheets Set-[Bamboo|King]-(MSV)-Exact-(Ranking)-DO-BAMBOO-KING-WHITE-6PCS-2</t>
  </si>
  <si>
    <t xml:space="preserve">king bamboo sheet set · king bamboo sheets set · king size bamboo sheets set</t>
  </si>
  <si>
    <t xml:space="preserve">DBS6-SP-cooling bamboo king sheets-[Bamboo|Cooling]-(LSV)-Exact-(Ranking)-FIX-BAMBOO-KING-WHITE-6PCS-TAIL-4</t>
  </si>
  <si>
    <t xml:space="preserve">DBS6-SP-100 Viscose Bamboo Sheets-(VLSV)-Exact-(Conversion)-DO-BAMBOO-KING-WHITE-6PCS</t>
  </si>
  <si>
    <t xml:space="preserve">DBS6-SP-100 Bamboo Sheets-(VLSV)-Exact-(Conversion)-DO-BAMBOO-KING-WHITE-6PCS</t>
  </si>
  <si>
    <t xml:space="preserve">100 bamboo sheets</t>
  </si>
  <si>
    <t xml:space="preserve">DBS6-SP-bella sheets bamboo-[Bamboo]-(LSV)-Exact-(Ranking)-FIX-BAMBOO-KING-WHITE-6PCS</t>
  </si>
  <si>
    <t xml:space="preserve">DBS6-SP-Bamboo Deep Pocket Sheets-(VLSV)-Exact-(Ranking)-DO-BAMBOO-KING-WHITE-6PCS</t>
  </si>
  <si>
    <t xml:space="preserve">bamboo deep pocket sheets</t>
  </si>
  <si>
    <t xml:space="preserve">DBS6-SP-Antimicrobial Bamboo Sheets-(VLSV)-Exact-(Ranking)-DO-BAMBOO-KING-WHITE-6PCS</t>
  </si>
  <si>
    <t xml:space="preserve">DBS6-SP-Decolure Bamboo Pillow Cases-(VLSV)-Exact-(Defensive)-DO-BAMBOO-KING-WHITE-6PCS</t>
  </si>
  <si>
    <t xml:space="preserve">decolure bamboo pillow cases</t>
  </si>
  <si>
    <t xml:space="preserve">DBS6-SP-Cooling Sheets King Size Deep Pocket-[Cooling|King]-(LSV)-Exact-(Ranking)-DO-BAMBOO-KING-WHITE-6PCS</t>
  </si>
  <si>
    <t xml:space="preserve">cooling sheets king size deep pocket</t>
  </si>
  <si>
    <t xml:space="preserve">DBS6-SP-Bamboo Bed Sheets King Size-(VLSV)-Exact-(Ranking)-DO-BAMBOO-KING-WHITE-6PCS</t>
  </si>
  <si>
    <t xml:space="preserve">bamboo bed sheets king · bamboo bed sheets king size</t>
  </si>
  <si>
    <t xml:space="preserve">DBS6-SP-Luxury Bamboo Bed Sheets-(VLSV)-Exact-(Ranking)-DO-BAMBOO-KING-WHITE-6PCS</t>
  </si>
  <si>
    <t xml:space="preserve">DBS6-SP-Bamboo Flat Sheet Only-(VLSV)-Exact-(Ranking)-DO-BAMBOO-KING-WHITE-6PCS</t>
  </si>
  <si>
    <t xml:space="preserve">DBS6-SP-Bamboo Sheets King Size Set-(VLSV)-Exact-(Ranking)-DO-BAMBOO-KING-WHITE-6PCS</t>
  </si>
  <si>
    <t xml:space="preserve">DBS6-SP-Cosy House Bamboo Sheets-(MSV)-Exact-(Conversion)-DO-BAMBOO-KING-WHITE-6PCS</t>
  </si>
  <si>
    <t xml:space="preserve">cosy house bamboo sheets</t>
  </si>
  <si>
    <t xml:space="preserve">DBS6-SP-Light Pink Bamboo Sheets King-(VLSV)-Exact-(Conversion)-DO-BAMBOO-KING-LIGHT PINK-6PCS</t>
  </si>
  <si>
    <t xml:space="preserve">light pink bamboo sheets king</t>
  </si>
  <si>
    <t xml:space="preserve">DBS6-SP-Bamboo Bed Sheets King-(VLSV)-Exact-(Ranking)-DO-BAMBOO-KING-WHITE-6PCS</t>
  </si>
  <si>
    <t xml:space="preserve">bamboo bed sheets king</t>
  </si>
  <si>
    <t xml:space="preserve">DBS6-SP-Bamboo Sheets Decolure-(VLSV)-Exact-(Defensive)-DO-BAMBOO-KING-WHITE-6PCS</t>
  </si>
  <si>
    <t xml:space="preserve">bamboo sheets decolure</t>
  </si>
  <si>
    <t xml:space="preserve">DBS6-SP-Cool Sheets For Hot Sleepers-(VLSV)-Exact-(Ranking)-DO-BAMBOO-KING-WHITE-6PCS</t>
  </si>
  <si>
    <t xml:space="preserve">cool sheets for hot sleepers</t>
  </si>
  <si>
    <t xml:space="preserve">DBS6-SP-Cozy Earth Bamboo Sheets-(MSV)-Exact-(Conversion)-DO-BAMBOO-KING-WHITE-6PCS</t>
  </si>
  <si>
    <t xml:space="preserve">cozy earth bamboo sheets</t>
  </si>
  <si>
    <t xml:space="preserve">DBS6-SP-Pure Bamboo Sheets-(MSV)-Exact-(Conversion)-DO-BAMBOO-KING-WHITE-6PCS</t>
  </si>
  <si>
    <t xml:space="preserve">DBS6-SP-Quince Bamboo Sheet Sets-(LSV)-Exact-(Conversion)-DO-BAMBOO-KING-WHITE-6PCS</t>
  </si>
  <si>
    <t xml:space="preserve">quince bamboo sheet sets</t>
  </si>
  <si>
    <t xml:space="preserve">DBS6-SP-Bamboo Sheets By Decolure-(VLSV)-Exact-(Defensive)-DO-BAMBOO-KING-WHITE-6PCS</t>
  </si>
  <si>
    <t xml:space="preserve">bamboo sheets by decolure</t>
  </si>
  <si>
    <t xml:space="preserve">DBS6-SP-Bella Coterie Bamboo Sheets-(LSV)-Exact-(Conversion)-DO-BAMBOO-KING-WHITE-6PCS</t>
  </si>
  <si>
    <t xml:space="preserve">bella coterie bamboo sheets</t>
  </si>
  <si>
    <t xml:space="preserve">DBS6-SP-Decolure Bed Sheets-(VLSV)-Exact-(Defensive)-DO-BAMBOO-KING-WHITE-6PCS</t>
  </si>
  <si>
    <t xml:space="preserve">decolure bed sheets</t>
  </si>
  <si>
    <t xml:space="preserve">DBS6-SP-King Size Bamboo Bed Sheets-(VLSV)-Exact-(Ranking)-DO-BAMBOO-KING-WHITE-6PCS</t>
  </si>
  <si>
    <t xml:space="preserve">king size bamboo bed sheets</t>
  </si>
  <si>
    <t xml:space="preserve">DBS6-SP-King Size Sheets Deep Pocket Set Bamboo-(VLSV)-Exact-(Ranking)-DO-BAMBOO-KING-WHITE-6PCS</t>
  </si>
  <si>
    <t xml:space="preserve">DBS6-SP-Pure Bamboo Sheets King-(LSV)-Exact-(Conversion)-DO-BAMBOO-KING-WHITE-6PCS</t>
  </si>
  <si>
    <t xml:space="preserve">pure bamboo sheets king</t>
  </si>
  <si>
    <t xml:space="preserve">DBS6-SP-sabanas bambu organico-[Bamboo]-(VLSV)-Exact-(Defensive)-FIX-BAMBOO-KING-WHITE-6PCS</t>
  </si>
  <si>
    <t xml:space="preserve">DBS6-SP-Soft Bamboo Sheets-(VLSV)-Exact-(Ranking)-DO-BAMBOO-KING-WHITE-6PCS</t>
  </si>
  <si>
    <t xml:space="preserve">viscose bamboo sheets</t>
  </si>
  <si>
    <t xml:space="preserve">DBS6-SP-bamboo cooling sheets-[Bamboo|Cooling]-(MSV)-Broad-(DISC)-DO-BAMBOO-QUEEN-WHITE-6PCS</t>
  </si>
  <si>
    <t xml:space="preserve">DBS6-SP-Bamboo Sheets Queen Size-(HSV)-Exact-(Ranking)-DO-BAMBOO-QUEEN-WHITE-6PCS</t>
  </si>
  <si>
    <t xml:space="preserve">DBS6-SP-Queen Size Bamboo Sheets Set-[Bamboo|Queen]-(LSV)-Exact-(Ranking)-DO-BAMBOO-QUEEN-WHITE-6PCS</t>
  </si>
  <si>
    <t xml:space="preserve">queen bamboo sheet set · queen size bamboo sheets set</t>
  </si>
  <si>
    <t xml:space="preserve">DBS6-SP-Queen Sheets Set Bamboo-(VLSV)-Exact-(Ranking)-DO-BAMBOO-QUEEN-WHITE-6PCS</t>
  </si>
  <si>
    <t xml:space="preserve">queen sheets set bamboo</t>
  </si>
  <si>
    <t xml:space="preserve">sheets queen size bed set</t>
  </si>
  <si>
    <t xml:space="preserve">DBS6-SP-Burgundy Sheets Queen-(LSV)-Exact-(Conversion)-DO-BAMBOO-QUEEN-BURGUNDY-6PCS</t>
  </si>
  <si>
    <t xml:space="preserve">BAMBOO-QUEEN-BURGUNDY-6PCS</t>
  </si>
  <si>
    <t xml:space="preserve">burgundy sheets queen</t>
  </si>
  <si>
    <t xml:space="preserve">DBS6-SP-bamboo deep pocket queen sheets-[Bamboo|Queen]-(LSV)-Exact-(Ranking)-FIX-BAMBOO-QUEEN-WHITE-6PCS</t>
  </si>
  <si>
    <t xml:space="preserve">DBS6-SP-Queen Sheets-(VHSV)-Broad-(Discovery)-DO-BAMBOO-QUEEN-WHITE-6PCS</t>
  </si>
  <si>
    <t xml:space="preserve">queen sheets</t>
  </si>
  <si>
    <t xml:space="preserve">DBS6-SP-Queen Sheet Set-(VHSV)-Exact-(Conversion)-DO-BAMBOO-QUEEN-WHITE-6PCS</t>
  </si>
  <si>
    <t xml:space="preserve">queen sheet set</t>
  </si>
  <si>
    <t xml:space="preserve">DBS6-SP-Red Bamboo Sheets-(VLSV)-Exact-(Ranking)-DO-BAMBOO-QUEEN-BURGUNDY-6PCS</t>
  </si>
  <si>
    <t xml:space="preserve">red bamboo sheets</t>
  </si>
  <si>
    <t xml:space="preserve">DBS6-SP-Queen Sheets-(VHSV)-Phrase-(Discovery)-DO-BAMBOO-QUEEN-WHITE-6PCS</t>
  </si>
  <si>
    <t xml:space="preserve">DBS6-SP-Bamboo Sheets Queen-(HSV)-Exact-(Ranking)-DO-BAMBOO-QUEEN-WHITE-6PCS</t>
  </si>
  <si>
    <t xml:space="preserve">olive green bamboo sheets</t>
  </si>
  <si>
    <t xml:space="preserve">DBS6-SP-Bamboo Sheet Set Queen-[Bamboo|Queen]-(LSV)-Exact-(Ranking)-DO-BAMBOO-QUEEN-WHITE-6PCS</t>
  </si>
  <si>
    <t xml:space="preserve">bamboo sheet set queen</t>
  </si>
  <si>
    <t xml:space="preserve">DBS6-SP-Bamboo Sheet Sets-[Bamboo]-(LSV)-Exact-(Ranking)-DO-BAMBOO-QUEEN-WHITE-6PCS</t>
  </si>
  <si>
    <t xml:space="preserve">bamboo sheet sets</t>
  </si>
  <si>
    <t xml:space="preserve">DBS6-SP-bamboo queen size sheets-[Bamboo|Queen]-(LSV)-Exact-(Ranking)-FIX-BAMBOO-QUEEN-WHITE-6PCS-TAIL-2</t>
  </si>
  <si>
    <t xml:space="preserve">BAMBOO-QUEEN-WHITE-6PCS-TAIL-2</t>
  </si>
  <si>
    <t xml:space="preserve">DBS6-SP-Red Queen Bed Sheets-(VLSV)-Exact-(Ranking)-DO-BAMBOO-QUEEN-BURGUNDY-6PCS</t>
  </si>
  <si>
    <t xml:space="preserve">red queen bed sheets</t>
  </si>
  <si>
    <t xml:space="preserve">queen bamboo sheets</t>
  </si>
  <si>
    <t xml:space="preserve">DBS6-SP-Cooling Bamboo Sheets-[Bamboo|Cooling]-(MSV)-Exact-(Ranking)-DO-BAMBOO-QUEEN-WHITE-6PCS</t>
  </si>
  <si>
    <t xml:space="preserve">DBS6-SP-Burgundy Sheets Queen Size-(VLSV)-Exact-(Ranking)-DO-BAMBOO-QUEEN-BURGUNDY-6PCS</t>
  </si>
  <si>
    <t xml:space="preserve">burgundy sheets queen size</t>
  </si>
  <si>
    <t xml:space="preserve">DBS6-SP-Cooling Bamboo Sheets Queen-(VLSV)-Exact-(Ranking)-DO-BAMBOO-QUEEN-WHITE-6PCS</t>
  </si>
  <si>
    <t xml:space="preserve">cooling bamboo sheets queen</t>
  </si>
  <si>
    <t xml:space="preserve">DBS6-SP-bamboo fitted sheet queen-[Bamboo|Queen]-(LSV)-Exact-(Ranking)-FIX-BAMBOO-QUEEN-WHITE-6PCS</t>
  </si>
  <si>
    <t xml:space="preserve">bamboo fitted sheet queen</t>
  </si>
  <si>
    <t xml:space="preserve">DBS6-SP-Bamboo Queen Sheets Set-[Bamboo|Queen]-(LSV)-Exact-(Ranking)-DO-BAMBOO-QUEEN-WHITE-6PCS</t>
  </si>
  <si>
    <t xml:space="preserve">bamboo queen sheets set</t>
  </si>
  <si>
    <t xml:space="preserve">DBS6-SP-Queen Sheets Flannel-(VLSV)-Exact-(Conversion)-DO-BAMBOO-QUEEN-WHITE-6PCS</t>
  </si>
  <si>
    <t xml:space="preserve">queen sheets flannel</t>
  </si>
  <si>
    <t xml:space="preserve">DBS6-SP-bamboo queen sheets cooling-[Bamboo|Cooling]-(LSV)-Exact-(Ranking)-FIX-BAMBOO-QUEEN-WHITE-6PCS</t>
  </si>
  <si>
    <t xml:space="preserve">DBS6-SP-Bamboo Viscose Sheets Queen Size-[Bamboo|Queen]-(LSV)-Exact-(Ranking)-DO-BAMBOO-QUEEN-WHITE-6PCS</t>
  </si>
  <si>
    <t xml:space="preserve">bamboo viscose sheets queen size</t>
  </si>
  <si>
    <t xml:space="preserve">DBS6-SP-Queen Bed Sheets Bamboo-(VLSV)-Exact-(Ranking)-DO-BAMBOO-QUEEN-WHITE-6PCS</t>
  </si>
  <si>
    <t xml:space="preserve">queen bed sheets bamboo</t>
  </si>
  <si>
    <t xml:space="preserve">DBS6-SP-Luxury Womens Gifts-(NOSV)-Broad-(Discovery)-DO-BAMBOO-QUEEN-WHITE-6PCS</t>
  </si>
  <si>
    <t xml:space="preserve">luxury womens gifts · valentine gift · womens luxury gifts +1 more keywords</t>
  </si>
  <si>
    <t xml:space="preserve">DBS6-SP-bamboo cool sheets-[Bamboo|Cooling]-(LSV)-Exact-(Ranking)-FIX-BAMBOO-QUEEN-WHITE-6PCS-TAIL-6</t>
  </si>
  <si>
    <t xml:space="preserve">BAMBOO-QUEEN-WHITE-6PCS-TAIL-6</t>
  </si>
  <si>
    <t xml:space="preserve">DBS6-SP-Queen Size Cooling Sheets-[Cooling|Queen]-(MSV)-Exact-(Ranking)-DO-BAMBOO-QUEEN-WHITE-6PCS</t>
  </si>
  <si>
    <t xml:space="preserve">queen size cooling sheets</t>
  </si>
  <si>
    <t xml:space="preserve">DBS6-SP-Decolure Bamboo Sheets Queen-(VLSV)-Exact-(Defensive)-DO-BAMBOO-QUEEN-WHITE-6PCS</t>
  </si>
  <si>
    <t xml:space="preserve">decolure bamboo sheets queen</t>
  </si>
  <si>
    <t xml:space="preserve">DBS6-SP-Organic Bamboo Sheets Queen-(VLSV)-Exact-(Ranking)-DO-BAMBOO-QUEEN-WHITE-6PCS</t>
  </si>
  <si>
    <t xml:space="preserve">organic bamboo sheets queen · organic bamboo sheets queen size</t>
  </si>
  <si>
    <t xml:space="preserve">DBS6-SP-Sheets Queen Size Bed Set Bamboo-(VLSV)-Exact-(Ranking)-DO-BAMBOO-QUEEN-WHITE-6PCS</t>
  </si>
  <si>
    <t xml:space="preserve">sheets queen size bed set bamboo</t>
  </si>
  <si>
    <t xml:space="preserve">DBS6-SP-Cooling Sheets Queen Bamboo-(VLSV)-Exact-(Ranking)-DO-BAMBOO-QUEEN-WHITE-6PCS</t>
  </si>
  <si>
    <t xml:space="preserve">DBS6-SP-Queen Cooling Sheets-[Cooling|Queen]-(MSV)-Exact-(Ranking)-DO-BAMBOO-QUEEN-WHITE-6PCS</t>
  </si>
  <si>
    <t xml:space="preserve">DBS6-SP-Queen Cooling Sheet Set-[Cooling|Queen]-(LSV)-Exact-(Ranking)-DO-BAMBOO-QUEEN-WHITE-6PCS</t>
  </si>
  <si>
    <t xml:space="preserve">DBS6-SP-Cooling Sheets Queen Deep Pockets-(VLSV)-Exact-(Ranking)-DO-BAMBOO-QUEEN-WHITE-6PCS</t>
  </si>
  <si>
    <t xml:space="preserve">cooling sheets queen deep pocket</t>
  </si>
  <si>
    <t xml:space="preserve">DBS6-SP-Queen Size Sheets Cooling-[Cooling|Queen]-(LSV)-Exact-(Ranking)-DO-BAMBOO-QUEEN-WHITE-6PCS</t>
  </si>
  <si>
    <t xml:space="preserve">queen size sheets cooling</t>
  </si>
  <si>
    <t xml:space="preserve">DBS6-SP-Bamboo Queen Sheets Set-(VLSV)-Exact-(Ranking)-DO-BAMBOO-QUEEN-WHITE-6PCS</t>
  </si>
  <si>
    <t xml:space="preserve">bamboo queen sheet sets · bamboo queen sheets set</t>
  </si>
  <si>
    <t xml:space="preserve">DBS6-SP-Cooling Sheets Bamboo-[Bamboo|Cooling]-(LSV)-Exact-(Ranking)-DO-BAMBOO-QUEEN-WHITE-6PCS</t>
  </si>
  <si>
    <t xml:space="preserve">DBS6-SP-Queen Size Sheets Bamboo-(VLSV)-Exact-(Ranking)-DO-BAMBOO-QUEEN-WHITE-6PCS</t>
  </si>
  <si>
    <t xml:space="preserve">queen size sheets bamboo</t>
  </si>
  <si>
    <t xml:space="preserve">DBS6-SP-Bamboo Queen Sheets Deep Pocket-(VLSV)-Exact-(Ranking)-DO-BAMBOO-QUEEN-WHITE-6PCS</t>
  </si>
  <si>
    <t xml:space="preserve">bamboo queen sheets deep pocket</t>
  </si>
  <si>
    <t xml:space="preserve">DBS6-SP-Cooling Queen Sheet Set-[Cooling|Queen]-(LSV)-Exact-(Ranking)-DO-BAMBOO-QUEEN-WHITE-6PCS</t>
  </si>
  <si>
    <t xml:space="preserve">cooling queen sheet set</t>
  </si>
  <si>
    <t xml:space="preserve">DBS6-SP-queen deep pocket bamboo sheets-[Bamboo|Queen]-(LSV)-Exact-(Ranking)-FIX-BAMBOO-QUEEN-WHITE-6PCS</t>
  </si>
  <si>
    <t xml:space="preserve">DBS6-SP-Burgundy Bed Sheets Queen-(VLSV)-Exact-(Ranking)-DO-BAMBOO-QUEEN-BURGUNDY-6PCS</t>
  </si>
  <si>
    <t xml:space="preserve">burgundy bed sheets queen</t>
  </si>
  <si>
    <t xml:space="preserve">DBS6-SP-bamboo bed sheets moisture wicking-[Bamboo|Cooling]-(LSV)-Exact-(Ranking)-FIX-BAMBOO-QUEEN-WHITE-6PCS</t>
  </si>
  <si>
    <t xml:space="preserve">DBS6-SP-extra deep 20-24 inch pocket queen size bamboo sheets-[Bamboo|Queen]-(LSV)-Exact-(Ranking)-FIX-BAMBOO-QUEEN-WHITE-6PCS</t>
  </si>
  <si>
    <t xml:space="preserve">DBS6-SP-Cooling Deep Pocket Queen Sheets-(VLSV)-Exact-(Ranking)-DO-BAMBOO-QUEEN-WHITE-6PCS</t>
  </si>
  <si>
    <t xml:space="preserve">cooling deep pocket queen sheets</t>
  </si>
  <si>
    <t xml:space="preserve">DBS6-SP-Queen Sheets Bamboo Sheet Set-(MSV)-Exact-(Ranking)-DO-BAMBOO-QUEEN-WHITE-6PCS</t>
  </si>
  <si>
    <t xml:space="preserve">queen sheets bamboo sheet set</t>
  </si>
  <si>
    <t xml:space="preserve">DBS6-SP-bamboo viscose cooling sheets-[Bamboo|Cooling]-(LSV)-Exact-(Ranking)-FIX-BAMBOO-QUEEN-WHITE-6PCS-TAIL-7</t>
  </si>
  <si>
    <t xml:space="preserve">BAMBOO-QUEEN-WHITE-6PCS-TAIL-7</t>
  </si>
  <si>
    <t xml:space="preserve">DBS6-SP-Cooling Sheet Set Queen-(VLSV)-Exact-(Ranking)-DO-BAMBOO-QUEEN-WHITE-6PCS</t>
  </si>
  <si>
    <t xml:space="preserve">cooling sheet set queen</t>
  </si>
  <si>
    <t xml:space="preserve">DBS6-SP-Queen Cooling Sheets Deep Pockets-[Cooling|Queen]-(LSV)-Exact-(Ranking)-DO-BAMBOO-QUEEN-WHITE-6PCS</t>
  </si>
  <si>
    <t xml:space="preserve">DBS6-SP-Deep Pocket Queen Sheets Bamboo-(VLSV)-Exact-(Ranking)-DO-BAMBOO-QUEEN-WHITE-6PCS</t>
  </si>
  <si>
    <t xml:space="preserve">deep pocket queen sheets bamboo</t>
  </si>
  <si>
    <t xml:space="preserve">DBS6-SP-White Bamboo Sheets Queen-(VLSV)-Exact-(Ranking)-DO-BAMBOO-QUEEN-CREME-6PCS</t>
  </si>
  <si>
    <t xml:space="preserve">DBS6-SP-sábanas de bamboo queen-[Bamboo|Queen]-(LSV)-Exact-(Ranking)-FIX-BAMBOO-QUEEN-WHITE-6PCS</t>
  </si>
  <si>
    <t xml:space="preserve">DBS6-SP-Sage Green Bamboo Sheets Queen-(VLSV)-Exact-(Conversion)-DO-BAMBOO-QUEEN-SAGE GREEN-6PCS</t>
  </si>
  <si>
    <t xml:space="preserve">sage green bamboo sheets queen</t>
  </si>
  <si>
    <t xml:space="preserve">DBS6-SP-bed sheets queen size bamboo-[Bamboo|Queen]-(LSV)-Exact-(Ranking)-FIX-BAMBOO-QUEEN-WHITE-6PCS</t>
  </si>
  <si>
    <t xml:space="preserve">DBS6-SP-queen bamboo sheets cooling-[Bamboo|Cooling]-(LSV)-Exact-(Ranking)-FIX-BAMBOO-QUEEN-WHITE-6PCS-TAIL-3</t>
  </si>
  <si>
    <t xml:space="preserve">BAMBOO-QUEEN-WHITE-6PCS-TAIL-3</t>
  </si>
  <si>
    <t xml:space="preserve">DBS6-SP-Bamboo Queen Size Sheet Set-(VLSV)-Exact-(Ranking)-DO-BAMBOO-QUEEN-WHITE-6PCS</t>
  </si>
  <si>
    <t xml:space="preserve">bamboo queen sheet set · bamboo queen sheet sets · bamboo queen size sheet set +1 more keywords</t>
  </si>
  <si>
    <t xml:space="preserve">DBS6-SP-Bamboo Cooling Queen Sheets-[Bamboo|Cooling]-(LSV)-Exact-(Ranking)-DO-BAMBOO-QUEEN-WHITE-6PCS</t>
  </si>
  <si>
    <t xml:space="preserve">decolure bamboo sheets queen size</t>
  </si>
  <si>
    <t xml:space="preserve">DBS6-SP-Bamboo Viscose Sheets-[Bamboo]-(MSV)-Exact-(Ranking)-DO-BAMBOO-QUEEN-WHITE-6PCS</t>
  </si>
  <si>
    <t xml:space="preserve">deep pocket cooling sheets</t>
  </si>
  <si>
    <t xml:space="preserve">DBS6-SP-oeko-tex certified bamboo sheets queen-[Bamboo|Queen]-(LSV)-Exact-(Ranking)-FIX-BAMBOO-QUEEN-WHITE-6PCS</t>
  </si>
  <si>
    <t xml:space="preserve">DBS6-SP-White Cooling Sheets-[Cooling]-(LSV)-Exact-(Ranking)-DO-BAMBOO-QUEEN-WHITE-6PCS</t>
  </si>
  <si>
    <t xml:space="preserve">white cooling sheets</t>
  </si>
  <si>
    <t xml:space="preserve">DBS6-SP-Bamboo Sheet Set Queen Size-(VLSV)-Exact-(Ranking)-DO-BAMBOO-QUEEN-WHITE-6PCS</t>
  </si>
  <si>
    <t xml:space="preserve">DBS6-SP-Queen Size Bed Sheets Cooling-[Cooling|Queen]-(LSV)-Exact-(Ranking)-DO-BAMBOO-QUEEN-WHITE-6PCS</t>
  </si>
  <si>
    <t xml:space="preserve">queen size bed sheets cooling</t>
  </si>
  <si>
    <t xml:space="preserve">DBS6-SP-bamboo cooling sheets queen size-[Bamboo|Cooling]-(LSV)-Exact-(Ranking)-FIX-BAMBOO-QUEEN-WHITE-6PCS-TAIL-3</t>
  </si>
  <si>
    <t xml:space="preserve">DBS6-SP-cream bamboo sheets queen-[Bamboo|Queen]-(LSV)-Exact-(Ranking)-FIX-BAMBOO-QUEEN-CREME-6PCS-TAIL-7</t>
  </si>
  <si>
    <t xml:space="preserve">BAMBOO-QUEEN-CREME-6PCS-TAIL-7</t>
  </si>
  <si>
    <t xml:space="preserve">cream bamboo sheets queen</t>
  </si>
  <si>
    <t xml:space="preserve">DBS6-SP-Bamboo Queen Bed Sheets-(VLSV)-Exact-(Ranking)-DO-BAMBOO-QUEEN-WHITE-6PCS</t>
  </si>
  <si>
    <t xml:space="preserve">bamboo queen bed sheets</t>
  </si>
  <si>
    <t xml:space="preserve">DBS6-SP-Queen Bamboo Bed Sheets-(VLSV)-Exact-(Ranking)-DO-BAMBOO-QUEEN-WHITE-6PCS</t>
  </si>
  <si>
    <t xml:space="preserve">queen bamboo bed sheets</t>
  </si>
  <si>
    <t xml:space="preserve">DBS6-SP-Sheets Queen Bamboo-(VLSV)-Exact-(Ranking)-DO-BAMBOO-QUEEN-WHITE-6PCS</t>
  </si>
  <si>
    <t xml:space="preserve">sheets queen bamboo</t>
  </si>
  <si>
    <t xml:space="preserve">DBS6-SP-White Bamboo Queen Sheets-(VLSV)-Exact-(Ranking)-DO-BAMBOO-QUEEN-WHITE-6PCS</t>
  </si>
  <si>
    <t xml:space="preserve">white bamboo queen sheets</t>
  </si>
  <si>
    <t xml:space="preserve">DBS6-SP-Bamboo Queen Sheet Set Deep Pocket-(VLSV)-Exact-(Ranking)-DO-BAMBOO-QUEEN-WHITE-6PCS</t>
  </si>
  <si>
    <t xml:space="preserve">DBS6-SP-Queen Sheets Bamboo-[Bamboo|Queen]-(MSV)-Exact-(Ranking)-DO-BAMBOO-QUEEN-WHITE-6PCS</t>
  </si>
  <si>
    <t xml:space="preserve">queen sheets bamboo</t>
  </si>
  <si>
    <t xml:space="preserve">DBS6-SP-Bamboo Viscose Bed Sheets Cooling-[Bamboo|Cooling]-(VLSV)-Exact-(Ranking)-DO-BAMBOO-QUEEN-WHITE-6PCS</t>
  </si>
  <si>
    <t xml:space="preserve">DBS6-SP-Bamboo Bedding Set Queen-(VLSV)-Exact-(Ranking)-DO-BAMBOO-QUEEN-WHITE-6PCS</t>
  </si>
  <si>
    <t xml:space="preserve">bamboo bedding set queen</t>
  </si>
  <si>
    <t xml:space="preserve">DBS6-SP-Queen Bed Sheet Set Bamboo-(VLSV)-Exact-(Ranking)-DO-BAMBOO-QUEEN-WHITE-6PCS</t>
  </si>
  <si>
    <t xml:space="preserve">DBS6-SP-Queen Size Bamboo Sheets-(LSV)-Exact-(Ranking)-DO-BAMBOO-QUEEN-WHITE-6PCS</t>
  </si>
  <si>
    <t xml:space="preserve">queen size bamboo sheets</t>
  </si>
  <si>
    <t xml:space="preserve">DBS6-SP-Best Bamboo Sheets Queen-(VLSV)-Exact-(Ranking)-DO-BAMBOO-QUEEN-WHITE-6PCS</t>
  </si>
  <si>
    <t xml:space="preserve">DBS6-SP-Bamboo Cooling Sheets Queen-[Bamboo|Cooling]-(MSV)-Exact-(Ranking)-DO-BAMBOO-QUEEN-WHITE-6PCS</t>
  </si>
  <si>
    <t xml:space="preserve">DBS6-SP-deep pocket bamboo sheets queen-[Bamboo|Queen]-(LSV)-Exact-(Ranking)-FIX-BAMBOO-QUEEN-WHITE-6PCS-TAIL</t>
  </si>
  <si>
    <t xml:space="preserve">BAMBOO-QUEEN-WHITE-6PCS-TAIL</t>
  </si>
  <si>
    <t xml:space="preserve">deep pocket bamboo sheets queen</t>
  </si>
  <si>
    <t xml:space="preserve">DBS6-SP-Burgundy Bed Sheet Set Queen-(VLSV)-Exact-(Ranking)-DO-BAMBOO-QUEEN-BURGUNDY-6PCS</t>
  </si>
  <si>
    <t xml:space="preserve">DBS6-SP-Red Queen Bedding-(VLSV)-Exact-(Ranking)-DO-BAMBOO-QUEEN-BURGUNDY-6PCS</t>
  </si>
  <si>
    <t xml:space="preserve">DBS6-SP-Valentine Gift-(NOSV)-Exact-(Conversion)-DO-BAMBOO-QUEEN-WHITE-6PCS</t>
  </si>
  <si>
    <t xml:space="preserve">valentine gift</t>
  </si>
  <si>
    <t xml:space="preserve">DBS6-SP-Bed Sheets Bamboo Queen-(VLSV)-Exact-(Ranking)-DO-BAMBOO-QUEEN-WHITE-6PCS</t>
  </si>
  <si>
    <t xml:space="preserve">bed sheet bamboo queen · bed sheets bamboo queen</t>
  </si>
  <si>
    <t xml:space="preserve">DBS6-SP-Taupe Bamboo Sheets Queen-(VLSV)-Exact-(Conversion)-DO-BAMBOO-QUEEN-TAUPE-6PCS</t>
  </si>
  <si>
    <t xml:space="preserve">BAMBOO-QUEEN-TAUPE-6PCS</t>
  </si>
  <si>
    <t xml:space="preserve">taupe bamboo sheets queen</t>
  </si>
  <si>
    <t xml:space="preserve">DBS6-SP-Queen Extra Deep Pocket Sheet Set Bamboo-(VLSV)-Exact-(Ranking)-DO-BAMBOO-QUEEN-WHITE-6PCS</t>
  </si>
  <si>
    <t xml:space="preserve">queen extra deep pocket sheet set bamboo</t>
  </si>
  <si>
    <t xml:space="preserve">DBS6-SP-Bamboo Sheets Queen Size Set-(VLSV)-Exact-(Ranking)-DO-BAMBOO-QUEEN-WHITE-6PCS</t>
  </si>
  <si>
    <t xml:space="preserve">bamboo sheets queen size set</t>
  </si>
  <si>
    <t xml:space="preserve">DBS6-SP-Queen Deep Pocket Bamboo Sheet Sets-(VLSV)-Exact-(Ranking)-DO-BAMBOO-QUEEN-WHITE-6PCS</t>
  </si>
  <si>
    <t xml:space="preserve">DBS6-SP-Red Deep Pocket Queen Sheet Set-(NOSV)-Exact-(Ranking)-DO-BAMBOO-QUEEN-BURGUNDY-6PCS</t>
  </si>
  <si>
    <t xml:space="preserve">red deep pocket queen sheet set</t>
  </si>
  <si>
    <t xml:space="preserve">DBS6-SP-Deep Pocket Bamboo Sheets Queen Size-(VLSV)-Exact-(Ranking)-DO-BAMBOO-QUEEN-WHITE-6PCS</t>
  </si>
  <si>
    <t xml:space="preserve">deep pocket bamboo sheets queen size</t>
  </si>
  <si>
    <t xml:space="preserve">DBS6-SP-Bamboo Sheets Queen Set-(VLSV)-Exact-(Ranking)-DO-BAMBOO-QUEEN-WHITE-6PCS</t>
  </si>
  <si>
    <t xml:space="preserve">bamboo sheets queen set</t>
  </si>
  <si>
    <t xml:space="preserve">DBS6-SP-Grey Bamboo Sheets Queen-(VLSV)-Exact-(Conversion)-DO-BAMBOO-QUEEN-GREY-6PCS</t>
  </si>
  <si>
    <t xml:space="preserve">BAMBOO-QUEEN-GREY-6PCS</t>
  </si>
  <si>
    <t xml:space="preserve">grey bamboo sheets queen</t>
  </si>
  <si>
    <t xml:space="preserve">DBS6-SP-Twin Sheets Bamboo-(VLSV)-Exact-(Ranking)-DO-BAMBOO-TWIN-WHITE-6PCS</t>
  </si>
  <si>
    <t xml:space="preserve">twin sheet bamboo · twin sheets bamboo</t>
  </si>
  <si>
    <t xml:space="preserve">DBS6-SP-Bamboo Sheets Twin-[Bamboo|Twin]-(MSV)-Exact-(Ranking)-DO-BAMBOO-TWIN-WHITE-6PCS</t>
  </si>
  <si>
    <t xml:space="preserve">DBS6-SP-Bamboo Sheets Twin Size-[Bamboo|Twin]-(LSV)-Exact-(Ranking)-DO-BAMBOO-TWIN-WHITE-6PCS</t>
  </si>
  <si>
    <t xml:space="preserve">DBS6-SP-Bamboo Twin Sheets-[Bamboo|Twin]-(LSV)-Exact-(Ranking)-DO-BAMBOO-TWIN-WHITE-6PCS</t>
  </si>
  <si>
    <t xml:space="preserve">DBS6-SP-Twin Bamboo Sheets Set Cooling-(VLSV)-Exact-(Ranking)-DO-BAMBOO-TWIN-WHITE-6PCS</t>
  </si>
  <si>
    <t xml:space="preserve">twin bamboo sheets set cooling</t>
  </si>
  <si>
    <t xml:space="preserve">twin size cooling sheets</t>
  </si>
  <si>
    <t xml:space="preserve">DBS6-SP-Navy Blue Bamboo Sheets Twin-(VLSV)-Exact-(Conversion)-DO-BAMBOO-TWIN-NAVYBLUE-6PCS</t>
  </si>
  <si>
    <t xml:space="preserve">navy blue bamboo sheets twin</t>
  </si>
  <si>
    <t xml:space="preserve">DBS6-SP-Twin Bamboo Bed Sheets-[Bamboo|Twin]-(LSV)-Exact-(Ranking)-DO-BAMBOO-TWIN-WHITE-6PCS</t>
  </si>
  <si>
    <t xml:space="preserve">satin sheets full</t>
  </si>
  <si>
    <t xml:space="preserve">DSS4-SP-Silk Sheets Full Size-[Silk|Full]-(LSV)-Exact-(Ranking)-DO-SATIN-FULL-BLACK</t>
  </si>
  <si>
    <t xml:space="preserve">silk sheets full size</t>
  </si>
  <si>
    <t xml:space="preserve">DSS4-SP-Silk Sheets Full Size-[Silk|Full]-(LSV)-Phrase-(Discovery)-DO-SATIN-FULL-GREY</t>
  </si>
  <si>
    <t xml:space="preserve">pink satin sheets</t>
  </si>
  <si>
    <t xml:space="preserve">D-S4-SP-silk sheets-(Silk)-HSV-Broad-Disc-DO-SATIN-FULL-GREY</t>
  </si>
  <si>
    <t xml:space="preserve">silk sheets</t>
  </si>
  <si>
    <t xml:space="preserve">DSS4-SP-Black Silk Sheets Full-[Silk|Full]-(LSV)-Exact-(Ranking)-DO-SATIN-FULL-BLACK</t>
  </si>
  <si>
    <t xml:space="preserve">black silk sheets full</t>
  </si>
  <si>
    <t xml:space="preserve">DSS4-SP-Satin Full Sheets-(VLSV)-Exact-(Conversion)-DO-SATIN-FULL-BLACK</t>
  </si>
  <si>
    <t xml:space="preserve">satin full sheets</t>
  </si>
  <si>
    <t xml:space="preserve">satin sheets full size</t>
  </si>
  <si>
    <t xml:space="preserve">satin bed sheets full</t>
  </si>
  <si>
    <t xml:space="preserve">DSS4-SP-Full Size Silk Sheets-[Silk|Full]-(LSV)-Exact-(Ranking)-DO-SATIN-FULL-BLACK</t>
  </si>
  <si>
    <t xml:space="preserve">full size silk sheets</t>
  </si>
  <si>
    <t xml:space="preserve">DSS4-SP-Full Size Black Silk Sheet Set-(VLSV)-Exact-(Conversion)-DO-SATIN-FULL-BLACK</t>
  </si>
  <si>
    <t xml:space="preserve">full size black silk sheet set</t>
  </si>
  <si>
    <t xml:space="preserve">DSS4-SP-Silk Bed Sheets Full-[Silk|Full]-(MSV)-Broad-(Discovery)-DO-SATIN-CHAMPAGNE-FULL</t>
  </si>
  <si>
    <t xml:space="preserve">SATIN-CHAMPAGNE-FULL</t>
  </si>
  <si>
    <t xml:space="preserve">silk bed sheets full</t>
  </si>
  <si>
    <t xml:space="preserve">DSS4-SP-Pink Satin Sheets Full-[Satin|Full]-(VLSV)-Exact-(Ranking)-DO-SATIN-FULL-PINK</t>
  </si>
  <si>
    <t xml:space="preserve">pink satin sheets full</t>
  </si>
  <si>
    <t xml:space="preserve">full satin sheets set</t>
  </si>
  <si>
    <t xml:space="preserve">full silk sheets</t>
  </si>
  <si>
    <t xml:space="preserve">DSS4-SP-Silk Bed Set Full-(VLSV)-Exact-(Conversion)-DO-SATIN-FULL-BLACK</t>
  </si>
  <si>
    <t xml:space="preserve">silk bed set full</t>
  </si>
  <si>
    <t xml:space="preserve">full silk bed sheets</t>
  </si>
  <si>
    <t xml:space="preserve">black satin sheets full</t>
  </si>
  <si>
    <t xml:space="preserve">D-S4-SP-silk sheet set full-(Silk)-LSV-Exact-Rank-DO-SATIN-FULL-BLACK</t>
  </si>
  <si>
    <t xml:space="preserve">silk sheet set full · silk sheets full size</t>
  </si>
  <si>
    <t xml:space="preserve">satin full size bed sheets</t>
  </si>
  <si>
    <t xml:space="preserve">full size bed sheets silk</t>
  </si>
  <si>
    <t xml:space="preserve">D-S4-silk bed sheets full size - [Silk|Full] - Exact - Ran - DO - SATIN-FULL-BLACK</t>
  </si>
  <si>
    <t xml:space="preserve">silk bed sheets full size</t>
  </si>
  <si>
    <t xml:space="preserve">silk sheets full</t>
  </si>
  <si>
    <t xml:space="preserve">D-S4-purple silk sheets - [Silk] - Phrase - Conv - DO - SATIN-STRIPE-FULL-PURPLE</t>
  </si>
  <si>
    <t xml:space="preserve">purple silk sheets</t>
  </si>
  <si>
    <t xml:space="preserve">DSS4-SP-Silk Bed Sheets Full Size-[Silk|Full]-(LSV)-Exact-(Ranking)-DO-SATIN-FULL-BLACK</t>
  </si>
  <si>
    <t xml:space="preserve">D-S4-bed sheets full size silk - [Silk|Full] - Exact - Ran - DO - SATIN-FULL-BLACK</t>
  </si>
  <si>
    <t xml:space="preserve">bed sheets full size silk</t>
  </si>
  <si>
    <t xml:space="preserve">DSS4-SP-Real Silk Sheets Full-(VLSV)-Exact-(Conversion)-DO-SATIN-FULL-BLACK</t>
  </si>
  <si>
    <t xml:space="preserve">real silk sheets full</t>
  </si>
  <si>
    <t xml:space="preserve">D-S4-SP-grey silk satin sheets-(Silk)-MSV-Exact-Rank-DO-SATIN-FULL-GREY</t>
  </si>
  <si>
    <t xml:space="preserve">grey silk satin sheets · light grey silk sheets</t>
  </si>
  <si>
    <t xml:space="preserve">full satin sheets</t>
  </si>
  <si>
    <t xml:space="preserve">DSS4-SP-Full Bed Silk Sheets-[Silk|Full]-(VLSV)-Exact-(Ranking)-DO-SATIN-FULL-BLACK</t>
  </si>
  <si>
    <t xml:space="preserve">full bed silk sheets</t>
  </si>
  <si>
    <t xml:space="preserve">DSS4-SP-Full Size Silk Sheets-[Silk|Full]-(LSV)-Broad-(Discovery)-DO-SATIN-CHAMPAGNE-FULL</t>
  </si>
  <si>
    <t xml:space="preserve">DSS4-SP-White Silk Sheets Full-[Silk|Full]-(VLSV)-Exact-(Ranking)-DO-SATIN-WHITE-FULL</t>
  </si>
  <si>
    <t xml:space="preserve">SATIN-WHITE-FULL</t>
  </si>
  <si>
    <t xml:space="preserve">white silk sheets full</t>
  </si>
  <si>
    <t xml:space="preserve">D-S4-purple satin sheets - [Satin] - Phrase - Conv - DO - SATIN-STRIPE-FULL-PURPLE</t>
  </si>
  <si>
    <t xml:space="preserve">purple satin sheets</t>
  </si>
  <si>
    <t xml:space="preserve">DSS4-SP-Silk Sheet Set Full-[Silk|Full]-(LSV)-Exact-(Ranking)-DO-SATIN-FULL-BLACK</t>
  </si>
  <si>
    <t xml:space="preserve">silk sheet set full</t>
  </si>
  <si>
    <t xml:space="preserve">silk bedsheets full size bed</t>
  </si>
  <si>
    <t xml:space="preserve">DSS4-SP-Silk Bed Sheets Full Size-[Silk|Full]-(LSV)-Phrase-(Discovery)-DO-SATIN-FULL-BLACK</t>
  </si>
  <si>
    <t xml:space="preserve">DSS4-SP-Full Size Satin Sheet Set-[Satin|Full]-(LSV)-Exact-(Ranking)-DO-SATIN-FULL-BLACK</t>
  </si>
  <si>
    <t xml:space="preserve">full size satin sheet set</t>
  </si>
  <si>
    <t xml:space="preserve">DSS4-SP-Satin Sheets Full Size-[Satin|Full]-(LSV)-Broad-(Discovery)-DO-SATIN-FULL-GREY</t>
  </si>
  <si>
    <t xml:space="preserve">DSS4-SP-sheets full size silk-[Silk|Full]-(LSV)-Exact-(Conversion)-DO-SATIN-FULL-BLACK-TEST</t>
  </si>
  <si>
    <t xml:space="preserve">sheets full size silk</t>
  </si>
  <si>
    <t xml:space="preserve">DSS4-SP-Red Silk Sheets Full Size Bed Set-(VLSV)-Exact-(Ranking)-DO-SATIN-RED-FULL</t>
  </si>
  <si>
    <t xml:space="preserve">red silk sheets full size bed set</t>
  </si>
  <si>
    <t xml:space="preserve">D-S4-SP-silk bedding for full 8 inch bed-(Silk)-LSV-Exact-Rank-DO-SATIN-FULL-GREY</t>
  </si>
  <si>
    <t xml:space="preserve">bedsure satin sheet set full</t>
  </si>
  <si>
    <t xml:space="preserve">DSS4-SP-Full Size Silk Bed Sheets-[Silk|Full]-(LSV)-Exact-(Ranking)-DO-SATIN-FULL-BLACK</t>
  </si>
  <si>
    <t xml:space="preserve">full size silk bed sheets</t>
  </si>
  <si>
    <t xml:space="preserve">DSS4-SP-Pink Silk Sheets Full Size Bed Set-(VLSV)-Exact-(Ranking)-DO-SATIN-FULL-PINK</t>
  </si>
  <si>
    <t xml:space="preserve">pink silk sheets full size bed set</t>
  </si>
  <si>
    <t xml:space="preserve">DSS4-SP-Silk Full Size Bed Sheets-[Silk|Full]-(LSV)-Exact-(Ranking)-DO-SATIN-FULL-BLACK</t>
  </si>
  <si>
    <t xml:space="preserve">silk full size bed sheets</t>
  </si>
  <si>
    <t xml:space="preserve">DSS4-SP-Full Size Satin Sheets-[Satin|Full]-(LSV)-Exact-(Ranking)-DO-SATIN-FULL-BLACK</t>
  </si>
  <si>
    <t xml:space="preserve">full size satin sheets</t>
  </si>
  <si>
    <t xml:space="preserve">DSS4-SP-Satin Sheets Set Full Xl-(NOSV)-Exact-(Ranking)-DO-SATIN-FULL-BLACK</t>
  </si>
  <si>
    <t xml:space="preserve">satin sheets set full xl</t>
  </si>
  <si>
    <t xml:space="preserve">DSS4-SP-Full Size Sateen Weave Sheets-[Satin|Full]-(LSV)-Exact-(Ranking)-DO-SATIN-FULL-BLACK</t>
  </si>
  <si>
    <t xml:space="preserve">full size sateen weave sheets</t>
  </si>
  <si>
    <t xml:space="preserve">D-S4-black satin sheets twin - [Satin|Twin] - Phrase - Conv - DO - SATIN-FULL-BLACK</t>
  </si>
  <si>
    <t xml:space="preserve">black satin sheets twin</t>
  </si>
  <si>
    <t xml:space="preserve">DSS4-SP-Black Silk Sheets Full Size Bed Set-(VLSV)-Exact-(Ranking)-DO-SATIN-FULL-BLACK</t>
  </si>
  <si>
    <t xml:space="preserve">black silk sheets full size bed set</t>
  </si>
  <si>
    <t xml:space="preserve">DSS4-SP-Full Size Silk Sheet Sets-[Silk|Full]-(VLSV)-Phrase-(Conversion)-DO-SATIN-FULL-GREY</t>
  </si>
  <si>
    <t xml:space="preserve">full size silk sheet sets</t>
  </si>
  <si>
    <t xml:space="preserve">DSS4-SP-Silky Sheets Full-[Silk|Full]-(VLSV)-Phrase-(Conversion)-DO-SATIN-FULL-GREY</t>
  </si>
  <si>
    <t xml:space="preserve">silky sheets full</t>
  </si>
  <si>
    <t xml:space="preserve">DSS4-SP-Black Silk Sheets Full Size Bed Set-(VLSV)-Phrase-(Conversion)-DO-SATIN-FULL-BLACK</t>
  </si>
  <si>
    <t xml:space="preserve">DSS4-SP-Full Size Sheets Satin-[Satin|Full]-(VLSV)-Exact-(Ranking)-DO-SATIN-FULL-BLACK</t>
  </si>
  <si>
    <t xml:space="preserve">full size sheets satin</t>
  </si>
  <si>
    <t xml:space="preserve">DSS4-SP-Full Size Silk Sheet Sets-[Silk|Full]-(VLSV)-Exact-(Ranking)-DO-SATIN-FULL-BLACK</t>
  </si>
  <si>
    <t xml:space="preserve">DSS4-SP-Satin Sheet Set Full-[Satin|Full]-(VLSV)-Exact-(Ranking)-DO-SATIN-FULL-BLACK</t>
  </si>
  <si>
    <t xml:space="preserve">satin sheet set full</t>
  </si>
  <si>
    <t xml:space="preserve">DSS4-SP-Silk Sheet Set Full-[Silk|Full]-(LSV)-Phrase-(Conversion)-DO-SATIN-FULL-GREY</t>
  </si>
  <si>
    <t xml:space="preserve">DSS4-SP-Full Satin Sheets Set-[Satin|Full]-(LSV)-Phrase-(Conversion)-DO-SATIN-IVORY-FULL</t>
  </si>
  <si>
    <t xml:space="preserve">SATIN-IVORY-FULL</t>
  </si>
  <si>
    <t xml:space="preserve">DSS4-SP-King Satin Sheets-[Satin|King]-(LSV)-Exact-(Ranking)-DO-SATIN-4PC-KING-GREY</t>
  </si>
  <si>
    <t xml:space="preserve">king satin sheets</t>
  </si>
  <si>
    <t xml:space="preserve">satin sheets king</t>
  </si>
  <si>
    <t xml:space="preserve">king size silk sheets</t>
  </si>
  <si>
    <t xml:space="preserve">D-S4-gold satin sheets - [Satin] - Exact - Ran - DO - SATIN-GOLD-KING</t>
  </si>
  <si>
    <t xml:space="preserve">SATIN-GOLD-KING</t>
  </si>
  <si>
    <t xml:space="preserve">gold satin sheets</t>
  </si>
  <si>
    <t xml:space="preserve">silk sheets king size</t>
  </si>
  <si>
    <t xml:space="preserve">DSS4-SP-King Silk Sheet Set-[Silk|King]-(LSV)-Exact-(Ranking)-DO-SATIN-4PC-KING-GREY</t>
  </si>
  <si>
    <t xml:space="preserve">king silk sheet set</t>
  </si>
  <si>
    <t xml:space="preserve">DSS4-SP-Red Silk Sheets King-(VLSV)-Exact-(Ranking)-DO-SATIN-4PCS-KING-RED</t>
  </si>
  <si>
    <t xml:space="preserve">red silk sheets king</t>
  </si>
  <si>
    <t xml:space="preserve">satin sheets king size</t>
  </si>
  <si>
    <t xml:space="preserve">satin king sheets set</t>
  </si>
  <si>
    <t xml:space="preserve">D-S4-SP-king satin sheet set-(Satin)-VLSV-Exact-Rank-DO-SATIN-KING-BLACK-V2</t>
  </si>
  <si>
    <t xml:space="preserve">SATIN-KING-BLACK-V2</t>
  </si>
  <si>
    <t xml:space="preserve">king satin sheets set · king size satin sheet set</t>
  </si>
  <si>
    <t xml:space="preserve">sateen sheets king size</t>
  </si>
  <si>
    <t xml:space="preserve">DSS4-SP-Silk Sheets King Size-[Silk|King]-(LSV)-Phrase-(Discovery)-DO-SATIN-4PC-KING-GREY</t>
  </si>
  <si>
    <t xml:space="preserve">D-S4-SP-bedsure dark gray king bed sheets-(Bed)-HSV-Exact-Rank-DO-SATIN-KING-GREY</t>
  </si>
  <si>
    <t xml:space="preserve">SATIN-KING-GREY</t>
  </si>
  <si>
    <t xml:space="preserve">gray silk sheets</t>
  </si>
  <si>
    <t xml:space="preserve">black silk sheets king</t>
  </si>
  <si>
    <t xml:space="preserve">DSS4-SP-King Satin Sheets-[Satin|King]-(LSV)-Broad-(Discovery)-DO-SATIN-4PC-KING-GREY</t>
  </si>
  <si>
    <t xml:space="preserve">king sheets silk</t>
  </si>
  <si>
    <t xml:space="preserve">DSS4-SP-Silky Sheets King-[Silk|King]-(VLSV)-Exact-(Ranking)-DO-SATIN-4PC-KING-GREY</t>
  </si>
  <si>
    <t xml:space="preserve">silky sheets king</t>
  </si>
  <si>
    <t xml:space="preserve">D-S4-SP-light grey satin sheets-(Satin)-MSV-Exact-Rank-DO-SATIN-KING-GREY</t>
  </si>
  <si>
    <t xml:space="preserve">light grey satin sheets</t>
  </si>
  <si>
    <t xml:space="preserve">DSS4-SP-Satin Sheets King-[Satin|King]-(MSV)-Broad-(Discovery)-DO-SATIN-4PC-KING-GREY</t>
  </si>
  <si>
    <t xml:space="preserve">red satin sheets king</t>
  </si>
  <si>
    <t xml:space="preserve">DSS4-SP-King Size Bed Sheets Silk-[Silk|King]-(VLSV)-Exact-(Ranking)-DO-SATIN-4PC-KING-GREY</t>
  </si>
  <si>
    <t xml:space="preserve">king size bed sheets silk</t>
  </si>
  <si>
    <t xml:space="preserve">D-S4-SP-grey silk sheets-(Silk)-MSV-Phrase-Disc-DO-SATIN-KING-GREY</t>
  </si>
  <si>
    <t xml:space="preserve">grey silk sheets</t>
  </si>
  <si>
    <t xml:space="preserve">DSS4-SP-King Silk Sheets-[Silk|King]-(LSV)-Broad-(Discovery)-DO-SATIN-4PC-KING-GREY</t>
  </si>
  <si>
    <t xml:space="preserve">king silk sheets</t>
  </si>
  <si>
    <t xml:space="preserve">DSS4-SP-Satin Bed Set King-(VLSV)-Exact-(Ranking)-DO-SATIN-4PC-KING-GREY</t>
  </si>
  <si>
    <t xml:space="preserve">satin bed set king · satin bed sheets king set</t>
  </si>
  <si>
    <t xml:space="preserve">DSS4-SP-Sateen Sheets King Size-[Satin|King]-(LSV)-Broad-(Discovery)-DO-SATIN-4PC-KING-GREY</t>
  </si>
  <si>
    <t xml:space="preserve">DSS4-SP-Red Satin Sheets King Size-(VLSV)-Exact-(Ranking)-DO-SATIN-4PCS-KING-RED</t>
  </si>
  <si>
    <t xml:space="preserve">red satin sheets king size</t>
  </si>
  <si>
    <t xml:space="preserve">DSS4-SP-King Size Silk Sheets Set-[Silk|King]-(LSV)-Broad-(Discovery)-DO-SATIN-4PC-KING-GREY</t>
  </si>
  <si>
    <t xml:space="preserve">king size silk sheets set</t>
  </si>
  <si>
    <t xml:space="preserve">DSS4-SP-Silk Sheets King-[Silk|King]-(MSV)-Broad-(Discovery)-DO-SATIN-4PC-KING-GREY</t>
  </si>
  <si>
    <t xml:space="preserve">silk sheets king</t>
  </si>
  <si>
    <t xml:space="preserve">king size satin sheets set</t>
  </si>
  <si>
    <t xml:space="preserve">DSS4-SP-sateen sheets-[Satin]-(LSV)-Exact-(Conversion)-DO-SATIN-4PC-KING-GREY-TEST</t>
  </si>
  <si>
    <t xml:space="preserve">sateen sheets</t>
  </si>
  <si>
    <t xml:space="preserve">DSS4-SP-Silk King Bed Sheets-[Silk|King]-(LSV)-Exact-(Ranking)-DO-SATIN-4PC-KING-GREY</t>
  </si>
  <si>
    <t xml:space="preserve">silk king bed sheets</t>
  </si>
  <si>
    <t xml:space="preserve">DSS4-SP-Silk Bed Sheets King-[Silk|King]-(LSV)-Broad-(Discovery)-DO-SATIN-4PC-KING-GREY</t>
  </si>
  <si>
    <t xml:space="preserve">silk bed sheets king</t>
  </si>
  <si>
    <t xml:space="preserve">DSS4-SP-Silk Satin King Size Sheets-(VLSV)-Exact-(Ranking)-DO-SATIN-4PC-KING-GREY</t>
  </si>
  <si>
    <t xml:space="preserve">silk satin king size sheets</t>
  </si>
  <si>
    <t xml:space="preserve">DSS4-SP-Silk King Size Sheets-(VLSV)-Exact-(Ranking)-DO-SATIN-4PC-KING-GREY</t>
  </si>
  <si>
    <t xml:space="preserve">silk king size sheets</t>
  </si>
  <si>
    <t xml:space="preserve">D-S4-SP-white satin queen size sheets-(Satin)-LSV-Exact-Rank-DO-SATIN-WHITE-KING</t>
  </si>
  <si>
    <t xml:space="preserve">SATIN-WHITE-KING</t>
  </si>
  <si>
    <t xml:space="preserve">white satin queen size sheets</t>
  </si>
  <si>
    <t xml:space="preserve">D-S4-SP-white satin queen sheet set-(Satin)-HSV-Exact-Rank-DO-SATIN-WHITE-KING</t>
  </si>
  <si>
    <t xml:space="preserve">white satin queen sheet set</t>
  </si>
  <si>
    <t xml:space="preserve">DSS4-SP-Silk Bed Sheets King-[Silk|King]-(LSV)-Exact-(Ranking)-DO-SATIN-4PC-KING-GREY</t>
  </si>
  <si>
    <t xml:space="preserve">DSS4-SP-Silk Sheets King Size-[Silk|King]-(LSV)-Phrase-(Discovery)-DO-SATIN-4PC-KING-GREY-2</t>
  </si>
  <si>
    <t xml:space="preserve">SATIN-4PC-KING-GREY-2</t>
  </si>
  <si>
    <t xml:space="preserve">satin sheets king deep pocket</t>
  </si>
  <si>
    <t xml:space="preserve">DSS4-SP-Silk Sheets King-[Silk|King]-(MSV)-Exact-(Ranking)-DO-SATIN-4PC-KING-GREY</t>
  </si>
  <si>
    <t xml:space="preserve">silk bed sheets king size</t>
  </si>
  <si>
    <t xml:space="preserve">D-S4-SP-black and red striped sheet-(Sheet)-HSV-Exact-Rank-DO-SATIN-4PC-KING-GREY</t>
  </si>
  <si>
    <t xml:space="preserve">black and red striped sheet</t>
  </si>
  <si>
    <t xml:space="preserve">DSS4-SP-Silk Bed Sheets King-[Silk|King]-(LSV)-Phrase-(Discovery)-DO-SATIN-4PC-KING-GREY</t>
  </si>
  <si>
    <t xml:space="preserve">D-S4-SP-satin sheets king size bed set candory-(Satin)-LSV-Exact-Rank-DO-SATIN-4PC-KING-GREY</t>
  </si>
  <si>
    <t xml:space="preserve">red satin king size sheet set</t>
  </si>
  <si>
    <t xml:space="preserve">DSS4-SP-Sheet Set King Satin-(VLSV)-Exact-(Ranking)-DO-SATIN-4PC-KING-GREY</t>
  </si>
  <si>
    <t xml:space="preserve">sheet set king satin</t>
  </si>
  <si>
    <t xml:space="preserve">DSS4-SP-Satin Sheet Set King-[Satin|King]-(VLSV)-Phrase-(Conversion)-DO-SATIN-4PC-KING-GREY</t>
  </si>
  <si>
    <t xml:space="preserve">satin sheet set king</t>
  </si>
  <si>
    <t xml:space="preserve">DSS4-SP-King Satin Sheets Deep Pocket Fitted-(VLSV)-Exact-(Ranking)-DO-SATIN-4PC-KING-GREY</t>
  </si>
  <si>
    <t xml:space="preserve">king satin sheets deep pocket fitted</t>
  </si>
  <si>
    <t xml:space="preserve">DSS4-SP-Silk King Sheets Set-[Silk|King]-(LSV)-Phrase-(Conversion)-DO-SATIN-4PC-KING-GREY</t>
  </si>
  <si>
    <t xml:space="preserve">silk king sheets set</t>
  </si>
  <si>
    <t xml:space="preserve">D-S4-SP-purple sheet set queen satin-(Satin)-LSV-Exact-Rank-DO-SATIN-ROSEWOOD-KING</t>
  </si>
  <si>
    <t xml:space="preserve">SATIN-ROSEWOOD-KING</t>
  </si>
  <si>
    <t xml:space="preserve">purple sheet set queen satin</t>
  </si>
  <si>
    <t xml:space="preserve">DSS4-SP-King Satin Sheets Red-(VLSV)-Exact-(Ranking)-DO-SATIN-4PCS-KING-RED</t>
  </si>
  <si>
    <t xml:space="preserve">king satin sheets red</t>
  </si>
  <si>
    <t xml:space="preserve">DSS4-SP-Silk King Sheets Set-[Silk|King]-(LSV)-Exact-(Ranking)-DO-SATIN-4PC-KING-GREY</t>
  </si>
  <si>
    <t xml:space="preserve">DSS4-SP-Silk Sheet Set King-[Silk|King]-(VLSV)-Exact-(Ranking)-DO-SATIN-4PC-KING-GREY</t>
  </si>
  <si>
    <t xml:space="preserve">silk sheet set king</t>
  </si>
  <si>
    <t xml:space="preserve">DSS4-SP-Silky Sheets King-[Silk|King]-(VLSV)-Phrase-(Conversion)-DO-SATIN-4PC-KING-GREY</t>
  </si>
  <si>
    <t xml:space="preserve">DSS4-SP-Black Satin Sheets King-[Satin|King]-(LSV)-Exact-(Ranking)-DO-SATIN-4PC-KING-GREY</t>
  </si>
  <si>
    <t xml:space="preserve">black satin sheets king</t>
  </si>
  <si>
    <t xml:space="preserve">DSS4-SP-Satin Sheet Set King-[Satin|King]-(VLSV)-Exact-(Ranking)-DO-SATIN-4PC-KING-GREY</t>
  </si>
  <si>
    <t xml:space="preserve">DSS4-SP-Silk King Sheets-[Silk|King]-(LSV)-Exact-(Ranking)-DO-SATIN-4PC-KING-GREY</t>
  </si>
  <si>
    <t xml:space="preserve">silk king sheets</t>
  </si>
  <si>
    <t xml:space="preserve">D-S4-SP-cooling black satin sheets-(Satin)-MSV-Exact-Rank-DO-SATIN-KING-BLACK</t>
  </si>
  <si>
    <t xml:space="preserve">cool silk twin sheets</t>
  </si>
  <si>
    <t xml:space="preserve">DSS4-SP-King Size Bed Sheets Silk-[Silk|King]-(VLSV)-Exact-(Ranking)-DO-SATIN-4PC-KING-GREY-2</t>
  </si>
  <si>
    <t xml:space="preserve">DSS4-SP-King Size Satin Sheets-[Satin|King]-(LSV)-Exact-(Ranking)-DO-SATIN-4PC-KING-GREY</t>
  </si>
  <si>
    <t xml:space="preserve">king size satin sheets</t>
  </si>
  <si>
    <t xml:space="preserve">DSS4-SP-Satin Bed Sheets King-[Satin|King]-(LSV)-Exact-(Ranking)-DO-SATIN-4PC-KING-GREY</t>
  </si>
  <si>
    <t xml:space="preserve">satin bed sheets king</t>
  </si>
  <si>
    <t xml:space="preserve">DSS4-SP-Satin Sheets King Size Bed Set-[Satin|King]-(VLSV)-Exact-(Ranking)-DO-SATIN-4PC-KING-GREY</t>
  </si>
  <si>
    <t xml:space="preserve">satin sheets king size bed set</t>
  </si>
  <si>
    <t xml:space="preserve">DSS4-SP-Satin Sheets King Size Bed Set-[Satin|King]-(VLSV)-Phrase-(Conversion)-DO-SATIN-4PC-KING-GREY</t>
  </si>
  <si>
    <t xml:space="preserve">DSS4-SP-Silk Sheet Set King-[Silk|King]-(VLSV)-Phrase-(Conversion)-DO-SATIN-4PC-KING-GREY</t>
  </si>
  <si>
    <t xml:space="preserve">satin sheets queen · satin sheets queen size</t>
  </si>
  <si>
    <t xml:space="preserve">DSS4-SP-Silk Bedsheets-[Silk]-(LSV)-Broad-(Discovery)-DO-SATIN-QUEEN-GREY</t>
  </si>
  <si>
    <t xml:space="preserve">silk bedsheets</t>
  </si>
  <si>
    <t xml:space="preserve">satin sheets queen</t>
  </si>
  <si>
    <t xml:space="preserve">satin sheets</t>
  </si>
  <si>
    <t xml:space="preserve">black silk sheets</t>
  </si>
  <si>
    <t xml:space="preserve">DSS4-SP-Red Satin Sheet-(VLSV)-Exact-(Ranking)-DO-SATIN-4PC-RED-QUEEN</t>
  </si>
  <si>
    <t xml:space="preserve">red satin sheet</t>
  </si>
  <si>
    <t xml:space="preserve">queen satin sheets</t>
  </si>
  <si>
    <t xml:space="preserve">DSS4-SP-Silk Bedsheets-[Silk]-(LSV)-Phrase-(Discovery)-DO-SATIN-QUEEN-GREY</t>
  </si>
  <si>
    <t xml:space="preserve">queen sheets silk</t>
  </si>
  <si>
    <t xml:space="preserve">silk queen bed sheets set</t>
  </si>
  <si>
    <t xml:space="preserve">DSS4-SP-Black Queen Sheets-(MSV)-Exact-(Conversion)-DO-SATIN-QUEEN-BLACK</t>
  </si>
  <si>
    <t xml:space="preserve">black queen sheets</t>
  </si>
  <si>
    <t xml:space="preserve">DSS4-SP-Purple Silk Sheets-[Silk]-(LSV)-Exact-(Ranking)-DO-SATIN-QUEEN-PURPLE</t>
  </si>
  <si>
    <t xml:space="preserve">DSS4-SP-Queen Silk Sheet-[Silk|Queen]-(VLSV)-Exact-(Ranking)-DO-SATIN-QUEEN-BLACK</t>
  </si>
  <si>
    <t xml:space="preserve">queen silk sheet</t>
  </si>
  <si>
    <t xml:space="preserve">satin bed sheets queen</t>
  </si>
  <si>
    <t xml:space="preserve">DSS4-SP-Dark Blue Satin Sheets-(VLSV)-Exact-(Conversion)-DO-SATIN-4PC-QUEEN-NAVY BLUE</t>
  </si>
  <si>
    <t xml:space="preserve">SATIN-4PC-QUEEN-NAVY BLUE</t>
  </si>
  <si>
    <t xml:space="preserve">dark blue satin sheets</t>
  </si>
  <si>
    <t xml:space="preserve">queen satin sheet set</t>
  </si>
  <si>
    <t xml:space="preserve">DSS4-SP-Decolure Sheet-(VLSV)-Exact-(Defensive)-DO-SATIN-QUEEN-BLACK</t>
  </si>
  <si>
    <t xml:space="preserve">decolure sheet</t>
  </si>
  <si>
    <t xml:space="preserve">DSS4-SP-Pink Satin Sheet-(VLSV)-Exact-(Ranking)-DO-SATIN-QUEEN-PINK</t>
  </si>
  <si>
    <t xml:space="preserve">pink satin sheet</t>
  </si>
  <si>
    <t xml:space="preserve">silk sheets queen</t>
  </si>
  <si>
    <t xml:space="preserve">silk satin sheets</t>
  </si>
  <si>
    <t xml:space="preserve">D-S4-SP-queen sheet silk-(Silk)-LSV-Exact-Rank-DO-SATIN-WHITE-QUEEN</t>
  </si>
  <si>
    <t xml:space="preserve">queen bed sheet silk · queen sheet silk · satin silk sheet set queen +1 more keywords</t>
  </si>
  <si>
    <t xml:space="preserve">D-S4-black silk sheets queen - [Silk|Queen] - Exact - Ran - DO - SATIN-QUEEN-BLACK</t>
  </si>
  <si>
    <t xml:space="preserve">black silk sheets queen</t>
  </si>
  <si>
    <t xml:space="preserve">DSS4-SP-Satin Queen Sheets Set-[Satin|Queen]-(LSV)-Exact-(Ranking)-DO-SATIN-QUEEN-BLACK</t>
  </si>
  <si>
    <t xml:space="preserve">satin queen sheets set</t>
  </si>
  <si>
    <t xml:space="preserve">white silk sheets queen</t>
  </si>
  <si>
    <t xml:space="preserve">red satin sheets</t>
  </si>
  <si>
    <t xml:space="preserve">DSS4-SP-Gray Satin Sheets-(VLSV)-Exact-(Conversion)-DO-SATIN-QUEEN-GREY</t>
  </si>
  <si>
    <t xml:space="preserve">gray satin sheets</t>
  </si>
  <si>
    <t xml:space="preserve">DSS4-SP-Olive Green Silk Sheets-(VLSV)-Exact-(Conversion)-DO-SATIN-4PC-QUEEN-DARK GREEN</t>
  </si>
  <si>
    <t xml:space="preserve">olive green silk sheets</t>
  </si>
  <si>
    <t xml:space="preserve">DSS4-SP-Satin Sheets For Queen-(NOSV)-Exact-(Ranking)-DO-SATIN-QUEEN-BLACK</t>
  </si>
  <si>
    <t xml:space="preserve">satin sheets for queen</t>
  </si>
  <si>
    <t xml:space="preserve">D-S4-silk sheets queen size - [Silk|Queen] - Exact - Ran - DO - SATIN-QUEEN-BLACK</t>
  </si>
  <si>
    <t xml:space="preserve">silk sheets queen size</t>
  </si>
  <si>
    <t xml:space="preserve">D-S4-grey silk sheets - [Silk] - Exact - Ran - DO - SATIN-QUEEN-GREY</t>
  </si>
  <si>
    <t xml:space="preserve">DSS4-SP-White Satin Sheets Queen-[Satin|Queen]-(VLSV)-Exact-(Ranking)-DO-SATIN-WHITE-QUEEN</t>
  </si>
  <si>
    <t xml:space="preserve">white satin sheets queen</t>
  </si>
  <si>
    <t xml:space="preserve">D-S4-sage green silk sheets - [Silk] - Exact - Ran - DO - SATIN-4PC-QUEEN-SAGE GREEN</t>
  </si>
  <si>
    <t xml:space="preserve">sage green silk sheets</t>
  </si>
  <si>
    <t xml:space="preserve">DSS4-SP-Decolure Satin Bed Sheets-(VLSV)-Exact-(Defensive)-DO-SATIN-QUEEN-BLACK</t>
  </si>
  <si>
    <t xml:space="preserve">decolure satin bed sheets</t>
  </si>
  <si>
    <t xml:space="preserve">DSS4-SP-Black Satin Sheets-[Satin]-(MSV)-Exact-(Ranking)-DO-SATIN-QUEEN-BLACK</t>
  </si>
  <si>
    <t xml:space="preserve">black satin sheets</t>
  </si>
  <si>
    <t xml:space="preserve">decolure satin · decolure satin sheets</t>
  </si>
  <si>
    <t xml:space="preserve">DSS4-SP-Satin Bedsheets Queen Size-[Satin|Queen]-(VLSV)-Exact-(Ranking)-DO-SATIN-QUEEN-BLACK</t>
  </si>
  <si>
    <t xml:space="preserve">satin bedsheets queen size</t>
  </si>
  <si>
    <t xml:space="preserve">DSS4-SP-White Satin Sheets-[Satin]-(LSV)-Exact-(Ranking)-DO-SATIN-WHITE-QUEEN</t>
  </si>
  <si>
    <t xml:space="preserve">white satin sheets</t>
  </si>
  <si>
    <t xml:space="preserve">DSS4-SP-Queen Size Satin Sheets Set-[Satin|Queen]-(LSV)-Exact-(Ranking)-DO-SATIN-QUEEN-BLACK</t>
  </si>
  <si>
    <t xml:space="preserve">queen size satin sheets set</t>
  </si>
  <si>
    <t xml:space="preserve">green satin sheets</t>
  </si>
  <si>
    <t xml:space="preserve">DSS4-SP-Silk Satin Sheets Queen-(VLSV)-Exact-(Conversion)-DO-SATIN-QUEEN-BLACK</t>
  </si>
  <si>
    <t xml:space="preserve">silk satin sheets queen</t>
  </si>
  <si>
    <t xml:space="preserve">gold silk sheets</t>
  </si>
  <si>
    <t xml:space="preserve">D-S4-blue satin sheets - [Satin] - Exact - Ran - DO - SATIN-QUEEN-BLUE</t>
  </si>
  <si>
    <t xml:space="preserve">blue satin sheets</t>
  </si>
  <si>
    <t xml:space="preserve">DSS4-SP-Purple Satin Bed Sheets-(VLSV)-Exact-(Conversion)-DO-SATIN-QUEEN-PURPLE</t>
  </si>
  <si>
    <t xml:space="preserve">purple satin bed sheets</t>
  </si>
  <si>
    <t xml:space="preserve">DSS4-SP-White Satin Sheet Set Queen-(VLSV)-Exact-(Ranking)-DO-SATIN-WHITE-QUEEN</t>
  </si>
  <si>
    <t xml:space="preserve">white satin sheet set queen</t>
  </si>
  <si>
    <t xml:space="preserve">silk black sheets</t>
  </si>
  <si>
    <t xml:space="preserve">DSS4-SP-Deep Pocket Queen Satin Sheets-(VLSV)-Exact-(Conversion)-DO-SATIN-QUEEN-BLACK</t>
  </si>
  <si>
    <t xml:space="preserve">deep pocket queen satin sheets</t>
  </si>
  <si>
    <t xml:space="preserve">DSS4-SP-Cooling Satin Sheets Queen-[Satin|Queen]-(VLSV)-Exact-(Ranking)-DO-SATIN-QUEEN-BLACK</t>
  </si>
  <si>
    <t xml:space="preserve">cooling satin sheets queen</t>
  </si>
  <si>
    <t xml:space="preserve">satin sheets deep pocket</t>
  </si>
  <si>
    <t xml:space="preserve">queen size sheets silk</t>
  </si>
  <si>
    <t xml:space="preserve">DSS4-SP-Queen Size Sheets Satin-(VLSV)-Exact-(Conversion)-DO-SATIN-QUEEN-BLACK</t>
  </si>
  <si>
    <t xml:space="preserve">queen size sheets satin</t>
  </si>
  <si>
    <t xml:space="preserve">DSS4-SP-Black Silk-(VLSV)-Exact-(Conversion)-DO-SATIN-QUEEN-BLACK</t>
  </si>
  <si>
    <t xml:space="preserve">black silk</t>
  </si>
  <si>
    <t xml:space="preserve">DSS4-SP-Navy Blue Silk Sheets-[Silk]-(VLSV)-Exact-(Ranking)-DO-SATIN-4PC-QUEEN-NAVY BLUE</t>
  </si>
  <si>
    <t xml:space="preserve">navy blue silk sheets</t>
  </si>
  <si>
    <t xml:space="preserve">D-S4-satin queen sheets - [Satin|Queen] - Exact - Ran - DO - SATIN-QUEEN-BLACK</t>
  </si>
  <si>
    <t xml:space="preserve">satin queen sheets</t>
  </si>
  <si>
    <t xml:space="preserve">DSS4-SP-Queen Silk Sheets Set-[Silk|Queen]-(MSV)-Broad-(Discovery)-DO-SATIN-4PCS-QUEEN-STONE-GREY</t>
  </si>
  <si>
    <t xml:space="preserve">SATIN-4PCS-QUEEN-STONE-GREY</t>
  </si>
  <si>
    <t xml:space="preserve">queen silk sheets set</t>
  </si>
  <si>
    <t xml:space="preserve">DSS4-SP-Deep Pocket Satin Sheets-[Satin]-(VLSV)-Exact-(Ranking)-DO-SATIN-QUEEN-BLACK</t>
  </si>
  <si>
    <t xml:space="preserve">deep pocket satin sheets</t>
  </si>
  <si>
    <t xml:space="preserve">D-S4-SP-sleep sanctuary satin-(Satin)-LSV-Broad-Disc-DO-SATIN-QUEEN-BLACK</t>
  </si>
  <si>
    <t xml:space="preserve">sleep sanctuary · sleep sanctuary bedding · sleep sanctuary silk +1 more keywords</t>
  </si>
  <si>
    <t xml:space="preserve">DSS4-SP-Satin Sheets Set Queen Size-(VLSV)-Exact-(Ranking)-DO-SATIN-QUEEN-BLACK</t>
  </si>
  <si>
    <t xml:space="preserve">satin sheets set queen size</t>
  </si>
  <si>
    <t xml:space="preserve">DSS4-SP-Silk Sheets White-[Silk]-(VLSV)-Exact-(Ranking)-DO-SATIN-WHITE-QUEEN</t>
  </si>
  <si>
    <t xml:space="preserve">silk sheets white</t>
  </si>
  <si>
    <t xml:space="preserve">D-S4-queen bed sheets silk - [Silk|Queen] - Exact - Ran - DO - SATIN-QUEEN-BLACK</t>
  </si>
  <si>
    <t xml:space="preserve">queen bed sheets silk</t>
  </si>
  <si>
    <t xml:space="preserve">DSS4-SP-Queen Bed Sheets Satin-[Satin|Queen]-(VLSV)-Exact-(Ranking)-DO-SATIN-QUEEN-BLACK</t>
  </si>
  <si>
    <t xml:space="preserve">queen bed sheets satin</t>
  </si>
  <si>
    <t xml:space="preserve">DSS4-SP-Silk White Sheets-[Silk]-(LSV)-Exact-(Ranking)-DO-SATIN-WHITE-QUEEN</t>
  </si>
  <si>
    <t xml:space="preserve">silk white sheets</t>
  </si>
  <si>
    <t xml:space="preserve">D-S4-queen silk sheets set - [Silk|Queen] - Exact - Ran - DO - SATIN-QUEEN-BLACK</t>
  </si>
  <si>
    <t xml:space="preserve">DSS4-SP-Silk Bed Sheets-[Silk]-(HSV)-Broad-(Discovery)-DO-SATIN-QUEEN-GREY</t>
  </si>
  <si>
    <t xml:space="preserve">silk bed sheets</t>
  </si>
  <si>
    <t xml:space="preserve">D-S4-silk queen sheets - [Silk|Queen] - Exact - Ran - DO - SATIN-QUEEN-BLACK</t>
  </si>
  <si>
    <t xml:space="preserve">silk queen sheets</t>
  </si>
  <si>
    <t xml:space="preserve">DSS4-SP-Queen Sheet Sets Satin-(VLSV)-Exact-(Ranking)-DO-SATIN-QUEEN-BLACK</t>
  </si>
  <si>
    <t xml:space="preserve">queen sheet sets satin</t>
  </si>
  <si>
    <t xml:space="preserve">D-S4-bed sheets queen size silk - [Silk|Queen] - Exact - Ran - DO - SATIN-QUEEN-BLACK</t>
  </si>
  <si>
    <t xml:space="preserve">bed sheets queen size silk</t>
  </si>
  <si>
    <t xml:space="preserve">DSS4-SP-Satin Sheets Queen Size Deep Pocket-[Satin|Queen]-(LSV)-Exact-(Ranking)-DO-SATIN-QUEEN-BLACK</t>
  </si>
  <si>
    <t xml:space="preserve">satin sheets queen size deep pocket</t>
  </si>
  <si>
    <t xml:space="preserve">DSS4-SP-Sheets Queen Size Bed Set Satin-[Satin|Queen]-(VLSV)-Exact-(Ranking)-DO-SATIN-QUEEN-BLACK</t>
  </si>
  <si>
    <t xml:space="preserve">sheets queen size bed set satin</t>
  </si>
  <si>
    <t xml:space="preserve">queen size satin sheets</t>
  </si>
  <si>
    <t xml:space="preserve">DSS4-SP-Black Satin Sheets Queen Deep Pocket-(VLSV)-Exact-(Ranking)-DO-SATIN-QUEEN-BLACK</t>
  </si>
  <si>
    <t xml:space="preserve">black satin sheets queen deep pocket</t>
  </si>
  <si>
    <t xml:space="preserve">D-S4-silk queen bed sheets - [Silk|Queen] - Exact - Ran - DO - SATIN-QUEEN-BLACK</t>
  </si>
  <si>
    <t xml:space="preserve">silk queen bed sheets</t>
  </si>
  <si>
    <t xml:space="preserve">DSS4-SP-Pink Silk Sheets-[Silk]-(MSV)-Exact-(Ranking)-DO-SATIN-QUEEN-PINK</t>
  </si>
  <si>
    <t xml:space="preserve">pink silk sheets</t>
  </si>
  <si>
    <t xml:space="preserve">D-S4-SP-satin queen sheet set stain resistance-(Satin)-HSV-Exact-Rank-DO-SATIN-QUEEN-GREY</t>
  </si>
  <si>
    <t xml:space="preserve">satin bed set queen</t>
  </si>
  <si>
    <t xml:space="preserve">D-S4-silky sheets queen - [Silk|Queen] - Exact - Ran - DO - SATIN-QUEEN-BLACK</t>
  </si>
  <si>
    <t xml:space="preserve">silky sheets queen</t>
  </si>
  <si>
    <t xml:space="preserve">D-S4-silk sheets queen size bed set - [Silk|Queen] - Exact - Ran - DO - SATIN-QUEEN-BLACK</t>
  </si>
  <si>
    <t xml:space="preserve">silk sheets queen size bed set</t>
  </si>
  <si>
    <t xml:space="preserve">DSS4-SP-Plum Satin Sheets-(VLSV)-Exact-(Conversion)-DO-SATIN-QUEEN-BLACK</t>
  </si>
  <si>
    <t xml:space="preserve">plum satin sheets</t>
  </si>
  <si>
    <t xml:space="preserve">DSS4-SP-Satin Queen Sheets Deep Pocket-(VLSV)-Exact-(Conversion)-DO-SATIN-QUEEN-BLACK</t>
  </si>
  <si>
    <t xml:space="preserve">satin queen sheets deep pocket</t>
  </si>
  <si>
    <t xml:space="preserve">DSS4-SP-Satin Queen Sheets Set-[Satin|Queen]-(LSV)-Phrase-(Conversion)-DO-SATIN-QUEEN-GREY</t>
  </si>
  <si>
    <t xml:space="preserve">DSS4-SP-Black Satin Queen Sheets-(VLSV)-Exact-(Conversion)-DO-SATIN-QUEEN-BLACK</t>
  </si>
  <si>
    <t xml:space="preserve">black satin queen sheets</t>
  </si>
  <si>
    <t xml:space="preserve">DSS4-SP-Green Silk Sheets-[Silk]-(LSV)-Exact-(Ranking)-DO-SATIN-4PC-QUEEN-DARK GREEN</t>
  </si>
  <si>
    <t xml:space="preserve">green silk sheets</t>
  </si>
  <si>
    <t xml:space="preserve">DSS4-SP-Juego De Sabana Queen De Satin-(NOSV)-Exact-(Ranking)-DO-SATIN-QUEEN-BLACK</t>
  </si>
  <si>
    <t xml:space="preserve">juego de sabana queen de satin · sabanas queen satin</t>
  </si>
  <si>
    <t xml:space="preserve">DSS4-SP-Satin Sheets Queen Size Set-(VLSV)-Exact-(Ranking)-DO-SATIN-QUEEN-BLACK</t>
  </si>
  <si>
    <t xml:space="preserve">satin sheets queen size set</t>
  </si>
  <si>
    <t xml:space="preserve">D-S4-sheets queen size bed set silk - [Silk|Queen] - Exact - Ran - DO - SATIN-QUEEN-BLACK</t>
  </si>
  <si>
    <t xml:space="preserve">sheets queen size bed set silk</t>
  </si>
  <si>
    <t xml:space="preserve">DSS4-SP-silk fitted sheet queen-[unassigned]-(VLSV)-Exact-(Conversion)-DO-SATIN-QUEEN-BLACK-TEST</t>
  </si>
  <si>
    <t xml:space="preserve">silk fitted sheet queen</t>
  </si>
  <si>
    <t xml:space="preserve">DSS4-SP-Satin Deep Pocket Sheets-(VLSV)-Exact-(Ranking)-DO-SATIN-QUEEN-BLACK</t>
  </si>
  <si>
    <t xml:space="preserve">satin deep pocket sheets</t>
  </si>
  <si>
    <t xml:space="preserve">D-S4-queen silk bed sheets - [Silk|Queen] - Exact - Ran - DO - SATIN-QUEEN-BLACK</t>
  </si>
  <si>
    <t xml:space="preserve">queen silk bed sheets</t>
  </si>
  <si>
    <t xml:space="preserve">black satin sheets queen</t>
  </si>
  <si>
    <t xml:space="preserve">DSS4-SP-White Queen Satin Sheets-(VLSV)-Exact-(Ranking)-DO-SATIN-WHITE-QUEEN</t>
  </si>
  <si>
    <t xml:space="preserve">white queen satin sheets</t>
  </si>
  <si>
    <t xml:space="preserve">DSS4-SP-Queen Sheets Deep Pocket Satin-(VLSV)-Exact-(Conversion)-DO-SATIN-QUEEN-BLACK</t>
  </si>
  <si>
    <t xml:space="preserve">queen sheets deep pocket satin</t>
  </si>
  <si>
    <t xml:space="preserve">DSS4-SP-Pink Silk Sheets Queen-[Silk|Queen]-(LSV)-Exact-(Ranking)-DO-SATIN-QUEEN-PINK</t>
  </si>
  <si>
    <t xml:space="preserve">pink silk sheets queen</t>
  </si>
  <si>
    <t xml:space="preserve">DSS4-SP-Black Silk Queen Sheet Set-[Silk|Queen]-(VLSV)-Exact-(Ranking)-DO-SATIN-QUEEN-BLACK</t>
  </si>
  <si>
    <t xml:space="preserve">black silk queen sheet set</t>
  </si>
  <si>
    <t xml:space="preserve">DSS4-SP-Silk Sheets And Pillow Cases-(LSV)-Exact-(Ranking)-DO-SATIN-QUEEN-BLACK</t>
  </si>
  <si>
    <t xml:space="preserve">silk sheets and pillow cases</t>
  </si>
  <si>
    <t xml:space="preserve">D-S4-light blue satin sheets - [Satin] - Exact - Ran - DO - SATIN-4PC-QUEEN-BABY BLUE</t>
  </si>
  <si>
    <t xml:space="preserve">SATIN-4PC-QUEEN-BABY BLUE</t>
  </si>
  <si>
    <t xml:space="preserve">light blue satin sheets</t>
  </si>
  <si>
    <t xml:space="preserve">DSS4-SP-Queen Sheets Satin Silk-(NOSV)-Exact-(Conversion)-DO-SATIN-QUEEN-BLACK</t>
  </si>
  <si>
    <t xml:space="preserve">queen sheets satin silk</t>
  </si>
  <si>
    <t xml:space="preserve">DSS4-SP-Satin Silk Sheets-[Satin]-(VLSV)-Exact-(Ranking)-DO-SATIN-QUEEN-BLACK</t>
  </si>
  <si>
    <t xml:space="preserve">satin silk sheets</t>
  </si>
  <si>
    <t xml:space="preserve">DSS4-SP-Silk Sheets Pink-[Silk]-(VLSV)-Exact-(Ranking)-DO-SATIN-QUEEN-PINK</t>
  </si>
  <si>
    <t xml:space="preserve">silk sheets pink</t>
  </si>
  <si>
    <t xml:space="preserve">DSS4-SP-Grey Satin Sheets Queen Size-(VLSV)-Exact-(Ranking)-DO-SATIN-QUEEN-GREY</t>
  </si>
  <si>
    <t xml:space="preserve">grey satin sheets queen size</t>
  </si>
  <si>
    <t xml:space="preserve">queen satin sheets set</t>
  </si>
  <si>
    <t xml:space="preserve">DSS4-SP-Red Silk Sheets Queen-[Silk|Queen]-(VLSV)-Phrase-(Conversion)-DO-SATIN-4PC-RED-QUEEN</t>
  </si>
  <si>
    <t xml:space="preserve">red silk sheets queen</t>
  </si>
  <si>
    <t xml:space="preserve">DSS4-SP-Pure Satin Sheets-(VLSV)-Exact-(Conversion)-DO-SATIN-QUEEN-BLACK</t>
  </si>
  <si>
    <t xml:space="preserve">pure satin sheets</t>
  </si>
  <si>
    <t xml:space="preserve">DSS4-SP-Bed Sheet Set Silk-(VLSV)-Exact-(Conversion)-DO-SATIN-QUEEN-BLACK</t>
  </si>
  <si>
    <t xml:space="preserve">bed sheet set silk</t>
  </si>
  <si>
    <t xml:space="preserve">DSS4-SP-Satin Sheets And Pillow Cases-(VLSV)-Exact-(Ranking)-DO-SATIN-QUEEN-BLACK</t>
  </si>
  <si>
    <t xml:space="preserve">satin sheets and pillow cases</t>
  </si>
  <si>
    <t xml:space="preserve">DSS4-SP-Queen Pink Satin Sheets-(VLSV)-Exact-(Ranking)-DO-SATIN-QUEEN-PINK</t>
  </si>
  <si>
    <t xml:space="preserve">queen pink satin sheets</t>
  </si>
  <si>
    <t xml:space="preserve">DSS4-SP-Sheets Queen Satin-(VLSV)-Exact-(Ranking)-DO-SATIN-QUEEN-GREY</t>
  </si>
  <si>
    <t xml:space="preserve">sheets queen satin</t>
  </si>
  <si>
    <t xml:space="preserve">D-S4-cream silk sheets - [Silk] - Exact - Ran - DO - SATIN-QUEEN-BLACK</t>
  </si>
  <si>
    <t xml:space="preserve">cream silk sheets</t>
  </si>
  <si>
    <t xml:space="preserve">DSS4-SP-Queen Bed Silk Sheets-[Silk|Queen]-(LSV)-Exact-(Ranking)-DO-SATIN-QUEEN-BLACK</t>
  </si>
  <si>
    <t xml:space="preserve">queen bed silk sheets</t>
  </si>
  <si>
    <t xml:space="preserve">DSS4-SP-Black Satin Sheets-[Satin]-(MSV)-Broad-(Discovery)-DO-SATIN-QUEEN-BLACK</t>
  </si>
  <si>
    <t xml:space="preserve">D-S4-SP-cream silk king size sheets-(Silk)-MSV-Exact-Rank-DO-SATIN-WHITE-QUEEN</t>
  </si>
  <si>
    <t xml:space="preserve">cream king silk sheets</t>
  </si>
  <si>
    <t xml:space="preserve">DSS4-SP-Silk Bed Sheets Queen-[Silk|Queen]-(MSV)-Exact-(Ranking)-DO-SATIN-QUEEN-BLACK</t>
  </si>
  <si>
    <t xml:space="preserve">silk bed sheets queen</t>
  </si>
  <si>
    <t xml:space="preserve">DSS4-SP-Extra Deep Pocket Queen Sheets Satin-(VLSV)-Exact-(Ranking)-DO-SATIN-QUEEN-BLACK</t>
  </si>
  <si>
    <t xml:space="preserve">extra deep pocket queen sheets satin</t>
  </si>
  <si>
    <t xml:space="preserve">DSS4-SP-Queen Sheet Set Satin-[Satin|Queen]-(LSV)-Exact-(Ranking)-DO-SATIN-QUEEN-BLACK</t>
  </si>
  <si>
    <t xml:space="preserve">queen sheet set satin</t>
  </si>
  <si>
    <t xml:space="preserve">DSS4-SP-Silky Bed Sheets-(LSV)-Exact-(Ranking)-DO-SATIN-QUEEN-BLACK</t>
  </si>
  <si>
    <t xml:space="preserve">silky bed sheets</t>
  </si>
  <si>
    <t xml:space="preserve">DSS4-SP-Silk Bed Sheets-[Silk]-(HSV)-Phrase-(Discovery)-DO-SATIN-QUEEN-GREY</t>
  </si>
  <si>
    <t xml:space="preserve">DSS4-SP-Queen Sheet Set Silk-[Silk|Queen]-(LSV)-Exact-(Ranking)-DO-SATIN-QUEEN-BLACK</t>
  </si>
  <si>
    <t xml:space="preserve">queen sheet set silk</t>
  </si>
  <si>
    <t xml:space="preserve">satin sheet set queen</t>
  </si>
  <si>
    <t xml:space="preserve">DSS4-SP-Sheets Queen Size Satin-(VLSV)-Exact-(Conversion)-DO-SATIN-QUEEN-BLACK</t>
  </si>
  <si>
    <t xml:space="preserve">sheets queen size satin</t>
  </si>
  <si>
    <t xml:space="preserve">DSS4-SP-Deep Pocket Queen Satin Sheet Set-(VLSV)-Exact-(Ranking)-DO-SATIN-QUEEN-BLACK</t>
  </si>
  <si>
    <t xml:space="preserve">deep pocket queen satin sheet set</t>
  </si>
  <si>
    <t xml:space="preserve">DSS4-SP-Black Silk Sheets-[Silk]-(MSV)-Broad-(Discovery)-DO-SATIN-QUEEN-BLACK</t>
  </si>
  <si>
    <t xml:space="preserve">DSS4-SP-Satin Fitted Queen Sheet-(NOSV)-Exact-(Ranking)-DO-SATIN-QUEEN-BLACK</t>
  </si>
  <si>
    <t xml:space="preserve">satin fitted queen sheet</t>
  </si>
  <si>
    <t xml:space="preserve">D-S4-SP-satin sheets queen deep-(Satin)-HSV-Exact-Rank-DO-SATIN-QUEEN-GREY</t>
  </si>
  <si>
    <t xml:space="preserve">satin bottom sheet queen · satin sheets queen deep</t>
  </si>
  <si>
    <t xml:space="preserve">DSS4-SP-Satin Bed Sheet Set Queen Size-(VLSV)-Exact-(Ranking)-DO-SATIN-QUEEN-BLACK</t>
  </si>
  <si>
    <t xml:space="preserve">satin bed sheet set queen size</t>
  </si>
  <si>
    <t xml:space="preserve">DSS4-SP-Queen Silk Sheets-[Silk|Queen]-(MSV)-Exact-(Ranking)-DO-SATIN-QUEEN-BLACK</t>
  </si>
  <si>
    <t xml:space="preserve">queen silk sheets</t>
  </si>
  <si>
    <t xml:space="preserve">DSS4-SP-Queen Gold Satin Sheets-(VLSV)-Exact-(Ranking)-DO-SATIN-GOLD-QUEEN</t>
  </si>
  <si>
    <t xml:space="preserve">queen gold satin sheets</t>
  </si>
  <si>
    <t xml:space="preserve">DSS4-SP-Black Sheets Queen Satin-(VLSV)-Exact-(Conversion)-DO-SATIN-QUEEN-BLACK</t>
  </si>
  <si>
    <t xml:space="preserve">black sheets queen satin</t>
  </si>
  <si>
    <t xml:space="preserve">DSS4-SP-Pink Silk Bed Sheets-[Silk]-(VLSV)-Exact-(Ranking)-DO-SATIN-QUEEN-PINK</t>
  </si>
  <si>
    <t xml:space="preserve">pink silk bed sheets</t>
  </si>
  <si>
    <t xml:space="preserve">DSS4-SP-Satin Bedsheets Queen Size Bed-(VLSV)-Exact-(Ranking)-DO-SATIN-QUEEN-BLACK</t>
  </si>
  <si>
    <t xml:space="preserve">satin bedsheets queen size bed</t>
  </si>
  <si>
    <t xml:space="preserve">DSS4-SP-Satin Sheets Queen Red-(VLSV)-Exact-(Ranking)-DO-SATIN-4PC-RED-QUEEN</t>
  </si>
  <si>
    <t xml:space="preserve">satin sheets queen red</t>
  </si>
  <si>
    <t xml:space="preserve">DSS4-SP-Satin Bedsheet Set Queen-(NOSV)-Exact-(Ranking)-DO-SATIN-QUEEN-BLACK</t>
  </si>
  <si>
    <t xml:space="preserve">satin bedsheet set queen</t>
  </si>
  <si>
    <t xml:space="preserve">DSS4-SP-Bed Sheets Satin-[Satin]-(LSV)-Exact-(Ranking)-DO-SATIN-QUEEN-BLACK</t>
  </si>
  <si>
    <t xml:space="preserve">bed sheets satin</t>
  </si>
  <si>
    <t xml:space="preserve">DSS4-SP-Sateen Sheets Queen Size-[Satin|Queen]-(MSV)-Broad-(Discovery)-DO-SATIN-QUEEN-GREY</t>
  </si>
  <si>
    <t xml:space="preserve">sateen sheets queen size</t>
  </si>
  <si>
    <t xml:space="preserve">DSS4-SP-Real Satin Sheets Queen Size-(VLSV)-Exact-(Ranking)-DO-SATIN-QUEEN-BLACK</t>
  </si>
  <si>
    <t xml:space="preserve">real satin sheets queen size</t>
  </si>
  <si>
    <t xml:space="preserve">DSS4-SP-Bed Set Silky-(VLSV)-Exact-(Ranking)-DO-SATIN-QUEEN-BLACK</t>
  </si>
  <si>
    <t xml:space="preserve">bed set silk · bed set silky</t>
  </si>
  <si>
    <t xml:space="preserve">DSS4-SP-Silk Bed Sheets-[Silk]-(HSV)-Exact-(Ranking)-DO-SATIN-QUEEN-BLACK</t>
  </si>
  <si>
    <t xml:space="preserve">DSS4-SP-White Silk Bed Sheets-[Silk]-(VLSV)-Exact-(Ranking)-DO-SATIN-WHITE-QUEEN</t>
  </si>
  <si>
    <t xml:space="preserve">white silk bed sheets</t>
  </si>
  <si>
    <t xml:space="preserve">DSS4-SP-Deep Queen Sheet Set Satin-(NOSV)-Exact-(Ranking)-DO-SATIN-QUEEN-BLACK</t>
  </si>
  <si>
    <t xml:space="preserve">deep queen sheet set satin</t>
  </si>
  <si>
    <t xml:space="preserve">DSS4-SP-Satin Black Queen Bed Sheets-(VLSV)-Exact-(Ranking)-DO-SATIN-QUEEN-BLACK</t>
  </si>
  <si>
    <t xml:space="preserve">satin black queen bed sheets</t>
  </si>
  <si>
    <t xml:space="preserve">D-S4-queen size silk sheets set - [Silk|Queen] - Exact - Ran - DO - SATIN-QUEEN-BLACK</t>
  </si>
  <si>
    <t xml:space="preserve">queen size silk sheets set</t>
  </si>
  <si>
    <t xml:space="preserve">DSS4-SP-Satin Sheets Oversized Queen-(NOSV)-Exact-(Ranking)-DO-SATIN-QUEEN-BLACK</t>
  </si>
  <si>
    <t xml:space="preserve">satin sheets oversized queen</t>
  </si>
  <si>
    <t xml:space="preserve">D-S4-SP-grey satin king sheet set-(Satin)-LSV-Exact-Rank-DO-SATIN-QUEEN-BLACK</t>
  </si>
  <si>
    <t xml:space="preserve">dark grey silk bed sheets · grey satin king sheet set</t>
  </si>
  <si>
    <t xml:space="preserve">DSS4-SP-Deep Pocket Satin Sheets-[Satin]-(VLSV)-Phrase-(Conversion)-DO-SATIN-QUEEN-GREY</t>
  </si>
  <si>
    <t xml:space="preserve">DSS4-SP-Queen Bed Sheets Black Satin-(NOSV)-Exact-(Ranking)-DO-SATIN-QUEEN-BLACK</t>
  </si>
  <si>
    <t xml:space="preserve">queen bed sheets black satin</t>
  </si>
  <si>
    <t xml:space="preserve">DSS4-SP-satin sheets queen size bed set-[Satin|Queen]-(LSV)-Exact-(Conversion)-DO-SATIN-QUEEN-BLACK-TEST</t>
  </si>
  <si>
    <t xml:space="preserve">satin sheets queen size bed set</t>
  </si>
  <si>
    <t xml:space="preserve">DSS4-SP-Silky Sheets-[Silk]-(LSV)-Phrase-(Conversion)-DO-SATIN-4PCS-QUEEN-STONE-GREY</t>
  </si>
  <si>
    <t xml:space="preserve">silky sheets</t>
  </si>
  <si>
    <t xml:space="preserve">DSS4-SP-Red Satin Fitted Sheet Queen-(VLSV)-Exact-(Ranking)-DO-SATIN-4PC-RED-QUEEN</t>
  </si>
  <si>
    <t xml:space="preserve">red satin fitted sheet queen</t>
  </si>
  <si>
    <t xml:space="preserve">DSS4-SP-Silk Sheet Set-[Silk]-(LSV)-Phrase-(Conversion)-DO-SATIN-4PCS-QUEEN-STONE-GREY</t>
  </si>
  <si>
    <t xml:space="preserve">silk sheet set</t>
  </si>
  <si>
    <t xml:space="preserve">DSS4-SP-Silky Satin Bed Sheets Queen-(NOSV)-Exact-(Ranking)-DO-SATIN-QUEEN-BLACK</t>
  </si>
  <si>
    <t xml:space="preserve">silky satin bed sheets queen</t>
  </si>
  <si>
    <t xml:space="preserve">DSS4-SP-Satin Fitted Sheet Queen White-(NOSV)-Exact-(Ranking)-DO-SATIN-WHITE-QUEEN</t>
  </si>
  <si>
    <t xml:space="preserve">satin fitted sheet queen white</t>
  </si>
  <si>
    <t xml:space="preserve">DSS4-SP-Satin Flat Sheet-(LSV)-Phrase-(Conversion)-DO-SATIN-QUEEN-GREY</t>
  </si>
  <si>
    <t xml:space="preserve">satin flat sheet</t>
  </si>
  <si>
    <t xml:space="preserve">DSS4-SP-Silk Queen Bed Sheets Set-[Silk|Queen]-(MSV)-Broad-(Discovery)-DO-SATIN-4PCS-QUEEN-STONE-GREY</t>
  </si>
  <si>
    <t xml:space="preserve">DSS4-SP-Silk Bed Sheets Queen-[Silk|Queen]-(MSV)-Broad-(Discovery)-DO-SATIN-4PCS-QUEEN-STONE-GREY</t>
  </si>
  <si>
    <t xml:space="preserve">DSS4-SP-Red Silk Sheets Queen-[Silk|Queen]-(VLSV)-Exact-(Ranking)-DO-SATIN-4PC-RED-QUEEN</t>
  </si>
  <si>
    <t xml:space="preserve">DSS4-SP-Satin Deep Pocket Queen Sheet Set-(VLSV)-Exact-(Ranking)-DO-SATIN-QUEEN-BLACK</t>
  </si>
  <si>
    <t xml:space="preserve">satin deep pocket queen sheet set</t>
  </si>
  <si>
    <t xml:space="preserve">DSS4-SP-Gold Satin King Size Sheet Set-(VLSV)-Exact-(Ranking)-DO-SATIN-GOLD-QUEEN</t>
  </si>
  <si>
    <t xml:space="preserve">gold satin king size sheet set</t>
  </si>
  <si>
    <t xml:space="preserve">D-S4-SP-satin sheets queen hotel luxury-(Satin)-MSV-Exact-Rank-DO-SATIN-QUEEN-BLACK</t>
  </si>
  <si>
    <t xml:space="preserve">satin sheet sets for queen size bed</t>
  </si>
  <si>
    <t xml:space="preserve">DSS4-SP-Double Bed Sheets Sets Satin-(VLSV)-Exact-(Ranking)-DO-SATIN-QUEEN-BLACK</t>
  </si>
  <si>
    <t xml:space="preserve">double bed sheets sets satin</t>
  </si>
  <si>
    <t xml:space="preserve">DSS4-SP-Queen Sheets 12 Inch Mattress Satin-(NOSV)-Exact-(Ranking)-DO-SATIN-QUEEN-BLACK</t>
  </si>
  <si>
    <t xml:space="preserve">queen sheets 12 inch mattress satin</t>
  </si>
  <si>
    <t xml:space="preserve">DSS4-SP-Queen Silky Bed Sheets-(NOSV)-Exact-(Ranking)-DO-SATIN-QUEEN-BLACK</t>
  </si>
  <si>
    <t xml:space="preserve">queen silky bed sheets</t>
  </si>
  <si>
    <t xml:space="preserve">D-S4-SP-satin silk queen bed sheets set-(Silk)-VLSV-Exact-Rank-DO-SATIN-QUEEN-GREY-FBM</t>
  </si>
  <si>
    <t xml:space="preserve">SATIN-QUEEN-GREY-FBM</t>
  </si>
  <si>
    <t xml:space="preserve">satin silk queen bed sheets set</t>
  </si>
  <si>
    <t xml:space="preserve">DSS4-SP-Satin Pillowcase And Queen Sheets-(NOSV)-Exact-(Ranking)-DO-SATIN-QUEEN-BLACK</t>
  </si>
  <si>
    <t xml:space="preserve">satin pillowcase and queen sheets</t>
  </si>
  <si>
    <t xml:space="preserve">DSS4-SP-silk-[Silk]-(MSV)-Exact-(Conversion)-DO-SATIN-QUEEN-BLACK-TEST</t>
  </si>
  <si>
    <t xml:space="preserve">silk</t>
  </si>
  <si>
    <t xml:space="preserve">DSS4-SP-Silky Bed Sheets-(LSV)-Phrase-(Conversion)-DO-SATIN-4PCS-QUEEN-STONE-GREY</t>
  </si>
  <si>
    <t xml:space="preserve">D-S4-SP-king size satin sheets with elastic-(Satin)-HSV-Exact-Rank-DO-SATIN-RED-QUEEN</t>
  </si>
  <si>
    <t xml:space="preserve">SATIN-RED-QUEEN</t>
  </si>
  <si>
    <t xml:space="preserve">king size red silk sheets set · king size satin sheets with elastic</t>
  </si>
  <si>
    <t xml:space="preserve">DSS4-SP-Queen Sheet Set Deep Pockets Satin-(NOSV)-Exact-(Ranking)-DO-SATIN-QUEEN-BLACK</t>
  </si>
  <si>
    <t xml:space="preserve">queen sheet set deep pockets satin</t>
  </si>
  <si>
    <t xml:space="preserve">DSS4-SP-Royal Satin Sheets-(VLSV)-Exact-(Ranking)-DO-SATIN-QUEEN-BLACK</t>
  </si>
  <si>
    <t xml:space="preserve">royal satin sheets</t>
  </si>
  <si>
    <t xml:space="preserve">DSS4-SP-Satin Black Queen Sheet Set-(VLSV)-Exact-(Ranking)-DO-SATIN-QUEEN-BLACK</t>
  </si>
  <si>
    <t xml:space="preserve">satin black queen sheet set</t>
  </si>
  <si>
    <t xml:space="preserve">DSS4-SP-Bed Sheet Set Queen Satin-(VLSV)-Exact-(Ranking)-DO-SATIN-QUEEN-BLACK</t>
  </si>
  <si>
    <t xml:space="preserve">bed sheet set queen satin</t>
  </si>
  <si>
    <t xml:space="preserve">DSS4-SP-Grey Satin Sheets-[Satin]-(LSV)-Phrase-(Conversion)-DO-SATIN-QUEEN-GREY</t>
  </si>
  <si>
    <t xml:space="preserve">grey satin sheets</t>
  </si>
  <si>
    <t xml:space="preserve">DSS4-SP-grey silk sheets queen-[Silk|Queen]-(VLSV)-Exact-(Conversion)-DO-SATIN-QUEEN-GREY-TEST</t>
  </si>
  <si>
    <t xml:space="preserve">grey silk sheets queen</t>
  </si>
  <si>
    <t xml:space="preserve">DSS4-SP-Hot Pink Satin Sheets-[Satin]-(LSV)-Exact-(Ranking)-DO-SATIN-QUEEN-PINK</t>
  </si>
  <si>
    <t xml:space="preserve">hot pink satin sheets</t>
  </si>
  <si>
    <t xml:space="preserve">DSS4-SP-Queen Sateen Sheet Set-[Satin|Queen]-(LSV)-Exact-(Ranking)-DO-SATIN-QUEEN-BLACK</t>
  </si>
  <si>
    <t xml:space="preserve">queen sateen sheet set</t>
  </si>
  <si>
    <t xml:space="preserve">DSS4-SP-Ropa De Cama Queen Satin-(VLSV)-Exact-(Conversion)-DO-SATIN-QUEEN-BLACK</t>
  </si>
  <si>
    <t xml:space="preserve">ropa de cama queen satin</t>
  </si>
  <si>
    <t xml:space="preserve">DSS4-SP-brown silk sheets-[Silk]-(LSV)-Exact-(Conversion)-DO-SATIN-QUEEN-BLACK-TEST</t>
  </si>
  <si>
    <t xml:space="preserve">brown silk sheets</t>
  </si>
  <si>
    <t xml:space="preserve">DSS4-SP-Grey Silk Sheets-[Silk]-(LSV)-Phrase-(Conversion)-DO-SATIN-QUEEN-GREY</t>
  </si>
  <si>
    <t xml:space="preserve">DSS4-SP-Light Pink Silk Sheets-[Silk]-(LSV)-Exact-(Ranking)-DO-SATIN-QUEEN-PINK</t>
  </si>
  <si>
    <t xml:space="preserve">light pink silk sheets</t>
  </si>
  <si>
    <t xml:space="preserve">DSS4-SP-Pink Satin Sheets Queen-[Satin|Queen]-(VLSV)-Exact-(Ranking)-DO-SATIN-QUEEN-PINK</t>
  </si>
  <si>
    <t xml:space="preserve">pink satin sheets queen</t>
  </si>
  <si>
    <t xml:space="preserve">DSS4-SP-Queen Sateen Sheet Set-[Satin|Queen]-(LSV)-Phrase-(Conversion)-DO-SATIN-QUEEN-GREY</t>
  </si>
  <si>
    <t xml:space="preserve">DSS4-SP-Queen Sheet Set Silk-[Silk|Queen]-(LSV)-Phrase-(Conversion)-DO-SATIN-4PCS-QUEEN-STONE-GREY</t>
  </si>
  <si>
    <t xml:space="preserve">DSS4-SP-Satin Purple Sheet Set-(VLSV)-Exact-(Ranking)-DO-SATIN-QUEEN-PURPLE</t>
  </si>
  <si>
    <t xml:space="preserve">satin purple sheet set</t>
  </si>
  <si>
    <t xml:space="preserve">DSS4-SP-Satin Sheet Set Queen Size-[Satin|Queen]-(VLSV)-Phrase-(Conversion)-DO-SATIN-QUEEN-GREY</t>
  </si>
  <si>
    <t xml:space="preserve">satin sheet set queen size</t>
  </si>
  <si>
    <t xml:space="preserve">DSS4-SP-Satin Sheets And Pillow Cases-(VLSV)-Phrase-(Conversion)-DO-SATIN-QUEEN-GREY</t>
  </si>
  <si>
    <t xml:space="preserve">DSS4-SP-silk sheet and pillowcase set-[Silk]-(VLSV)-Exact-(Conversion)-DO-SATIN-QUEEN-BLACK-TEST</t>
  </si>
  <si>
    <t xml:space="preserve">silk sheet and pillowcase set</t>
  </si>
  <si>
    <t xml:space="preserve">D-S4-silk sheet set - [Silk] - Exact - Ran - DO - SATIN-QUEEN-BLACK</t>
  </si>
  <si>
    <t xml:space="preserve">DSS4-SP-Black Satin Bed Sheets-[Satin]-(LSV)-Exact-(Ranking)-DO-SATIN-QUEEN-BLACK</t>
  </si>
  <si>
    <t xml:space="preserve">black satin bed sheets</t>
  </si>
  <si>
    <t xml:space="preserve">DSS4-SP-Black Silk Bed Sheets-[Silk]-(LSV)-Exact-(Ranking)-DO-SATIN-QUEEN-BLACK</t>
  </si>
  <si>
    <t xml:space="preserve">black silk bed sheets</t>
  </si>
  <si>
    <t xml:space="preserve">DSS4-SP-Deep Pocket Satin Queen Sheets-[Satin|Queen]-(VLSV)-Phrase-(Conversion)-DO-SATIN-QUEEN-GREY</t>
  </si>
  <si>
    <t xml:space="preserve">deep pocket satin queen sheets</t>
  </si>
  <si>
    <t xml:space="preserve">DSS4-SP-Light Purple Satin Sheets Queen-(VLSV)-Exact-(Ranking)-DO-SATIN-QUEEN-PURPLE</t>
  </si>
  <si>
    <t xml:space="preserve">light purple satin sheets queen</t>
  </si>
  <si>
    <t xml:space="preserve">DSS4-SP-Queen Sheets Satin-[Satin|Queen]-(LSV)-Exact-(Ranking)-DO-SATIN-QUEEN-BLACK</t>
  </si>
  <si>
    <t xml:space="preserve">queen sheets satin</t>
  </si>
  <si>
    <t xml:space="preserve">DSS4-SP-Queen Sized Silk Sheets Set-(NOSV)-Exact-(Ranking)-DO-SATIN-QUEEN-BLACK</t>
  </si>
  <si>
    <t xml:space="preserve">queen sized silk sheets set</t>
  </si>
  <si>
    <t xml:space="preserve">DSS4-SP-Satin Sheets 4 Piece-(NOSV)-Exact-(Ranking)-DO-SATIN-QUEEN-GREY</t>
  </si>
  <si>
    <t xml:space="preserve">satin sheets 4 piece</t>
  </si>
  <si>
    <t xml:space="preserve">DSS4-SP-Silk Bed Sheet Set-(VLSV)-Phrase-(Conversion)-DO-SATIN-4PCS-QUEEN-STONE-GREY</t>
  </si>
  <si>
    <t xml:space="preserve">silk bed sheet set</t>
  </si>
  <si>
    <t xml:space="preserve">DSS4-SP-Silk Flat Sheet-(LSV)-Phrase-(Conversion)-DO-SATIN-4PCS-QUEEN-STONE-GREY</t>
  </si>
  <si>
    <t xml:space="preserve">silk flat sheet</t>
  </si>
  <si>
    <t xml:space="preserve">DSS4-SP-Silk Sheets And Pillow Cases-(LSV)-Phrase-(Conversion)-DO-SATIN-4PCS-QUEEN-STONE-GREY</t>
  </si>
  <si>
    <t xml:space="preserve">DSS4-SP-Silk Sheets Queen Size Bed Set-[Silk|Queen]-(VLSV)-Phrase-(Conversion)-DO-SATIN-4PCS-QUEEN-STONE-GREY</t>
  </si>
  <si>
    <t xml:space="preserve">DSS4-SP-Silver Queen Satin Sheets-(VLSV)-Exact-(Ranking)-DO-SATIN-QUEEN-BLACK</t>
  </si>
  <si>
    <t xml:space="preserve">silver queen satin sheets</t>
  </si>
  <si>
    <t xml:space="preserve">DSS4-SP-Twin Size Satin Sheets-[Satin|Twin]-(VLSV)-Exact-(Ranking)-DO-SATIN-TWIN-BLACK-NEW</t>
  </si>
  <si>
    <t xml:space="preserve">twin size satin sheets</t>
  </si>
  <si>
    <t xml:space="preserve">twin satin sheets</t>
  </si>
  <si>
    <t xml:space="preserve">silk sheets twin</t>
  </si>
  <si>
    <t xml:space="preserve">DSS4-SP-Silk Bed Sheets Twin-[Silk|Twin]-(LSV)-Broad-(Discovery)-DO-SATIN-TWIN-GREY</t>
  </si>
  <si>
    <t xml:space="preserve">silk bed sheets twin</t>
  </si>
  <si>
    <t xml:space="preserve">DSS4-SP-Silk Sheets Twin-[Silk|Twin]-(MSV)-Broad-(Discovery)-DO-SATIN-TWIN-GREY</t>
  </si>
  <si>
    <t xml:space="preserve">DSS4-SP-Twin Sheets Silk-[Silk|Twin]-(LSV)-Exact-(Ranking)-DO-SATIN-TWIN-BLACK-NEW</t>
  </si>
  <si>
    <t xml:space="preserve">twin sheets silk</t>
  </si>
  <si>
    <t xml:space="preserve">twin silk sheets</t>
  </si>
  <si>
    <t xml:space="preserve">DSS4-SP-Satin Bed Set Twin-(VLSV)-Exact-(Conversion)-DO-SATIN-TWIN-BLACK-NEW</t>
  </si>
  <si>
    <t xml:space="preserve">satin bed set twin</t>
  </si>
  <si>
    <t xml:space="preserve">D-S4-silk twin bed sheets - [Silk|Twin] - Exact - Ran - DO - SATIN-TWIN-BLACK-NEW</t>
  </si>
  <si>
    <t xml:space="preserve">silk twin bed sheets</t>
  </si>
  <si>
    <t xml:space="preserve">DSS4-SP-Blue Silk Sheets-[Silk]-(LSV)-Phrase-(Conversion)-DO-SATIN-TWIN-BLUE</t>
  </si>
  <si>
    <t xml:space="preserve">blue silk sheets</t>
  </si>
  <si>
    <t xml:space="preserve">D-S4-white silk sheets - [Silk] - Broad - Disc - DO - SATIN-STRIPE-TWIN-WHITE</t>
  </si>
  <si>
    <t xml:space="preserve">SATIN-STRIPE-TWIN-WHITE</t>
  </si>
  <si>
    <t xml:space="preserve">white silk sheets</t>
  </si>
  <si>
    <t xml:space="preserve">D-S4-red satin sheets - [Satin] - Phrase - Conv - DO - SATIN-RED-TWIN</t>
  </si>
  <si>
    <t xml:space="preserve">SATIN-RED-TWIN</t>
  </si>
  <si>
    <t xml:space="preserve">D-S4-blue satin sheets - [Satin] - Phrase - Conv - DO - SATIN-STRIPE-TWIN-BLUE</t>
  </si>
  <si>
    <t xml:space="preserve">SATIN-STRIPE-TWIN-BLUE</t>
  </si>
  <si>
    <t xml:space="preserve">DSS4-SP-Red Satin Sheets Twin-[Satin|Twin]-(VLSV)-Exact-(Ranking)-DO-SATIN-RED-TWIN</t>
  </si>
  <si>
    <t xml:space="preserve">red satin sheets twin</t>
  </si>
  <si>
    <t xml:space="preserve">DSS4-SP-Satin Bed Sheets Twin-[Satin|Twin]-(LSV)-Exact-(Ranking)-DO-SATIN-TWIN-BLACK-NEW</t>
  </si>
  <si>
    <t xml:space="preserve">satin bed sheets twin</t>
  </si>
  <si>
    <t xml:space="preserve">D-S4-sage green silk sheets - [Silk] - Phrase - Conv - DO - SATIN-4PC-TWIN-SAGE GREEN</t>
  </si>
  <si>
    <t xml:space="preserve">SATIN-4PC-TWIN-SAGE GREEN</t>
  </si>
  <si>
    <t xml:space="preserve">D-S4-navy blue silk sheets - [Silk] - Phrase - Conv - DO - SATIN-4PC-TWIN-NAVY BLUE</t>
  </si>
  <si>
    <t xml:space="preserve">SATIN-4PC-TWIN-NAVY BLUE</t>
  </si>
  <si>
    <t xml:space="preserve">D-S4-white silk sheets - [Silk] - Phrase - Conv - DO - SATIN-STRIPE-TWIN-WHITE</t>
  </si>
  <si>
    <t xml:space="preserve">DSS4-SP-Satin Twin Sheets-[Satin|Twin]-(LSV)-Broad-(Discovery)-DO-SATIN-TWIN-GREY</t>
  </si>
  <si>
    <t xml:space="preserve">satin twin sheets</t>
  </si>
  <si>
    <t xml:space="preserve">D-S4-white satin sheets - [Satin] - Phrase - Conv - DO - SATIN-STRIPE-TWIN-WHITE</t>
  </si>
  <si>
    <t xml:space="preserve">DSS4-SP-Twin Satin Sheets-[Satin|Twin]-(LSV)-Broad-(Discovery)-DO-SATIN-TWIN-GREY</t>
  </si>
  <si>
    <t xml:space="preserve">DSS4-SP-Satin Sheets Twin Size Bed Set-(VLSV)-Exact-(Conversion)-DO-SATIN-TWIN-BLACK-NEW</t>
  </si>
  <si>
    <t xml:space="preserve">satin sheets twin size bed set</t>
  </si>
  <si>
    <t xml:space="preserve">DSS4-SP-Silk Twin Sheets-[Silk|Twin]-(LSV)-Exact-(Ranking)-DO-SATIN-TWIN-BLACK-NEW</t>
  </si>
  <si>
    <t xml:space="preserve">silk twin sheets</t>
  </si>
  <si>
    <t xml:space="preserve">DSS4-SP-Twin Silk Sheet Set-[Silk|Twin]-(LSV)-Exact-(Ranking)-DO-SATIN-TWIN-BLACK-NEW</t>
  </si>
  <si>
    <t xml:space="preserve">twin silk sheet set</t>
  </si>
  <si>
    <t xml:space="preserve">DSS4-SP-Satin Sheets Twin-[Satin|Twin]-(MSV)-Exact-(Ranking)-DO-SATIN-TWIN-BLACK-NEW</t>
  </si>
  <si>
    <t xml:space="preserve">satin sheets twin</t>
  </si>
  <si>
    <t xml:space="preserve">DSS4-SP-Twin Silk Sheets-[Silk|Twin]-(LSV)-Broad-(Discovery)-DO-SATIN-TWIN-GREY</t>
  </si>
  <si>
    <t xml:space="preserve">DSS4-SP-Twin Size Silk Sheets-[Silk|Twin]-(VLSV)-Exact-(Ranking)-DO-SATIN-TWIN-BLACK-NEW</t>
  </si>
  <si>
    <t xml:space="preserve">twin size silk sheets</t>
  </si>
  <si>
    <t xml:space="preserve">DSS4-SP-Satin Bed Sheets Twin-[Satin|Twin]-(LSV)-Phrase-(Conversion)-DO-SATIN-TWIN-GREY</t>
  </si>
  <si>
    <t xml:space="preserve">DSS4-SP-Black Satin Sheets Twin-[Satin|Twin]-(VLSV)-Exact-(Ranking)-DO-SATIN-TWIN-BLACK-NEW</t>
  </si>
  <si>
    <t xml:space="preserve">DSS4-SP-Twin Silk Sheet Set-[Silk|Twin]-(LSV)-Phrase-(Conversion)-DO-SATIN-TWIN-GREY</t>
  </si>
  <si>
    <t xml:space="preserve">Day 2 (Oct 7) - early signals only</t>
  </si>
  <si>
    <t xml:space="preserve">Amazon daily campaign reports for Oct 7 had not landed when this file was built (Ecotero ~$10 per product; Sellerboard ad cost lags). Rerun on Oct 8 for the full hero-share comparison.</t>
  </si>
  <si>
    <t xml:space="preserve">Campaign</t>
  </si>
  <si>
    <t xml:space="preserve">Day 1 (Oct 6)</t>
  </si>
  <si>
    <t xml:space="preserve">Day 2 so far (Oct 7)</t>
  </si>
  <si>
    <t xml:space="preserve">$333.83, 84 clicks, CPC $3.97</t>
  </si>
  <si>
    <t xml:space="preserve">0 impressions, $0 (only loose-match listed)</t>
  </si>
  <si>
    <t xml:space="preserve">Looks paused or cut - consistent with the Day 2 hero-colour / placement changes. Confirm in console.</t>
  </si>
  <si>
    <t xml:space="preserve">DBS4-SP-BROAD-(PD-LTSF) (carries Satin SKUs)</t>
  </si>
  <si>
    <t xml:space="preserve">$151.25, 14 orders</t>
  </si>
  <si>
    <t xml:space="preserve">$8.82, 7 clicks, 0 orders (partial)</t>
  </si>
  <si>
    <t xml:space="preserve">Still live with Satin SKUs - fix per Issues_To_Check #1.</t>
  </si>
  <si>
    <t xml:space="preserve">$501.26, 21 orders</t>
  </si>
  <si>
    <t xml:space="preserve">$13.49, 2 orders (partial)</t>
  </si>
  <si>
    <t xml:space="preserve">Running; LTSF campaigns end Oct 7.</t>
  </si>
  <si>
    <t xml:space="preserve">Joseph's board - Day 2 actions (Slack, 7:46am ET)</t>
  </si>
  <si>
    <t xml:space="preserve">-</t>
  </si>
  <si>
    <t xml:space="preserve">42 non-hero ads paused under hero colour rule + 11 aged-colour clearance ads paused</t>
  </si>
  <si>
    <t xml:space="preserve">Expected to lift hero share on Day 2.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</si>
</sst>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\$#,##0.00;&quot;($&quot;#,##0.00\);\-"/>
    <numFmt numFmtId="167" formatCode="0.0%;\(0.0%\);\-"/>
    <numFmt numFmtId="168" formatCode="&quot;C$&quot;#,##0.00;&quot;(C$&quot;#,##0.00\);\-"/>
    <numFmt numFmtId="169" formatCode="#,##0;\(#,##0\);\-"/>
    <numFmt numFmtId="170" formatCode="0.00%;\(0.0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DEDED"/>
        <bgColor rgb="FFFFFFFF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9" min="8" style="0" width="15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4" t="n">
        <v>0.72</v>
      </c>
      <c r="D4" s="2" t="s">
        <v>3</v>
      </c>
    </row>
    <row r="6" customFormat="false" ht="15" hidden="false" customHeight="false" outlineLevel="0" collapsed="false">
      <c r="A6" s="5" t="s">
        <v>4</v>
      </c>
    </row>
    <row r="7" customFormat="false" ht="31.5" hidden="false" customHeight="true" outlineLevel="0" collapsed="false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  <c r="G7" s="6" t="s">
        <v>11</v>
      </c>
      <c r="H7" s="6" t="s">
        <v>12</v>
      </c>
      <c r="I7" s="6" t="s">
        <v>13</v>
      </c>
      <c r="J7" s="6" t="s">
        <v>14</v>
      </c>
    </row>
    <row r="8" customFormat="false" ht="15" hidden="false" customHeight="false" outlineLevel="0" collapsed="false">
      <c r="A8" s="3" t="s">
        <v>15</v>
      </c>
      <c r="B8" s="7" t="n">
        <f aca="false">SUMIFS(US_SKU_Spend!$F:$F,US_SKU_Spend!$A:$A,$A8)</f>
        <v>1880.85</v>
      </c>
      <c r="C8" s="7" t="n">
        <f aca="false">SUMIFS(US_SKU_Spend!$F:$F,US_SKU_Spend!$A:$A,$A8,US_SKU_Spend!$E:$E,"Yes")</f>
        <v>983.13</v>
      </c>
      <c r="D8" s="8" t="n">
        <f aca="false">IFERROR(C8/B8,0)</f>
        <v>0.522705159901109</v>
      </c>
      <c r="E8" s="9" t="n">
        <f aca="false">B8-C8</f>
        <v>897.72</v>
      </c>
      <c r="F8" s="7" t="n">
        <f aca="false">SUMIFS(US_Campaigns!$O:$O,US_Campaigns!$A:$A,$A8,US_Campaigns!$D:$D,"LTSF / Clearance",US_Campaigns!$I:$I,"No")</f>
        <v>541.12</v>
      </c>
      <c r="G8" s="7" t="n">
        <f aca="false">SUMIFS(US_Campaigns!$O:$O,US_Campaigns!$A:$A,$A8,US_Campaigns!$D:$D,"LTSF / Clearance",US_Campaigns!$I:$I,"Yes")</f>
        <v>59.65</v>
      </c>
      <c r="H8" s="9" t="n">
        <f aca="false">MAX(E8-F8-G8,0)</f>
        <v>296.95</v>
      </c>
      <c r="I8" s="9" t="n">
        <f aca="false">MAX(E8-F8,0)</f>
        <v>356.6</v>
      </c>
      <c r="J8" s="8" t="n">
        <f aca="false">IFERROR(C8/(B8-F8),0)</f>
        <v>0.733826965134766</v>
      </c>
    </row>
    <row r="9" customFormat="false" ht="15" hidden="false" customHeight="false" outlineLevel="0" collapsed="false">
      <c r="A9" s="3" t="s">
        <v>16</v>
      </c>
      <c r="B9" s="7" t="n">
        <f aca="false">SUMIFS(US_SKU_Spend!$F:$F,US_SKU_Spend!$A:$A,$A9)</f>
        <v>1496.44</v>
      </c>
      <c r="C9" s="7" t="n">
        <f aca="false">SUMIFS(US_SKU_Spend!$F:$F,US_SKU_Spend!$A:$A,$A9,US_SKU_Spend!$E:$E,"Yes")</f>
        <v>894.8</v>
      </c>
      <c r="D9" s="8" t="n">
        <f aca="false">IFERROR(C9/B9,0)</f>
        <v>0.597952473871321</v>
      </c>
      <c r="E9" s="9" t="n">
        <f aca="false">B9-C9</f>
        <v>601.64</v>
      </c>
      <c r="F9" s="7" t="n">
        <f aca="false">SUMIFS(US_Campaigns!$O:$O,US_Campaigns!$A:$A,$A9,US_Campaigns!$D:$D,"LTSF / Clearance",US_Campaigns!$I:$I,"No")</f>
        <v>322.82</v>
      </c>
      <c r="G9" s="7" t="n">
        <f aca="false">SUMIFS(US_Campaigns!$O:$O,US_Campaigns!$A:$A,$A9,US_Campaigns!$D:$D,"LTSF / Clearance",US_Campaigns!$I:$I,"Yes")</f>
        <v>59.65</v>
      </c>
      <c r="H9" s="9" t="n">
        <f aca="false">MAX(E9-F9-G9,0)</f>
        <v>219.17</v>
      </c>
      <c r="I9" s="9" t="n">
        <f aca="false">MAX(E9-F9,0)</f>
        <v>278.82</v>
      </c>
      <c r="J9" s="8" t="n">
        <f aca="false">IFERROR(C9/(B9-F9),0)</f>
        <v>0.762427361496907</v>
      </c>
    </row>
    <row r="10" customFormat="false" ht="15" hidden="false" customHeight="false" outlineLevel="0" collapsed="false">
      <c r="A10" s="3" t="s">
        <v>17</v>
      </c>
      <c r="B10" s="7" t="n">
        <f aca="false">SUMIFS(US_SKU_Spend!$F:$F,US_SKU_Spend!$A:$A,$A10)</f>
        <v>899.35</v>
      </c>
      <c r="C10" s="7" t="n">
        <f aca="false">SUMIFS(US_SKU_Spend!$F:$F,US_SKU_Spend!$A:$A,$A10,US_SKU_Spend!$E:$E,"Yes")</f>
        <v>472.37</v>
      </c>
      <c r="D10" s="8" t="n">
        <f aca="false">IFERROR(C10/B10,0)</f>
        <v>0.525234891866348</v>
      </c>
      <c r="E10" s="9" t="n">
        <f aca="false">B10-C10</f>
        <v>426.98</v>
      </c>
      <c r="F10" s="7" t="n">
        <f aca="false">SUMIFS(US_Campaigns!$O:$O,US_Campaigns!$A:$A,$A10,US_Campaigns!$D:$D,"LTSF / Clearance",US_Campaigns!$I:$I,"No")</f>
        <v>206.93</v>
      </c>
      <c r="G10" s="7" t="n">
        <f aca="false">SUMIFS(US_Campaigns!$O:$O,US_Campaigns!$A:$A,$A10,US_Campaigns!$D:$D,"LTSF / Clearance",US_Campaigns!$I:$I,"Yes")</f>
        <v>7.96</v>
      </c>
      <c r="H10" s="9" t="n">
        <f aca="false">MAX(E10-F10-G10,0)</f>
        <v>212.09</v>
      </c>
      <c r="I10" s="9" t="n">
        <f aca="false">MAX(E10-F10,0)</f>
        <v>220.05</v>
      </c>
      <c r="J10" s="8" t="n">
        <f aca="false">IFERROR(C10/(B10-F10),0)</f>
        <v>0.682201553970134</v>
      </c>
    </row>
    <row r="11" customFormat="false" ht="15" hidden="false" customHeight="false" outlineLevel="0" collapsed="false">
      <c r="A11" s="10" t="s">
        <v>18</v>
      </c>
      <c r="B11" s="11" t="n">
        <f aca="false">SUM(B8:B10)</f>
        <v>4276.64</v>
      </c>
      <c r="C11" s="11" t="n">
        <f aca="false">SUM(C8:C10)</f>
        <v>2350.3</v>
      </c>
      <c r="D11" s="12" t="n">
        <f aca="false">IFERROR(C11/B11,0)</f>
        <v>0.549566949754948</v>
      </c>
      <c r="E11" s="11" t="n">
        <f aca="false">SUM(E8:E10)</f>
        <v>1926.34</v>
      </c>
      <c r="F11" s="11" t="n">
        <f aca="false">SUM(F8:F10)</f>
        <v>1070.87</v>
      </c>
      <c r="G11" s="11" t="n">
        <f aca="false">SUMIFS(US_Campaigns!$O:$O,US_Campaigns!$D:$D,"LTSF / Clearance",US_Campaigns!$I:$I,"Yes",US_Campaigns!$K:$K,"Yes")</f>
        <v>59.65</v>
      </c>
      <c r="H11" s="11" t="n">
        <f aca="false">MAX(E11-F11-G11,0)</f>
        <v>795.82</v>
      </c>
      <c r="I11" s="11" t="n">
        <f aca="false">MAX(E11-F11,0)</f>
        <v>855.47</v>
      </c>
      <c r="J11" s="12" t="n">
        <f aca="false">IFERROR(C11/(B11-F11-G11),0)</f>
        <v>0.747047156497527</v>
      </c>
    </row>
    <row r="12" customFormat="false" ht="15" hidden="false" customHeight="false" outlineLevel="0" collapsed="false">
      <c r="A12" s="2" t="s">
        <v>19</v>
      </c>
    </row>
    <row r="14" customFormat="false" ht="15" hidden="false" customHeight="false" outlineLevel="0" collapsed="false">
      <c r="A14" s="5" t="s">
        <v>20</v>
      </c>
    </row>
    <row r="15" customFormat="false" ht="31.5" hidden="false" customHeight="true" outlineLevel="0" collapsed="false">
      <c r="A15" s="6" t="s">
        <v>5</v>
      </c>
      <c r="B15" s="6" t="s">
        <v>6</v>
      </c>
      <c r="C15" s="6" t="s">
        <v>7</v>
      </c>
      <c r="D15" s="6" t="s">
        <v>8</v>
      </c>
      <c r="E15" s="6" t="s">
        <v>9</v>
      </c>
      <c r="F15" s="6" t="s">
        <v>10</v>
      </c>
      <c r="G15" s="6" t="s">
        <v>11</v>
      </c>
      <c r="H15" s="6" t="s">
        <v>12</v>
      </c>
      <c r="I15" s="6" t="s">
        <v>13</v>
      </c>
      <c r="J15" s="6" t="s">
        <v>14</v>
      </c>
    </row>
    <row r="16" customFormat="false" ht="15" hidden="false" customHeight="false" outlineLevel="0" collapsed="false">
      <c r="A16" s="3" t="s">
        <v>15</v>
      </c>
      <c r="B16" s="13" t="n">
        <f aca="false">SUMIFS(CA_SKU_Spend!$F:$F,CA_SKU_Spend!$A:$A,$A16)/$C$4</f>
        <v>910.902777777778</v>
      </c>
      <c r="C16" s="13" t="n">
        <f aca="false">SUMIFS(CA_SKU_Spend!$F:$F,CA_SKU_Spend!$A:$A,$A16,CA_SKU_Spend!$E:$E,"Yes")/$C$4</f>
        <v>16.2777777777778</v>
      </c>
      <c r="D16" s="8" t="n">
        <f aca="false">IFERROR(C16/B16,0)</f>
        <v>0.0178699397728139</v>
      </c>
      <c r="E16" s="14" t="n">
        <f aca="false">B16-C16</f>
        <v>894.625</v>
      </c>
      <c r="F16" s="13" t="n">
        <f aca="false">SUMIFS(CA_Campaigns!$O:$O,CA_Campaigns!$A:$A,$A16,CA_Campaigns!$D:$D,"LTSF / Clearance",CA_Campaigns!$I:$I,"No")</f>
        <v>336.5</v>
      </c>
      <c r="G16" s="13" t="n">
        <f aca="false">SUMIFS(CA_Campaigns!$O:$O,CA_Campaigns!$A:$A,$A16,CA_Campaigns!$D:$D,"LTSF / Clearance",CA_Campaigns!$I:$I,"Yes")</f>
        <v>123.09</v>
      </c>
      <c r="H16" s="14" t="n">
        <f aca="false">MAX(E16-F16-G16,0)</f>
        <v>435.035</v>
      </c>
      <c r="I16" s="14" t="n">
        <f aca="false">MAX(E16-F16,0)</f>
        <v>558.125</v>
      </c>
      <c r="J16" s="8" t="n">
        <f aca="false">IFERROR(C16/(B16-F16),0)</f>
        <v>0.0283386125686099</v>
      </c>
    </row>
    <row r="17" customFormat="false" ht="15" hidden="false" customHeight="false" outlineLevel="0" collapsed="false">
      <c r="A17" s="3" t="s">
        <v>16</v>
      </c>
      <c r="B17" s="13" t="n">
        <f aca="false">SUMIFS(CA_SKU_Spend!$F:$F,CA_SKU_Spend!$A:$A,$A17)/$C$4</f>
        <v>553.208333333333</v>
      </c>
      <c r="C17" s="13" t="n">
        <f aca="false">SUMIFS(CA_SKU_Spend!$F:$F,CA_SKU_Spend!$A:$A,$A17,CA_SKU_Spend!$E:$E,"Yes")/$C$4</f>
        <v>316.305555555556</v>
      </c>
      <c r="D17" s="8" t="n">
        <f aca="false">IFERROR(C17/B17,0)</f>
        <v>0.571765710125279</v>
      </c>
      <c r="E17" s="14" t="n">
        <f aca="false">B17-C17</f>
        <v>236.902777777778</v>
      </c>
      <c r="F17" s="13" t="n">
        <f aca="false">SUMIFS(CA_Campaigns!$O:$O,CA_Campaigns!$A:$A,$A17,CA_Campaigns!$D:$D,"LTSF / Clearance",CA_Campaigns!$I:$I,"No")</f>
        <v>83.09</v>
      </c>
      <c r="G17" s="13" t="n">
        <f aca="false">SUMIFS(CA_Campaigns!$O:$O,CA_Campaigns!$A:$A,$A17,CA_Campaigns!$D:$D,"LTSF / Clearance",CA_Campaigns!$I:$I,"Yes")</f>
        <v>0</v>
      </c>
      <c r="H17" s="14" t="n">
        <f aca="false">MAX(E17-F17-G17,0)</f>
        <v>153.812777777778</v>
      </c>
      <c r="I17" s="14" t="n">
        <f aca="false">MAX(E17-F17,0)</f>
        <v>153.812777777778</v>
      </c>
      <c r="J17" s="8" t="n">
        <f aca="false">IFERROR(C17/(B17-F17),0)</f>
        <v>0.672821145503555</v>
      </c>
    </row>
    <row r="18" customFormat="false" ht="15" hidden="false" customHeight="false" outlineLevel="0" collapsed="false">
      <c r="A18" s="3" t="s">
        <v>17</v>
      </c>
      <c r="B18" s="13" t="n">
        <f aca="false">SUMIFS(CA_SKU_Spend!$F:$F,CA_SKU_Spend!$A:$A,$A18)/$C$4</f>
        <v>378.333333333333</v>
      </c>
      <c r="C18" s="13" t="n">
        <f aca="false">SUMIFS(CA_SKU_Spend!$F:$F,CA_SKU_Spend!$A:$A,$A18,CA_SKU_Spend!$E:$E,"Yes")/$C$4</f>
        <v>59.375</v>
      </c>
      <c r="D18" s="8" t="n">
        <f aca="false">IFERROR(C18/B18,0)</f>
        <v>0.156938325991189</v>
      </c>
      <c r="E18" s="14" t="n">
        <f aca="false">B18-C18</f>
        <v>318.958333333333</v>
      </c>
      <c r="F18" s="13" t="n">
        <f aca="false">SUMIFS(CA_Campaigns!$O:$O,CA_Campaigns!$A:$A,$A18,CA_Campaigns!$D:$D,"LTSF / Clearance",CA_Campaigns!$I:$I,"No")</f>
        <v>5.11</v>
      </c>
      <c r="G18" s="13" t="n">
        <f aca="false">SUMIFS(CA_Campaigns!$O:$O,CA_Campaigns!$A:$A,$A18,CA_Campaigns!$D:$D,"LTSF / Clearance",CA_Campaigns!$I:$I,"Yes")</f>
        <v>228.43</v>
      </c>
      <c r="H18" s="14" t="n">
        <f aca="false">MAX(E18-F18-G18,0)</f>
        <v>85.4183333333333</v>
      </c>
      <c r="I18" s="14" t="n">
        <f aca="false">MAX(E18-F18,0)</f>
        <v>313.848333333333</v>
      </c>
      <c r="J18" s="8" t="n">
        <f aca="false">IFERROR(C18/(B18-F18),0)</f>
        <v>0.159087052435093</v>
      </c>
    </row>
    <row r="19" customFormat="false" ht="15" hidden="false" customHeight="false" outlineLevel="0" collapsed="false">
      <c r="A19" s="3" t="s">
        <v>21</v>
      </c>
      <c r="B19" s="13" t="n">
        <f aca="false">SUMIFS(CA_SKU_Spend!$F:$F,CA_SKU_Spend!$A:$A,$A19)/$C$4</f>
        <v>260.486111111111</v>
      </c>
      <c r="C19" s="13" t="n">
        <f aca="false">SUMIFS(CA_SKU_Spend!$F:$F,CA_SKU_Spend!$A:$A,$A19,CA_SKU_Spend!$E:$E,"Yes")/$C$4</f>
        <v>105.680555555556</v>
      </c>
      <c r="D19" s="8" t="n">
        <f aca="false">IFERROR(C19/B19,0)</f>
        <v>0.405705145294588</v>
      </c>
      <c r="E19" s="14" t="n">
        <f aca="false">B19-C19</f>
        <v>154.805555555556</v>
      </c>
      <c r="F19" s="13" t="n">
        <f aca="false">SUMIFS(CA_Campaigns!$O:$O,CA_Campaigns!$A:$A,$A19,CA_Campaigns!$D:$D,"LTSF / Clearance",CA_Campaigns!$I:$I,"No")</f>
        <v>49.57</v>
      </c>
      <c r="G19" s="13" t="n">
        <f aca="false">SUMIFS(CA_Campaigns!$O:$O,CA_Campaigns!$A:$A,$A19,CA_Campaigns!$D:$D,"LTSF / Clearance",CA_Campaigns!$I:$I,"Yes")</f>
        <v>228.43</v>
      </c>
      <c r="H19" s="14" t="n">
        <f aca="false">MAX(E19-F19-G19,0)</f>
        <v>0</v>
      </c>
      <c r="I19" s="14" t="n">
        <f aca="false">MAX(E19-F19,0)</f>
        <v>105.235555555556</v>
      </c>
      <c r="J19" s="8" t="n">
        <f aca="false">IFERROR(C19/(B19-F19),0)</f>
        <v>0.501054921783015</v>
      </c>
    </row>
    <row r="20" customFormat="false" ht="15" hidden="false" customHeight="false" outlineLevel="0" collapsed="false">
      <c r="A20" s="10" t="s">
        <v>18</v>
      </c>
      <c r="B20" s="15" t="n">
        <f aca="false">SUM(B16:B19)</f>
        <v>2102.93055555556</v>
      </c>
      <c r="C20" s="15" t="n">
        <f aca="false">SUM(C16:C19)</f>
        <v>497.638888888889</v>
      </c>
      <c r="D20" s="12" t="n">
        <f aca="false">IFERROR(C20/B20,0)</f>
        <v>0.236640666794354</v>
      </c>
      <c r="E20" s="15" t="n">
        <f aca="false">SUM(E16:E19)</f>
        <v>1605.29166666667</v>
      </c>
      <c r="F20" s="15" t="n">
        <f aca="false">SUM(F16:F19)</f>
        <v>474.27</v>
      </c>
      <c r="G20" s="15" t="n">
        <f aca="false">SUMIFS(CA_Campaigns!$O:$O,CA_Campaigns!$D:$D,"LTSF / Clearance",CA_Campaigns!$I:$I,"Yes",CA_Campaigns!$K:$K,"Yes")</f>
        <v>228.43</v>
      </c>
      <c r="H20" s="15" t="n">
        <f aca="false">MAX(E20-F20-G20,0)</f>
        <v>902.591666666667</v>
      </c>
      <c r="I20" s="15" t="n">
        <f aca="false">MAX(E20-F20,0)</f>
        <v>1131.02166666667</v>
      </c>
      <c r="J20" s="12" t="n">
        <f aca="false">IFERROR(C20/(B20-F20-G20),0)</f>
        <v>0.355397821390525</v>
      </c>
    </row>
    <row r="21" customFormat="false" ht="15" hidden="false" customHeight="false" outlineLevel="0" collapsed="false">
      <c r="A21" s="2" t="s">
        <v>19</v>
      </c>
    </row>
    <row r="23" customFormat="false" ht="15" hidden="false" customHeight="false" outlineLevel="0" collapsed="false">
      <c r="A23" s="5" t="s">
        <v>22</v>
      </c>
    </row>
    <row r="24" customFormat="false" ht="31.5" hidden="false" customHeight="true" outlineLevel="0" collapsed="false">
      <c r="A24" s="6" t="s">
        <v>23</v>
      </c>
      <c r="B24" s="6" t="s">
        <v>24</v>
      </c>
      <c r="C24" s="6" t="s">
        <v>25</v>
      </c>
      <c r="D24" s="6" t="s">
        <v>26</v>
      </c>
      <c r="E24" s="6" t="s">
        <v>27</v>
      </c>
    </row>
    <row r="25" customFormat="false" ht="15" hidden="false" customHeight="false" outlineLevel="0" collapsed="false">
      <c r="A25" s="3" t="s">
        <v>28</v>
      </c>
      <c r="B25" s="7" t="n">
        <f aca="false">SUMIFS(US_Campaigns!$O:$O,US_Campaigns!$D:$D,$A25,US_Campaigns!$K:$K,"Yes")</f>
        <v>1549.4</v>
      </c>
      <c r="C25" s="8" t="n">
        <f aca="false">IFERROR(B25/B$33,0)</f>
        <v>0.357248261487097</v>
      </c>
      <c r="D25" s="13" t="n">
        <f aca="false">SUMIFS(CA_Campaigns!$O:$O,CA_Campaigns!$D:$D,$A25,CA_Campaigns!$K:$K,"Yes")</f>
        <v>726.72</v>
      </c>
      <c r="E25" s="8" t="n">
        <f aca="false">IFERROR(D25/D$33,0)</f>
        <v>0.329989783176297</v>
      </c>
    </row>
    <row r="26" customFormat="false" ht="15" hidden="false" customHeight="false" outlineLevel="0" collapsed="false">
      <c r="A26" s="3" t="s">
        <v>29</v>
      </c>
      <c r="B26" s="7" t="n">
        <f aca="false">SUMIFS(US_Campaigns!$O:$O,US_Campaigns!$D:$D,$A26,US_Campaigns!$K:$K,"Yes")</f>
        <v>25.75</v>
      </c>
      <c r="C26" s="8" t="n">
        <f aca="false">IFERROR(B26/B$33,0)</f>
        <v>0.00593722907789644</v>
      </c>
      <c r="D26" s="13" t="n">
        <f aca="false">SUMIFS(CA_Campaigns!$O:$O,CA_Campaigns!$D:$D,$A26,CA_Campaigns!$K:$K,"Yes")</f>
        <v>123.88</v>
      </c>
      <c r="E26" s="8" t="n">
        <f aca="false">IFERROR(D26/D$33,0)</f>
        <v>0.0562515609036213</v>
      </c>
    </row>
    <row r="27" customFormat="false" ht="15" hidden="false" customHeight="false" outlineLevel="0" collapsed="false">
      <c r="A27" s="3" t="s">
        <v>30</v>
      </c>
      <c r="B27" s="7" t="n">
        <f aca="false">SUMIFS(US_Campaigns!$O:$O,US_Campaigns!$D:$D,$A27,US_Campaigns!$K:$K,"Yes")</f>
        <v>227.66</v>
      </c>
      <c r="C27" s="8" t="n">
        <f aca="false">IFERROR(B27/B$33,0)</f>
        <v>0.0524920222086953</v>
      </c>
      <c r="D27" s="13" t="n">
        <f aca="false">SUMIFS(CA_Campaigns!$O:$O,CA_Campaigns!$D:$D,$A27,CA_Campaigns!$K:$K,"Yes")</f>
        <v>161.06</v>
      </c>
      <c r="E27" s="8" t="n">
        <f aca="false">IFERROR(D27/D$33,0)</f>
        <v>0.0731342944715632</v>
      </c>
    </row>
    <row r="28" customFormat="false" ht="15" hidden="false" customHeight="false" outlineLevel="0" collapsed="false">
      <c r="A28" s="3" t="s">
        <v>31</v>
      </c>
      <c r="B28" s="7" t="n">
        <f aca="false">SUMIFS(US_Campaigns!$O:$O,US_Campaigns!$D:$D,$A28,US_Campaigns!$K:$K,"Yes")</f>
        <v>134.57</v>
      </c>
      <c r="C28" s="8" t="n">
        <f aca="false">IFERROR(B28/B$33,0)</f>
        <v>0.0310280744470883</v>
      </c>
      <c r="D28" s="13" t="n">
        <f aca="false">SUMIFS(CA_Campaigns!$O:$O,CA_Campaigns!$D:$D,$A28,CA_Campaigns!$K:$K,"Yes")</f>
        <v>183.03</v>
      </c>
      <c r="E28" s="8" t="n">
        <f aca="false">IFERROR(D28/D$33,0)</f>
        <v>0.0831104552162561</v>
      </c>
    </row>
    <row r="29" customFormat="false" ht="15" hidden="false" customHeight="false" outlineLevel="0" collapsed="false">
      <c r="A29" s="3" t="s">
        <v>32</v>
      </c>
      <c r="B29" s="7" t="n">
        <f aca="false">SUMIFS(US_Campaigns!$O:$O,US_Campaigns!$D:$D,$A29,US_Campaigns!$K:$K,"Yes")</f>
        <v>795.73</v>
      </c>
      <c r="C29" s="8" t="n">
        <f aca="false">IFERROR(B29/B$33,0)</f>
        <v>0.183473059967167</v>
      </c>
      <c r="D29" s="13" t="n">
        <f aca="false">SUMIFS(CA_Campaigns!$O:$O,CA_Campaigns!$D:$D,$A29,CA_Campaigns!$K:$K,"Yes")</f>
        <v>268.13</v>
      </c>
      <c r="E29" s="8" t="n">
        <f aca="false">IFERROR(D29/D$33,0)</f>
        <v>0.121752752866387</v>
      </c>
    </row>
    <row r="30" customFormat="false" ht="15" hidden="false" customHeight="false" outlineLevel="0" collapsed="false">
      <c r="A30" s="3" t="s">
        <v>33</v>
      </c>
      <c r="B30" s="7" t="n">
        <f aca="false">SUMIFS(US_Campaigns!$O:$O,US_Campaigns!$D:$D,$A30,US_Campaigns!$K:$K,"Yes")</f>
        <v>454.85</v>
      </c>
      <c r="C30" s="8" t="n">
        <f aca="false">IFERROR(B30/B$33,0)</f>
        <v>0.104875675575969</v>
      </c>
      <c r="D30" s="13" t="n">
        <f aca="false">SUMIFS(CA_Campaigns!$O:$O,CA_Campaigns!$D:$D,$A30,CA_Campaigns!$K:$K,"Yes")</f>
        <v>36.73</v>
      </c>
      <c r="E30" s="8" t="n">
        <f aca="false">IFERROR(D30/D$33,0)</f>
        <v>0.0166783970938813</v>
      </c>
    </row>
    <row r="31" customFormat="false" ht="15" hidden="false" customHeight="false" outlineLevel="0" collapsed="false">
      <c r="A31" s="3" t="s">
        <v>34</v>
      </c>
      <c r="B31" s="7" t="n">
        <f aca="false">SUMIFS(US_Campaigns!$O:$O,US_Campaigns!$D:$D,$A31,US_Campaigns!$K:$K,"Yes")</f>
        <v>1130.52</v>
      </c>
      <c r="C31" s="8" t="n">
        <f aca="false">IFERROR(B31/B$33,0)</f>
        <v>0.260666260859941</v>
      </c>
      <c r="D31" s="13" t="n">
        <f aca="false">SUMIFS(CA_Campaigns!$O:$O,CA_Campaigns!$D:$D,$A31,CA_Campaigns!$K:$K,"Yes")</f>
        <v>702.7</v>
      </c>
      <c r="E31" s="8" t="n">
        <f aca="false">IFERROR(D31/D$33,0)</f>
        <v>0.319082756271995</v>
      </c>
    </row>
    <row r="32" customFormat="false" ht="15" hidden="false" customHeight="false" outlineLevel="0" collapsed="false">
      <c r="A32" s="3" t="s">
        <v>35</v>
      </c>
      <c r="B32" s="7" t="n">
        <f aca="false">SUMIFS(US_Campaigns!$O:$O,US_Campaigns!$D:$D,$A32,US_Campaigns!$K:$K,"Yes")</f>
        <v>18.56</v>
      </c>
      <c r="C32" s="8" t="n">
        <f aca="false">IFERROR(B32/B$33,0)</f>
        <v>0.00427941637614594</v>
      </c>
      <c r="D32" s="13" t="n">
        <f aca="false">SUMIFS(CA_Campaigns!$O:$O,CA_Campaigns!$D:$D,$A32,CA_Campaigns!$K:$K,"Yes")</f>
        <v>0</v>
      </c>
      <c r="E32" s="8" t="n">
        <f aca="false">IFERROR(D32/D$33,0)</f>
        <v>0</v>
      </c>
    </row>
    <row r="33" customFormat="false" ht="15" hidden="false" customHeight="false" outlineLevel="0" collapsed="false">
      <c r="A33" s="10" t="s">
        <v>18</v>
      </c>
      <c r="B33" s="11" t="n">
        <f aca="false">SUM(B25:B32)</f>
        <v>4337.04</v>
      </c>
      <c r="C33" s="12" t="n">
        <f aca="false">SUM(C25:C32)</f>
        <v>1</v>
      </c>
      <c r="D33" s="15" t="n">
        <f aca="false">SUM(D25:D32)</f>
        <v>2202.25</v>
      </c>
      <c r="E33" s="12" t="n">
        <f aca="false">SUM(E25:E32)</f>
        <v>1</v>
      </c>
    </row>
    <row r="34" customFormat="false" ht="15" hidden="false" customHeight="false" outlineLevel="0" collapsed="false">
      <c r="A34" s="2" t="s">
        <v>36</v>
      </c>
    </row>
    <row r="36" customFormat="false" ht="15" hidden="false" customHeight="false" outlineLevel="0" collapsed="false">
      <c r="A36" s="5" t="s">
        <v>37</v>
      </c>
    </row>
    <row r="37" customFormat="false" ht="30" hidden="false" customHeight="true" outlineLevel="0" collapsed="false">
      <c r="A37" s="16" t="s">
        <v>38</v>
      </c>
      <c r="B37" s="16"/>
      <c r="C37" s="16"/>
      <c r="D37" s="16"/>
      <c r="E37" s="16"/>
      <c r="F37" s="16"/>
      <c r="G37" s="16"/>
      <c r="H37" s="16"/>
      <c r="I37" s="16"/>
      <c r="J37" s="16"/>
    </row>
    <row r="38" customFormat="false" ht="30" hidden="false" customHeight="true" outlineLevel="0" collapsed="false">
      <c r="A38" s="16" t="s">
        <v>39</v>
      </c>
      <c r="B38" s="16"/>
      <c r="C38" s="16"/>
      <c r="D38" s="16"/>
      <c r="E38" s="16"/>
      <c r="F38" s="16"/>
      <c r="G38" s="16"/>
      <c r="H38" s="16"/>
      <c r="I38" s="16"/>
      <c r="J38" s="16"/>
    </row>
    <row r="39" customFormat="false" ht="30" hidden="false" customHeight="true" outlineLevel="0" collapsed="false">
      <c r="A39" s="16" t="s">
        <v>40</v>
      </c>
      <c r="B39" s="16"/>
      <c r="C39" s="16"/>
      <c r="D39" s="16"/>
      <c r="E39" s="16"/>
      <c r="F39" s="16"/>
      <c r="G39" s="16"/>
      <c r="H39" s="16"/>
      <c r="I39" s="16"/>
      <c r="J39" s="16"/>
    </row>
    <row r="40" customFormat="false" ht="30" hidden="false" customHeight="true" outlineLevel="0" collapsed="false">
      <c r="A40" s="16" t="s">
        <v>41</v>
      </c>
      <c r="B40" s="16"/>
      <c r="C40" s="16"/>
      <c r="D40" s="16"/>
      <c r="E40" s="16"/>
      <c r="F40" s="16"/>
      <c r="G40" s="16"/>
      <c r="H40" s="16"/>
      <c r="I40" s="16"/>
      <c r="J40" s="16"/>
    </row>
    <row r="41" customFormat="false" ht="30" hidden="false" customHeight="true" outlineLevel="0" collapsed="false">
      <c r="A41" s="16" t="s">
        <v>42</v>
      </c>
      <c r="B41" s="16"/>
      <c r="C41" s="16"/>
      <c r="D41" s="16"/>
      <c r="E41" s="16"/>
      <c r="F41" s="16"/>
      <c r="G41" s="16"/>
      <c r="H41" s="16"/>
      <c r="I41" s="16"/>
      <c r="J41" s="16"/>
    </row>
    <row r="42" customFormat="false" ht="30" hidden="false" customHeight="true" outlineLevel="0" collapsed="false">
      <c r="A42" s="16" t="s">
        <v>43</v>
      </c>
      <c r="B42" s="16"/>
      <c r="C42" s="16"/>
      <c r="D42" s="16"/>
      <c r="E42" s="16"/>
      <c r="F42" s="16"/>
      <c r="G42" s="16"/>
      <c r="H42" s="16"/>
      <c r="I42" s="16"/>
      <c r="J42" s="16"/>
    </row>
    <row r="43" customFormat="false" ht="30" hidden="false" customHeight="true" outlineLevel="0" collapsed="false">
      <c r="A43" s="16" t="s">
        <v>44</v>
      </c>
      <c r="B43" s="16"/>
      <c r="C43" s="16"/>
      <c r="D43" s="16"/>
      <c r="E43" s="16"/>
      <c r="F43" s="16"/>
      <c r="G43" s="16"/>
      <c r="H43" s="16"/>
      <c r="I43" s="16"/>
      <c r="J43" s="16"/>
    </row>
  </sheetData>
  <mergeCells count="7">
    <mergeCell ref="A37:J37"/>
    <mergeCell ref="A38:J38"/>
    <mergeCell ref="A39:J39"/>
    <mergeCell ref="A40:J40"/>
    <mergeCell ref="A41:J41"/>
    <mergeCell ref="A42:J42"/>
    <mergeCell ref="A43:J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8" min="6" style="0" width="14"/>
    <col collapsed="false" customWidth="true" hidden="false" outlineLevel="0" max="10" min="9" style="0" width="12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31.5" hidden="false" customHeight="true" outlineLevel="0" collapsed="false">
      <c r="A4" s="6" t="s">
        <v>5</v>
      </c>
      <c r="B4" s="6" t="s">
        <v>47</v>
      </c>
      <c r="C4" s="6" t="s">
        <v>48</v>
      </c>
      <c r="D4" s="6" t="s">
        <v>49</v>
      </c>
      <c r="E4" s="6" t="s">
        <v>50</v>
      </c>
      <c r="F4" s="6" t="s">
        <v>51</v>
      </c>
      <c r="G4" s="6" t="s">
        <v>52</v>
      </c>
      <c r="H4" s="6" t="s">
        <v>53</v>
      </c>
      <c r="I4" s="6" t="s">
        <v>54</v>
      </c>
      <c r="J4" s="6" t="s">
        <v>55</v>
      </c>
      <c r="K4" s="6" t="s">
        <v>56</v>
      </c>
    </row>
    <row r="5" customFormat="false" ht="15" hidden="false" customHeight="false" outlineLevel="0" collapsed="false">
      <c r="A5" s="17" t="s">
        <v>15</v>
      </c>
      <c r="B5" s="17" t="s">
        <v>57</v>
      </c>
      <c r="C5" s="17" t="s">
        <v>58</v>
      </c>
      <c r="D5" s="17" t="s">
        <v>59</v>
      </c>
      <c r="E5" s="18" t="s">
        <v>60</v>
      </c>
      <c r="F5" s="19" t="n">
        <v>811.22</v>
      </c>
      <c r="G5" s="19" t="n">
        <v>22.18</v>
      </c>
      <c r="H5" s="9" t="n">
        <f aca="false">F5+G5</f>
        <v>833.4</v>
      </c>
      <c r="I5" s="8" t="n">
        <f aca="false">IFERROR(F5/SUMIFS($F:$F,$A:$A,A5),0)</f>
        <v>0.431304995082011</v>
      </c>
      <c r="J5" s="20" t="n">
        <v>42</v>
      </c>
      <c r="K5" s="17"/>
    </row>
    <row r="6" customFormat="false" ht="15" hidden="false" customHeight="false" outlineLevel="0" collapsed="false">
      <c r="A6" s="17" t="s">
        <v>15</v>
      </c>
      <c r="B6" s="17" t="s">
        <v>61</v>
      </c>
      <c r="C6" s="17" t="s">
        <v>62</v>
      </c>
      <c r="D6" s="17" t="s">
        <v>59</v>
      </c>
      <c r="E6" s="18" t="s">
        <v>60</v>
      </c>
      <c r="F6" s="19" t="n">
        <v>142.39</v>
      </c>
      <c r="G6" s="19" t="n">
        <v>3.01</v>
      </c>
      <c r="H6" s="9" t="n">
        <f aca="false">F6+G6</f>
        <v>145.4</v>
      </c>
      <c r="I6" s="8" t="n">
        <f aca="false">IFERROR(F6/SUMIFS($F:$F,$A:$A,A6),0)</f>
        <v>0.0757051333173831</v>
      </c>
      <c r="J6" s="20" t="n">
        <v>27</v>
      </c>
      <c r="K6" s="17"/>
    </row>
    <row r="7" customFormat="false" ht="15" hidden="false" customHeight="false" outlineLevel="0" collapsed="false">
      <c r="A7" s="17" t="s">
        <v>15</v>
      </c>
      <c r="B7" s="17" t="s">
        <v>63</v>
      </c>
      <c r="C7" s="17" t="s">
        <v>64</v>
      </c>
      <c r="D7" s="17" t="s">
        <v>65</v>
      </c>
      <c r="E7" s="17" t="s">
        <v>66</v>
      </c>
      <c r="F7" s="19" t="n">
        <v>99.72</v>
      </c>
      <c r="G7" s="19" t="n">
        <v>0.62</v>
      </c>
      <c r="H7" s="9" t="n">
        <f aca="false">F7+G7</f>
        <v>100.34</v>
      </c>
      <c r="I7" s="8" t="n">
        <f aca="false">IFERROR(F7/SUMIFS($F:$F,$A:$A,A7),0)</f>
        <v>0.0530185820240849</v>
      </c>
      <c r="J7" s="20" t="n">
        <v>5</v>
      </c>
      <c r="K7" s="17" t="s">
        <v>67</v>
      </c>
    </row>
    <row r="8" customFormat="false" ht="15" hidden="false" customHeight="false" outlineLevel="0" collapsed="false">
      <c r="A8" s="17" t="s">
        <v>15</v>
      </c>
      <c r="B8" s="17" t="s">
        <v>68</v>
      </c>
      <c r="C8" s="17" t="s">
        <v>69</v>
      </c>
      <c r="D8" s="17" t="s">
        <v>70</v>
      </c>
      <c r="E8" s="17" t="s">
        <v>66</v>
      </c>
      <c r="F8" s="19" t="n">
        <v>85.44</v>
      </c>
      <c r="G8" s="19" t="n">
        <v>0</v>
      </c>
      <c r="H8" s="9" t="n">
        <f aca="false">F8+G8</f>
        <v>85.44</v>
      </c>
      <c r="I8" s="8" t="n">
        <f aca="false">IFERROR(F8/SUMIFS($F:$F,$A:$A,A8),0)</f>
        <v>0.0454262700374831</v>
      </c>
      <c r="J8" s="20" t="n">
        <v>2</v>
      </c>
      <c r="K8" s="17" t="s">
        <v>71</v>
      </c>
    </row>
    <row r="9" customFormat="false" ht="15" hidden="false" customHeight="false" outlineLevel="0" collapsed="false">
      <c r="A9" s="17" t="s">
        <v>15</v>
      </c>
      <c r="B9" s="17" t="s">
        <v>72</v>
      </c>
      <c r="C9" s="17" t="s">
        <v>62</v>
      </c>
      <c r="D9" s="17" t="s">
        <v>73</v>
      </c>
      <c r="E9" s="17" t="s">
        <v>66</v>
      </c>
      <c r="F9" s="19" t="n">
        <v>78.62</v>
      </c>
      <c r="G9" s="19" t="n">
        <v>0</v>
      </c>
      <c r="H9" s="9" t="n">
        <f aca="false">F9+G9</f>
        <v>78.62</v>
      </c>
      <c r="I9" s="8" t="n">
        <f aca="false">IFERROR(F9/SUMIFS($F:$F,$A:$A,A9),0)</f>
        <v>0.0418002498870192</v>
      </c>
      <c r="J9" s="20" t="n">
        <v>14</v>
      </c>
      <c r="K9" s="17" t="s">
        <v>74</v>
      </c>
    </row>
    <row r="10" customFormat="false" ht="15" hidden="false" customHeight="false" outlineLevel="0" collapsed="false">
      <c r="A10" s="17" t="s">
        <v>15</v>
      </c>
      <c r="B10" s="17" t="s">
        <v>75</v>
      </c>
      <c r="C10" s="17" t="s">
        <v>69</v>
      </c>
      <c r="D10" s="17" t="s">
        <v>76</v>
      </c>
      <c r="E10" s="17" t="s">
        <v>66</v>
      </c>
      <c r="F10" s="19" t="n">
        <v>72.78</v>
      </c>
      <c r="G10" s="19" t="n">
        <v>0</v>
      </c>
      <c r="H10" s="9" t="n">
        <f aca="false">F10+G10</f>
        <v>72.78</v>
      </c>
      <c r="I10" s="8" t="n">
        <f aca="false">IFERROR(F10/SUMIFS($F:$F,$A:$A,A10),0)</f>
        <v>0.0386952707552436</v>
      </c>
      <c r="J10" s="20" t="n">
        <v>0</v>
      </c>
      <c r="K10" s="17" t="s">
        <v>77</v>
      </c>
    </row>
    <row r="11" customFormat="false" ht="15" hidden="false" customHeight="false" outlineLevel="0" collapsed="false">
      <c r="A11" s="17" t="s">
        <v>15</v>
      </c>
      <c r="B11" s="17" t="s">
        <v>78</v>
      </c>
      <c r="C11" s="17" t="s">
        <v>64</v>
      </c>
      <c r="D11" s="17" t="s">
        <v>79</v>
      </c>
      <c r="E11" s="17" t="s">
        <v>66</v>
      </c>
      <c r="F11" s="19" t="n">
        <v>69.9</v>
      </c>
      <c r="G11" s="19" t="n">
        <v>0</v>
      </c>
      <c r="H11" s="9" t="n">
        <f aca="false">F11+G11</f>
        <v>69.9</v>
      </c>
      <c r="I11" s="8" t="n">
        <f aca="false">IFERROR(F11/SUMIFS($F:$F,$A:$A,A11),0)</f>
        <v>0.0371640481697105</v>
      </c>
      <c r="J11" s="20" t="n">
        <v>2</v>
      </c>
      <c r="K11" s="17"/>
    </row>
    <row r="12" customFormat="false" ht="15" hidden="false" customHeight="false" outlineLevel="0" collapsed="false">
      <c r="A12" s="17" t="s">
        <v>15</v>
      </c>
      <c r="B12" s="17" t="s">
        <v>80</v>
      </c>
      <c r="C12" s="17" t="s">
        <v>69</v>
      </c>
      <c r="D12" s="17" t="s">
        <v>81</v>
      </c>
      <c r="E12" s="17" t="s">
        <v>66</v>
      </c>
      <c r="F12" s="19" t="n">
        <v>62.82</v>
      </c>
      <c r="G12" s="19" t="n">
        <v>0</v>
      </c>
      <c r="H12" s="9" t="n">
        <f aca="false">F12+G12</f>
        <v>62.82</v>
      </c>
      <c r="I12" s="8" t="n">
        <f aca="false">IFERROR(F12/SUMIFS($F:$F,$A:$A,A12),0)</f>
        <v>0.0333997926469416</v>
      </c>
      <c r="J12" s="20" t="n">
        <v>1</v>
      </c>
      <c r="K12" s="17" t="s">
        <v>82</v>
      </c>
    </row>
    <row r="13" customFormat="false" ht="15" hidden="false" customHeight="false" outlineLevel="0" collapsed="false">
      <c r="A13" s="17" t="s">
        <v>15</v>
      </c>
      <c r="B13" s="17" t="s">
        <v>83</v>
      </c>
      <c r="C13" s="17" t="s">
        <v>58</v>
      </c>
      <c r="D13" s="17" t="s">
        <v>84</v>
      </c>
      <c r="E13" s="17" t="s">
        <v>66</v>
      </c>
      <c r="F13" s="19" t="n">
        <v>57.91</v>
      </c>
      <c r="G13" s="19" t="n">
        <v>0</v>
      </c>
      <c r="H13" s="9" t="n">
        <f aca="false">F13+G13</f>
        <v>57.91</v>
      </c>
      <c r="I13" s="8" t="n">
        <f aca="false">IFERROR(F13/SUMIFS($F:$F,$A:$A,A13),0)</f>
        <v>0.0307892708084111</v>
      </c>
      <c r="J13" s="20" t="n">
        <v>11</v>
      </c>
      <c r="K13" s="17"/>
    </row>
    <row r="14" customFormat="false" ht="15" hidden="false" customHeight="false" outlineLevel="0" collapsed="false">
      <c r="A14" s="17" t="s">
        <v>15</v>
      </c>
      <c r="B14" s="17" t="s">
        <v>85</v>
      </c>
      <c r="C14" s="17" t="s">
        <v>62</v>
      </c>
      <c r="D14" s="17" t="s">
        <v>84</v>
      </c>
      <c r="E14" s="17" t="s">
        <v>66</v>
      </c>
      <c r="F14" s="19" t="n">
        <v>49.47</v>
      </c>
      <c r="G14" s="19" t="n">
        <v>0</v>
      </c>
      <c r="H14" s="9" t="n">
        <f aca="false">F14+G14</f>
        <v>49.47</v>
      </c>
      <c r="I14" s="8" t="n">
        <f aca="false">IFERROR(F14/SUMIFS($F:$F,$A:$A,A14),0)</f>
        <v>0.0263019379535848</v>
      </c>
      <c r="J14" s="20" t="n">
        <v>10</v>
      </c>
      <c r="K14" s="17"/>
    </row>
    <row r="15" customFormat="false" ht="15" hidden="false" customHeight="false" outlineLevel="0" collapsed="false">
      <c r="A15" s="17" t="s">
        <v>15</v>
      </c>
      <c r="B15" s="17" t="s">
        <v>86</v>
      </c>
      <c r="C15" s="17" t="s">
        <v>62</v>
      </c>
      <c r="D15" s="17" t="s">
        <v>65</v>
      </c>
      <c r="E15" s="17" t="s">
        <v>66</v>
      </c>
      <c r="F15" s="19" t="n">
        <v>49.42</v>
      </c>
      <c r="G15" s="19" t="n">
        <v>16.76</v>
      </c>
      <c r="H15" s="9" t="n">
        <f aca="false">F15+G15</f>
        <v>66.18</v>
      </c>
      <c r="I15" s="8" t="n">
        <f aca="false">IFERROR(F15/SUMIFS($F:$F,$A:$A,A15),0)</f>
        <v>0.0262753542281415</v>
      </c>
      <c r="J15" s="20" t="n">
        <v>15</v>
      </c>
      <c r="K15" s="17"/>
    </row>
    <row r="16" customFormat="false" ht="15" hidden="false" customHeight="false" outlineLevel="0" collapsed="false">
      <c r="A16" s="17" t="s">
        <v>15</v>
      </c>
      <c r="B16" s="17" t="s">
        <v>87</v>
      </c>
      <c r="C16" s="17" t="s">
        <v>58</v>
      </c>
      <c r="D16" s="17" t="s">
        <v>76</v>
      </c>
      <c r="E16" s="17" t="s">
        <v>66</v>
      </c>
      <c r="F16" s="19" t="n">
        <v>48.98</v>
      </c>
      <c r="G16" s="19" t="n">
        <v>0</v>
      </c>
      <c r="H16" s="9" t="n">
        <f aca="false">F16+G16</f>
        <v>48.98</v>
      </c>
      <c r="I16" s="8" t="n">
        <f aca="false">IFERROR(F16/SUMIFS($F:$F,$A:$A,A16),0)</f>
        <v>0.0260414174442406</v>
      </c>
      <c r="J16" s="20" t="n">
        <v>15</v>
      </c>
      <c r="K16" s="17"/>
    </row>
    <row r="17" customFormat="false" ht="15" hidden="false" customHeight="false" outlineLevel="0" collapsed="false">
      <c r="A17" s="17" t="s">
        <v>15</v>
      </c>
      <c r="B17" s="17" t="s">
        <v>88</v>
      </c>
      <c r="C17" s="17" t="s">
        <v>69</v>
      </c>
      <c r="D17" s="17" t="s">
        <v>65</v>
      </c>
      <c r="E17" s="17" t="s">
        <v>66</v>
      </c>
      <c r="F17" s="19" t="n">
        <v>44.95</v>
      </c>
      <c r="G17" s="19" t="n">
        <v>0</v>
      </c>
      <c r="H17" s="9" t="n">
        <f aca="false">F17+G17</f>
        <v>44.95</v>
      </c>
      <c r="I17" s="8" t="n">
        <f aca="false">IFERROR(F17/SUMIFS($F:$F,$A:$A,A17),0)</f>
        <v>0.023898769173512</v>
      </c>
      <c r="J17" s="20" t="n">
        <v>1</v>
      </c>
      <c r="K17" s="17"/>
    </row>
    <row r="18" customFormat="false" ht="15" hidden="false" customHeight="false" outlineLevel="0" collapsed="false">
      <c r="A18" s="17" t="s">
        <v>15</v>
      </c>
      <c r="B18" s="17" t="s">
        <v>89</v>
      </c>
      <c r="C18" s="17" t="s">
        <v>64</v>
      </c>
      <c r="D18" s="17" t="s">
        <v>90</v>
      </c>
      <c r="E18" s="17" t="s">
        <v>66</v>
      </c>
      <c r="F18" s="19" t="n">
        <v>30.99</v>
      </c>
      <c r="G18" s="19" t="n">
        <v>0</v>
      </c>
      <c r="H18" s="9" t="n">
        <f aca="false">F18+G18</f>
        <v>30.99</v>
      </c>
      <c r="I18" s="8" t="n">
        <f aca="false">IFERROR(F18/SUMIFS($F:$F,$A:$A,A18),0)</f>
        <v>0.0164765930297472</v>
      </c>
      <c r="J18" s="20" t="n">
        <v>2</v>
      </c>
      <c r="K18" s="17"/>
    </row>
    <row r="19" customFormat="false" ht="15" hidden="false" customHeight="false" outlineLevel="0" collapsed="false">
      <c r="A19" s="17" t="s">
        <v>15</v>
      </c>
      <c r="B19" s="17" t="s">
        <v>91</v>
      </c>
      <c r="C19" s="17" t="s">
        <v>69</v>
      </c>
      <c r="D19" s="17" t="s">
        <v>59</v>
      </c>
      <c r="E19" s="18" t="s">
        <v>60</v>
      </c>
      <c r="F19" s="19" t="n">
        <v>29.52</v>
      </c>
      <c r="G19" s="19" t="n">
        <v>0</v>
      </c>
      <c r="H19" s="9" t="n">
        <f aca="false">F19+G19</f>
        <v>29.52</v>
      </c>
      <c r="I19" s="8" t="n">
        <f aca="false">IFERROR(F19/SUMIFS($F:$F,$A:$A,A19),0)</f>
        <v>0.0156950315017147</v>
      </c>
      <c r="J19" s="20" t="n">
        <v>18</v>
      </c>
      <c r="K19" s="17"/>
    </row>
    <row r="20" customFormat="false" ht="15" hidden="false" customHeight="false" outlineLevel="0" collapsed="false">
      <c r="A20" s="17" t="s">
        <v>15</v>
      </c>
      <c r="B20" s="17" t="s">
        <v>92</v>
      </c>
      <c r="C20" s="17" t="s">
        <v>64</v>
      </c>
      <c r="D20" s="17" t="s">
        <v>93</v>
      </c>
      <c r="E20" s="17" t="s">
        <v>66</v>
      </c>
      <c r="F20" s="19" t="n">
        <v>20.84</v>
      </c>
      <c r="G20" s="19" t="n">
        <v>0</v>
      </c>
      <c r="H20" s="9" t="n">
        <f aca="false">F20+G20</f>
        <v>20.84</v>
      </c>
      <c r="I20" s="8" t="n">
        <f aca="false">IFERROR(F20/SUMIFS($F:$F,$A:$A,A20),0)</f>
        <v>0.0110800967647606</v>
      </c>
      <c r="J20" s="20" t="n">
        <v>1</v>
      </c>
      <c r="K20" s="17"/>
    </row>
    <row r="21" customFormat="false" ht="15" hidden="false" customHeight="false" outlineLevel="0" collapsed="false">
      <c r="A21" s="17" t="s">
        <v>15</v>
      </c>
      <c r="B21" s="17" t="s">
        <v>94</v>
      </c>
      <c r="C21" s="17" t="s">
        <v>58</v>
      </c>
      <c r="D21" s="17" t="s">
        <v>65</v>
      </c>
      <c r="E21" s="17" t="s">
        <v>66</v>
      </c>
      <c r="F21" s="19" t="n">
        <v>18.45</v>
      </c>
      <c r="G21" s="19" t="n">
        <v>2.56</v>
      </c>
      <c r="H21" s="9" t="n">
        <f aca="false">F21+G21</f>
        <v>21.01</v>
      </c>
      <c r="I21" s="8" t="n">
        <f aca="false">IFERROR(F21/SUMIFS($F:$F,$A:$A,A21),0)</f>
        <v>0.00980939468857166</v>
      </c>
      <c r="J21" s="20" t="n">
        <v>14</v>
      </c>
      <c r="K21" s="17"/>
    </row>
    <row r="22" customFormat="false" ht="15" hidden="false" customHeight="false" outlineLevel="0" collapsed="false">
      <c r="A22" s="17" t="s">
        <v>15</v>
      </c>
      <c r="B22" s="17" t="s">
        <v>95</v>
      </c>
      <c r="C22" s="17" t="s">
        <v>69</v>
      </c>
      <c r="D22" s="17" t="s">
        <v>79</v>
      </c>
      <c r="E22" s="17" t="s">
        <v>66</v>
      </c>
      <c r="F22" s="19" t="n">
        <v>17.15</v>
      </c>
      <c r="G22" s="19" t="n">
        <v>0</v>
      </c>
      <c r="H22" s="9" t="n">
        <f aca="false">F22+G22</f>
        <v>17.15</v>
      </c>
      <c r="I22" s="8" t="n">
        <f aca="false">IFERROR(F22/SUMIFS($F:$F,$A:$A,A22),0)</f>
        <v>0.00911821782704628</v>
      </c>
      <c r="J22" s="20" t="n">
        <v>2</v>
      </c>
      <c r="K22" s="17"/>
    </row>
    <row r="23" customFormat="false" ht="15" hidden="false" customHeight="false" outlineLevel="0" collapsed="false">
      <c r="A23" s="17" t="s">
        <v>15</v>
      </c>
      <c r="B23" s="17" t="s">
        <v>96</v>
      </c>
      <c r="C23" s="17" t="s">
        <v>69</v>
      </c>
      <c r="D23" s="17" t="s">
        <v>84</v>
      </c>
      <c r="E23" s="17" t="s">
        <v>66</v>
      </c>
      <c r="F23" s="19" t="n">
        <v>15.59</v>
      </c>
      <c r="G23" s="19" t="n">
        <v>0</v>
      </c>
      <c r="H23" s="9" t="n">
        <f aca="false">F23+G23</f>
        <v>15.59</v>
      </c>
      <c r="I23" s="8" t="n">
        <f aca="false">IFERROR(F23/SUMIFS($F:$F,$A:$A,A23),0)</f>
        <v>0.00828880559321583</v>
      </c>
      <c r="J23" s="20" t="n">
        <v>7</v>
      </c>
      <c r="K23" s="17"/>
    </row>
    <row r="24" customFormat="false" ht="15" hidden="false" customHeight="false" outlineLevel="0" collapsed="false">
      <c r="A24" s="17" t="s">
        <v>15</v>
      </c>
      <c r="B24" s="17" t="s">
        <v>97</v>
      </c>
      <c r="C24" s="17" t="s">
        <v>98</v>
      </c>
      <c r="D24" s="17" t="s">
        <v>99</v>
      </c>
      <c r="E24" s="17" t="s">
        <v>66</v>
      </c>
      <c r="F24" s="19" t="n">
        <v>14.42</v>
      </c>
      <c r="G24" s="19" t="n">
        <v>0</v>
      </c>
      <c r="H24" s="9" t="n">
        <f aca="false">F24+G24</f>
        <v>14.42</v>
      </c>
      <c r="I24" s="8" t="n">
        <f aca="false">IFERROR(F24/SUMIFS($F:$F,$A:$A,A24),0)</f>
        <v>0.007666746417843</v>
      </c>
      <c r="J24" s="20" t="n">
        <v>2</v>
      </c>
      <c r="K24" s="17"/>
    </row>
    <row r="25" customFormat="false" ht="15" hidden="false" customHeight="false" outlineLevel="0" collapsed="false">
      <c r="A25" s="17" t="s">
        <v>15</v>
      </c>
      <c r="B25" s="17" t="s">
        <v>100</v>
      </c>
      <c r="C25" s="17" t="s">
        <v>58</v>
      </c>
      <c r="D25" s="17" t="s">
        <v>101</v>
      </c>
      <c r="E25" s="17" t="s">
        <v>66</v>
      </c>
      <c r="F25" s="19" t="n">
        <v>12.81</v>
      </c>
      <c r="G25" s="19" t="n">
        <v>0</v>
      </c>
      <c r="H25" s="9" t="n">
        <f aca="false">F25+G25</f>
        <v>12.81</v>
      </c>
      <c r="I25" s="8" t="n">
        <f aca="false">IFERROR(F25/SUMIFS($F:$F,$A:$A,A25),0)</f>
        <v>0.00681075045856926</v>
      </c>
      <c r="J25" s="20" t="n">
        <v>16</v>
      </c>
      <c r="K25" s="17"/>
    </row>
    <row r="26" customFormat="false" ht="15" hidden="false" customHeight="false" outlineLevel="0" collapsed="false">
      <c r="A26" s="17" t="s">
        <v>15</v>
      </c>
      <c r="B26" s="17" t="s">
        <v>102</v>
      </c>
      <c r="C26" s="17" t="s">
        <v>69</v>
      </c>
      <c r="D26" s="17" t="s">
        <v>103</v>
      </c>
      <c r="E26" s="17" t="s">
        <v>66</v>
      </c>
      <c r="F26" s="19" t="n">
        <v>7.63</v>
      </c>
      <c r="G26" s="19" t="n">
        <v>0</v>
      </c>
      <c r="H26" s="9" t="n">
        <f aca="false">F26+G26</f>
        <v>7.63</v>
      </c>
      <c r="I26" s="8" t="n">
        <f aca="false">IFERROR(F26/SUMIFS($F:$F,$A:$A,A26),0)</f>
        <v>0.00405667650264508</v>
      </c>
      <c r="J26" s="20" t="n">
        <v>2</v>
      </c>
      <c r="K26" s="17"/>
    </row>
    <row r="27" customFormat="false" ht="15" hidden="false" customHeight="false" outlineLevel="0" collapsed="false">
      <c r="A27" s="17" t="s">
        <v>15</v>
      </c>
      <c r="B27" s="17" t="s">
        <v>104</v>
      </c>
      <c r="C27" s="17" t="s">
        <v>69</v>
      </c>
      <c r="D27" s="17" t="s">
        <v>93</v>
      </c>
      <c r="E27" s="17" t="s">
        <v>66</v>
      </c>
      <c r="F27" s="19" t="n">
        <v>7.16</v>
      </c>
      <c r="G27" s="19" t="n">
        <v>0</v>
      </c>
      <c r="H27" s="9" t="n">
        <f aca="false">F27+G27</f>
        <v>7.16</v>
      </c>
      <c r="I27" s="8" t="n">
        <f aca="false">IFERROR(F27/SUMIFS($F:$F,$A:$A,A27),0)</f>
        <v>0.00380678948347822</v>
      </c>
      <c r="J27" s="20" t="n">
        <v>0</v>
      </c>
      <c r="K27" s="17"/>
    </row>
    <row r="28" customFormat="false" ht="15" hidden="false" customHeight="false" outlineLevel="0" collapsed="false">
      <c r="A28" s="17" t="s">
        <v>15</v>
      </c>
      <c r="B28" s="17" t="s">
        <v>105</v>
      </c>
      <c r="C28" s="17" t="s">
        <v>64</v>
      </c>
      <c r="D28" s="17" t="s">
        <v>101</v>
      </c>
      <c r="E28" s="17" t="s">
        <v>66</v>
      </c>
      <c r="F28" s="19" t="n">
        <v>5.57</v>
      </c>
      <c r="G28" s="19" t="n">
        <v>0</v>
      </c>
      <c r="H28" s="9" t="n">
        <f aca="false">F28+G28</f>
        <v>5.57</v>
      </c>
      <c r="I28" s="8" t="n">
        <f aca="false">IFERROR(F28/SUMIFS($F:$F,$A:$A,A28),0)</f>
        <v>0.0029614270143818</v>
      </c>
      <c r="J28" s="20" t="n">
        <v>1</v>
      </c>
      <c r="K28" s="17"/>
    </row>
    <row r="29" customFormat="false" ht="15" hidden="false" customHeight="false" outlineLevel="0" collapsed="false">
      <c r="A29" s="17" t="s">
        <v>15</v>
      </c>
      <c r="B29" s="17" t="s">
        <v>106</v>
      </c>
      <c r="C29" s="17" t="s">
        <v>69</v>
      </c>
      <c r="D29" s="17" t="s">
        <v>73</v>
      </c>
      <c r="E29" s="17" t="s">
        <v>66</v>
      </c>
      <c r="F29" s="19" t="n">
        <v>4.99</v>
      </c>
      <c r="G29" s="19" t="n">
        <v>0</v>
      </c>
      <c r="H29" s="9" t="n">
        <f aca="false">F29+G29</f>
        <v>4.99</v>
      </c>
      <c r="I29" s="8" t="n">
        <f aca="false">IFERROR(F29/SUMIFS($F:$F,$A:$A,A29),0)</f>
        <v>0.00265305579923971</v>
      </c>
      <c r="J29" s="20" t="n">
        <v>1</v>
      </c>
      <c r="K29" s="17"/>
    </row>
    <row r="30" customFormat="false" ht="15" hidden="false" customHeight="false" outlineLevel="0" collapsed="false">
      <c r="A30" s="17" t="s">
        <v>15</v>
      </c>
      <c r="B30" s="17" t="s">
        <v>107</v>
      </c>
      <c r="C30" s="17" t="s">
        <v>62</v>
      </c>
      <c r="D30" s="17" t="s">
        <v>79</v>
      </c>
      <c r="E30" s="17" t="s">
        <v>66</v>
      </c>
      <c r="F30" s="19" t="n">
        <v>4.75</v>
      </c>
      <c r="G30" s="19" t="n">
        <v>0</v>
      </c>
      <c r="H30" s="9" t="n">
        <f aca="false">F30+G30</f>
        <v>4.75</v>
      </c>
      <c r="I30" s="8" t="n">
        <f aca="false">IFERROR(F30/SUMIFS($F:$F,$A:$A,A30),0)</f>
        <v>0.00252545391711194</v>
      </c>
      <c r="J30" s="20" t="n">
        <v>1</v>
      </c>
      <c r="K30" s="17"/>
    </row>
    <row r="31" customFormat="false" ht="15" hidden="false" customHeight="false" outlineLevel="0" collapsed="false">
      <c r="A31" s="17" t="s">
        <v>15</v>
      </c>
      <c r="B31" s="17" t="s">
        <v>108</v>
      </c>
      <c r="C31" s="17" t="s">
        <v>69</v>
      </c>
      <c r="D31" s="17" t="s">
        <v>109</v>
      </c>
      <c r="E31" s="17" t="s">
        <v>66</v>
      </c>
      <c r="F31" s="19" t="n">
        <v>4.1</v>
      </c>
      <c r="G31" s="19" t="n">
        <v>0</v>
      </c>
      <c r="H31" s="9" t="n">
        <f aca="false">F31+G31</f>
        <v>4.1</v>
      </c>
      <c r="I31" s="8" t="n">
        <f aca="false">IFERROR(F31/SUMIFS($F:$F,$A:$A,A31),0)</f>
        <v>0.00217986548634926</v>
      </c>
      <c r="J31" s="20" t="n">
        <v>1</v>
      </c>
      <c r="K31" s="17"/>
    </row>
    <row r="32" customFormat="false" ht="15" hidden="false" customHeight="false" outlineLevel="0" collapsed="false">
      <c r="A32" s="17" t="s">
        <v>15</v>
      </c>
      <c r="B32" s="17" t="s">
        <v>110</v>
      </c>
      <c r="C32" s="17" t="s">
        <v>64</v>
      </c>
      <c r="D32" s="17" t="s">
        <v>109</v>
      </c>
      <c r="E32" s="17" t="s">
        <v>66</v>
      </c>
      <c r="F32" s="19" t="n">
        <v>3.81</v>
      </c>
      <c r="G32" s="19" t="n">
        <v>0</v>
      </c>
      <c r="H32" s="9" t="n">
        <f aca="false">F32+G32</f>
        <v>3.81</v>
      </c>
      <c r="I32" s="8" t="n">
        <f aca="false">IFERROR(F32/SUMIFS($F:$F,$A:$A,A32),0)</f>
        <v>0.00202567987877821</v>
      </c>
      <c r="J32" s="20" t="n">
        <v>0</v>
      </c>
      <c r="K32" s="17"/>
    </row>
    <row r="33" customFormat="false" ht="15" hidden="false" customHeight="false" outlineLevel="0" collapsed="false">
      <c r="A33" s="17" t="s">
        <v>15</v>
      </c>
      <c r="B33" s="17" t="s">
        <v>111</v>
      </c>
      <c r="C33" s="17" t="s">
        <v>98</v>
      </c>
      <c r="D33" s="17" t="s">
        <v>76</v>
      </c>
      <c r="E33" s="17" t="s">
        <v>66</v>
      </c>
      <c r="F33" s="19" t="n">
        <v>3.3</v>
      </c>
      <c r="G33" s="19" t="n">
        <v>0</v>
      </c>
      <c r="H33" s="9" t="n">
        <f aca="false">F33+G33</f>
        <v>3.3</v>
      </c>
      <c r="I33" s="8" t="n">
        <f aca="false">IFERROR(F33/SUMIFS($F:$F,$A:$A,A33),0)</f>
        <v>0.00175452587925672</v>
      </c>
      <c r="J33" s="20" t="n">
        <v>1</v>
      </c>
      <c r="K33" s="17"/>
    </row>
    <row r="34" customFormat="false" ht="15" hidden="false" customHeight="false" outlineLevel="0" collapsed="false">
      <c r="A34" s="17" t="s">
        <v>15</v>
      </c>
      <c r="B34" s="17" t="s">
        <v>112</v>
      </c>
      <c r="C34" s="17" t="s">
        <v>69</v>
      </c>
      <c r="D34" s="17" t="s">
        <v>99</v>
      </c>
      <c r="E34" s="17" t="s">
        <v>66</v>
      </c>
      <c r="F34" s="19" t="n">
        <v>2.62</v>
      </c>
      <c r="G34" s="19" t="n">
        <v>0</v>
      </c>
      <c r="H34" s="9" t="n">
        <f aca="false">F34+G34</f>
        <v>2.62</v>
      </c>
      <c r="I34" s="8" t="n">
        <f aca="false">IFERROR(F34/SUMIFS($F:$F,$A:$A,A34),0)</f>
        <v>0.00139298721322806</v>
      </c>
      <c r="J34" s="20" t="n">
        <v>0</v>
      </c>
      <c r="K34" s="17"/>
    </row>
    <row r="35" customFormat="false" ht="15" hidden="false" customHeight="false" outlineLevel="0" collapsed="false">
      <c r="A35" s="17" t="s">
        <v>15</v>
      </c>
      <c r="B35" s="17" t="s">
        <v>113</v>
      </c>
      <c r="C35" s="17" t="s">
        <v>64</v>
      </c>
      <c r="D35" s="17" t="s">
        <v>73</v>
      </c>
      <c r="E35" s="17" t="s">
        <v>66</v>
      </c>
      <c r="F35" s="19" t="n">
        <v>2.08</v>
      </c>
      <c r="G35" s="19" t="n">
        <v>0</v>
      </c>
      <c r="H35" s="9" t="n">
        <f aca="false">F35+G35</f>
        <v>2.08</v>
      </c>
      <c r="I35" s="8" t="n">
        <f aca="false">IFERROR(F35/SUMIFS($F:$F,$A:$A,A35),0)</f>
        <v>0.0011058829784406</v>
      </c>
      <c r="J35" s="20" t="n">
        <v>8</v>
      </c>
      <c r="K35" s="17"/>
    </row>
    <row r="36" customFormat="false" ht="15" hidden="false" customHeight="false" outlineLevel="0" collapsed="false">
      <c r="A36" s="17" t="s">
        <v>15</v>
      </c>
      <c r="B36" s="17" t="s">
        <v>114</v>
      </c>
      <c r="C36" s="17" t="s">
        <v>69</v>
      </c>
      <c r="D36" s="17" t="s">
        <v>101</v>
      </c>
      <c r="E36" s="17" t="s">
        <v>66</v>
      </c>
      <c r="F36" s="19" t="n">
        <v>1.45</v>
      </c>
      <c r="G36" s="19" t="n">
        <v>0</v>
      </c>
      <c r="H36" s="9" t="n">
        <f aca="false">F36+G36</f>
        <v>1.45</v>
      </c>
      <c r="I36" s="8" t="n">
        <f aca="false">IFERROR(F36/SUMIFS($F:$F,$A:$A,A36),0)</f>
        <v>0.000770928037855225</v>
      </c>
      <c r="J36" s="20" t="n">
        <v>1</v>
      </c>
      <c r="K36" s="17"/>
    </row>
    <row r="37" customFormat="false" ht="15" hidden="false" customHeight="false" outlineLevel="0" collapsed="false">
      <c r="A37" s="17" t="s">
        <v>16</v>
      </c>
      <c r="B37" s="17" t="s">
        <v>115</v>
      </c>
      <c r="C37" s="17" t="s">
        <v>58</v>
      </c>
      <c r="D37" s="17" t="s">
        <v>59</v>
      </c>
      <c r="E37" s="18" t="s">
        <v>60</v>
      </c>
      <c r="F37" s="19" t="n">
        <v>770.42</v>
      </c>
      <c r="G37" s="19" t="n">
        <v>0.53</v>
      </c>
      <c r="H37" s="9" t="n">
        <f aca="false">F37+G37</f>
        <v>770.95</v>
      </c>
      <c r="I37" s="8" t="n">
        <f aca="false">IFERROR(F37/SUMIFS($F:$F,$A:$A,A37),0)</f>
        <v>0.514835208895779</v>
      </c>
      <c r="J37" s="20" t="n">
        <v>50</v>
      </c>
      <c r="K37" s="17"/>
    </row>
    <row r="38" customFormat="false" ht="15" hidden="false" customHeight="false" outlineLevel="0" collapsed="false">
      <c r="A38" s="17" t="s">
        <v>16</v>
      </c>
      <c r="B38" s="17" t="s">
        <v>116</v>
      </c>
      <c r="C38" s="17" t="s">
        <v>62</v>
      </c>
      <c r="D38" s="17" t="s">
        <v>65</v>
      </c>
      <c r="E38" s="17" t="s">
        <v>66</v>
      </c>
      <c r="F38" s="19" t="n">
        <v>244.49</v>
      </c>
      <c r="G38" s="19" t="n">
        <v>0</v>
      </c>
      <c r="H38" s="9" t="n">
        <f aca="false">F38+G38</f>
        <v>244.49</v>
      </c>
      <c r="I38" s="8" t="n">
        <f aca="false">IFERROR(F38/SUMIFS($F:$F,$A:$A,A38),0)</f>
        <v>0.163381091122932</v>
      </c>
      <c r="J38" s="20" t="n">
        <v>7</v>
      </c>
      <c r="K38" s="17" t="s">
        <v>117</v>
      </c>
    </row>
    <row r="39" customFormat="false" ht="15" hidden="false" customHeight="false" outlineLevel="0" collapsed="false">
      <c r="A39" s="17" t="s">
        <v>16</v>
      </c>
      <c r="B39" s="17" t="s">
        <v>118</v>
      </c>
      <c r="C39" s="17" t="s">
        <v>62</v>
      </c>
      <c r="D39" s="17" t="s">
        <v>59</v>
      </c>
      <c r="E39" s="18" t="s">
        <v>60</v>
      </c>
      <c r="F39" s="19" t="n">
        <v>118.69</v>
      </c>
      <c r="G39" s="19" t="n">
        <v>0.3</v>
      </c>
      <c r="H39" s="9" t="n">
        <f aca="false">F39+G39</f>
        <v>118.99</v>
      </c>
      <c r="I39" s="8" t="n">
        <f aca="false">IFERROR(F39/SUMIFS($F:$F,$A:$A,A39),0)</f>
        <v>0.0793149073801823</v>
      </c>
      <c r="J39" s="20" t="n">
        <v>30</v>
      </c>
      <c r="K39" s="17"/>
    </row>
    <row r="40" customFormat="false" ht="15" hidden="false" customHeight="false" outlineLevel="0" collapsed="false">
      <c r="A40" s="17" t="s">
        <v>16</v>
      </c>
      <c r="B40" s="17" t="s">
        <v>119</v>
      </c>
      <c r="C40" s="17" t="s">
        <v>58</v>
      </c>
      <c r="D40" s="17" t="s">
        <v>99</v>
      </c>
      <c r="E40" s="17" t="s">
        <v>66</v>
      </c>
      <c r="F40" s="19" t="n">
        <v>75.08</v>
      </c>
      <c r="G40" s="19" t="n">
        <v>0</v>
      </c>
      <c r="H40" s="9" t="n">
        <f aca="false">F40+G40</f>
        <v>75.08</v>
      </c>
      <c r="I40" s="8" t="n">
        <f aca="false">IFERROR(F40/SUMIFS($F:$F,$A:$A,A40),0)</f>
        <v>0.0501724091844645</v>
      </c>
      <c r="J40" s="20" t="n">
        <v>3</v>
      </c>
      <c r="K40" s="17"/>
    </row>
    <row r="41" customFormat="false" ht="15" hidden="false" customHeight="false" outlineLevel="0" collapsed="false">
      <c r="A41" s="17" t="s">
        <v>16</v>
      </c>
      <c r="B41" s="17" t="s">
        <v>120</v>
      </c>
      <c r="C41" s="17" t="s">
        <v>62</v>
      </c>
      <c r="D41" s="17" t="s">
        <v>70</v>
      </c>
      <c r="E41" s="17" t="s">
        <v>66</v>
      </c>
      <c r="F41" s="19" t="n">
        <v>65.07</v>
      </c>
      <c r="G41" s="19" t="n">
        <v>0</v>
      </c>
      <c r="H41" s="9" t="n">
        <f aca="false">F41+G41</f>
        <v>65.07</v>
      </c>
      <c r="I41" s="8" t="n">
        <f aca="false">IFERROR(F41/SUMIFS($F:$F,$A:$A,A41),0)</f>
        <v>0.0434832001283045</v>
      </c>
      <c r="J41" s="20" t="n">
        <v>10</v>
      </c>
      <c r="K41" s="17"/>
    </row>
    <row r="42" customFormat="false" ht="15" hidden="false" customHeight="false" outlineLevel="0" collapsed="false">
      <c r="A42" s="17" t="s">
        <v>16</v>
      </c>
      <c r="B42" s="17" t="s">
        <v>121</v>
      </c>
      <c r="C42" s="17" t="s">
        <v>64</v>
      </c>
      <c r="D42" s="17" t="s">
        <v>65</v>
      </c>
      <c r="E42" s="17" t="s">
        <v>66</v>
      </c>
      <c r="F42" s="19" t="n">
        <v>36.84</v>
      </c>
      <c r="G42" s="19" t="n">
        <v>0</v>
      </c>
      <c r="H42" s="9" t="n">
        <f aca="false">F42+G42</f>
        <v>36.84</v>
      </c>
      <c r="I42" s="8" t="n">
        <f aca="false">IFERROR(F42/SUMIFS($F:$F,$A:$A,A42),0)</f>
        <v>0.0246184277351581</v>
      </c>
      <c r="J42" s="20" t="n">
        <v>1</v>
      </c>
      <c r="K42" s="17"/>
    </row>
    <row r="43" customFormat="false" ht="15" hidden="false" customHeight="false" outlineLevel="0" collapsed="false">
      <c r="A43" s="17" t="s">
        <v>16</v>
      </c>
      <c r="B43" s="17" t="s">
        <v>122</v>
      </c>
      <c r="C43" s="17" t="s">
        <v>58</v>
      </c>
      <c r="D43" s="17" t="s">
        <v>79</v>
      </c>
      <c r="E43" s="17" t="s">
        <v>66</v>
      </c>
      <c r="F43" s="19" t="n">
        <v>35.67</v>
      </c>
      <c r="G43" s="19" t="n">
        <v>0</v>
      </c>
      <c r="H43" s="9" t="n">
        <f aca="false">F43+G43</f>
        <v>35.67</v>
      </c>
      <c r="I43" s="8" t="n">
        <f aca="false">IFERROR(F43/SUMIFS($F:$F,$A:$A,A43),0)</f>
        <v>0.0238365721311914</v>
      </c>
      <c r="J43" s="20" t="n">
        <v>15</v>
      </c>
      <c r="K43" s="17"/>
    </row>
    <row r="44" customFormat="false" ht="15" hidden="false" customHeight="false" outlineLevel="0" collapsed="false">
      <c r="A44" s="17" t="s">
        <v>16</v>
      </c>
      <c r="B44" s="17" t="s">
        <v>123</v>
      </c>
      <c r="C44" s="17" t="s">
        <v>62</v>
      </c>
      <c r="D44" s="17" t="s">
        <v>93</v>
      </c>
      <c r="E44" s="17" t="s">
        <v>66</v>
      </c>
      <c r="F44" s="19" t="n">
        <v>22.76</v>
      </c>
      <c r="G44" s="19" t="n">
        <v>0</v>
      </c>
      <c r="H44" s="9" t="n">
        <f aca="false">F44+G44</f>
        <v>22.76</v>
      </c>
      <c r="I44" s="8" t="n">
        <f aca="false">IFERROR(F44/SUMIFS($F:$F,$A:$A,A44),0)</f>
        <v>0.0152094303814386</v>
      </c>
      <c r="J44" s="20" t="n">
        <v>1</v>
      </c>
      <c r="K44" s="17"/>
    </row>
    <row r="45" customFormat="false" ht="15" hidden="false" customHeight="false" outlineLevel="0" collapsed="false">
      <c r="A45" s="17" t="s">
        <v>16</v>
      </c>
      <c r="B45" s="17" t="s">
        <v>124</v>
      </c>
      <c r="C45" s="17" t="s">
        <v>69</v>
      </c>
      <c r="D45" s="17" t="s">
        <v>65</v>
      </c>
      <c r="E45" s="17" t="s">
        <v>66</v>
      </c>
      <c r="F45" s="19" t="n">
        <v>20.2</v>
      </c>
      <c r="G45" s="19" t="n">
        <v>0</v>
      </c>
      <c r="H45" s="9" t="n">
        <f aca="false">F45+G45</f>
        <v>20.2</v>
      </c>
      <c r="I45" s="8" t="n">
        <f aca="false">IFERROR(F45/SUMIFS($F:$F,$A:$A,A45),0)</f>
        <v>0.0134987035898533</v>
      </c>
      <c r="J45" s="20" t="n">
        <v>0</v>
      </c>
      <c r="K45" s="17"/>
    </row>
    <row r="46" customFormat="false" ht="15" hidden="false" customHeight="false" outlineLevel="0" collapsed="false">
      <c r="A46" s="17" t="s">
        <v>16</v>
      </c>
      <c r="B46" s="17" t="s">
        <v>125</v>
      </c>
      <c r="C46" s="17" t="s">
        <v>62</v>
      </c>
      <c r="D46" s="17" t="s">
        <v>90</v>
      </c>
      <c r="E46" s="17" t="s">
        <v>66</v>
      </c>
      <c r="F46" s="19" t="n">
        <v>17.2</v>
      </c>
      <c r="G46" s="19" t="n">
        <v>0</v>
      </c>
      <c r="H46" s="9" t="n">
        <f aca="false">F46+G46</f>
        <v>17.2</v>
      </c>
      <c r="I46" s="8" t="n">
        <f aca="false">IFERROR(F46/SUMIFS($F:$F,$A:$A,A46),0)</f>
        <v>0.0114939456309642</v>
      </c>
      <c r="J46" s="20" t="n">
        <v>15</v>
      </c>
      <c r="K46" s="17"/>
    </row>
    <row r="47" customFormat="false" ht="15" hidden="false" customHeight="false" outlineLevel="0" collapsed="false">
      <c r="A47" s="17" t="s">
        <v>16</v>
      </c>
      <c r="B47" s="17" t="s">
        <v>126</v>
      </c>
      <c r="C47" s="17" t="s">
        <v>64</v>
      </c>
      <c r="D47" s="17" t="s">
        <v>79</v>
      </c>
      <c r="E47" s="17" t="s">
        <v>66</v>
      </c>
      <c r="F47" s="19" t="n">
        <v>13.52</v>
      </c>
      <c r="G47" s="19" t="n">
        <v>0</v>
      </c>
      <c r="H47" s="9" t="n">
        <f aca="false">F47+G47</f>
        <v>13.52</v>
      </c>
      <c r="I47" s="8" t="n">
        <f aca="false">IFERROR(F47/SUMIFS($F:$F,$A:$A,A47),0)</f>
        <v>0.0090347758680602</v>
      </c>
      <c r="J47" s="20" t="n">
        <v>0</v>
      </c>
      <c r="K47" s="17"/>
    </row>
    <row r="48" customFormat="false" ht="15" hidden="false" customHeight="false" outlineLevel="0" collapsed="false">
      <c r="A48" s="17" t="s">
        <v>16</v>
      </c>
      <c r="B48" s="17" t="s">
        <v>127</v>
      </c>
      <c r="C48" s="17" t="s">
        <v>62</v>
      </c>
      <c r="D48" s="17" t="s">
        <v>84</v>
      </c>
      <c r="E48" s="17" t="s">
        <v>66</v>
      </c>
      <c r="F48" s="19" t="n">
        <v>13.19</v>
      </c>
      <c r="G48" s="19" t="n">
        <v>0</v>
      </c>
      <c r="H48" s="9" t="n">
        <f aca="false">F48+G48</f>
        <v>13.19</v>
      </c>
      <c r="I48" s="8" t="n">
        <f aca="false">IFERROR(F48/SUMIFS($F:$F,$A:$A,A48),0)</f>
        <v>0.0088142524925824</v>
      </c>
      <c r="J48" s="20" t="n">
        <v>7</v>
      </c>
      <c r="K48" s="17"/>
    </row>
    <row r="49" customFormat="false" ht="15" hidden="false" customHeight="false" outlineLevel="0" collapsed="false">
      <c r="A49" s="17" t="s">
        <v>16</v>
      </c>
      <c r="B49" s="17" t="s">
        <v>128</v>
      </c>
      <c r="C49" s="17" t="s">
        <v>69</v>
      </c>
      <c r="D49" s="17" t="s">
        <v>90</v>
      </c>
      <c r="E49" s="17" t="s">
        <v>66</v>
      </c>
      <c r="F49" s="19" t="n">
        <v>8.24</v>
      </c>
      <c r="G49" s="19" t="n">
        <v>0</v>
      </c>
      <c r="H49" s="9" t="n">
        <f aca="false">F49+G49</f>
        <v>8.24</v>
      </c>
      <c r="I49" s="8" t="n">
        <f aca="false">IFERROR(F49/SUMIFS($F:$F,$A:$A,A49),0)</f>
        <v>0.00550640186041539</v>
      </c>
      <c r="J49" s="20" t="n">
        <v>0</v>
      </c>
      <c r="K49" s="17"/>
    </row>
    <row r="50" customFormat="false" ht="15" hidden="false" customHeight="false" outlineLevel="0" collapsed="false">
      <c r="A50" s="17" t="s">
        <v>16</v>
      </c>
      <c r="B50" s="17" t="s">
        <v>129</v>
      </c>
      <c r="C50" s="17" t="s">
        <v>58</v>
      </c>
      <c r="D50" s="17" t="s">
        <v>90</v>
      </c>
      <c r="E50" s="17" t="s">
        <v>66</v>
      </c>
      <c r="F50" s="19" t="n">
        <v>7.76</v>
      </c>
      <c r="G50" s="19" t="n">
        <v>0</v>
      </c>
      <c r="H50" s="9" t="n">
        <f aca="false">F50+G50</f>
        <v>7.76</v>
      </c>
      <c r="I50" s="8" t="n">
        <f aca="false">IFERROR(F50/SUMIFS($F:$F,$A:$A,A50),0)</f>
        <v>0.00518564058699313</v>
      </c>
      <c r="J50" s="20" t="n">
        <v>7</v>
      </c>
      <c r="K50" s="17"/>
    </row>
    <row r="51" customFormat="false" ht="15" hidden="false" customHeight="false" outlineLevel="0" collapsed="false">
      <c r="A51" s="17" t="s">
        <v>16</v>
      </c>
      <c r="B51" s="17" t="s">
        <v>130</v>
      </c>
      <c r="C51" s="17" t="s">
        <v>69</v>
      </c>
      <c r="D51" s="17" t="s">
        <v>81</v>
      </c>
      <c r="E51" s="17" t="s">
        <v>66</v>
      </c>
      <c r="F51" s="19" t="n">
        <v>7.18</v>
      </c>
      <c r="G51" s="19" t="n">
        <v>0</v>
      </c>
      <c r="H51" s="9" t="n">
        <f aca="false">F51+G51</f>
        <v>7.18</v>
      </c>
      <c r="I51" s="8" t="n">
        <f aca="false">IFERROR(F51/SUMIFS($F:$F,$A:$A,A51),0)</f>
        <v>0.00479805404827457</v>
      </c>
      <c r="J51" s="20" t="n">
        <v>6</v>
      </c>
      <c r="K51" s="17"/>
    </row>
    <row r="52" customFormat="false" ht="15" hidden="false" customHeight="false" outlineLevel="0" collapsed="false">
      <c r="A52" s="17" t="s">
        <v>16</v>
      </c>
      <c r="B52" s="17" t="s">
        <v>131</v>
      </c>
      <c r="C52" s="17" t="s">
        <v>58</v>
      </c>
      <c r="D52" s="17" t="s">
        <v>76</v>
      </c>
      <c r="E52" s="17" t="s">
        <v>66</v>
      </c>
      <c r="F52" s="19" t="n">
        <v>6.51</v>
      </c>
      <c r="G52" s="19" t="n">
        <v>0</v>
      </c>
      <c r="H52" s="9" t="n">
        <f aca="false">F52+G52</f>
        <v>6.51</v>
      </c>
      <c r="I52" s="8" t="n">
        <f aca="false">IFERROR(F52/SUMIFS($F:$F,$A:$A,A52),0)</f>
        <v>0.00435032477078934</v>
      </c>
      <c r="J52" s="20" t="n">
        <v>10</v>
      </c>
      <c r="K52" s="17"/>
    </row>
    <row r="53" customFormat="false" ht="15" hidden="false" customHeight="false" outlineLevel="0" collapsed="false">
      <c r="A53" s="17" t="s">
        <v>16</v>
      </c>
      <c r="B53" s="17" t="s">
        <v>132</v>
      </c>
      <c r="C53" s="17" t="s">
        <v>98</v>
      </c>
      <c r="D53" s="17" t="s">
        <v>133</v>
      </c>
      <c r="E53" s="17" t="s">
        <v>66</v>
      </c>
      <c r="F53" s="19" t="n">
        <v>6.16</v>
      </c>
      <c r="G53" s="19" t="n">
        <v>0</v>
      </c>
      <c r="H53" s="9" t="n">
        <f aca="false">F53+G53</f>
        <v>6.16</v>
      </c>
      <c r="I53" s="8" t="n">
        <f aca="false">IFERROR(F53/SUMIFS($F:$F,$A:$A,A53),0)</f>
        <v>0.00411643634225228</v>
      </c>
      <c r="J53" s="20" t="n">
        <v>0</v>
      </c>
      <c r="K53" s="17"/>
    </row>
    <row r="54" customFormat="false" ht="15" hidden="false" customHeight="false" outlineLevel="0" collapsed="false">
      <c r="A54" s="17" t="s">
        <v>16</v>
      </c>
      <c r="B54" s="17" t="s">
        <v>134</v>
      </c>
      <c r="C54" s="17" t="s">
        <v>64</v>
      </c>
      <c r="D54" s="17" t="s">
        <v>93</v>
      </c>
      <c r="E54" s="17" t="s">
        <v>66</v>
      </c>
      <c r="F54" s="19" t="n">
        <v>5.73</v>
      </c>
      <c r="G54" s="19" t="n">
        <v>0</v>
      </c>
      <c r="H54" s="9" t="n">
        <f aca="false">F54+G54</f>
        <v>5.73</v>
      </c>
      <c r="I54" s="8" t="n">
        <f aca="false">IFERROR(F54/SUMIFS($F:$F,$A:$A,A54),0)</f>
        <v>0.00382908770147818</v>
      </c>
      <c r="J54" s="20" t="n">
        <v>0</v>
      </c>
      <c r="K54" s="17"/>
    </row>
    <row r="55" customFormat="false" ht="15" hidden="false" customHeight="false" outlineLevel="0" collapsed="false">
      <c r="A55" s="17" t="s">
        <v>16</v>
      </c>
      <c r="B55" s="17" t="s">
        <v>135</v>
      </c>
      <c r="C55" s="17" t="s">
        <v>98</v>
      </c>
      <c r="D55" s="17" t="s">
        <v>59</v>
      </c>
      <c r="E55" s="18" t="s">
        <v>60</v>
      </c>
      <c r="F55" s="19" t="n">
        <v>5.69</v>
      </c>
      <c r="G55" s="19" t="n">
        <v>0</v>
      </c>
      <c r="H55" s="9" t="n">
        <f aca="false">F55+G55</f>
        <v>5.69</v>
      </c>
      <c r="I55" s="8" t="n">
        <f aca="false">IFERROR(F55/SUMIFS($F:$F,$A:$A,A55),0)</f>
        <v>0.00380235759535965</v>
      </c>
      <c r="J55" s="20" t="n">
        <v>2</v>
      </c>
      <c r="K55" s="17"/>
    </row>
    <row r="56" customFormat="false" ht="15" hidden="false" customHeight="false" outlineLevel="0" collapsed="false">
      <c r="A56" s="17" t="s">
        <v>16</v>
      </c>
      <c r="B56" s="17" t="s">
        <v>136</v>
      </c>
      <c r="C56" s="17" t="s">
        <v>62</v>
      </c>
      <c r="D56" s="17" t="s">
        <v>101</v>
      </c>
      <c r="E56" s="17" t="s">
        <v>66</v>
      </c>
      <c r="F56" s="19" t="n">
        <v>5.63</v>
      </c>
      <c r="G56" s="19" t="n">
        <v>0</v>
      </c>
      <c r="H56" s="9" t="n">
        <f aca="false">F56+G56</f>
        <v>5.63</v>
      </c>
      <c r="I56" s="8" t="n">
        <f aca="false">IFERROR(F56/SUMIFS($F:$F,$A:$A,A56),0)</f>
        <v>0.00376226243618187</v>
      </c>
      <c r="J56" s="20" t="n">
        <v>16</v>
      </c>
      <c r="K56" s="17"/>
    </row>
    <row r="57" customFormat="false" ht="15" hidden="false" customHeight="false" outlineLevel="0" collapsed="false">
      <c r="A57" s="17" t="s">
        <v>16</v>
      </c>
      <c r="B57" s="17" t="s">
        <v>137</v>
      </c>
      <c r="C57" s="17" t="s">
        <v>64</v>
      </c>
      <c r="D57" s="17" t="s">
        <v>101</v>
      </c>
      <c r="E57" s="17" t="s">
        <v>66</v>
      </c>
      <c r="F57" s="19" t="n">
        <v>5.16</v>
      </c>
      <c r="G57" s="19" t="n">
        <v>0</v>
      </c>
      <c r="H57" s="9" t="n">
        <f aca="false">F57+G57</f>
        <v>5.16</v>
      </c>
      <c r="I57" s="8" t="n">
        <f aca="false">IFERROR(F57/SUMIFS($F:$F,$A:$A,A57),0)</f>
        <v>0.00344818368928925</v>
      </c>
      <c r="J57" s="20" t="n">
        <v>7</v>
      </c>
      <c r="K57" s="17"/>
    </row>
    <row r="58" customFormat="false" ht="15" hidden="false" customHeight="false" outlineLevel="0" collapsed="false">
      <c r="A58" s="17" t="s">
        <v>16</v>
      </c>
      <c r="B58" s="17" t="s">
        <v>138</v>
      </c>
      <c r="C58" s="17" t="s">
        <v>98</v>
      </c>
      <c r="D58" s="17" t="s">
        <v>101</v>
      </c>
      <c r="E58" s="17" t="s">
        <v>66</v>
      </c>
      <c r="F58" s="19" t="n">
        <v>3</v>
      </c>
      <c r="G58" s="19" t="n">
        <v>0</v>
      </c>
      <c r="H58" s="9" t="n">
        <f aca="false">F58+G58</f>
        <v>3</v>
      </c>
      <c r="I58" s="8" t="n">
        <f aca="false">IFERROR(F58/SUMIFS($F:$F,$A:$A,A58),0)</f>
        <v>0.0020047579588891</v>
      </c>
      <c r="J58" s="20" t="n">
        <v>2</v>
      </c>
      <c r="K58" s="17"/>
    </row>
    <row r="59" customFormat="false" ht="15" hidden="false" customHeight="false" outlineLevel="0" collapsed="false">
      <c r="A59" s="17" t="s">
        <v>16</v>
      </c>
      <c r="B59" s="17" t="s">
        <v>139</v>
      </c>
      <c r="C59" s="17" t="s">
        <v>69</v>
      </c>
      <c r="D59" s="17" t="s">
        <v>93</v>
      </c>
      <c r="E59" s="17" t="s">
        <v>66</v>
      </c>
      <c r="F59" s="19" t="n">
        <v>2.25</v>
      </c>
      <c r="G59" s="19" t="n">
        <v>0</v>
      </c>
      <c r="H59" s="9" t="n">
        <f aca="false">F59+G59</f>
        <v>2.25</v>
      </c>
      <c r="I59" s="8" t="n">
        <f aca="false">IFERROR(F59/SUMIFS($F:$F,$A:$A,A59),0)</f>
        <v>0.00150356846916682</v>
      </c>
      <c r="J59" s="20" t="n">
        <v>0</v>
      </c>
      <c r="K59" s="17"/>
    </row>
    <row r="60" customFormat="false" ht="15" hidden="false" customHeight="false" outlineLevel="0" collapsed="false">
      <c r="A60" s="17" t="s">
        <v>17</v>
      </c>
      <c r="B60" s="17" t="s">
        <v>140</v>
      </c>
      <c r="C60" s="17" t="s">
        <v>62</v>
      </c>
      <c r="D60" s="17" t="s">
        <v>133</v>
      </c>
      <c r="E60" s="18" t="s">
        <v>60</v>
      </c>
      <c r="F60" s="19" t="n">
        <v>362.32</v>
      </c>
      <c r="G60" s="19" t="n">
        <v>23.1</v>
      </c>
      <c r="H60" s="9" t="n">
        <f aca="false">F60+G60</f>
        <v>385.42</v>
      </c>
      <c r="I60" s="8" t="n">
        <f aca="false">IFERROR(F60/SUMIFS($F:$F,$A:$A,A60),0)</f>
        <v>0.402868738533385</v>
      </c>
      <c r="J60" s="20" t="n">
        <v>60</v>
      </c>
      <c r="K60" s="17"/>
    </row>
    <row r="61" customFormat="false" ht="15" hidden="false" customHeight="false" outlineLevel="0" collapsed="false">
      <c r="A61" s="17" t="s">
        <v>17</v>
      </c>
      <c r="B61" s="17" t="s">
        <v>141</v>
      </c>
      <c r="C61" s="17" t="s">
        <v>58</v>
      </c>
      <c r="D61" s="17" t="s">
        <v>109</v>
      </c>
      <c r="E61" s="17" t="s">
        <v>66</v>
      </c>
      <c r="F61" s="19" t="n">
        <v>126.2</v>
      </c>
      <c r="G61" s="19" t="n">
        <v>0</v>
      </c>
      <c r="H61" s="9" t="n">
        <f aca="false">F61+G61</f>
        <v>126.2</v>
      </c>
      <c r="I61" s="8" t="n">
        <f aca="false">IFERROR(F61/SUMIFS($F:$F,$A:$A,A61),0)</f>
        <v>0.140323567020626</v>
      </c>
      <c r="J61" s="20" t="n">
        <v>10</v>
      </c>
      <c r="K61" s="17" t="s">
        <v>142</v>
      </c>
    </row>
    <row r="62" customFormat="false" ht="15" hidden="false" customHeight="false" outlineLevel="0" collapsed="false">
      <c r="A62" s="17" t="s">
        <v>17</v>
      </c>
      <c r="B62" s="17" t="s">
        <v>143</v>
      </c>
      <c r="C62" s="17" t="s">
        <v>64</v>
      </c>
      <c r="D62" s="17" t="s">
        <v>133</v>
      </c>
      <c r="E62" s="18" t="s">
        <v>60</v>
      </c>
      <c r="F62" s="19" t="n">
        <v>72.82</v>
      </c>
      <c r="G62" s="19" t="n">
        <v>83.73</v>
      </c>
      <c r="H62" s="9" t="n">
        <f aca="false">F62+G62</f>
        <v>156.55</v>
      </c>
      <c r="I62" s="8" t="n">
        <f aca="false">IFERROR(F62/SUMIFS($F:$F,$A:$A,A62),0)</f>
        <v>0.0809695891477178</v>
      </c>
      <c r="J62" s="20" t="n">
        <v>16</v>
      </c>
      <c r="K62" s="17"/>
    </row>
    <row r="63" customFormat="false" ht="15" hidden="false" customHeight="false" outlineLevel="0" collapsed="false">
      <c r="A63" s="17" t="s">
        <v>17</v>
      </c>
      <c r="B63" s="17" t="s">
        <v>144</v>
      </c>
      <c r="C63" s="17" t="s">
        <v>64</v>
      </c>
      <c r="D63" s="17" t="s">
        <v>145</v>
      </c>
      <c r="E63" s="17" t="s">
        <v>66</v>
      </c>
      <c r="F63" s="19" t="n">
        <v>58.47</v>
      </c>
      <c r="G63" s="19" t="n">
        <v>0</v>
      </c>
      <c r="H63" s="9" t="n">
        <f aca="false">F63+G63</f>
        <v>58.47</v>
      </c>
      <c r="I63" s="8" t="n">
        <f aca="false">IFERROR(F63/SUMIFS($F:$F,$A:$A,A63),0)</f>
        <v>0.0650136209484628</v>
      </c>
      <c r="J63" s="20" t="n">
        <v>0</v>
      </c>
      <c r="K63" s="17"/>
    </row>
    <row r="64" customFormat="false" ht="15" hidden="false" customHeight="false" outlineLevel="0" collapsed="false">
      <c r="A64" s="17" t="s">
        <v>17</v>
      </c>
      <c r="B64" s="17" t="s">
        <v>146</v>
      </c>
      <c r="C64" s="17" t="s">
        <v>62</v>
      </c>
      <c r="D64" s="17" t="s">
        <v>109</v>
      </c>
      <c r="E64" s="17" t="s">
        <v>66</v>
      </c>
      <c r="F64" s="19" t="n">
        <v>47.53</v>
      </c>
      <c r="G64" s="19" t="n">
        <v>12.7</v>
      </c>
      <c r="H64" s="9" t="n">
        <f aca="false">F64+G64</f>
        <v>60.23</v>
      </c>
      <c r="I64" s="8" t="n">
        <f aca="false">IFERROR(F64/SUMIFS($F:$F,$A:$A,A64),0)</f>
        <v>0.0528492800355813</v>
      </c>
      <c r="J64" s="20" t="n">
        <v>13</v>
      </c>
      <c r="K64" s="17"/>
    </row>
    <row r="65" customFormat="false" ht="15" hidden="false" customHeight="false" outlineLevel="0" collapsed="false">
      <c r="A65" s="17" t="s">
        <v>17</v>
      </c>
      <c r="B65" s="17" t="s">
        <v>147</v>
      </c>
      <c r="C65" s="17" t="s">
        <v>62</v>
      </c>
      <c r="D65" s="17" t="s">
        <v>59</v>
      </c>
      <c r="E65" s="17" t="s">
        <v>66</v>
      </c>
      <c r="F65" s="19" t="n">
        <v>34.9</v>
      </c>
      <c r="G65" s="19" t="n">
        <v>1.67</v>
      </c>
      <c r="H65" s="9" t="n">
        <f aca="false">F65+G65</f>
        <v>36.57</v>
      </c>
      <c r="I65" s="8" t="n">
        <f aca="false">IFERROR(F65/SUMIFS($F:$F,$A:$A,A65),0)</f>
        <v>0.0388058041919164</v>
      </c>
      <c r="J65" s="20" t="n">
        <v>6</v>
      </c>
      <c r="K65" s="17"/>
    </row>
    <row r="66" customFormat="false" ht="15" hidden="false" customHeight="false" outlineLevel="0" collapsed="false">
      <c r="A66" s="17" t="s">
        <v>17</v>
      </c>
      <c r="B66" s="17" t="s">
        <v>148</v>
      </c>
      <c r="C66" s="17" t="s">
        <v>64</v>
      </c>
      <c r="D66" s="17" t="s">
        <v>109</v>
      </c>
      <c r="E66" s="17" t="s">
        <v>66</v>
      </c>
      <c r="F66" s="19" t="n">
        <v>31.4</v>
      </c>
      <c r="G66" s="19" t="n">
        <v>7.1</v>
      </c>
      <c r="H66" s="9" t="n">
        <f aca="false">F66+G66</f>
        <v>38.5</v>
      </c>
      <c r="I66" s="8" t="n">
        <f aca="false">IFERROR(F66/SUMIFS($F:$F,$A:$A,A66),0)</f>
        <v>0.0349141046311225</v>
      </c>
      <c r="J66" s="20" t="n">
        <v>6</v>
      </c>
      <c r="K66" s="17"/>
    </row>
    <row r="67" customFormat="false" ht="15" hidden="false" customHeight="false" outlineLevel="0" collapsed="false">
      <c r="A67" s="17" t="s">
        <v>17</v>
      </c>
      <c r="B67" s="17" t="s">
        <v>149</v>
      </c>
      <c r="C67" s="17" t="s">
        <v>69</v>
      </c>
      <c r="D67" s="17" t="s">
        <v>133</v>
      </c>
      <c r="E67" s="18" t="s">
        <v>60</v>
      </c>
      <c r="F67" s="19" t="n">
        <v>26.64</v>
      </c>
      <c r="G67" s="19" t="n">
        <v>0</v>
      </c>
      <c r="H67" s="9" t="n">
        <f aca="false">F67+G67</f>
        <v>26.64</v>
      </c>
      <c r="I67" s="8" t="n">
        <f aca="false">IFERROR(F67/SUMIFS($F:$F,$A:$A,A67),0)</f>
        <v>0.0296213932284428</v>
      </c>
      <c r="J67" s="20" t="n">
        <v>9</v>
      </c>
      <c r="K67" s="17"/>
    </row>
    <row r="68" customFormat="false" ht="15" hidden="false" customHeight="false" outlineLevel="0" collapsed="false">
      <c r="A68" s="17" t="s">
        <v>17</v>
      </c>
      <c r="B68" s="17" t="s">
        <v>150</v>
      </c>
      <c r="C68" s="17" t="s">
        <v>64</v>
      </c>
      <c r="D68" s="17" t="s">
        <v>151</v>
      </c>
      <c r="E68" s="17" t="s">
        <v>66</v>
      </c>
      <c r="F68" s="19" t="n">
        <v>15.92</v>
      </c>
      <c r="G68" s="19" t="n">
        <v>0</v>
      </c>
      <c r="H68" s="9" t="n">
        <f aca="false">F68+G68</f>
        <v>15.92</v>
      </c>
      <c r="I68" s="8" t="n">
        <f aca="false">IFERROR(F68/SUMIFS($F:$F,$A:$A,A68),0)</f>
        <v>0.0177016734308111</v>
      </c>
      <c r="J68" s="20" t="n">
        <v>1</v>
      </c>
      <c r="K68" s="17"/>
    </row>
    <row r="69" customFormat="false" ht="15" hidden="false" customHeight="false" outlineLevel="0" collapsed="false">
      <c r="A69" s="17" t="s">
        <v>17</v>
      </c>
      <c r="B69" s="17" t="s">
        <v>152</v>
      </c>
      <c r="C69" s="17" t="s">
        <v>58</v>
      </c>
      <c r="D69" s="17" t="s">
        <v>153</v>
      </c>
      <c r="E69" s="17" t="s">
        <v>66</v>
      </c>
      <c r="F69" s="19" t="n">
        <v>12.12</v>
      </c>
      <c r="G69" s="19" t="n">
        <v>0</v>
      </c>
      <c r="H69" s="9" t="n">
        <f aca="false">F69+G69</f>
        <v>12.12</v>
      </c>
      <c r="I69" s="8" t="n">
        <f aca="false">IFERROR(F69/SUMIFS($F:$F,$A:$A,A69),0)</f>
        <v>0.0134763996219492</v>
      </c>
      <c r="J69" s="20" t="n">
        <v>8</v>
      </c>
      <c r="K69" s="17"/>
    </row>
    <row r="70" customFormat="false" ht="15" hidden="false" customHeight="false" outlineLevel="0" collapsed="false">
      <c r="A70" s="17" t="s">
        <v>17</v>
      </c>
      <c r="B70" s="17" t="s">
        <v>154</v>
      </c>
      <c r="C70" s="17" t="s">
        <v>69</v>
      </c>
      <c r="D70" s="17" t="s">
        <v>155</v>
      </c>
      <c r="E70" s="17" t="s">
        <v>66</v>
      </c>
      <c r="F70" s="19" t="n">
        <v>10.69</v>
      </c>
      <c r="G70" s="19" t="n">
        <v>0</v>
      </c>
      <c r="H70" s="9" t="n">
        <f aca="false">F70+G70</f>
        <v>10.69</v>
      </c>
      <c r="I70" s="8" t="n">
        <f aca="false">IFERROR(F70/SUMIFS($F:$F,$A:$A,A70),0)</f>
        <v>0.0118863623728248</v>
      </c>
      <c r="J70" s="20" t="n">
        <v>2</v>
      </c>
      <c r="K70" s="17"/>
    </row>
    <row r="71" customFormat="false" ht="15" hidden="false" customHeight="false" outlineLevel="0" collapsed="false">
      <c r="A71" s="17" t="s">
        <v>17</v>
      </c>
      <c r="B71" s="17" t="s">
        <v>156</v>
      </c>
      <c r="C71" s="17" t="s">
        <v>64</v>
      </c>
      <c r="D71" s="17" t="s">
        <v>157</v>
      </c>
      <c r="E71" s="17" t="s">
        <v>66</v>
      </c>
      <c r="F71" s="19" t="n">
        <v>10.19</v>
      </c>
      <c r="G71" s="19" t="n">
        <v>0</v>
      </c>
      <c r="H71" s="9" t="n">
        <f aca="false">F71+G71</f>
        <v>10.19</v>
      </c>
      <c r="I71" s="8" t="n">
        <f aca="false">IFERROR(F71/SUMIFS($F:$F,$A:$A,A71),0)</f>
        <v>0.0113304052927114</v>
      </c>
      <c r="J71" s="20" t="n">
        <v>1</v>
      </c>
      <c r="K71" s="17"/>
    </row>
    <row r="72" customFormat="false" ht="15" hidden="false" customHeight="false" outlineLevel="0" collapsed="false">
      <c r="A72" s="17" t="s">
        <v>17</v>
      </c>
      <c r="B72" s="17" t="s">
        <v>158</v>
      </c>
      <c r="C72" s="17" t="s">
        <v>58</v>
      </c>
      <c r="D72" s="17" t="s">
        <v>79</v>
      </c>
      <c r="E72" s="17" t="s">
        <v>66</v>
      </c>
      <c r="F72" s="19" t="n">
        <v>7.39</v>
      </c>
      <c r="G72" s="19" t="n">
        <v>0</v>
      </c>
      <c r="H72" s="9" t="n">
        <f aca="false">F72+G72</f>
        <v>7.39</v>
      </c>
      <c r="I72" s="8" t="n">
        <f aca="false">IFERROR(F72/SUMIFS($F:$F,$A:$A,A72),0)</f>
        <v>0.00821704564407628</v>
      </c>
      <c r="J72" s="20" t="n">
        <v>7</v>
      </c>
      <c r="K72" s="17"/>
    </row>
    <row r="73" customFormat="false" ht="15" hidden="false" customHeight="false" outlineLevel="0" collapsed="false">
      <c r="A73" s="17" t="s">
        <v>17</v>
      </c>
      <c r="B73" s="17" t="s">
        <v>159</v>
      </c>
      <c r="C73" s="17" t="s">
        <v>69</v>
      </c>
      <c r="D73" s="17" t="s">
        <v>109</v>
      </c>
      <c r="E73" s="17" t="s">
        <v>66</v>
      </c>
      <c r="F73" s="19" t="n">
        <v>7.36</v>
      </c>
      <c r="G73" s="19" t="n">
        <v>0</v>
      </c>
      <c r="H73" s="9" t="n">
        <f aca="false">F73+G73</f>
        <v>7.36</v>
      </c>
      <c r="I73" s="8" t="n">
        <f aca="false">IFERROR(F73/SUMIFS($F:$F,$A:$A,A73),0)</f>
        <v>0.00818368821926947</v>
      </c>
      <c r="J73" s="20" t="n">
        <v>1</v>
      </c>
      <c r="K73" s="17"/>
    </row>
    <row r="74" customFormat="false" ht="15" hidden="false" customHeight="false" outlineLevel="0" collapsed="false">
      <c r="A74" s="17" t="s">
        <v>17</v>
      </c>
      <c r="B74" s="17" t="s">
        <v>160</v>
      </c>
      <c r="C74" s="17" t="s">
        <v>64</v>
      </c>
      <c r="D74" s="17" t="s">
        <v>161</v>
      </c>
      <c r="E74" s="17" t="s">
        <v>66</v>
      </c>
      <c r="F74" s="19" t="n">
        <v>6.89</v>
      </c>
      <c r="G74" s="19" t="n">
        <v>10.68</v>
      </c>
      <c r="H74" s="9" t="n">
        <f aca="false">F74+G74</f>
        <v>17.57</v>
      </c>
      <c r="I74" s="8" t="n">
        <f aca="false">IFERROR(F74/SUMIFS($F:$F,$A:$A,A74),0)</f>
        <v>0.00766108856396286</v>
      </c>
      <c r="J74" s="20" t="n">
        <v>2</v>
      </c>
      <c r="K74" s="17"/>
    </row>
    <row r="75" customFormat="false" ht="15" hidden="false" customHeight="false" outlineLevel="0" collapsed="false">
      <c r="A75" s="17" t="s">
        <v>17</v>
      </c>
      <c r="B75" s="17" t="s">
        <v>162</v>
      </c>
      <c r="C75" s="17" t="s">
        <v>58</v>
      </c>
      <c r="D75" s="17" t="s">
        <v>133</v>
      </c>
      <c r="E75" s="18" t="s">
        <v>60</v>
      </c>
      <c r="F75" s="19" t="n">
        <v>6.21</v>
      </c>
      <c r="G75" s="19" t="n">
        <v>3.49</v>
      </c>
      <c r="H75" s="9" t="n">
        <f aca="false">F75+G75</f>
        <v>9.7</v>
      </c>
      <c r="I75" s="8" t="n">
        <f aca="false">IFERROR(F75/SUMIFS($F:$F,$A:$A,A75),0)</f>
        <v>0.00690498693500862</v>
      </c>
      <c r="J75" s="20" t="n">
        <v>9</v>
      </c>
      <c r="K75" s="17"/>
    </row>
    <row r="76" customFormat="false" ht="15" hidden="false" customHeight="false" outlineLevel="0" collapsed="false">
      <c r="A76" s="17" t="s">
        <v>17</v>
      </c>
      <c r="B76" s="17" t="s">
        <v>163</v>
      </c>
      <c r="C76" s="17" t="s">
        <v>69</v>
      </c>
      <c r="D76" s="17" t="s">
        <v>164</v>
      </c>
      <c r="E76" s="17" t="s">
        <v>66</v>
      </c>
      <c r="F76" s="19" t="n">
        <v>5.36</v>
      </c>
      <c r="G76" s="19" t="n">
        <v>0</v>
      </c>
      <c r="H76" s="9" t="n">
        <f aca="false">F76+G76</f>
        <v>5.36</v>
      </c>
      <c r="I76" s="8" t="n">
        <f aca="false">IFERROR(F76/SUMIFS($F:$F,$A:$A,A76),0)</f>
        <v>0.00595985989881581</v>
      </c>
      <c r="J76" s="20" t="n">
        <v>0</v>
      </c>
      <c r="K76" s="17"/>
    </row>
    <row r="77" customFormat="false" ht="15" hidden="false" customHeight="false" outlineLevel="0" collapsed="false">
      <c r="A77" s="17" t="s">
        <v>17</v>
      </c>
      <c r="B77" s="17" t="s">
        <v>165</v>
      </c>
      <c r="C77" s="17" t="s">
        <v>64</v>
      </c>
      <c r="D77" s="17" t="s">
        <v>79</v>
      </c>
      <c r="E77" s="17" t="s">
        <v>66</v>
      </c>
      <c r="F77" s="19" t="n">
        <v>4.75</v>
      </c>
      <c r="G77" s="19" t="n">
        <v>10.83</v>
      </c>
      <c r="H77" s="9" t="n">
        <f aca="false">F77+G77</f>
        <v>15.58</v>
      </c>
      <c r="I77" s="8" t="n">
        <f aca="false">IFERROR(F77/SUMIFS($F:$F,$A:$A,A77),0)</f>
        <v>0.00528159226107744</v>
      </c>
      <c r="J77" s="20" t="n">
        <v>3</v>
      </c>
      <c r="K77" s="17"/>
    </row>
    <row r="78" customFormat="false" ht="15" hidden="false" customHeight="false" outlineLevel="0" collapsed="false">
      <c r="A78" s="17" t="s">
        <v>17</v>
      </c>
      <c r="B78" s="17" t="s">
        <v>166</v>
      </c>
      <c r="C78" s="17" t="s">
        <v>62</v>
      </c>
      <c r="D78" s="17" t="s">
        <v>79</v>
      </c>
      <c r="E78" s="17" t="s">
        <v>66</v>
      </c>
      <c r="F78" s="19" t="n">
        <v>4.45</v>
      </c>
      <c r="G78" s="19" t="n">
        <v>0.02</v>
      </c>
      <c r="H78" s="9" t="n">
        <f aca="false">F78+G78</f>
        <v>4.47</v>
      </c>
      <c r="I78" s="8" t="n">
        <f aca="false">IFERROR(F78/SUMIFS($F:$F,$A:$A,A78),0)</f>
        <v>0.0049480180130094</v>
      </c>
      <c r="J78" s="20" t="n">
        <v>4</v>
      </c>
      <c r="K78" s="17"/>
    </row>
    <row r="79" customFormat="false" ht="15" hidden="false" customHeight="false" outlineLevel="0" collapsed="false">
      <c r="A79" s="17" t="s">
        <v>17</v>
      </c>
      <c r="B79" s="17" t="s">
        <v>167</v>
      </c>
      <c r="C79" s="17" t="s">
        <v>64</v>
      </c>
      <c r="D79" s="17" t="s">
        <v>79</v>
      </c>
      <c r="E79" s="17" t="s">
        <v>66</v>
      </c>
      <c r="F79" s="19" t="n">
        <v>4.4</v>
      </c>
      <c r="G79" s="19" t="n">
        <v>0</v>
      </c>
      <c r="H79" s="9" t="n">
        <f aca="false">F79+G79</f>
        <v>4.4</v>
      </c>
      <c r="I79" s="8" t="n">
        <f aca="false">IFERROR(F79/SUMIFS($F:$F,$A:$A,A79),0)</f>
        <v>0.00489242230499805</v>
      </c>
      <c r="J79" s="20" t="n">
        <v>1</v>
      </c>
      <c r="K79" s="17"/>
    </row>
    <row r="80" customFormat="false" ht="15" hidden="false" customHeight="false" outlineLevel="0" collapsed="false">
      <c r="A80" s="17" t="s">
        <v>17</v>
      </c>
      <c r="B80" s="17" t="s">
        <v>168</v>
      </c>
      <c r="C80" s="17" t="s">
        <v>69</v>
      </c>
      <c r="D80" s="17" t="s">
        <v>133</v>
      </c>
      <c r="E80" s="18" t="s">
        <v>60</v>
      </c>
      <c r="F80" s="19" t="n">
        <v>4.38</v>
      </c>
      <c r="G80" s="19" t="n">
        <v>0</v>
      </c>
      <c r="H80" s="9" t="n">
        <f aca="false">F80+G80</f>
        <v>4.38</v>
      </c>
      <c r="I80" s="8" t="n">
        <f aca="false">IFERROR(F80/SUMIFS($F:$F,$A:$A,A80),0)</f>
        <v>0.00487018402179352</v>
      </c>
      <c r="J80" s="20" t="n">
        <v>1</v>
      </c>
      <c r="K80" s="17"/>
    </row>
    <row r="81" customFormat="false" ht="15" hidden="false" customHeight="false" outlineLevel="0" collapsed="false">
      <c r="A81" s="17" t="s">
        <v>17</v>
      </c>
      <c r="B81" s="17" t="s">
        <v>169</v>
      </c>
      <c r="C81" s="17" t="s">
        <v>62</v>
      </c>
      <c r="D81" s="17" t="s">
        <v>170</v>
      </c>
      <c r="E81" s="17" t="s">
        <v>66</v>
      </c>
      <c r="F81" s="19" t="n">
        <v>4.32</v>
      </c>
      <c r="G81" s="19" t="n">
        <v>0</v>
      </c>
      <c r="H81" s="9" t="n">
        <f aca="false">F81+G81</f>
        <v>4.32</v>
      </c>
      <c r="I81" s="8" t="n">
        <f aca="false">IFERROR(F81/SUMIFS($F:$F,$A:$A,A81),0)</f>
        <v>0.00480346917217991</v>
      </c>
      <c r="J81" s="20" t="n">
        <v>2</v>
      </c>
      <c r="K81" s="17"/>
    </row>
    <row r="82" customFormat="false" ht="15" hidden="false" customHeight="false" outlineLevel="0" collapsed="false">
      <c r="A82" s="17" t="s">
        <v>17</v>
      </c>
      <c r="B82" s="17" t="s">
        <v>171</v>
      </c>
      <c r="C82" s="17" t="s">
        <v>62</v>
      </c>
      <c r="D82" s="17" t="s">
        <v>155</v>
      </c>
      <c r="E82" s="17" t="s">
        <v>66</v>
      </c>
      <c r="F82" s="19" t="n">
        <v>3.45</v>
      </c>
      <c r="G82" s="19" t="n">
        <v>0</v>
      </c>
      <c r="H82" s="9" t="n">
        <f aca="false">F82+G82</f>
        <v>3.45</v>
      </c>
      <c r="I82" s="8" t="n">
        <f aca="false">IFERROR(F82/SUMIFS($F:$F,$A:$A,A82),0)</f>
        <v>0.00383610385278257</v>
      </c>
      <c r="J82" s="20" t="n">
        <v>1</v>
      </c>
      <c r="K82" s="17"/>
    </row>
    <row r="83" customFormat="false" ht="15" hidden="false" customHeight="false" outlineLevel="0" collapsed="false">
      <c r="A83" s="17" t="s">
        <v>17</v>
      </c>
      <c r="B83" s="17" t="s">
        <v>172</v>
      </c>
      <c r="C83" s="17" t="s">
        <v>62</v>
      </c>
      <c r="D83" s="17" t="s">
        <v>161</v>
      </c>
      <c r="E83" s="17" t="s">
        <v>66</v>
      </c>
      <c r="F83" s="19" t="n">
        <v>3.34</v>
      </c>
      <c r="G83" s="19" t="n">
        <v>0.03</v>
      </c>
      <c r="H83" s="9" t="n">
        <f aca="false">F83+G83</f>
        <v>3.37</v>
      </c>
      <c r="I83" s="8" t="n">
        <f aca="false">IFERROR(F83/SUMIFS($F:$F,$A:$A,A83),0)</f>
        <v>0.00371379329515761</v>
      </c>
      <c r="J83" s="20" t="n">
        <v>4</v>
      </c>
      <c r="K83" s="17"/>
    </row>
    <row r="84" customFormat="false" ht="15" hidden="false" customHeight="false" outlineLevel="0" collapsed="false">
      <c r="A84" s="17" t="s">
        <v>17</v>
      </c>
      <c r="B84" s="17" t="s">
        <v>173</v>
      </c>
      <c r="C84" s="17" t="s">
        <v>58</v>
      </c>
      <c r="D84" s="17" t="s">
        <v>161</v>
      </c>
      <c r="E84" s="17" t="s">
        <v>66</v>
      </c>
      <c r="F84" s="19" t="n">
        <v>3</v>
      </c>
      <c r="G84" s="19" t="n">
        <v>0</v>
      </c>
      <c r="H84" s="9" t="n">
        <f aca="false">F84+G84</f>
        <v>3</v>
      </c>
      <c r="I84" s="8" t="n">
        <f aca="false">IFERROR(F84/SUMIFS($F:$F,$A:$A,A84),0)</f>
        <v>0.00333574248068049</v>
      </c>
      <c r="J84" s="20" t="n">
        <v>7</v>
      </c>
      <c r="K84" s="17"/>
    </row>
    <row r="85" customFormat="false" ht="15" hidden="false" customHeight="false" outlineLevel="0" collapsed="false">
      <c r="A85" s="17" t="s">
        <v>17</v>
      </c>
      <c r="B85" s="17" t="s">
        <v>174</v>
      </c>
      <c r="C85" s="17" t="s">
        <v>69</v>
      </c>
      <c r="D85" s="17" t="s">
        <v>151</v>
      </c>
      <c r="E85" s="17" t="s">
        <v>66</v>
      </c>
      <c r="F85" s="19" t="n">
        <v>2.8</v>
      </c>
      <c r="G85" s="19" t="n">
        <v>0</v>
      </c>
      <c r="H85" s="9" t="n">
        <f aca="false">F85+G85</f>
        <v>2.8</v>
      </c>
      <c r="I85" s="8" t="n">
        <f aca="false">IFERROR(F85/SUMIFS($F:$F,$A:$A,A85),0)</f>
        <v>0.00311335964863513</v>
      </c>
      <c r="J85" s="20" t="n">
        <v>0</v>
      </c>
      <c r="K85" s="17"/>
    </row>
    <row r="86" customFormat="false" ht="15" hidden="false" customHeight="false" outlineLevel="0" collapsed="false">
      <c r="A86" s="17" t="s">
        <v>17</v>
      </c>
      <c r="B86" s="17" t="s">
        <v>175</v>
      </c>
      <c r="C86" s="17" t="s">
        <v>69</v>
      </c>
      <c r="D86" s="17" t="s">
        <v>176</v>
      </c>
      <c r="E86" s="17" t="s">
        <v>66</v>
      </c>
      <c r="F86" s="19" t="n">
        <v>2.78</v>
      </c>
      <c r="G86" s="19" t="n">
        <v>0</v>
      </c>
      <c r="H86" s="9" t="n">
        <f aca="false">F86+G86</f>
        <v>2.78</v>
      </c>
      <c r="I86" s="8" t="n">
        <f aca="false">IFERROR(F86/SUMIFS($F:$F,$A:$A,A86),0)</f>
        <v>0.00309112136543059</v>
      </c>
      <c r="J86" s="20" t="n">
        <v>2</v>
      </c>
      <c r="K86" s="17"/>
    </row>
    <row r="87" customFormat="false" ht="15" hidden="false" customHeight="false" outlineLevel="0" collapsed="false">
      <c r="A87" s="17" t="s">
        <v>17</v>
      </c>
      <c r="B87" s="17" t="s">
        <v>177</v>
      </c>
      <c r="C87" s="17" t="s">
        <v>69</v>
      </c>
      <c r="D87" s="17" t="s">
        <v>178</v>
      </c>
      <c r="E87" s="17" t="s">
        <v>66</v>
      </c>
      <c r="F87" s="19" t="n">
        <v>2.64</v>
      </c>
      <c r="G87" s="19" t="n">
        <v>0</v>
      </c>
      <c r="H87" s="9" t="n">
        <f aca="false">F87+G87</f>
        <v>2.64</v>
      </c>
      <c r="I87" s="8" t="n">
        <f aca="false">IFERROR(F87/SUMIFS($F:$F,$A:$A,A87),0)</f>
        <v>0.00293545338299883</v>
      </c>
      <c r="J87" s="20" t="n">
        <v>0</v>
      </c>
      <c r="K87" s="17"/>
    </row>
    <row r="88" customFormat="false" ht="15" hidden="false" customHeight="false" outlineLevel="0" collapsed="false">
      <c r="A88" s="17" t="s">
        <v>17</v>
      </c>
      <c r="B88" s="17" t="s">
        <v>179</v>
      </c>
      <c r="C88" s="17" t="s">
        <v>69</v>
      </c>
      <c r="D88" s="17" t="s">
        <v>157</v>
      </c>
      <c r="E88" s="17" t="s">
        <v>66</v>
      </c>
      <c r="F88" s="19" t="n">
        <v>2.3</v>
      </c>
      <c r="G88" s="19" t="n">
        <v>0</v>
      </c>
      <c r="H88" s="9" t="n">
        <f aca="false">F88+G88</f>
        <v>2.3</v>
      </c>
      <c r="I88" s="8" t="n">
        <f aca="false">IFERROR(F88/SUMIFS($F:$F,$A:$A,A88),0)</f>
        <v>0.00255740256852171</v>
      </c>
      <c r="J88" s="20" t="n">
        <v>2</v>
      </c>
      <c r="K88" s="17"/>
    </row>
    <row r="89" customFormat="false" ht="15" hidden="false" customHeight="false" outlineLevel="0" collapsed="false">
      <c r="A89" s="17" t="s">
        <v>17</v>
      </c>
      <c r="B89" s="17" t="s">
        <v>180</v>
      </c>
      <c r="C89" s="17" t="s">
        <v>64</v>
      </c>
      <c r="D89" s="17" t="s">
        <v>90</v>
      </c>
      <c r="E89" s="17" t="s">
        <v>66</v>
      </c>
      <c r="F89" s="19" t="n">
        <v>2.3</v>
      </c>
      <c r="G89" s="19" t="n">
        <v>0</v>
      </c>
      <c r="H89" s="9" t="n">
        <f aca="false">F89+G89</f>
        <v>2.3</v>
      </c>
      <c r="I89" s="8" t="n">
        <f aca="false">IFERROR(F89/SUMIFS($F:$F,$A:$A,A89),0)</f>
        <v>0.00255740256852171</v>
      </c>
      <c r="J89" s="20" t="n">
        <v>2</v>
      </c>
      <c r="K89" s="17"/>
    </row>
    <row r="90" customFormat="false" ht="15" hidden="false" customHeight="false" outlineLevel="0" collapsed="false">
      <c r="A90" s="17" t="s">
        <v>17</v>
      </c>
      <c r="B90" s="17" t="s">
        <v>181</v>
      </c>
      <c r="C90" s="17" t="s">
        <v>58</v>
      </c>
      <c r="D90" s="17" t="s">
        <v>145</v>
      </c>
      <c r="E90" s="17" t="s">
        <v>66</v>
      </c>
      <c r="F90" s="19" t="n">
        <v>2.27</v>
      </c>
      <c r="G90" s="19" t="n">
        <v>0</v>
      </c>
      <c r="H90" s="9" t="n">
        <f aca="false">F90+G90</f>
        <v>2.27</v>
      </c>
      <c r="I90" s="8" t="n">
        <f aca="false">IFERROR(F90/SUMIFS($F:$F,$A:$A,A90),0)</f>
        <v>0.00252404514371491</v>
      </c>
      <c r="J90" s="20" t="n">
        <v>5</v>
      </c>
      <c r="K90" s="17"/>
    </row>
    <row r="91" customFormat="false" ht="15" hidden="false" customHeight="false" outlineLevel="0" collapsed="false">
      <c r="A91" s="17" t="s">
        <v>17</v>
      </c>
      <c r="B91" s="17" t="s">
        <v>182</v>
      </c>
      <c r="C91" s="17" t="s">
        <v>69</v>
      </c>
      <c r="D91" s="17" t="s">
        <v>161</v>
      </c>
      <c r="E91" s="17" t="s">
        <v>66</v>
      </c>
      <c r="F91" s="19" t="n">
        <v>1.99</v>
      </c>
      <c r="G91" s="19" t="n">
        <v>0</v>
      </c>
      <c r="H91" s="9" t="n">
        <f aca="false">F91+G91</f>
        <v>1.99</v>
      </c>
      <c r="I91" s="8" t="n">
        <f aca="false">IFERROR(F91/SUMIFS($F:$F,$A:$A,A91),0)</f>
        <v>0.00221270917885139</v>
      </c>
      <c r="J91" s="20" t="n">
        <v>0</v>
      </c>
      <c r="K91" s="17"/>
    </row>
    <row r="92" customFormat="false" ht="15" hidden="false" customHeight="false" outlineLevel="0" collapsed="false">
      <c r="A92" s="17" t="s">
        <v>17</v>
      </c>
      <c r="B92" s="17" t="s">
        <v>183</v>
      </c>
      <c r="C92" s="17" t="s">
        <v>69</v>
      </c>
      <c r="D92" s="17" t="s">
        <v>90</v>
      </c>
      <c r="E92" s="17" t="s">
        <v>66</v>
      </c>
      <c r="F92" s="19" t="n">
        <v>1.84</v>
      </c>
      <c r="G92" s="19" t="n">
        <v>0</v>
      </c>
      <c r="H92" s="9" t="n">
        <f aca="false">F92+G92</f>
        <v>1.84</v>
      </c>
      <c r="I92" s="8" t="n">
        <f aca="false">IFERROR(F92/SUMIFS($F:$F,$A:$A,A92),0)</f>
        <v>0.00204592205481737</v>
      </c>
      <c r="J92" s="20" t="n">
        <v>0</v>
      </c>
      <c r="K92" s="17"/>
    </row>
    <row r="93" customFormat="false" ht="15" hidden="false" customHeight="false" outlineLevel="0" collapsed="false">
      <c r="A93" s="17" t="s">
        <v>17</v>
      </c>
      <c r="B93" s="17" t="s">
        <v>184</v>
      </c>
      <c r="C93" s="17" t="s">
        <v>58</v>
      </c>
      <c r="D93" s="17" t="s">
        <v>185</v>
      </c>
      <c r="E93" s="17" t="s">
        <v>66</v>
      </c>
      <c r="F93" s="19" t="n">
        <v>1.5</v>
      </c>
      <c r="G93" s="19" t="n">
        <v>0</v>
      </c>
      <c r="H93" s="9" t="n">
        <f aca="false">F93+G93</f>
        <v>1.5</v>
      </c>
      <c r="I93" s="8" t="n">
        <f aca="false">IFERROR(F93/SUMIFS($F:$F,$A:$A,A93),0)</f>
        <v>0.00166787124034025</v>
      </c>
      <c r="J93" s="20" t="n">
        <v>2</v>
      </c>
      <c r="K93" s="17"/>
    </row>
    <row r="94" customFormat="false" ht="15" hidden="false" customHeight="false" outlineLevel="0" collapsed="false">
      <c r="A94" s="17" t="s">
        <v>17</v>
      </c>
      <c r="B94" s="17" t="s">
        <v>186</v>
      </c>
      <c r="C94" s="17" t="s">
        <v>64</v>
      </c>
      <c r="D94" s="17" t="s">
        <v>153</v>
      </c>
      <c r="E94" s="17" t="s">
        <v>66</v>
      </c>
      <c r="F94" s="19" t="n">
        <v>1.48</v>
      </c>
      <c r="G94" s="19" t="n">
        <v>0</v>
      </c>
      <c r="H94" s="9" t="n">
        <f aca="false">F94+G94</f>
        <v>1.48</v>
      </c>
      <c r="I94" s="8" t="n">
        <f aca="false">IFERROR(F94/SUMIFS($F:$F,$A:$A,A94),0)</f>
        <v>0.00164563295713571</v>
      </c>
      <c r="J94" s="20" t="n">
        <v>2</v>
      </c>
      <c r="K94" s="17"/>
    </row>
    <row r="95" customFormat="false" ht="15" hidden="false" customHeight="false" outlineLevel="0" collapsed="false">
      <c r="A95" s="17" t="s">
        <v>17</v>
      </c>
      <c r="B95" s="17" t="s">
        <v>187</v>
      </c>
      <c r="C95" s="17" t="s">
        <v>62</v>
      </c>
      <c r="D95" s="17" t="s">
        <v>145</v>
      </c>
      <c r="E95" s="17" t="s">
        <v>66</v>
      </c>
      <c r="F95" s="19" t="n">
        <v>1.48</v>
      </c>
      <c r="G95" s="19" t="n">
        <v>0</v>
      </c>
      <c r="H95" s="9" t="n">
        <f aca="false">F95+G95</f>
        <v>1.48</v>
      </c>
      <c r="I95" s="8" t="n">
        <f aca="false">IFERROR(F95/SUMIFS($F:$F,$A:$A,A95),0)</f>
        <v>0.00164563295713571</v>
      </c>
      <c r="J95" s="20" t="n">
        <v>6</v>
      </c>
      <c r="K95" s="17"/>
    </row>
    <row r="96" customFormat="false" ht="15" hidden="false" customHeight="false" outlineLevel="0" collapsed="false">
      <c r="A96" s="17" t="s">
        <v>17</v>
      </c>
      <c r="B96" s="17" t="s">
        <v>188</v>
      </c>
      <c r="C96" s="17" t="s">
        <v>69</v>
      </c>
      <c r="D96" s="17" t="s">
        <v>189</v>
      </c>
      <c r="E96" s="17" t="s">
        <v>66</v>
      </c>
      <c r="F96" s="19" t="n">
        <v>1.47</v>
      </c>
      <c r="G96" s="19" t="n">
        <v>0</v>
      </c>
      <c r="H96" s="9" t="n">
        <f aca="false">F96+G96</f>
        <v>1.47</v>
      </c>
      <c r="I96" s="8" t="n">
        <f aca="false">IFERROR(F96/SUMIFS($F:$F,$A:$A,A96),0)</f>
        <v>0.00163451381553344</v>
      </c>
      <c r="J96" s="20" t="n">
        <v>0</v>
      </c>
      <c r="K96" s="17"/>
    </row>
  </sheetData>
  <autoFilter ref="A4:K9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9" min="6" style="0" width="14"/>
    <col collapsed="false" customWidth="true" hidden="false" outlineLevel="0" max="11" min="10" style="0" width="12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">
        <v>191</v>
      </c>
    </row>
    <row r="4" customFormat="false" ht="31.5" hidden="false" customHeight="true" outlineLevel="0" collapsed="false">
      <c r="A4" s="6" t="s">
        <v>5</v>
      </c>
      <c r="B4" s="6" t="s">
        <v>47</v>
      </c>
      <c r="C4" s="6" t="s">
        <v>48</v>
      </c>
      <c r="D4" s="6" t="s">
        <v>49</v>
      </c>
      <c r="E4" s="6" t="s">
        <v>50</v>
      </c>
      <c r="F4" s="6" t="s">
        <v>51</v>
      </c>
      <c r="G4" s="6" t="s">
        <v>192</v>
      </c>
      <c r="H4" s="6" t="s">
        <v>52</v>
      </c>
      <c r="I4" s="6" t="s">
        <v>53</v>
      </c>
      <c r="J4" s="6" t="s">
        <v>54</v>
      </c>
      <c r="K4" s="6" t="s">
        <v>55</v>
      </c>
      <c r="L4" s="6" t="s">
        <v>56</v>
      </c>
    </row>
    <row r="5" customFormat="false" ht="15" hidden="false" customHeight="false" outlineLevel="0" collapsed="false">
      <c r="A5" s="17" t="s">
        <v>15</v>
      </c>
      <c r="B5" s="17" t="s">
        <v>193</v>
      </c>
      <c r="C5" s="17" t="s">
        <v>58</v>
      </c>
      <c r="D5" s="17" t="s">
        <v>103</v>
      </c>
      <c r="E5" s="17" t="s">
        <v>66</v>
      </c>
      <c r="F5" s="19" t="n">
        <v>155.43</v>
      </c>
      <c r="G5" s="14" t="n">
        <f aca="false">F5/Summary!$C$4</f>
        <v>215.875</v>
      </c>
      <c r="H5" s="19" t="n">
        <v>0</v>
      </c>
      <c r="I5" s="9" t="n">
        <f aca="false">F5+H5</f>
        <v>155.43</v>
      </c>
      <c r="J5" s="8" t="n">
        <f aca="false">IFERROR(F5/SUMIFS($F:$F,$A:$A,A5),0)</f>
        <v>0.236990165434169</v>
      </c>
      <c r="K5" s="20" t="n">
        <v>4</v>
      </c>
      <c r="L5" s="17"/>
    </row>
    <row r="6" customFormat="false" ht="15" hidden="false" customHeight="false" outlineLevel="0" collapsed="false">
      <c r="A6" s="17" t="s">
        <v>15</v>
      </c>
      <c r="B6" s="17" t="s">
        <v>63</v>
      </c>
      <c r="C6" s="17" t="s">
        <v>64</v>
      </c>
      <c r="D6" s="17" t="s">
        <v>65</v>
      </c>
      <c r="E6" s="17" t="s">
        <v>66</v>
      </c>
      <c r="F6" s="19" t="n">
        <v>131.17</v>
      </c>
      <c r="G6" s="14" t="n">
        <f aca="false">F6/Summary!$C$4</f>
        <v>182.180555555556</v>
      </c>
      <c r="H6" s="19" t="n">
        <v>0</v>
      </c>
      <c r="I6" s="9" t="n">
        <f aca="false">F6+H6</f>
        <v>131.17</v>
      </c>
      <c r="J6" s="8" t="n">
        <f aca="false">IFERROR(F6/SUMIFS($F:$F,$A:$A,A6),0)</f>
        <v>0.2</v>
      </c>
      <c r="K6" s="20" t="n">
        <v>3</v>
      </c>
      <c r="L6" s="17"/>
    </row>
    <row r="7" customFormat="false" ht="15" hidden="false" customHeight="false" outlineLevel="0" collapsed="false">
      <c r="A7" s="17" t="s">
        <v>15</v>
      </c>
      <c r="B7" s="17" t="s">
        <v>86</v>
      </c>
      <c r="C7" s="17" t="s">
        <v>62</v>
      </c>
      <c r="D7" s="17" t="s">
        <v>65</v>
      </c>
      <c r="E7" s="17" t="s">
        <v>66</v>
      </c>
      <c r="F7" s="19" t="n">
        <v>108.2</v>
      </c>
      <c r="G7" s="14" t="n">
        <f aca="false">F7/Summary!$C$4</f>
        <v>150.277777777778</v>
      </c>
      <c r="H7" s="19" t="n">
        <v>0</v>
      </c>
      <c r="I7" s="9" t="n">
        <f aca="false">F7+H7</f>
        <v>108.2</v>
      </c>
      <c r="J7" s="8" t="n">
        <f aca="false">IFERROR(F7/SUMIFS($F:$F,$A:$A,A7),0)</f>
        <v>0.164976747731951</v>
      </c>
      <c r="K7" s="20" t="n">
        <v>9</v>
      </c>
      <c r="L7" s="17"/>
    </row>
    <row r="8" customFormat="false" ht="15" hidden="false" customHeight="false" outlineLevel="0" collapsed="false">
      <c r="A8" s="17" t="s">
        <v>15</v>
      </c>
      <c r="B8" s="17" t="s">
        <v>194</v>
      </c>
      <c r="C8" s="17" t="s">
        <v>62</v>
      </c>
      <c r="D8" s="17" t="s">
        <v>103</v>
      </c>
      <c r="E8" s="17" t="s">
        <v>66</v>
      </c>
      <c r="F8" s="19" t="n">
        <v>50.78</v>
      </c>
      <c r="G8" s="14" t="n">
        <f aca="false">F8/Summary!$C$4</f>
        <v>70.5277777777778</v>
      </c>
      <c r="H8" s="19" t="n">
        <v>0</v>
      </c>
      <c r="I8" s="9" t="n">
        <f aca="false">F8+H8</f>
        <v>50.78</v>
      </c>
      <c r="J8" s="8" t="n">
        <f aca="false">IFERROR(F8/SUMIFS($F:$F,$A:$A,A8),0)</f>
        <v>0.0774262407562705</v>
      </c>
      <c r="K8" s="20" t="n">
        <v>9</v>
      </c>
      <c r="L8" s="17"/>
    </row>
    <row r="9" customFormat="false" ht="15" hidden="false" customHeight="false" outlineLevel="0" collapsed="false">
      <c r="A9" s="17" t="s">
        <v>15</v>
      </c>
      <c r="B9" s="17" t="s">
        <v>92</v>
      </c>
      <c r="C9" s="17" t="s">
        <v>64</v>
      </c>
      <c r="D9" s="17" t="s">
        <v>93</v>
      </c>
      <c r="E9" s="17" t="s">
        <v>66</v>
      </c>
      <c r="F9" s="19" t="n">
        <v>47.55</v>
      </c>
      <c r="G9" s="14" t="n">
        <f aca="false">F9/Summary!$C$4</f>
        <v>66.0416666666667</v>
      </c>
      <c r="H9" s="19" t="n">
        <v>0</v>
      </c>
      <c r="I9" s="9" t="n">
        <f aca="false">F9+H9</f>
        <v>47.55</v>
      </c>
      <c r="J9" s="8" t="n">
        <f aca="false">IFERROR(F9/SUMIFS($F:$F,$A:$A,A9),0)</f>
        <v>0.0725013341465274</v>
      </c>
      <c r="K9" s="20" t="n">
        <v>1</v>
      </c>
      <c r="L9" s="17"/>
    </row>
    <row r="10" customFormat="false" ht="15" hidden="false" customHeight="false" outlineLevel="0" collapsed="false">
      <c r="A10" s="17" t="s">
        <v>15</v>
      </c>
      <c r="B10" s="17" t="s">
        <v>195</v>
      </c>
      <c r="C10" s="17" t="s">
        <v>98</v>
      </c>
      <c r="D10" s="17" t="s">
        <v>101</v>
      </c>
      <c r="E10" s="17" t="s">
        <v>66</v>
      </c>
      <c r="F10" s="19" t="n">
        <v>28.38</v>
      </c>
      <c r="G10" s="14" t="n">
        <f aca="false">F10/Summary!$C$4</f>
        <v>39.4166666666667</v>
      </c>
      <c r="H10" s="19" t="n">
        <v>17.18</v>
      </c>
      <c r="I10" s="9" t="n">
        <f aca="false">F10+H10</f>
        <v>45.56</v>
      </c>
      <c r="J10" s="8" t="n">
        <f aca="false">IFERROR(F10/SUMIFS($F:$F,$A:$A,A10),0)</f>
        <v>0.0432720896546466</v>
      </c>
      <c r="K10" s="20" t="n">
        <v>1</v>
      </c>
      <c r="L10" s="17"/>
    </row>
    <row r="11" customFormat="false" ht="15" hidden="false" customHeight="false" outlineLevel="0" collapsed="false">
      <c r="A11" s="17" t="s">
        <v>15</v>
      </c>
      <c r="B11" s="17" t="s">
        <v>83</v>
      </c>
      <c r="C11" s="17" t="s">
        <v>58</v>
      </c>
      <c r="D11" s="17" t="s">
        <v>84</v>
      </c>
      <c r="E11" s="17" t="s">
        <v>66</v>
      </c>
      <c r="F11" s="19" t="n">
        <v>16.42</v>
      </c>
      <c r="G11" s="14" t="n">
        <f aca="false">F11/Summary!$C$4</f>
        <v>22.8055555555556</v>
      </c>
      <c r="H11" s="19" t="n">
        <v>0</v>
      </c>
      <c r="I11" s="9" t="n">
        <f aca="false">F11+H11</f>
        <v>16.42</v>
      </c>
      <c r="J11" s="8" t="n">
        <f aca="false">IFERROR(F11/SUMIFS($F:$F,$A:$A,A11),0)</f>
        <v>0.0250362125486011</v>
      </c>
      <c r="K11" s="20" t="n">
        <v>9</v>
      </c>
      <c r="L11" s="17"/>
    </row>
    <row r="12" customFormat="false" ht="15" hidden="false" customHeight="false" outlineLevel="0" collapsed="false">
      <c r="A12" s="17" t="s">
        <v>15</v>
      </c>
      <c r="B12" s="17" t="s">
        <v>72</v>
      </c>
      <c r="C12" s="17" t="s">
        <v>62</v>
      </c>
      <c r="D12" s="17" t="s">
        <v>73</v>
      </c>
      <c r="E12" s="17" t="s">
        <v>66</v>
      </c>
      <c r="F12" s="19" t="n">
        <v>15.4</v>
      </c>
      <c r="G12" s="14" t="n">
        <f aca="false">F12/Summary!$C$4</f>
        <v>21.3888888888889</v>
      </c>
      <c r="H12" s="19" t="n">
        <v>0</v>
      </c>
      <c r="I12" s="9" t="n">
        <f aca="false">F12+H12</f>
        <v>15.4</v>
      </c>
      <c r="J12" s="8" t="n">
        <f aca="false">IFERROR(F12/SUMIFS($F:$F,$A:$A,A12),0)</f>
        <v>0.0234809788823664</v>
      </c>
      <c r="K12" s="20" t="n">
        <v>7</v>
      </c>
      <c r="L12" s="17"/>
    </row>
    <row r="13" customFormat="false" ht="15" hidden="false" customHeight="false" outlineLevel="0" collapsed="false">
      <c r="A13" s="17" t="s">
        <v>15</v>
      </c>
      <c r="B13" s="17" t="s">
        <v>78</v>
      </c>
      <c r="C13" s="17" t="s">
        <v>64</v>
      </c>
      <c r="D13" s="17" t="s">
        <v>79</v>
      </c>
      <c r="E13" s="17" t="s">
        <v>66</v>
      </c>
      <c r="F13" s="19" t="n">
        <v>9.32</v>
      </c>
      <c r="G13" s="14" t="n">
        <f aca="false">F13/Summary!$C$4</f>
        <v>12.9444444444444</v>
      </c>
      <c r="H13" s="19" t="n">
        <v>0</v>
      </c>
      <c r="I13" s="9" t="n">
        <f aca="false">F13+H13</f>
        <v>9.32</v>
      </c>
      <c r="J13" s="8" t="n">
        <f aca="false">IFERROR(F13/SUMIFS($F:$F,$A:$A,A13),0)</f>
        <v>0.0142105664404971</v>
      </c>
      <c r="K13" s="20" t="n">
        <v>2</v>
      </c>
      <c r="L13" s="17"/>
    </row>
    <row r="14" customFormat="false" ht="15" hidden="false" customHeight="false" outlineLevel="0" collapsed="false">
      <c r="A14" s="17" t="s">
        <v>15</v>
      </c>
      <c r="B14" s="17" t="s">
        <v>85</v>
      </c>
      <c r="C14" s="17" t="s">
        <v>62</v>
      </c>
      <c r="D14" s="17" t="s">
        <v>84</v>
      </c>
      <c r="E14" s="17" t="s">
        <v>66</v>
      </c>
      <c r="F14" s="19" t="n">
        <v>8.99</v>
      </c>
      <c r="G14" s="14" t="n">
        <f aca="false">F14/Summary!$C$4</f>
        <v>12.4861111111111</v>
      </c>
      <c r="H14" s="19" t="n">
        <v>0</v>
      </c>
      <c r="I14" s="9" t="n">
        <f aca="false">F14+H14</f>
        <v>8.99</v>
      </c>
      <c r="J14" s="8" t="n">
        <f aca="false">IFERROR(F14/SUMIFS($F:$F,$A:$A,A14),0)</f>
        <v>0.0137074026073035</v>
      </c>
      <c r="K14" s="20" t="n">
        <v>6</v>
      </c>
      <c r="L14" s="17"/>
    </row>
    <row r="15" customFormat="false" ht="15" hidden="false" customHeight="false" outlineLevel="0" collapsed="false">
      <c r="A15" s="17" t="s">
        <v>15</v>
      </c>
      <c r="B15" s="17" t="s">
        <v>196</v>
      </c>
      <c r="C15" s="17" t="s">
        <v>98</v>
      </c>
      <c r="D15" s="17" t="s">
        <v>73</v>
      </c>
      <c r="E15" s="17" t="s">
        <v>66</v>
      </c>
      <c r="F15" s="19" t="n">
        <v>8.25</v>
      </c>
      <c r="G15" s="14" t="n">
        <f aca="false">F15/Summary!$C$4</f>
        <v>11.4583333333333</v>
      </c>
      <c r="H15" s="19" t="n">
        <v>0</v>
      </c>
      <c r="I15" s="9" t="n">
        <f aca="false">F15+H15</f>
        <v>8.25</v>
      </c>
      <c r="J15" s="8" t="n">
        <f aca="false">IFERROR(F15/SUMIFS($F:$F,$A:$A,A15),0)</f>
        <v>0.0125790958298391</v>
      </c>
      <c r="K15" s="20" t="n">
        <v>0</v>
      </c>
      <c r="L15" s="17"/>
    </row>
    <row r="16" customFormat="false" ht="15" hidden="false" customHeight="false" outlineLevel="0" collapsed="false">
      <c r="A16" s="17" t="s">
        <v>15</v>
      </c>
      <c r="B16" s="17" t="s">
        <v>197</v>
      </c>
      <c r="C16" s="17" t="s">
        <v>98</v>
      </c>
      <c r="D16" s="17" t="s">
        <v>70</v>
      </c>
      <c r="E16" s="17" t="s">
        <v>66</v>
      </c>
      <c r="F16" s="19" t="n">
        <v>7.77</v>
      </c>
      <c r="G16" s="14" t="n">
        <f aca="false">F16/Summary!$C$4</f>
        <v>10.7916666666667</v>
      </c>
      <c r="H16" s="19" t="n">
        <v>0</v>
      </c>
      <c r="I16" s="9" t="n">
        <f aca="false">F16+H16</f>
        <v>7.77</v>
      </c>
      <c r="J16" s="8" t="n">
        <f aca="false">IFERROR(F16/SUMIFS($F:$F,$A:$A,A16),0)</f>
        <v>0.0118472211633758</v>
      </c>
      <c r="K16" s="20" t="n">
        <v>1</v>
      </c>
      <c r="L16" s="17"/>
    </row>
    <row r="17" customFormat="false" ht="15" hidden="false" customHeight="false" outlineLevel="0" collapsed="false">
      <c r="A17" s="17" t="s">
        <v>15</v>
      </c>
      <c r="B17" s="17" t="s">
        <v>80</v>
      </c>
      <c r="C17" s="17" t="s">
        <v>69</v>
      </c>
      <c r="D17" s="17" t="s">
        <v>81</v>
      </c>
      <c r="E17" s="17" t="s">
        <v>66</v>
      </c>
      <c r="F17" s="19" t="n">
        <v>6.45</v>
      </c>
      <c r="G17" s="14" t="n">
        <f aca="false">F17/Summary!$C$4</f>
        <v>8.95833333333333</v>
      </c>
      <c r="H17" s="19" t="n">
        <v>0</v>
      </c>
      <c r="I17" s="9" t="n">
        <f aca="false">F17+H17</f>
        <v>6.45</v>
      </c>
      <c r="J17" s="8" t="n">
        <f aca="false">IFERROR(F17/SUMIFS($F:$F,$A:$A,A17),0)</f>
        <v>0.00983456583060151</v>
      </c>
      <c r="K17" s="20" t="n">
        <v>2</v>
      </c>
      <c r="L17" s="17"/>
    </row>
    <row r="18" customFormat="false" ht="15" hidden="false" customHeight="false" outlineLevel="0" collapsed="false">
      <c r="A18" s="17" t="s">
        <v>15</v>
      </c>
      <c r="B18" s="17" t="s">
        <v>57</v>
      </c>
      <c r="C18" s="17" t="s">
        <v>58</v>
      </c>
      <c r="D18" s="17" t="s">
        <v>59</v>
      </c>
      <c r="E18" s="18" t="s">
        <v>60</v>
      </c>
      <c r="F18" s="19" t="n">
        <v>5.91</v>
      </c>
      <c r="G18" s="14" t="n">
        <f aca="false">F18/Summary!$C$4</f>
        <v>8.20833333333333</v>
      </c>
      <c r="H18" s="19" t="n">
        <v>0</v>
      </c>
      <c r="I18" s="9" t="n">
        <f aca="false">F18+H18</f>
        <v>5.91</v>
      </c>
      <c r="J18" s="8" t="n">
        <f aca="false">IFERROR(F18/SUMIFS($F:$F,$A:$A,A18),0)</f>
        <v>0.00901120683083022</v>
      </c>
      <c r="K18" s="20" t="n">
        <v>10</v>
      </c>
      <c r="L18" s="17"/>
    </row>
    <row r="19" customFormat="false" ht="15" hidden="false" customHeight="false" outlineLevel="0" collapsed="false">
      <c r="A19" s="17" t="s">
        <v>15</v>
      </c>
      <c r="B19" s="17" t="s">
        <v>198</v>
      </c>
      <c r="C19" s="17" t="s">
        <v>58</v>
      </c>
      <c r="D19" s="17" t="s">
        <v>133</v>
      </c>
      <c r="E19" s="17" t="s">
        <v>66</v>
      </c>
      <c r="F19" s="19" t="n">
        <v>5.64</v>
      </c>
      <c r="G19" s="14" t="n">
        <f aca="false">F19/Summary!$C$4</f>
        <v>7.83333333333333</v>
      </c>
      <c r="H19" s="19" t="n">
        <v>0</v>
      </c>
      <c r="I19" s="9" t="n">
        <f aca="false">F19+H19</f>
        <v>5.64</v>
      </c>
      <c r="J19" s="8" t="n">
        <f aca="false">IFERROR(F19/SUMIFS($F:$F,$A:$A,A19),0)</f>
        <v>0.00859952733094458</v>
      </c>
      <c r="K19" s="20" t="n">
        <v>9</v>
      </c>
      <c r="L19" s="17"/>
    </row>
    <row r="20" customFormat="false" ht="15" hidden="false" customHeight="false" outlineLevel="0" collapsed="false">
      <c r="A20" s="17" t="s">
        <v>15</v>
      </c>
      <c r="B20" s="17" t="s">
        <v>75</v>
      </c>
      <c r="C20" s="17" t="s">
        <v>69</v>
      </c>
      <c r="D20" s="17" t="s">
        <v>76</v>
      </c>
      <c r="E20" s="17" t="s">
        <v>66</v>
      </c>
      <c r="F20" s="19" t="n">
        <v>4.78</v>
      </c>
      <c r="G20" s="14" t="n">
        <f aca="false">F20/Summary!$C$4</f>
        <v>6.63888888888889</v>
      </c>
      <c r="H20" s="19" t="n">
        <v>0</v>
      </c>
      <c r="I20" s="9" t="n">
        <f aca="false">F20+H20</f>
        <v>4.78</v>
      </c>
      <c r="J20" s="8" t="n">
        <f aca="false">IFERROR(F20/SUMIFS($F:$F,$A:$A,A20),0)</f>
        <v>0.00728825188686437</v>
      </c>
      <c r="K20" s="20" t="n">
        <v>2</v>
      </c>
      <c r="L20" s="17"/>
    </row>
    <row r="21" customFormat="false" ht="15" hidden="false" customHeight="false" outlineLevel="0" collapsed="false">
      <c r="A21" s="17" t="s">
        <v>15</v>
      </c>
      <c r="B21" s="17" t="s">
        <v>199</v>
      </c>
      <c r="C21" s="17" t="s">
        <v>64</v>
      </c>
      <c r="D21" s="17" t="s">
        <v>84</v>
      </c>
      <c r="E21" s="17" t="s">
        <v>66</v>
      </c>
      <c r="F21" s="19" t="n">
        <v>4.32</v>
      </c>
      <c r="G21" s="14" t="n">
        <f aca="false">F21/Summary!$C$4</f>
        <v>6</v>
      </c>
      <c r="H21" s="19" t="n">
        <v>0</v>
      </c>
      <c r="I21" s="9" t="n">
        <f aca="false">F21+H21</f>
        <v>4.32</v>
      </c>
      <c r="J21" s="8" t="n">
        <f aca="false">IFERROR(F21/SUMIFS($F:$F,$A:$A,A21),0)</f>
        <v>0.00658687199817031</v>
      </c>
      <c r="K21" s="20" t="n">
        <v>1</v>
      </c>
      <c r="L21" s="17"/>
    </row>
    <row r="22" customFormat="false" ht="15" hidden="false" customHeight="false" outlineLevel="0" collapsed="false">
      <c r="A22" s="17" t="s">
        <v>15</v>
      </c>
      <c r="B22" s="17" t="s">
        <v>200</v>
      </c>
      <c r="C22" s="17" t="s">
        <v>62</v>
      </c>
      <c r="D22" s="17" t="s">
        <v>70</v>
      </c>
      <c r="E22" s="17" t="s">
        <v>66</v>
      </c>
      <c r="F22" s="19" t="n">
        <v>4.05</v>
      </c>
      <c r="G22" s="14" t="n">
        <f aca="false">F22/Summary!$C$4</f>
        <v>5.625</v>
      </c>
      <c r="H22" s="19" t="n">
        <v>0</v>
      </c>
      <c r="I22" s="9" t="n">
        <f aca="false">F22+H22</f>
        <v>4.05</v>
      </c>
      <c r="J22" s="8" t="n">
        <f aca="false">IFERROR(F22/SUMIFS($F:$F,$A:$A,A22),0)</f>
        <v>0.00617519249828467</v>
      </c>
      <c r="K22" s="20" t="n">
        <v>3</v>
      </c>
      <c r="L22" s="17"/>
    </row>
    <row r="23" customFormat="false" ht="15" hidden="false" customHeight="false" outlineLevel="0" collapsed="false">
      <c r="A23" s="17" t="s">
        <v>15</v>
      </c>
      <c r="B23" s="17" t="s">
        <v>201</v>
      </c>
      <c r="C23" s="17" t="s">
        <v>58</v>
      </c>
      <c r="D23" s="17" t="s">
        <v>99</v>
      </c>
      <c r="E23" s="17" t="s">
        <v>66</v>
      </c>
      <c r="F23" s="19" t="n">
        <v>3.78</v>
      </c>
      <c r="G23" s="14" t="n">
        <f aca="false">F23/Summary!$C$4</f>
        <v>5.25</v>
      </c>
      <c r="H23" s="19" t="n">
        <v>0</v>
      </c>
      <c r="I23" s="9" t="n">
        <f aca="false">F23+H23</f>
        <v>3.78</v>
      </c>
      <c r="J23" s="8" t="n">
        <f aca="false">IFERROR(F23/SUMIFS($F:$F,$A:$A,A23),0)</f>
        <v>0.00576351299839902</v>
      </c>
      <c r="K23" s="20" t="n">
        <v>2</v>
      </c>
      <c r="L23" s="17"/>
    </row>
    <row r="24" customFormat="false" ht="15" hidden="false" customHeight="false" outlineLevel="0" collapsed="false">
      <c r="A24" s="17" t="s">
        <v>15</v>
      </c>
      <c r="B24" s="17" t="s">
        <v>202</v>
      </c>
      <c r="C24" s="17" t="s">
        <v>69</v>
      </c>
      <c r="D24" s="17" t="s">
        <v>90</v>
      </c>
      <c r="E24" s="17" t="s">
        <v>66</v>
      </c>
      <c r="F24" s="19" t="n">
        <v>3.73</v>
      </c>
      <c r="G24" s="14" t="n">
        <f aca="false">F24/Summary!$C$4</f>
        <v>5.18055555555556</v>
      </c>
      <c r="H24" s="19" t="n">
        <v>0</v>
      </c>
      <c r="I24" s="9" t="n">
        <f aca="false">F24+H24</f>
        <v>3.73</v>
      </c>
      <c r="J24" s="8" t="n">
        <f aca="false">IFERROR(F24/SUMIFS($F:$F,$A:$A,A24),0)</f>
        <v>0.00568727605397576</v>
      </c>
      <c r="K24" s="20" t="n">
        <v>0</v>
      </c>
      <c r="L24" s="17"/>
    </row>
    <row r="25" customFormat="false" ht="15" hidden="false" customHeight="false" outlineLevel="0" collapsed="false">
      <c r="A25" s="17" t="s">
        <v>15</v>
      </c>
      <c r="B25" s="17" t="s">
        <v>203</v>
      </c>
      <c r="C25" s="17" t="s">
        <v>62</v>
      </c>
      <c r="D25" s="17" t="s">
        <v>76</v>
      </c>
      <c r="E25" s="17" t="s">
        <v>66</v>
      </c>
      <c r="F25" s="19" t="n">
        <v>3.63</v>
      </c>
      <c r="G25" s="14" t="n">
        <f aca="false">F25/Summary!$C$4</f>
        <v>5.04166666666667</v>
      </c>
      <c r="H25" s="19" t="n">
        <v>0</v>
      </c>
      <c r="I25" s="9" t="n">
        <f aca="false">F25+H25</f>
        <v>3.63</v>
      </c>
      <c r="J25" s="8" t="n">
        <f aca="false">IFERROR(F25/SUMIFS($F:$F,$A:$A,A25),0)</f>
        <v>0.00553480216512922</v>
      </c>
      <c r="K25" s="20" t="n">
        <v>0</v>
      </c>
      <c r="L25" s="17"/>
    </row>
    <row r="26" customFormat="false" ht="15" hidden="false" customHeight="false" outlineLevel="0" collapsed="false">
      <c r="A26" s="17" t="s">
        <v>15</v>
      </c>
      <c r="B26" s="17" t="s">
        <v>87</v>
      </c>
      <c r="C26" s="17" t="s">
        <v>58</v>
      </c>
      <c r="D26" s="17" t="s">
        <v>76</v>
      </c>
      <c r="E26" s="17" t="s">
        <v>66</v>
      </c>
      <c r="F26" s="19" t="n">
        <v>3.59</v>
      </c>
      <c r="G26" s="14" t="n">
        <f aca="false">F26/Summary!$C$4</f>
        <v>4.98611111111111</v>
      </c>
      <c r="H26" s="19" t="n">
        <v>0</v>
      </c>
      <c r="I26" s="9" t="n">
        <f aca="false">F26+H26</f>
        <v>3.59</v>
      </c>
      <c r="J26" s="8" t="n">
        <f aca="false">IFERROR(F26/SUMIFS($F:$F,$A:$A,A26),0)</f>
        <v>0.00547381260959061</v>
      </c>
      <c r="K26" s="20" t="n">
        <v>7</v>
      </c>
      <c r="L26" s="17"/>
    </row>
    <row r="27" customFormat="false" ht="15" hidden="false" customHeight="false" outlineLevel="0" collapsed="false">
      <c r="A27" s="17" t="s">
        <v>15</v>
      </c>
      <c r="B27" s="17" t="s">
        <v>204</v>
      </c>
      <c r="C27" s="17" t="s">
        <v>58</v>
      </c>
      <c r="D27" s="17" t="s">
        <v>70</v>
      </c>
      <c r="E27" s="17" t="s">
        <v>66</v>
      </c>
      <c r="F27" s="19" t="n">
        <v>2.95</v>
      </c>
      <c r="G27" s="14" t="n">
        <f aca="false">F27/Summary!$C$4</f>
        <v>4.09722222222222</v>
      </c>
      <c r="H27" s="19" t="n">
        <v>0</v>
      </c>
      <c r="I27" s="9" t="n">
        <f aca="false">F27+H27</f>
        <v>2.95</v>
      </c>
      <c r="J27" s="8" t="n">
        <f aca="false">IFERROR(F27/SUMIFS($F:$F,$A:$A,A27),0)</f>
        <v>0.00449797972097278</v>
      </c>
      <c r="K27" s="20" t="n">
        <v>7</v>
      </c>
      <c r="L27" s="17"/>
    </row>
    <row r="28" customFormat="false" ht="15" hidden="false" customHeight="false" outlineLevel="0" collapsed="false">
      <c r="A28" s="17" t="s">
        <v>15</v>
      </c>
      <c r="B28" s="17" t="s">
        <v>107</v>
      </c>
      <c r="C28" s="17" t="s">
        <v>62</v>
      </c>
      <c r="D28" s="17" t="s">
        <v>79</v>
      </c>
      <c r="E28" s="17" t="s">
        <v>66</v>
      </c>
      <c r="F28" s="19" t="n">
        <v>2.95</v>
      </c>
      <c r="G28" s="14" t="n">
        <f aca="false">F28/Summary!$C$4</f>
        <v>4.09722222222222</v>
      </c>
      <c r="H28" s="19" t="n">
        <v>0</v>
      </c>
      <c r="I28" s="9" t="n">
        <f aca="false">F28+H28</f>
        <v>2.95</v>
      </c>
      <c r="J28" s="8" t="n">
        <f aca="false">IFERROR(F28/SUMIFS($F:$F,$A:$A,A28),0)</f>
        <v>0.00449797972097278</v>
      </c>
      <c r="K28" s="20" t="n">
        <v>8</v>
      </c>
      <c r="L28" s="17"/>
    </row>
    <row r="29" customFormat="false" ht="15" hidden="false" customHeight="false" outlineLevel="0" collapsed="false">
      <c r="A29" s="17" t="s">
        <v>15</v>
      </c>
      <c r="B29" s="17" t="s">
        <v>61</v>
      </c>
      <c r="C29" s="17" t="s">
        <v>62</v>
      </c>
      <c r="D29" s="17" t="s">
        <v>59</v>
      </c>
      <c r="E29" s="18" t="s">
        <v>60</v>
      </c>
      <c r="F29" s="19" t="n">
        <v>2.16</v>
      </c>
      <c r="G29" s="14" t="n">
        <f aca="false">F29/Summary!$C$4</f>
        <v>3</v>
      </c>
      <c r="H29" s="19" t="n">
        <v>0</v>
      </c>
      <c r="I29" s="9" t="n">
        <f aca="false">F29+H29</f>
        <v>2.16</v>
      </c>
      <c r="J29" s="8" t="n">
        <f aca="false">IFERROR(F29/SUMIFS($F:$F,$A:$A,A29),0)</f>
        <v>0.00329343599908516</v>
      </c>
      <c r="K29" s="20" t="n">
        <v>11</v>
      </c>
      <c r="L29" s="17"/>
    </row>
    <row r="30" customFormat="false" ht="15" hidden="false" customHeight="false" outlineLevel="0" collapsed="false">
      <c r="A30" s="17" t="s">
        <v>15</v>
      </c>
      <c r="B30" s="17" t="s">
        <v>205</v>
      </c>
      <c r="C30" s="17" t="s">
        <v>62</v>
      </c>
      <c r="D30" s="17" t="s">
        <v>90</v>
      </c>
      <c r="E30" s="17" t="s">
        <v>66</v>
      </c>
      <c r="F30" s="19" t="n">
        <v>2.15</v>
      </c>
      <c r="G30" s="14" t="n">
        <f aca="false">F30/Summary!$C$4</f>
        <v>2.98611111111111</v>
      </c>
      <c r="H30" s="19" t="n">
        <v>0</v>
      </c>
      <c r="I30" s="9" t="n">
        <f aca="false">F30+H30</f>
        <v>2.15</v>
      </c>
      <c r="J30" s="8" t="n">
        <f aca="false">IFERROR(F30/SUMIFS($F:$F,$A:$A,A30),0)</f>
        <v>0.0032781886102005</v>
      </c>
      <c r="K30" s="20" t="n">
        <v>3</v>
      </c>
      <c r="L30" s="17"/>
    </row>
    <row r="31" customFormat="false" ht="15" hidden="false" customHeight="false" outlineLevel="0" collapsed="false">
      <c r="A31" s="17" t="s">
        <v>15</v>
      </c>
      <c r="B31" s="17" t="s">
        <v>206</v>
      </c>
      <c r="C31" s="17" t="s">
        <v>98</v>
      </c>
      <c r="D31" s="17" t="s">
        <v>59</v>
      </c>
      <c r="E31" s="18" t="s">
        <v>60</v>
      </c>
      <c r="F31" s="19" t="n">
        <v>2.12</v>
      </c>
      <c r="G31" s="14" t="n">
        <f aca="false">F31/Summary!$C$4</f>
        <v>2.94444444444444</v>
      </c>
      <c r="H31" s="19" t="n">
        <v>0</v>
      </c>
      <c r="I31" s="9" t="n">
        <f aca="false">F31+H31</f>
        <v>2.12</v>
      </c>
      <c r="J31" s="8" t="n">
        <f aca="false">IFERROR(F31/SUMIFS($F:$F,$A:$A,A31),0)</f>
        <v>0.00323244644354654</v>
      </c>
      <c r="K31" s="20" t="n">
        <v>2</v>
      </c>
      <c r="L31" s="17"/>
    </row>
    <row r="32" customFormat="false" ht="15" hidden="false" customHeight="false" outlineLevel="0" collapsed="false">
      <c r="A32" s="17" t="s">
        <v>15</v>
      </c>
      <c r="B32" s="17" t="s">
        <v>97</v>
      </c>
      <c r="C32" s="17" t="s">
        <v>98</v>
      </c>
      <c r="D32" s="17" t="s">
        <v>99</v>
      </c>
      <c r="E32" s="17" t="s">
        <v>66</v>
      </c>
      <c r="F32" s="19" t="n">
        <v>1.9</v>
      </c>
      <c r="G32" s="14" t="n">
        <f aca="false">F32/Summary!$C$4</f>
        <v>2.63888888888889</v>
      </c>
      <c r="H32" s="19" t="n">
        <v>0</v>
      </c>
      <c r="I32" s="9" t="n">
        <f aca="false">F32+H32</f>
        <v>1.9</v>
      </c>
      <c r="J32" s="8" t="n">
        <f aca="false">IFERROR(F32/SUMIFS($F:$F,$A:$A,A32),0)</f>
        <v>0.00289700388808417</v>
      </c>
      <c r="K32" s="20" t="n">
        <v>0</v>
      </c>
      <c r="L32" s="17"/>
    </row>
    <row r="33" customFormat="false" ht="15" hidden="false" customHeight="false" outlineLevel="0" collapsed="false">
      <c r="A33" s="17" t="s">
        <v>15</v>
      </c>
      <c r="B33" s="17" t="s">
        <v>207</v>
      </c>
      <c r="C33" s="17" t="s">
        <v>62</v>
      </c>
      <c r="D33" s="17" t="s">
        <v>99</v>
      </c>
      <c r="E33" s="17" t="s">
        <v>66</v>
      </c>
      <c r="F33" s="19" t="n">
        <v>1.86</v>
      </c>
      <c r="G33" s="14" t="n">
        <f aca="false">F33/Summary!$C$4</f>
        <v>2.58333333333333</v>
      </c>
      <c r="H33" s="19" t="n">
        <v>0</v>
      </c>
      <c r="I33" s="9" t="n">
        <f aca="false">F33+H33</f>
        <v>1.86</v>
      </c>
      <c r="J33" s="8" t="n">
        <f aca="false">IFERROR(F33/SUMIFS($F:$F,$A:$A,A33),0)</f>
        <v>0.00283601433254555</v>
      </c>
      <c r="K33" s="20" t="n">
        <v>0</v>
      </c>
      <c r="L33" s="17"/>
    </row>
    <row r="34" customFormat="false" ht="15" hidden="false" customHeight="false" outlineLevel="0" collapsed="false">
      <c r="A34" s="17" t="s">
        <v>15</v>
      </c>
      <c r="B34" s="17" t="s">
        <v>208</v>
      </c>
      <c r="C34" s="17" t="s">
        <v>98</v>
      </c>
      <c r="D34" s="17" t="s">
        <v>133</v>
      </c>
      <c r="E34" s="17" t="s">
        <v>66</v>
      </c>
      <c r="F34" s="19" t="n">
        <v>1.85</v>
      </c>
      <c r="G34" s="14" t="n">
        <f aca="false">F34/Summary!$C$4</f>
        <v>2.56944444444444</v>
      </c>
      <c r="H34" s="19" t="n">
        <v>0</v>
      </c>
      <c r="I34" s="9" t="n">
        <f aca="false">F34+H34</f>
        <v>1.85</v>
      </c>
      <c r="J34" s="8" t="n">
        <f aca="false">IFERROR(F34/SUMIFS($F:$F,$A:$A,A34),0)</f>
        <v>0.0028207669436609</v>
      </c>
      <c r="K34" s="20" t="n">
        <v>0</v>
      </c>
      <c r="L34" s="17"/>
    </row>
    <row r="35" customFormat="false" ht="15" hidden="false" customHeight="false" outlineLevel="0" collapsed="false">
      <c r="A35" s="17" t="s">
        <v>15</v>
      </c>
      <c r="B35" s="17" t="s">
        <v>95</v>
      </c>
      <c r="C35" s="17" t="s">
        <v>69</v>
      </c>
      <c r="D35" s="17" t="s">
        <v>79</v>
      </c>
      <c r="E35" s="17" t="s">
        <v>66</v>
      </c>
      <c r="F35" s="19" t="n">
        <v>1.55</v>
      </c>
      <c r="G35" s="14" t="n">
        <f aca="false">F35/Summary!$C$4</f>
        <v>2.15277777777778</v>
      </c>
      <c r="H35" s="19" t="n">
        <v>0</v>
      </c>
      <c r="I35" s="9" t="n">
        <f aca="false">F35+H35</f>
        <v>1.55</v>
      </c>
      <c r="J35" s="8" t="n">
        <f aca="false">IFERROR(F35/SUMIFS($F:$F,$A:$A,A35),0)</f>
        <v>0.00236334527712129</v>
      </c>
      <c r="K35" s="20" t="n">
        <v>0</v>
      </c>
      <c r="L35" s="17"/>
    </row>
    <row r="36" customFormat="false" ht="15" hidden="false" customHeight="false" outlineLevel="0" collapsed="false">
      <c r="A36" s="17" t="s">
        <v>15</v>
      </c>
      <c r="B36" s="17" t="s">
        <v>91</v>
      </c>
      <c r="C36" s="17" t="s">
        <v>69</v>
      </c>
      <c r="D36" s="17" t="s">
        <v>59</v>
      </c>
      <c r="E36" s="18" t="s">
        <v>60</v>
      </c>
      <c r="F36" s="19" t="n">
        <v>1.53</v>
      </c>
      <c r="G36" s="14" t="n">
        <f aca="false">F36/Summary!$C$4</f>
        <v>2.125</v>
      </c>
      <c r="H36" s="19" t="n">
        <v>0</v>
      </c>
      <c r="I36" s="9" t="n">
        <f aca="false">F36+H36</f>
        <v>1.53</v>
      </c>
      <c r="J36" s="8" t="n">
        <f aca="false">IFERROR(F36/SUMIFS($F:$F,$A:$A,A36),0)</f>
        <v>0.00233285049935199</v>
      </c>
      <c r="K36" s="20" t="n">
        <v>0</v>
      </c>
      <c r="L36" s="17"/>
    </row>
    <row r="37" customFormat="false" ht="15" hidden="false" customHeight="false" outlineLevel="0" collapsed="false">
      <c r="A37" s="17" t="s">
        <v>15</v>
      </c>
      <c r="B37" s="17" t="s">
        <v>209</v>
      </c>
      <c r="C37" s="17" t="s">
        <v>58</v>
      </c>
      <c r="D37" s="17" t="s">
        <v>109</v>
      </c>
      <c r="E37" s="17" t="s">
        <v>66</v>
      </c>
      <c r="F37" s="19" t="n">
        <v>1.29</v>
      </c>
      <c r="G37" s="14" t="n">
        <f aca="false">F37/Summary!$C$4</f>
        <v>1.79166666666667</v>
      </c>
      <c r="H37" s="19" t="n">
        <v>0</v>
      </c>
      <c r="I37" s="9" t="n">
        <f aca="false">F37+H37</f>
        <v>1.29</v>
      </c>
      <c r="J37" s="8" t="n">
        <f aca="false">IFERROR(F37/SUMIFS($F:$F,$A:$A,A37),0)</f>
        <v>0.0019669131661203</v>
      </c>
      <c r="K37" s="20" t="n">
        <v>7</v>
      </c>
      <c r="L37" s="17"/>
    </row>
    <row r="38" customFormat="false" ht="15" hidden="false" customHeight="false" outlineLevel="0" collapsed="false">
      <c r="A38" s="17" t="s">
        <v>16</v>
      </c>
      <c r="B38" s="17" t="s">
        <v>118</v>
      </c>
      <c r="C38" s="17" t="s">
        <v>62</v>
      </c>
      <c r="D38" s="17" t="s">
        <v>59</v>
      </c>
      <c r="E38" s="18" t="s">
        <v>60</v>
      </c>
      <c r="F38" s="19" t="n">
        <v>199.33</v>
      </c>
      <c r="G38" s="14" t="n">
        <f aca="false">F38/Summary!$C$4</f>
        <v>276.847222222222</v>
      </c>
      <c r="H38" s="19" t="n">
        <v>0</v>
      </c>
      <c r="I38" s="9" t="n">
        <f aca="false">F38+H38</f>
        <v>199.33</v>
      </c>
      <c r="J38" s="8" t="n">
        <f aca="false">IFERROR(F38/SUMIFS($F:$F,$A:$A,A38),0)</f>
        <v>0.500439356280284</v>
      </c>
      <c r="K38" s="20" t="n">
        <v>1</v>
      </c>
      <c r="L38" s="17"/>
    </row>
    <row r="39" customFormat="false" ht="15" hidden="false" customHeight="false" outlineLevel="0" collapsed="false">
      <c r="A39" s="17" t="s">
        <v>16</v>
      </c>
      <c r="B39" s="17" t="s">
        <v>116</v>
      </c>
      <c r="C39" s="17" t="s">
        <v>62</v>
      </c>
      <c r="D39" s="17" t="s">
        <v>65</v>
      </c>
      <c r="E39" s="17" t="s">
        <v>66</v>
      </c>
      <c r="F39" s="19" t="n">
        <v>63.58</v>
      </c>
      <c r="G39" s="14" t="n">
        <f aca="false">F39/Summary!$C$4</f>
        <v>88.3055555555556</v>
      </c>
      <c r="H39" s="19" t="n">
        <v>0</v>
      </c>
      <c r="I39" s="9" t="n">
        <f aca="false">F39+H39</f>
        <v>63.58</v>
      </c>
      <c r="J39" s="8" t="n">
        <f aca="false">IFERROR(F39/SUMIFS($F:$F,$A:$A,A39),0)</f>
        <v>0.15962441314554</v>
      </c>
      <c r="K39" s="20" t="n">
        <v>9</v>
      </c>
      <c r="L39" s="17"/>
    </row>
    <row r="40" customFormat="false" ht="15" hidden="false" customHeight="false" outlineLevel="0" collapsed="false">
      <c r="A40" s="17" t="s">
        <v>16</v>
      </c>
      <c r="B40" s="17" t="s">
        <v>210</v>
      </c>
      <c r="C40" s="17" t="s">
        <v>58</v>
      </c>
      <c r="D40" s="17" t="s">
        <v>103</v>
      </c>
      <c r="E40" s="17" t="s">
        <v>66</v>
      </c>
      <c r="F40" s="19" t="n">
        <v>53.48</v>
      </c>
      <c r="G40" s="14" t="n">
        <f aca="false">F40/Summary!$C$4</f>
        <v>74.2777777777778</v>
      </c>
      <c r="H40" s="19" t="n">
        <v>0</v>
      </c>
      <c r="I40" s="9" t="n">
        <f aca="false">F40+H40</f>
        <v>53.48</v>
      </c>
      <c r="J40" s="8" t="n">
        <f aca="false">IFERROR(F40/SUMIFS($F:$F,$A:$A,A40),0)</f>
        <v>0.134267279254852</v>
      </c>
      <c r="K40" s="20" t="n">
        <v>15</v>
      </c>
      <c r="L40" s="17"/>
    </row>
    <row r="41" customFormat="false" ht="15" hidden="false" customHeight="false" outlineLevel="0" collapsed="false">
      <c r="A41" s="17" t="s">
        <v>16</v>
      </c>
      <c r="B41" s="17" t="s">
        <v>211</v>
      </c>
      <c r="C41" s="17" t="s">
        <v>64</v>
      </c>
      <c r="D41" s="17" t="s">
        <v>59</v>
      </c>
      <c r="E41" s="18" t="s">
        <v>60</v>
      </c>
      <c r="F41" s="19" t="n">
        <v>23.19</v>
      </c>
      <c r="G41" s="14" t="n">
        <f aca="false">F41/Summary!$C$4</f>
        <v>32.2083333333333</v>
      </c>
      <c r="H41" s="19" t="n">
        <v>0</v>
      </c>
      <c r="I41" s="9" t="n">
        <f aca="false">F41+H41</f>
        <v>23.19</v>
      </c>
      <c r="J41" s="8" t="n">
        <f aca="false">IFERROR(F41/SUMIFS($F:$F,$A:$A,A41),0)</f>
        <v>0.0582209836559464</v>
      </c>
      <c r="K41" s="20" t="n">
        <v>2</v>
      </c>
      <c r="L41" s="17"/>
    </row>
    <row r="42" customFormat="false" ht="15" hidden="false" customHeight="false" outlineLevel="0" collapsed="false">
      <c r="A42" s="17" t="s">
        <v>16</v>
      </c>
      <c r="B42" s="17" t="s">
        <v>123</v>
      </c>
      <c r="C42" s="17" t="s">
        <v>62</v>
      </c>
      <c r="D42" s="17" t="s">
        <v>93</v>
      </c>
      <c r="E42" s="17" t="s">
        <v>66</v>
      </c>
      <c r="F42" s="19" t="n">
        <v>23.01</v>
      </c>
      <c r="G42" s="14" t="n">
        <f aca="false">F42/Summary!$C$4</f>
        <v>31.9583333333333</v>
      </c>
      <c r="H42" s="19" t="n">
        <v>0</v>
      </c>
      <c r="I42" s="9" t="n">
        <f aca="false">F42+H42</f>
        <v>23.01</v>
      </c>
      <c r="J42" s="8" t="n">
        <f aca="false">IFERROR(F42/SUMIFS($F:$F,$A:$A,A42),0)</f>
        <v>0.0577690743390826</v>
      </c>
      <c r="K42" s="20" t="n">
        <v>3</v>
      </c>
      <c r="L42" s="17"/>
    </row>
    <row r="43" customFormat="false" ht="15" hidden="false" customHeight="false" outlineLevel="0" collapsed="false">
      <c r="A43" s="17" t="s">
        <v>16</v>
      </c>
      <c r="B43" s="17" t="s">
        <v>212</v>
      </c>
      <c r="C43" s="17" t="s">
        <v>58</v>
      </c>
      <c r="D43" s="17" t="s">
        <v>84</v>
      </c>
      <c r="E43" s="17" t="s">
        <v>66</v>
      </c>
      <c r="F43" s="19" t="n">
        <v>13.3</v>
      </c>
      <c r="G43" s="14" t="n">
        <f aca="false">F43/Summary!$C$4</f>
        <v>18.4722222222222</v>
      </c>
      <c r="H43" s="19" t="n">
        <v>0</v>
      </c>
      <c r="I43" s="9" t="n">
        <f aca="false">F43+H43</f>
        <v>13.3</v>
      </c>
      <c r="J43" s="8" t="n">
        <f aca="false">IFERROR(F43/SUMIFS($F:$F,$A:$A,A43),0)</f>
        <v>0.0333910773015993</v>
      </c>
      <c r="K43" s="20" t="n">
        <v>5</v>
      </c>
      <c r="L43" s="17"/>
    </row>
    <row r="44" customFormat="false" ht="15" hidden="false" customHeight="false" outlineLevel="0" collapsed="false">
      <c r="A44" s="17" t="s">
        <v>16</v>
      </c>
      <c r="B44" s="17" t="s">
        <v>213</v>
      </c>
      <c r="C44" s="17" t="s">
        <v>98</v>
      </c>
      <c r="D44" s="17" t="s">
        <v>109</v>
      </c>
      <c r="E44" s="17" t="s">
        <v>66</v>
      </c>
      <c r="F44" s="19" t="n">
        <v>9.99</v>
      </c>
      <c r="G44" s="14" t="n">
        <f aca="false">F44/Summary!$C$4</f>
        <v>13.875</v>
      </c>
      <c r="H44" s="19" t="n">
        <v>0</v>
      </c>
      <c r="I44" s="9" t="n">
        <f aca="false">F44+H44</f>
        <v>9.99</v>
      </c>
      <c r="J44" s="8" t="n">
        <f aca="false">IFERROR(F44/SUMIFS($F:$F,$A:$A,A44),0)</f>
        <v>0.0250809670859381</v>
      </c>
      <c r="K44" s="20" t="n">
        <v>0</v>
      </c>
      <c r="L44" s="17"/>
    </row>
    <row r="45" customFormat="false" ht="15" hidden="false" customHeight="false" outlineLevel="0" collapsed="false">
      <c r="A45" s="17" t="s">
        <v>16</v>
      </c>
      <c r="B45" s="17" t="s">
        <v>135</v>
      </c>
      <c r="C45" s="17" t="s">
        <v>98</v>
      </c>
      <c r="D45" s="17" t="s">
        <v>59</v>
      </c>
      <c r="E45" s="18" t="s">
        <v>60</v>
      </c>
      <c r="F45" s="19" t="n">
        <v>5.22</v>
      </c>
      <c r="G45" s="14" t="n">
        <f aca="false">F45/Summary!$C$4</f>
        <v>7.25</v>
      </c>
      <c r="H45" s="19" t="n">
        <v>0</v>
      </c>
      <c r="I45" s="9" t="n">
        <f aca="false">F45+H45</f>
        <v>5.22</v>
      </c>
      <c r="J45" s="8" t="n">
        <f aca="false">IFERROR(F45/SUMIFS($F:$F,$A:$A,A45),0)</f>
        <v>0.0131053701890487</v>
      </c>
      <c r="K45" s="20" t="n">
        <v>0</v>
      </c>
      <c r="L45" s="17"/>
    </row>
    <row r="46" customFormat="false" ht="15" hidden="false" customHeight="false" outlineLevel="0" collapsed="false">
      <c r="A46" s="17" t="s">
        <v>16</v>
      </c>
      <c r="B46" s="17" t="s">
        <v>214</v>
      </c>
      <c r="C46" s="17" t="s">
        <v>98</v>
      </c>
      <c r="D46" s="17" t="s">
        <v>84</v>
      </c>
      <c r="E46" s="17" t="s">
        <v>66</v>
      </c>
      <c r="F46" s="19" t="n">
        <v>4.76</v>
      </c>
      <c r="G46" s="14" t="n">
        <f aca="false">F46/Summary!$C$4</f>
        <v>6.61111111111111</v>
      </c>
      <c r="H46" s="19" t="n">
        <v>0</v>
      </c>
      <c r="I46" s="9" t="n">
        <f aca="false">F46+H46</f>
        <v>4.76</v>
      </c>
      <c r="J46" s="8" t="n">
        <f aca="false">IFERROR(F46/SUMIFS($F:$F,$A:$A,A46),0)</f>
        <v>0.0119504908237303</v>
      </c>
      <c r="K46" s="20" t="n">
        <v>0</v>
      </c>
      <c r="L46" s="17"/>
    </row>
    <row r="47" customFormat="false" ht="15" hidden="false" customHeight="false" outlineLevel="0" collapsed="false">
      <c r="A47" s="17" t="s">
        <v>16</v>
      </c>
      <c r="B47" s="17" t="s">
        <v>215</v>
      </c>
      <c r="C47" s="17" t="s">
        <v>98</v>
      </c>
      <c r="D47" s="17" t="s">
        <v>81</v>
      </c>
      <c r="E47" s="17" t="s">
        <v>66</v>
      </c>
      <c r="F47" s="19" t="n">
        <v>2.45</v>
      </c>
      <c r="G47" s="14" t="n">
        <f aca="false">F47/Summary!$C$4</f>
        <v>3.40277777777778</v>
      </c>
      <c r="H47" s="19" t="n">
        <v>0</v>
      </c>
      <c r="I47" s="9" t="n">
        <f aca="false">F47+H47</f>
        <v>2.45</v>
      </c>
      <c r="J47" s="8" t="n">
        <f aca="false">IFERROR(F47/SUMIFS($F:$F,$A:$A,A47),0)</f>
        <v>0.00615098792397881</v>
      </c>
      <c r="K47" s="20" t="n">
        <v>0</v>
      </c>
      <c r="L47" s="17"/>
    </row>
    <row r="48" customFormat="false" ht="15" hidden="false" customHeight="false" outlineLevel="0" collapsed="false">
      <c r="A48" s="17" t="s">
        <v>17</v>
      </c>
      <c r="B48" s="17" t="s">
        <v>146</v>
      </c>
      <c r="C48" s="17" t="s">
        <v>62</v>
      </c>
      <c r="D48" s="17" t="s">
        <v>109</v>
      </c>
      <c r="E48" s="17" t="s">
        <v>66</v>
      </c>
      <c r="F48" s="19" t="n">
        <v>86.66</v>
      </c>
      <c r="G48" s="14" t="n">
        <f aca="false">F48/Summary!$C$4</f>
        <v>120.361111111111</v>
      </c>
      <c r="H48" s="19" t="n">
        <v>0</v>
      </c>
      <c r="I48" s="9" t="n">
        <f aca="false">F48+H48</f>
        <v>86.66</v>
      </c>
      <c r="J48" s="8" t="n">
        <f aca="false">IFERROR(F48/SUMIFS($F:$F,$A:$A,A48),0)</f>
        <v>0.318135095447871</v>
      </c>
      <c r="K48" s="20" t="n">
        <v>2</v>
      </c>
      <c r="L48" s="17"/>
    </row>
    <row r="49" customFormat="false" ht="15" hidden="false" customHeight="false" outlineLevel="0" collapsed="false">
      <c r="A49" s="17" t="s">
        <v>17</v>
      </c>
      <c r="B49" s="17" t="s">
        <v>162</v>
      </c>
      <c r="C49" s="17" t="s">
        <v>58</v>
      </c>
      <c r="D49" s="17" t="s">
        <v>133</v>
      </c>
      <c r="E49" s="18" t="s">
        <v>60</v>
      </c>
      <c r="F49" s="19" t="n">
        <v>24.49</v>
      </c>
      <c r="G49" s="14" t="n">
        <f aca="false">F49/Summary!$C$4</f>
        <v>34.0138888888889</v>
      </c>
      <c r="H49" s="19" t="n">
        <v>0</v>
      </c>
      <c r="I49" s="9" t="n">
        <f aca="false">F49+H49</f>
        <v>24.49</v>
      </c>
      <c r="J49" s="8" t="n">
        <f aca="false">IFERROR(F49/SUMIFS($F:$F,$A:$A,A49),0)</f>
        <v>0.0899045521292217</v>
      </c>
      <c r="K49" s="20" t="n">
        <v>5</v>
      </c>
      <c r="L49" s="17"/>
    </row>
    <row r="50" customFormat="false" ht="15" hidden="false" customHeight="false" outlineLevel="0" collapsed="false">
      <c r="A50" s="17" t="s">
        <v>17</v>
      </c>
      <c r="B50" s="17" t="s">
        <v>216</v>
      </c>
      <c r="C50" s="17" t="s">
        <v>62</v>
      </c>
      <c r="D50" s="17" t="s">
        <v>176</v>
      </c>
      <c r="E50" s="17" t="s">
        <v>66</v>
      </c>
      <c r="F50" s="19" t="n">
        <v>18.35</v>
      </c>
      <c r="G50" s="14" t="n">
        <f aca="false">F50/Summary!$C$4</f>
        <v>25.4861111111111</v>
      </c>
      <c r="H50" s="19" t="n">
        <v>0</v>
      </c>
      <c r="I50" s="9" t="n">
        <f aca="false">F50+H50</f>
        <v>18.35</v>
      </c>
      <c r="J50" s="8" t="n">
        <f aca="false">IFERROR(F50/SUMIFS($F:$F,$A:$A,A50),0)</f>
        <v>0.0673641703377386</v>
      </c>
      <c r="K50" s="20" t="n">
        <v>0</v>
      </c>
      <c r="L50" s="17"/>
    </row>
    <row r="51" customFormat="false" ht="15" hidden="false" customHeight="false" outlineLevel="0" collapsed="false">
      <c r="A51" s="17" t="s">
        <v>17</v>
      </c>
      <c r="B51" s="17" t="s">
        <v>217</v>
      </c>
      <c r="C51" s="17" t="s">
        <v>62</v>
      </c>
      <c r="D51" s="17" t="s">
        <v>133</v>
      </c>
      <c r="E51" s="18" t="s">
        <v>60</v>
      </c>
      <c r="F51" s="19" t="n">
        <v>11.33</v>
      </c>
      <c r="G51" s="14" t="n">
        <f aca="false">F51/Summary!$C$4</f>
        <v>15.7361111111111</v>
      </c>
      <c r="H51" s="19" t="n">
        <v>0</v>
      </c>
      <c r="I51" s="9" t="n">
        <f aca="false">F51+H51</f>
        <v>11.33</v>
      </c>
      <c r="J51" s="8" t="n">
        <f aca="false">IFERROR(F51/SUMIFS($F:$F,$A:$A,A51),0)</f>
        <v>0.0415932452276065</v>
      </c>
      <c r="K51" s="20" t="n">
        <v>2</v>
      </c>
      <c r="L51" s="17"/>
    </row>
    <row r="52" customFormat="false" ht="15" hidden="false" customHeight="false" outlineLevel="0" collapsed="false">
      <c r="A52" s="17" t="s">
        <v>17</v>
      </c>
      <c r="B52" s="17" t="s">
        <v>218</v>
      </c>
      <c r="C52" s="17" t="s">
        <v>62</v>
      </c>
      <c r="D52" s="17" t="s">
        <v>90</v>
      </c>
      <c r="E52" s="17" t="s">
        <v>66</v>
      </c>
      <c r="F52" s="19" t="n">
        <v>9.84</v>
      </c>
      <c r="G52" s="14" t="n">
        <f aca="false">F52/Summary!$C$4</f>
        <v>13.6666666666667</v>
      </c>
      <c r="H52" s="19" t="n">
        <v>0</v>
      </c>
      <c r="I52" s="9" t="n">
        <f aca="false">F52+H52</f>
        <v>9.84</v>
      </c>
      <c r="J52" s="8" t="n">
        <f aca="false">IFERROR(F52/SUMIFS($F:$F,$A:$A,A52),0)</f>
        <v>0.0361233480176212</v>
      </c>
      <c r="K52" s="20" t="n">
        <v>2</v>
      </c>
      <c r="L52" s="17"/>
    </row>
    <row r="53" customFormat="false" ht="15" hidden="false" customHeight="false" outlineLevel="0" collapsed="false">
      <c r="A53" s="17" t="s">
        <v>17</v>
      </c>
      <c r="B53" s="17" t="s">
        <v>219</v>
      </c>
      <c r="C53" s="17" t="s">
        <v>58</v>
      </c>
      <c r="D53" s="17" t="s">
        <v>170</v>
      </c>
      <c r="E53" s="17" t="s">
        <v>66</v>
      </c>
      <c r="F53" s="19" t="n">
        <v>8.61</v>
      </c>
      <c r="G53" s="14" t="n">
        <f aca="false">F53/Summary!$C$4</f>
        <v>11.9583333333333</v>
      </c>
      <c r="H53" s="19" t="n">
        <v>0</v>
      </c>
      <c r="I53" s="9" t="n">
        <f aca="false">F53+H53</f>
        <v>8.61</v>
      </c>
      <c r="J53" s="8" t="n">
        <f aca="false">IFERROR(F53/SUMIFS($F:$F,$A:$A,A53),0)</f>
        <v>0.0316079295154185</v>
      </c>
      <c r="K53" s="20" t="n">
        <v>0</v>
      </c>
      <c r="L53" s="17"/>
    </row>
    <row r="54" customFormat="false" ht="15" hidden="false" customHeight="false" outlineLevel="0" collapsed="false">
      <c r="A54" s="17" t="s">
        <v>17</v>
      </c>
      <c r="B54" s="17" t="s">
        <v>141</v>
      </c>
      <c r="C54" s="17" t="s">
        <v>58</v>
      </c>
      <c r="D54" s="17" t="s">
        <v>109</v>
      </c>
      <c r="E54" s="17" t="s">
        <v>66</v>
      </c>
      <c r="F54" s="19" t="n">
        <v>8.4</v>
      </c>
      <c r="G54" s="14" t="n">
        <f aca="false">F54/Summary!$C$4</f>
        <v>11.6666666666667</v>
      </c>
      <c r="H54" s="19" t="n">
        <v>0</v>
      </c>
      <c r="I54" s="9" t="n">
        <f aca="false">F54+H54</f>
        <v>8.4</v>
      </c>
      <c r="J54" s="8" t="n">
        <f aca="false">IFERROR(F54/SUMIFS($F:$F,$A:$A,A54),0)</f>
        <v>0.0308370044052863</v>
      </c>
      <c r="K54" s="20" t="n">
        <v>2</v>
      </c>
      <c r="L54" s="17"/>
    </row>
    <row r="55" customFormat="false" ht="15" hidden="false" customHeight="false" outlineLevel="0" collapsed="false">
      <c r="A55" s="17" t="s">
        <v>17</v>
      </c>
      <c r="B55" s="17" t="s">
        <v>154</v>
      </c>
      <c r="C55" s="17" t="s">
        <v>69</v>
      </c>
      <c r="D55" s="17" t="s">
        <v>155</v>
      </c>
      <c r="E55" s="17" t="s">
        <v>66</v>
      </c>
      <c r="F55" s="19" t="n">
        <v>8.37</v>
      </c>
      <c r="G55" s="14" t="n">
        <f aca="false">F55/Summary!$C$4</f>
        <v>11.625</v>
      </c>
      <c r="H55" s="19" t="n">
        <v>0</v>
      </c>
      <c r="I55" s="9" t="n">
        <f aca="false">F55+H55</f>
        <v>8.37</v>
      </c>
      <c r="J55" s="8" t="n">
        <f aca="false">IFERROR(F55/SUMIFS($F:$F,$A:$A,A55),0)</f>
        <v>0.030726872246696</v>
      </c>
      <c r="K55" s="20" t="n">
        <v>0</v>
      </c>
      <c r="L55" s="17"/>
    </row>
    <row r="56" customFormat="false" ht="15" hidden="false" customHeight="false" outlineLevel="0" collapsed="false">
      <c r="A56" s="17" t="s">
        <v>17</v>
      </c>
      <c r="B56" s="17" t="s">
        <v>220</v>
      </c>
      <c r="C56" s="17" t="s">
        <v>64</v>
      </c>
      <c r="D56" s="17" t="s">
        <v>189</v>
      </c>
      <c r="E56" s="17" t="s">
        <v>66</v>
      </c>
      <c r="F56" s="19" t="n">
        <v>8.06</v>
      </c>
      <c r="G56" s="14" t="n">
        <f aca="false">F56/Summary!$C$4</f>
        <v>11.1944444444444</v>
      </c>
      <c r="H56" s="19" t="n">
        <v>0</v>
      </c>
      <c r="I56" s="9" t="n">
        <f aca="false">F56+H56</f>
        <v>8.06</v>
      </c>
      <c r="J56" s="8" t="n">
        <f aca="false">IFERROR(F56/SUMIFS($F:$F,$A:$A,A56),0)</f>
        <v>0.0295888399412629</v>
      </c>
      <c r="K56" s="20" t="n">
        <v>1</v>
      </c>
      <c r="L56" s="17"/>
    </row>
    <row r="57" customFormat="false" ht="15" hidden="false" customHeight="false" outlineLevel="0" collapsed="false">
      <c r="A57" s="17" t="s">
        <v>17</v>
      </c>
      <c r="B57" s="17" t="s">
        <v>221</v>
      </c>
      <c r="C57" s="17" t="s">
        <v>62</v>
      </c>
      <c r="D57" s="17" t="s">
        <v>153</v>
      </c>
      <c r="E57" s="17" t="s">
        <v>66</v>
      </c>
      <c r="F57" s="19" t="n">
        <v>7.85</v>
      </c>
      <c r="G57" s="14" t="n">
        <f aca="false">F57/Summary!$C$4</f>
        <v>10.9027777777778</v>
      </c>
      <c r="H57" s="19" t="n">
        <v>0</v>
      </c>
      <c r="I57" s="9" t="n">
        <f aca="false">F57+H57</f>
        <v>7.85</v>
      </c>
      <c r="J57" s="8" t="n">
        <f aca="false">IFERROR(F57/SUMIFS($F:$F,$A:$A,A57),0)</f>
        <v>0.0288179148311307</v>
      </c>
      <c r="K57" s="20" t="n">
        <v>0</v>
      </c>
      <c r="L57" s="17"/>
    </row>
    <row r="58" customFormat="false" ht="15" hidden="false" customHeight="false" outlineLevel="0" collapsed="false">
      <c r="A58" s="17" t="s">
        <v>17</v>
      </c>
      <c r="B58" s="17" t="s">
        <v>222</v>
      </c>
      <c r="C58" s="17" t="s">
        <v>62</v>
      </c>
      <c r="D58" s="17" t="s">
        <v>178</v>
      </c>
      <c r="E58" s="17" t="s">
        <v>66</v>
      </c>
      <c r="F58" s="19" t="n">
        <v>7.44</v>
      </c>
      <c r="G58" s="14" t="n">
        <f aca="false">F58/Summary!$C$4</f>
        <v>10.3333333333333</v>
      </c>
      <c r="H58" s="19" t="n">
        <v>0</v>
      </c>
      <c r="I58" s="9" t="n">
        <f aca="false">F58+H58</f>
        <v>7.44</v>
      </c>
      <c r="J58" s="8" t="n">
        <f aca="false">IFERROR(F58/SUMIFS($F:$F,$A:$A,A58),0)</f>
        <v>0.0273127753303965</v>
      </c>
      <c r="K58" s="20" t="n">
        <v>0</v>
      </c>
      <c r="L58" s="17"/>
    </row>
    <row r="59" customFormat="false" ht="15" hidden="false" customHeight="false" outlineLevel="0" collapsed="false">
      <c r="A59" s="17" t="s">
        <v>17</v>
      </c>
      <c r="B59" s="17" t="s">
        <v>169</v>
      </c>
      <c r="C59" s="17" t="s">
        <v>62</v>
      </c>
      <c r="D59" s="17" t="s">
        <v>170</v>
      </c>
      <c r="E59" s="17" t="s">
        <v>66</v>
      </c>
      <c r="F59" s="19" t="n">
        <v>7.28</v>
      </c>
      <c r="G59" s="14" t="n">
        <f aca="false">F59/Summary!$C$4</f>
        <v>10.1111111111111</v>
      </c>
      <c r="H59" s="19" t="n">
        <v>0</v>
      </c>
      <c r="I59" s="9" t="n">
        <f aca="false">F59+H59</f>
        <v>7.28</v>
      </c>
      <c r="J59" s="8" t="n">
        <f aca="false">IFERROR(F59/SUMIFS($F:$F,$A:$A,A59),0)</f>
        <v>0.0267254038179148</v>
      </c>
      <c r="K59" s="20" t="n">
        <v>5</v>
      </c>
      <c r="L59" s="17"/>
    </row>
    <row r="60" customFormat="false" ht="15" hidden="false" customHeight="false" outlineLevel="0" collapsed="false">
      <c r="A60" s="17" t="s">
        <v>17</v>
      </c>
      <c r="B60" s="17" t="s">
        <v>223</v>
      </c>
      <c r="C60" s="17" t="s">
        <v>64</v>
      </c>
      <c r="D60" s="17" t="s">
        <v>153</v>
      </c>
      <c r="E60" s="17" t="s">
        <v>66</v>
      </c>
      <c r="F60" s="19" t="n">
        <v>6.08</v>
      </c>
      <c r="G60" s="14" t="n">
        <f aca="false">F60/Summary!$C$4</f>
        <v>8.44444444444445</v>
      </c>
      <c r="H60" s="19" t="n">
        <v>0</v>
      </c>
      <c r="I60" s="9" t="n">
        <f aca="false">F60+H60</f>
        <v>6.08</v>
      </c>
      <c r="J60" s="8" t="n">
        <f aca="false">IFERROR(F60/SUMIFS($F:$F,$A:$A,A60),0)</f>
        <v>0.0223201174743025</v>
      </c>
      <c r="K60" s="20" t="n">
        <v>0</v>
      </c>
      <c r="L60" s="17"/>
    </row>
    <row r="61" customFormat="false" ht="15" hidden="false" customHeight="false" outlineLevel="0" collapsed="false">
      <c r="A61" s="17" t="s">
        <v>17</v>
      </c>
      <c r="B61" s="17" t="s">
        <v>143</v>
      </c>
      <c r="C61" s="17" t="s">
        <v>64</v>
      </c>
      <c r="D61" s="17" t="s">
        <v>133</v>
      </c>
      <c r="E61" s="18" t="s">
        <v>60</v>
      </c>
      <c r="F61" s="19" t="n">
        <v>5.93</v>
      </c>
      <c r="G61" s="14" t="n">
        <f aca="false">F61/Summary!$C$4</f>
        <v>8.23611111111111</v>
      </c>
      <c r="H61" s="19" t="n">
        <v>4.69</v>
      </c>
      <c r="I61" s="9" t="n">
        <f aca="false">F61+H61</f>
        <v>10.62</v>
      </c>
      <c r="J61" s="8" t="n">
        <f aca="false">IFERROR(F61/SUMIFS($F:$F,$A:$A,A61),0)</f>
        <v>0.021769456681351</v>
      </c>
      <c r="K61" s="20" t="n">
        <v>2</v>
      </c>
      <c r="L61" s="17"/>
    </row>
    <row r="62" customFormat="false" ht="15" hidden="false" customHeight="false" outlineLevel="0" collapsed="false">
      <c r="A62" s="17" t="s">
        <v>17</v>
      </c>
      <c r="B62" s="17" t="s">
        <v>186</v>
      </c>
      <c r="C62" s="17" t="s">
        <v>64</v>
      </c>
      <c r="D62" s="17" t="s">
        <v>153</v>
      </c>
      <c r="E62" s="17" t="s">
        <v>66</v>
      </c>
      <c r="F62" s="19" t="n">
        <v>5.12</v>
      </c>
      <c r="G62" s="14" t="n">
        <f aca="false">F62/Summary!$C$4</f>
        <v>7.11111111111111</v>
      </c>
      <c r="H62" s="19" t="n">
        <v>0</v>
      </c>
      <c r="I62" s="9" t="n">
        <f aca="false">F62+H62</f>
        <v>5.12</v>
      </c>
      <c r="J62" s="8" t="n">
        <f aca="false">IFERROR(F62/SUMIFS($F:$F,$A:$A,A62),0)</f>
        <v>0.0187958883994126</v>
      </c>
      <c r="K62" s="20" t="n">
        <v>2</v>
      </c>
      <c r="L62" s="17"/>
    </row>
    <row r="63" customFormat="false" ht="15" hidden="false" customHeight="false" outlineLevel="0" collapsed="false">
      <c r="A63" s="17" t="s">
        <v>17</v>
      </c>
      <c r="B63" s="17" t="s">
        <v>167</v>
      </c>
      <c r="C63" s="17" t="s">
        <v>64</v>
      </c>
      <c r="D63" s="17" t="s">
        <v>79</v>
      </c>
      <c r="E63" s="17" t="s">
        <v>66</v>
      </c>
      <c r="F63" s="19" t="n">
        <v>5</v>
      </c>
      <c r="G63" s="14" t="n">
        <f aca="false">F63/Summary!$C$4</f>
        <v>6.94444444444445</v>
      </c>
      <c r="H63" s="19" t="n">
        <v>0</v>
      </c>
      <c r="I63" s="9" t="n">
        <f aca="false">F63+H63</f>
        <v>5</v>
      </c>
      <c r="J63" s="8" t="n">
        <f aca="false">IFERROR(F63/SUMIFS($F:$F,$A:$A,A63),0)</f>
        <v>0.0183553597650514</v>
      </c>
      <c r="K63" s="20" t="n">
        <v>0</v>
      </c>
      <c r="L63" s="17"/>
    </row>
    <row r="64" customFormat="false" ht="15" hidden="false" customHeight="false" outlineLevel="0" collapsed="false">
      <c r="A64" s="17" t="s">
        <v>17</v>
      </c>
      <c r="B64" s="17" t="s">
        <v>224</v>
      </c>
      <c r="C64" s="17" t="s">
        <v>64</v>
      </c>
      <c r="D64" s="17" t="s">
        <v>170</v>
      </c>
      <c r="E64" s="17" t="s">
        <v>66</v>
      </c>
      <c r="F64" s="19" t="n">
        <v>4.8</v>
      </c>
      <c r="G64" s="14" t="n">
        <f aca="false">F64/Summary!$C$4</f>
        <v>6.66666666666667</v>
      </c>
      <c r="H64" s="19" t="n">
        <v>0</v>
      </c>
      <c r="I64" s="9" t="n">
        <f aca="false">F64+H64</f>
        <v>4.8</v>
      </c>
      <c r="J64" s="8" t="n">
        <f aca="false">IFERROR(F64/SUMIFS($F:$F,$A:$A,A64),0)</f>
        <v>0.0176211453744493</v>
      </c>
      <c r="K64" s="20" t="n">
        <v>2</v>
      </c>
      <c r="L64" s="17"/>
    </row>
    <row r="65" customFormat="false" ht="15" hidden="false" customHeight="false" outlineLevel="0" collapsed="false">
      <c r="A65" s="17" t="s">
        <v>17</v>
      </c>
      <c r="B65" s="17" t="s">
        <v>163</v>
      </c>
      <c r="C65" s="17" t="s">
        <v>69</v>
      </c>
      <c r="D65" s="17" t="s">
        <v>164</v>
      </c>
      <c r="E65" s="17" t="s">
        <v>66</v>
      </c>
      <c r="F65" s="19" t="n">
        <v>4.75</v>
      </c>
      <c r="G65" s="14" t="n">
        <f aca="false">F65/Summary!$C$4</f>
        <v>6.59722222222222</v>
      </c>
      <c r="H65" s="19" t="n">
        <v>0</v>
      </c>
      <c r="I65" s="9" t="n">
        <f aca="false">F65+H65</f>
        <v>4.75</v>
      </c>
      <c r="J65" s="8" t="n">
        <f aca="false">IFERROR(F65/SUMIFS($F:$F,$A:$A,A65),0)</f>
        <v>0.0174375917767988</v>
      </c>
      <c r="K65" s="20" t="n">
        <v>0</v>
      </c>
      <c r="L65" s="17"/>
    </row>
    <row r="66" customFormat="false" ht="15" hidden="false" customHeight="false" outlineLevel="0" collapsed="false">
      <c r="A66" s="17" t="s">
        <v>17</v>
      </c>
      <c r="B66" s="17" t="s">
        <v>225</v>
      </c>
      <c r="C66" s="17" t="s">
        <v>69</v>
      </c>
      <c r="D66" s="17" t="s">
        <v>59</v>
      </c>
      <c r="E66" s="17" t="s">
        <v>66</v>
      </c>
      <c r="F66" s="19" t="n">
        <v>4.72</v>
      </c>
      <c r="G66" s="14" t="n">
        <f aca="false">F66/Summary!$C$4</f>
        <v>6.55555555555556</v>
      </c>
      <c r="H66" s="19" t="n">
        <v>0</v>
      </c>
      <c r="I66" s="9" t="n">
        <f aca="false">F66+H66</f>
        <v>4.72</v>
      </c>
      <c r="J66" s="8" t="n">
        <f aca="false">IFERROR(F66/SUMIFS($F:$F,$A:$A,A66),0)</f>
        <v>0.0173274596182085</v>
      </c>
      <c r="K66" s="20" t="n">
        <v>2</v>
      </c>
      <c r="L66" s="17"/>
    </row>
    <row r="67" customFormat="false" ht="15" hidden="false" customHeight="false" outlineLevel="0" collapsed="false">
      <c r="A67" s="17" t="s">
        <v>17</v>
      </c>
      <c r="B67" s="17" t="s">
        <v>226</v>
      </c>
      <c r="C67" s="17" t="s">
        <v>69</v>
      </c>
      <c r="D67" s="17" t="s">
        <v>151</v>
      </c>
      <c r="E67" s="17" t="s">
        <v>66</v>
      </c>
      <c r="F67" s="19" t="n">
        <v>4.41</v>
      </c>
      <c r="G67" s="14" t="n">
        <f aca="false">F67/Summary!$C$4</f>
        <v>6.125</v>
      </c>
      <c r="H67" s="19" t="n">
        <v>0</v>
      </c>
      <c r="I67" s="9" t="n">
        <f aca="false">F67+H67</f>
        <v>4.41</v>
      </c>
      <c r="J67" s="8" t="n">
        <f aca="false">IFERROR(F67/SUMIFS($F:$F,$A:$A,A67),0)</f>
        <v>0.0161894273127753</v>
      </c>
      <c r="K67" s="20" t="n">
        <v>0</v>
      </c>
      <c r="L67" s="17"/>
    </row>
    <row r="68" customFormat="false" ht="15" hidden="false" customHeight="false" outlineLevel="0" collapsed="false">
      <c r="A68" s="17" t="s">
        <v>17</v>
      </c>
      <c r="B68" s="17" t="s">
        <v>156</v>
      </c>
      <c r="C68" s="17" t="s">
        <v>64</v>
      </c>
      <c r="D68" s="17" t="s">
        <v>157</v>
      </c>
      <c r="E68" s="17" t="s">
        <v>66</v>
      </c>
      <c r="F68" s="19" t="n">
        <v>4.11</v>
      </c>
      <c r="G68" s="14" t="n">
        <f aca="false">F68/Summary!$C$4</f>
        <v>5.70833333333333</v>
      </c>
      <c r="H68" s="19" t="n">
        <v>0</v>
      </c>
      <c r="I68" s="9" t="n">
        <f aca="false">F68+H68</f>
        <v>4.11</v>
      </c>
      <c r="J68" s="8" t="n">
        <f aca="false">IFERROR(F68/SUMIFS($F:$F,$A:$A,A68),0)</f>
        <v>0.0150881057268722</v>
      </c>
      <c r="K68" s="20" t="n">
        <v>1</v>
      </c>
      <c r="L68" s="17"/>
    </row>
    <row r="69" customFormat="false" ht="15" hidden="false" customHeight="false" outlineLevel="0" collapsed="false">
      <c r="A69" s="17" t="s">
        <v>17</v>
      </c>
      <c r="B69" s="17" t="s">
        <v>227</v>
      </c>
      <c r="C69" s="17" t="s">
        <v>62</v>
      </c>
      <c r="D69" s="17" t="s">
        <v>153</v>
      </c>
      <c r="E69" s="17" t="s">
        <v>66</v>
      </c>
      <c r="F69" s="19" t="n">
        <v>3.84</v>
      </c>
      <c r="G69" s="14" t="n">
        <f aca="false">F69/Summary!$C$4</f>
        <v>5.33333333333333</v>
      </c>
      <c r="H69" s="19" t="n">
        <v>0</v>
      </c>
      <c r="I69" s="9" t="n">
        <f aca="false">F69+H69</f>
        <v>3.84</v>
      </c>
      <c r="J69" s="8" t="n">
        <f aca="false">IFERROR(F69/SUMIFS($F:$F,$A:$A,A69),0)</f>
        <v>0.0140969162995595</v>
      </c>
      <c r="K69" s="20" t="n">
        <v>2</v>
      </c>
      <c r="L69" s="17"/>
    </row>
    <row r="70" customFormat="false" ht="15" hidden="false" customHeight="false" outlineLevel="0" collapsed="false">
      <c r="A70" s="17" t="s">
        <v>17</v>
      </c>
      <c r="B70" s="17" t="s">
        <v>228</v>
      </c>
      <c r="C70" s="17" t="s">
        <v>64</v>
      </c>
      <c r="D70" s="17" t="s">
        <v>59</v>
      </c>
      <c r="E70" s="17" t="s">
        <v>66</v>
      </c>
      <c r="F70" s="19" t="n">
        <v>3.43</v>
      </c>
      <c r="G70" s="14" t="n">
        <f aca="false">F70/Summary!$C$4</f>
        <v>4.76388888888889</v>
      </c>
      <c r="H70" s="19" t="n">
        <v>0</v>
      </c>
      <c r="I70" s="9" t="n">
        <f aca="false">F70+H70</f>
        <v>3.43</v>
      </c>
      <c r="J70" s="8" t="n">
        <f aca="false">IFERROR(F70/SUMIFS($F:$F,$A:$A,A70),0)</f>
        <v>0.0125917767988253</v>
      </c>
      <c r="K70" s="20" t="n">
        <v>0</v>
      </c>
      <c r="L70" s="17"/>
    </row>
    <row r="71" customFormat="false" ht="15" hidden="false" customHeight="false" outlineLevel="0" collapsed="false">
      <c r="A71" s="17" t="s">
        <v>17</v>
      </c>
      <c r="B71" s="17" t="s">
        <v>229</v>
      </c>
      <c r="C71" s="17" t="s">
        <v>58</v>
      </c>
      <c r="D71" s="17" t="s">
        <v>151</v>
      </c>
      <c r="E71" s="17" t="s">
        <v>66</v>
      </c>
      <c r="F71" s="19" t="n">
        <v>2.32</v>
      </c>
      <c r="G71" s="14" t="n">
        <f aca="false">F71/Summary!$C$4</f>
        <v>3.22222222222222</v>
      </c>
      <c r="H71" s="19" t="n">
        <v>0</v>
      </c>
      <c r="I71" s="9" t="n">
        <f aca="false">F71+H71</f>
        <v>2.32</v>
      </c>
      <c r="J71" s="8" t="n">
        <f aca="false">IFERROR(F71/SUMIFS($F:$F,$A:$A,A71),0)</f>
        <v>0.00851688693098385</v>
      </c>
      <c r="K71" s="20" t="n">
        <v>0</v>
      </c>
      <c r="L71" s="17"/>
    </row>
    <row r="72" customFormat="false" ht="15" hidden="false" customHeight="false" outlineLevel="0" collapsed="false">
      <c r="A72" s="17" t="s">
        <v>17</v>
      </c>
      <c r="B72" s="17" t="s">
        <v>230</v>
      </c>
      <c r="C72" s="17" t="s">
        <v>62</v>
      </c>
      <c r="D72" s="17" t="s">
        <v>103</v>
      </c>
      <c r="E72" s="17" t="s">
        <v>66</v>
      </c>
      <c r="F72" s="19" t="n">
        <v>2.11</v>
      </c>
      <c r="G72" s="14" t="n">
        <f aca="false">F72/Summary!$C$4</f>
        <v>2.93055555555556</v>
      </c>
      <c r="H72" s="19" t="n">
        <v>0</v>
      </c>
      <c r="I72" s="9" t="n">
        <f aca="false">F72+H72</f>
        <v>2.11</v>
      </c>
      <c r="J72" s="8" t="n">
        <f aca="false">IFERROR(F72/SUMIFS($F:$F,$A:$A,A72),0)</f>
        <v>0.00774596182085169</v>
      </c>
      <c r="K72" s="20" t="n">
        <v>0</v>
      </c>
      <c r="L72" s="17"/>
    </row>
    <row r="73" customFormat="false" ht="15" hidden="false" customHeight="false" outlineLevel="0" collapsed="false">
      <c r="A73" s="17" t="s">
        <v>17</v>
      </c>
      <c r="B73" s="17" t="s">
        <v>231</v>
      </c>
      <c r="C73" s="17" t="s">
        <v>62</v>
      </c>
      <c r="D73" s="17" t="s">
        <v>164</v>
      </c>
      <c r="E73" s="17" t="s">
        <v>66</v>
      </c>
      <c r="F73" s="19" t="n">
        <v>1.95</v>
      </c>
      <c r="G73" s="14" t="n">
        <f aca="false">F73/Summary!$C$4</f>
        <v>2.70833333333333</v>
      </c>
      <c r="H73" s="19" t="n">
        <v>0</v>
      </c>
      <c r="I73" s="9" t="n">
        <f aca="false">F73+H73</f>
        <v>1.95</v>
      </c>
      <c r="J73" s="8" t="n">
        <f aca="false">IFERROR(F73/SUMIFS($F:$F,$A:$A,A73),0)</f>
        <v>0.00715859030837004</v>
      </c>
      <c r="K73" s="20" t="n">
        <v>0</v>
      </c>
      <c r="L73" s="17"/>
    </row>
    <row r="74" customFormat="false" ht="15" hidden="false" customHeight="false" outlineLevel="0" collapsed="false">
      <c r="A74" s="17" t="s">
        <v>17</v>
      </c>
      <c r="B74" s="17" t="s">
        <v>172</v>
      </c>
      <c r="C74" s="17" t="s">
        <v>62</v>
      </c>
      <c r="D74" s="17" t="s">
        <v>161</v>
      </c>
      <c r="E74" s="17" t="s">
        <v>66</v>
      </c>
      <c r="F74" s="19" t="n">
        <v>1.54</v>
      </c>
      <c r="G74" s="14" t="n">
        <f aca="false">F74/Summary!$C$4</f>
        <v>2.13888888888889</v>
      </c>
      <c r="H74" s="19" t="n">
        <v>0</v>
      </c>
      <c r="I74" s="9" t="n">
        <f aca="false">F74+H74</f>
        <v>1.54</v>
      </c>
      <c r="J74" s="8" t="n">
        <f aca="false">IFERROR(F74/SUMIFS($F:$F,$A:$A,A74),0)</f>
        <v>0.00565345080763583</v>
      </c>
      <c r="K74" s="20" t="n">
        <v>3</v>
      </c>
      <c r="L74" s="17"/>
    </row>
    <row r="75" customFormat="false" ht="15" hidden="false" customHeight="false" outlineLevel="0" collapsed="false">
      <c r="A75" s="17" t="s">
        <v>17</v>
      </c>
      <c r="B75" s="17" t="s">
        <v>232</v>
      </c>
      <c r="C75" s="17" t="s">
        <v>69</v>
      </c>
      <c r="D75" s="17" t="s">
        <v>170</v>
      </c>
      <c r="E75" s="17" t="s">
        <v>66</v>
      </c>
      <c r="F75" s="19" t="n">
        <v>1.32</v>
      </c>
      <c r="G75" s="14" t="n">
        <f aca="false">F75/Summary!$C$4</f>
        <v>1.83333333333333</v>
      </c>
      <c r="H75" s="19" t="n">
        <v>0</v>
      </c>
      <c r="I75" s="9" t="n">
        <f aca="false">F75+H75</f>
        <v>1.32</v>
      </c>
      <c r="J75" s="8" t="n">
        <f aca="false">IFERROR(F75/SUMIFS($F:$F,$A:$A,A75),0)</f>
        <v>0.00484581497797357</v>
      </c>
      <c r="K75" s="20" t="n">
        <v>0</v>
      </c>
      <c r="L75" s="17"/>
    </row>
    <row r="76" customFormat="false" ht="15" hidden="false" customHeight="false" outlineLevel="0" collapsed="false">
      <c r="A76" s="17" t="s">
        <v>17</v>
      </c>
      <c r="B76" s="17" t="s">
        <v>233</v>
      </c>
      <c r="C76" s="17" t="s">
        <v>62</v>
      </c>
      <c r="D76" s="17" t="s">
        <v>79</v>
      </c>
      <c r="E76" s="17" t="s">
        <v>66</v>
      </c>
      <c r="F76" s="19" t="n">
        <v>1.17</v>
      </c>
      <c r="G76" s="14" t="n">
        <f aca="false">F76/Summary!$C$4</f>
        <v>1.625</v>
      </c>
      <c r="H76" s="19" t="n">
        <v>0</v>
      </c>
      <c r="I76" s="9" t="n">
        <f aca="false">F76+H76</f>
        <v>1.17</v>
      </c>
      <c r="J76" s="8" t="n">
        <f aca="false">IFERROR(F76/SUMIFS($F:$F,$A:$A,A76),0)</f>
        <v>0.00429515418502203</v>
      </c>
      <c r="K76" s="20" t="n">
        <v>0</v>
      </c>
      <c r="L76" s="17"/>
    </row>
    <row r="77" customFormat="false" ht="15" hidden="false" customHeight="false" outlineLevel="0" collapsed="false">
      <c r="A77" s="17" t="s">
        <v>17</v>
      </c>
      <c r="B77" s="17" t="s">
        <v>234</v>
      </c>
      <c r="C77" s="17" t="s">
        <v>62</v>
      </c>
      <c r="D77" s="17" t="s">
        <v>151</v>
      </c>
      <c r="E77" s="17" t="s">
        <v>66</v>
      </c>
      <c r="F77" s="19" t="n">
        <v>1.11</v>
      </c>
      <c r="G77" s="14" t="n">
        <f aca="false">F77/Summary!$C$4</f>
        <v>1.54166666666667</v>
      </c>
      <c r="H77" s="19" t="n">
        <v>0</v>
      </c>
      <c r="I77" s="9" t="n">
        <f aca="false">F77+H77</f>
        <v>1.11</v>
      </c>
      <c r="J77" s="8" t="n">
        <f aca="false">IFERROR(F77/SUMIFS($F:$F,$A:$A,A77),0)</f>
        <v>0.00407488986784141</v>
      </c>
      <c r="K77" s="20" t="n">
        <v>0</v>
      </c>
      <c r="L77" s="17"/>
    </row>
    <row r="78" customFormat="false" ht="15" hidden="false" customHeight="false" outlineLevel="0" collapsed="false">
      <c r="A78" s="17" t="s">
        <v>17</v>
      </c>
      <c r="B78" s="17" t="s">
        <v>235</v>
      </c>
      <c r="C78" s="17" t="s">
        <v>64</v>
      </c>
      <c r="D78" s="17" t="s">
        <v>236</v>
      </c>
      <c r="E78" s="17" t="s">
        <v>66</v>
      </c>
      <c r="F78" s="19" t="n">
        <v>1.01</v>
      </c>
      <c r="G78" s="14" t="n">
        <f aca="false">F78/Summary!$C$4</f>
        <v>1.40277777777778</v>
      </c>
      <c r="H78" s="19" t="n">
        <v>0</v>
      </c>
      <c r="I78" s="9" t="n">
        <f aca="false">F78+H78</f>
        <v>1.01</v>
      </c>
      <c r="J78" s="8" t="n">
        <f aca="false">IFERROR(F78/SUMIFS($F:$F,$A:$A,A78),0)</f>
        <v>0.00370778267254038</v>
      </c>
      <c r="K78" s="20" t="n">
        <v>2</v>
      </c>
      <c r="L78" s="17"/>
    </row>
    <row r="79" customFormat="false" ht="15" hidden="false" customHeight="false" outlineLevel="0" collapsed="false">
      <c r="A79" s="17" t="s">
        <v>17</v>
      </c>
      <c r="B79" s="17" t="s">
        <v>168</v>
      </c>
      <c r="C79" s="17" t="s">
        <v>69</v>
      </c>
      <c r="D79" s="17" t="s">
        <v>133</v>
      </c>
      <c r="E79" s="18" t="s">
        <v>60</v>
      </c>
      <c r="F79" s="19" t="n">
        <v>1</v>
      </c>
      <c r="G79" s="14" t="n">
        <f aca="false">F79/Summary!$C$4</f>
        <v>1.38888888888889</v>
      </c>
      <c r="H79" s="19" t="n">
        <v>0</v>
      </c>
      <c r="I79" s="9" t="n">
        <f aca="false">F79+H79</f>
        <v>1</v>
      </c>
      <c r="J79" s="8" t="n">
        <f aca="false">IFERROR(F79/SUMIFS($F:$F,$A:$A,A79),0)</f>
        <v>0.00367107195301028</v>
      </c>
      <c r="K79" s="20" t="n">
        <v>0</v>
      </c>
      <c r="L79" s="17"/>
    </row>
    <row r="80" customFormat="false" ht="15" hidden="false" customHeight="false" outlineLevel="0" collapsed="false">
      <c r="A80" s="17" t="s">
        <v>21</v>
      </c>
      <c r="B80" s="17" t="s">
        <v>237</v>
      </c>
      <c r="C80" s="17" t="s">
        <v>62</v>
      </c>
      <c r="D80" s="17" t="s">
        <v>133</v>
      </c>
      <c r="E80" s="18" t="s">
        <v>60</v>
      </c>
      <c r="F80" s="19" t="n">
        <v>60.27</v>
      </c>
      <c r="G80" s="14" t="n">
        <f aca="false">F80/Summary!$C$4</f>
        <v>83.7083333333333</v>
      </c>
      <c r="H80" s="19" t="n">
        <v>0</v>
      </c>
      <c r="I80" s="9" t="n">
        <f aca="false">F80+H80</f>
        <v>60.27</v>
      </c>
      <c r="J80" s="8" t="n">
        <f aca="false">IFERROR(F80/SUMIFS($F:$F,$A:$A,A80),0)</f>
        <v>0.321354305518528</v>
      </c>
      <c r="K80" s="20" t="n">
        <v>5</v>
      </c>
      <c r="L80" s="17"/>
    </row>
    <row r="81" customFormat="false" ht="15" hidden="false" customHeight="false" outlineLevel="0" collapsed="false">
      <c r="A81" s="17" t="s">
        <v>21</v>
      </c>
      <c r="B81" s="17" t="s">
        <v>238</v>
      </c>
      <c r="C81" s="17" t="s">
        <v>58</v>
      </c>
      <c r="D81" s="17" t="s">
        <v>239</v>
      </c>
      <c r="E81" s="17" t="s">
        <v>66</v>
      </c>
      <c r="F81" s="19" t="n">
        <v>32.51</v>
      </c>
      <c r="G81" s="14" t="n">
        <f aca="false">F81/Summary!$C$4</f>
        <v>45.1527777777778</v>
      </c>
      <c r="H81" s="19" t="n">
        <v>0</v>
      </c>
      <c r="I81" s="9" t="n">
        <f aca="false">F81+H81</f>
        <v>32.51</v>
      </c>
      <c r="J81" s="8" t="n">
        <f aca="false">IFERROR(F81/SUMIFS($F:$F,$A:$A,A81),0)</f>
        <v>0.173340442548654</v>
      </c>
      <c r="K81" s="20" t="n">
        <v>1</v>
      </c>
      <c r="L81" s="17"/>
    </row>
    <row r="82" customFormat="false" ht="15" hidden="false" customHeight="false" outlineLevel="0" collapsed="false">
      <c r="A82" s="17" t="s">
        <v>21</v>
      </c>
      <c r="B82" s="17" t="s">
        <v>240</v>
      </c>
      <c r="C82" s="17" t="s">
        <v>64</v>
      </c>
      <c r="D82" s="17" t="s">
        <v>133</v>
      </c>
      <c r="E82" s="18" t="s">
        <v>60</v>
      </c>
      <c r="F82" s="19" t="n">
        <v>9.77</v>
      </c>
      <c r="G82" s="14" t="n">
        <f aca="false">F82/Summary!$C$4</f>
        <v>13.5694444444444</v>
      </c>
      <c r="H82" s="19" t="n">
        <v>0</v>
      </c>
      <c r="I82" s="9" t="n">
        <f aca="false">F82+H82</f>
        <v>9.77</v>
      </c>
      <c r="J82" s="8" t="n">
        <f aca="false">IFERROR(F82/SUMIFS($F:$F,$A:$A,A82),0)</f>
        <v>0.0520927752599307</v>
      </c>
      <c r="K82" s="20" t="n">
        <v>0</v>
      </c>
      <c r="L82" s="17"/>
    </row>
    <row r="83" customFormat="false" ht="15" hidden="false" customHeight="false" outlineLevel="0" collapsed="false">
      <c r="A83" s="17" t="s">
        <v>21</v>
      </c>
      <c r="B83" s="17" t="s">
        <v>241</v>
      </c>
      <c r="C83" s="17" t="s">
        <v>64</v>
      </c>
      <c r="D83" s="17" t="s">
        <v>59</v>
      </c>
      <c r="E83" s="17" t="s">
        <v>66</v>
      </c>
      <c r="F83" s="19" t="n">
        <v>8.24</v>
      </c>
      <c r="G83" s="14" t="n">
        <f aca="false">F83/Summary!$C$4</f>
        <v>11.4444444444444</v>
      </c>
      <c r="H83" s="19" t="n">
        <v>0</v>
      </c>
      <c r="I83" s="9" t="n">
        <f aca="false">F83+H83</f>
        <v>8.24</v>
      </c>
      <c r="J83" s="8" t="n">
        <f aca="false">IFERROR(F83/SUMIFS($F:$F,$A:$A,A83),0)</f>
        <v>0.0439349506798187</v>
      </c>
      <c r="K83" s="20" t="n">
        <v>1</v>
      </c>
      <c r="L83" s="17"/>
    </row>
    <row r="84" customFormat="false" ht="15" hidden="false" customHeight="false" outlineLevel="0" collapsed="false">
      <c r="A84" s="17" t="s">
        <v>21</v>
      </c>
      <c r="B84" s="17" t="s">
        <v>242</v>
      </c>
      <c r="C84" s="17" t="s">
        <v>62</v>
      </c>
      <c r="D84" s="17" t="s">
        <v>243</v>
      </c>
      <c r="E84" s="17" t="s">
        <v>66</v>
      </c>
      <c r="F84" s="19" t="n">
        <v>8.09</v>
      </c>
      <c r="G84" s="14" t="n">
        <f aca="false">F84/Summary!$C$4</f>
        <v>11.2361111111111</v>
      </c>
      <c r="H84" s="19" t="n">
        <v>0</v>
      </c>
      <c r="I84" s="9" t="n">
        <f aca="false">F84+H84</f>
        <v>8.09</v>
      </c>
      <c r="J84" s="8" t="n">
        <f aca="false">IFERROR(F84/SUMIFS($F:$F,$A:$A,A84),0)</f>
        <v>0.0431351639562783</v>
      </c>
      <c r="K84" s="20" t="n">
        <v>0</v>
      </c>
      <c r="L84" s="17"/>
    </row>
    <row r="85" customFormat="false" ht="15" hidden="false" customHeight="false" outlineLevel="0" collapsed="false">
      <c r="A85" s="17" t="s">
        <v>21</v>
      </c>
      <c r="B85" s="17" t="s">
        <v>244</v>
      </c>
      <c r="C85" s="17" t="s">
        <v>58</v>
      </c>
      <c r="D85" s="17" t="s">
        <v>59</v>
      </c>
      <c r="E85" s="17" t="s">
        <v>66</v>
      </c>
      <c r="F85" s="19" t="n">
        <v>8.03</v>
      </c>
      <c r="G85" s="14" t="n">
        <f aca="false">F85/Summary!$C$4</f>
        <v>11.1527777777778</v>
      </c>
      <c r="H85" s="19" t="n">
        <v>0</v>
      </c>
      <c r="I85" s="9" t="n">
        <f aca="false">F85+H85</f>
        <v>8.03</v>
      </c>
      <c r="J85" s="8" t="n">
        <f aca="false">IFERROR(F85/SUMIFS($F:$F,$A:$A,A85),0)</f>
        <v>0.0428152492668622</v>
      </c>
      <c r="K85" s="20" t="n">
        <v>0</v>
      </c>
      <c r="L85" s="17"/>
    </row>
    <row r="86" customFormat="false" ht="15" hidden="false" customHeight="false" outlineLevel="0" collapsed="false">
      <c r="A86" s="17" t="s">
        <v>21</v>
      </c>
      <c r="B86" s="17" t="s">
        <v>245</v>
      </c>
      <c r="C86" s="17" t="s">
        <v>69</v>
      </c>
      <c r="D86" s="17" t="s">
        <v>145</v>
      </c>
      <c r="E86" s="17" t="s">
        <v>66</v>
      </c>
      <c r="F86" s="19" t="n">
        <v>7.71</v>
      </c>
      <c r="G86" s="14" t="n">
        <f aca="false">F86/Summary!$C$4</f>
        <v>10.7083333333333</v>
      </c>
      <c r="H86" s="19" t="n">
        <v>0</v>
      </c>
      <c r="I86" s="9" t="n">
        <f aca="false">F86+H86</f>
        <v>7.71</v>
      </c>
      <c r="J86" s="8" t="n">
        <f aca="false">IFERROR(F86/SUMIFS($F:$F,$A:$A,A86),0)</f>
        <v>0.041109037589976</v>
      </c>
      <c r="K86" s="20" t="n">
        <v>0</v>
      </c>
      <c r="L86" s="17"/>
    </row>
    <row r="87" customFormat="false" ht="15" hidden="false" customHeight="false" outlineLevel="0" collapsed="false">
      <c r="A87" s="17" t="s">
        <v>21</v>
      </c>
      <c r="B87" s="17" t="s">
        <v>246</v>
      </c>
      <c r="C87" s="17" t="s">
        <v>62</v>
      </c>
      <c r="D87" s="17" t="s">
        <v>145</v>
      </c>
      <c r="E87" s="17" t="s">
        <v>66</v>
      </c>
      <c r="F87" s="19" t="n">
        <v>7.11</v>
      </c>
      <c r="G87" s="14" t="n">
        <f aca="false">F87/Summary!$C$4</f>
        <v>9.875</v>
      </c>
      <c r="H87" s="19" t="n">
        <v>0</v>
      </c>
      <c r="I87" s="9" t="n">
        <f aca="false">F87+H87</f>
        <v>7.11</v>
      </c>
      <c r="J87" s="8" t="n">
        <f aca="false">IFERROR(F87/SUMIFS($F:$F,$A:$A,A87),0)</f>
        <v>0.0379098906958145</v>
      </c>
      <c r="K87" s="20" t="n">
        <v>3</v>
      </c>
      <c r="L87" s="17"/>
    </row>
    <row r="88" customFormat="false" ht="15" hidden="false" customHeight="false" outlineLevel="0" collapsed="false">
      <c r="A88" s="17" t="s">
        <v>21</v>
      </c>
      <c r="B88" s="17" t="s">
        <v>247</v>
      </c>
      <c r="C88" s="17" t="s">
        <v>64</v>
      </c>
      <c r="D88" s="17" t="s">
        <v>155</v>
      </c>
      <c r="E88" s="17" t="s">
        <v>66</v>
      </c>
      <c r="F88" s="19" t="n">
        <v>6.81</v>
      </c>
      <c r="G88" s="14" t="n">
        <f aca="false">F88/Summary!$C$4</f>
        <v>9.45833333333333</v>
      </c>
      <c r="H88" s="19" t="n">
        <v>0</v>
      </c>
      <c r="I88" s="9" t="n">
        <f aca="false">F88+H88</f>
        <v>6.81</v>
      </c>
      <c r="J88" s="8" t="n">
        <f aca="false">IFERROR(F88/SUMIFS($F:$F,$A:$A,A88),0)</f>
        <v>0.0363103172487337</v>
      </c>
      <c r="K88" s="20" t="n">
        <v>1</v>
      </c>
      <c r="L88" s="17"/>
    </row>
    <row r="89" customFormat="false" ht="15" hidden="false" customHeight="false" outlineLevel="0" collapsed="false">
      <c r="A89" s="17" t="s">
        <v>21</v>
      </c>
      <c r="B89" s="17" t="s">
        <v>248</v>
      </c>
      <c r="C89" s="17" t="s">
        <v>58</v>
      </c>
      <c r="D89" s="17" t="s">
        <v>155</v>
      </c>
      <c r="E89" s="17" t="s">
        <v>66</v>
      </c>
      <c r="F89" s="19" t="n">
        <v>6.22</v>
      </c>
      <c r="G89" s="14" t="n">
        <f aca="false">F89/Summary!$C$4</f>
        <v>8.63888888888889</v>
      </c>
      <c r="H89" s="19" t="n">
        <v>0</v>
      </c>
      <c r="I89" s="9" t="n">
        <f aca="false">F89+H89</f>
        <v>6.22</v>
      </c>
      <c r="J89" s="8" t="n">
        <f aca="false">IFERROR(F89/SUMIFS($F:$F,$A:$A,A89),0)</f>
        <v>0.0331644894694748</v>
      </c>
      <c r="K89" s="20" t="n">
        <v>1</v>
      </c>
      <c r="L89" s="17"/>
    </row>
    <row r="90" customFormat="false" ht="15" hidden="false" customHeight="false" outlineLevel="0" collapsed="false">
      <c r="A90" s="17" t="s">
        <v>21</v>
      </c>
      <c r="B90" s="17" t="s">
        <v>249</v>
      </c>
      <c r="C90" s="17" t="s">
        <v>62</v>
      </c>
      <c r="D90" s="17" t="s">
        <v>170</v>
      </c>
      <c r="E90" s="17" t="s">
        <v>66</v>
      </c>
      <c r="F90" s="19" t="n">
        <v>4.19</v>
      </c>
      <c r="G90" s="14" t="n">
        <f aca="false">F90/Summary!$C$4</f>
        <v>5.81944444444445</v>
      </c>
      <c r="H90" s="19" t="n">
        <v>0</v>
      </c>
      <c r="I90" s="9" t="n">
        <f aca="false">F90+H90</f>
        <v>4.19</v>
      </c>
      <c r="J90" s="8" t="n">
        <f aca="false">IFERROR(F90/SUMIFS($F:$F,$A:$A,A90),0)</f>
        <v>0.0223407091442282</v>
      </c>
      <c r="K90" s="20" t="n">
        <v>1</v>
      </c>
      <c r="L90" s="17"/>
    </row>
    <row r="91" customFormat="false" ht="15" hidden="false" customHeight="false" outlineLevel="0" collapsed="false">
      <c r="A91" s="17" t="s">
        <v>21</v>
      </c>
      <c r="B91" s="17" t="s">
        <v>250</v>
      </c>
      <c r="C91" s="17" t="s">
        <v>64</v>
      </c>
      <c r="D91" s="17" t="s">
        <v>133</v>
      </c>
      <c r="E91" s="18" t="s">
        <v>60</v>
      </c>
      <c r="F91" s="19" t="n">
        <v>3.81</v>
      </c>
      <c r="G91" s="14" t="n">
        <f aca="false">F91/Summary!$C$4</f>
        <v>5.29166666666667</v>
      </c>
      <c r="H91" s="19" t="n">
        <v>0</v>
      </c>
      <c r="I91" s="9" t="n">
        <f aca="false">F91+H91</f>
        <v>3.81</v>
      </c>
      <c r="J91" s="8" t="n">
        <f aca="false">IFERROR(F91/SUMIFS($F:$F,$A:$A,A91),0)</f>
        <v>0.0203145827779259</v>
      </c>
      <c r="K91" s="20" t="n">
        <v>0</v>
      </c>
      <c r="L91" s="17"/>
    </row>
    <row r="92" customFormat="false" ht="15" hidden="false" customHeight="false" outlineLevel="0" collapsed="false">
      <c r="A92" s="17" t="s">
        <v>21</v>
      </c>
      <c r="B92" s="17" t="s">
        <v>251</v>
      </c>
      <c r="C92" s="17" t="s">
        <v>62</v>
      </c>
      <c r="D92" s="17" t="s">
        <v>153</v>
      </c>
      <c r="E92" s="17" t="s">
        <v>66</v>
      </c>
      <c r="F92" s="19" t="n">
        <v>3.56</v>
      </c>
      <c r="G92" s="14" t="n">
        <f aca="false">F92/Summary!$C$4</f>
        <v>4.94444444444445</v>
      </c>
      <c r="H92" s="19" t="n">
        <v>0</v>
      </c>
      <c r="I92" s="9" t="n">
        <f aca="false">F92+H92</f>
        <v>3.56</v>
      </c>
      <c r="J92" s="8" t="n">
        <f aca="false">IFERROR(F92/SUMIFS($F:$F,$A:$A,A92),0)</f>
        <v>0.0189816049053586</v>
      </c>
      <c r="K92" s="20" t="n">
        <v>1</v>
      </c>
      <c r="L92" s="17"/>
    </row>
    <row r="93" customFormat="false" ht="15" hidden="false" customHeight="false" outlineLevel="0" collapsed="false">
      <c r="A93" s="17" t="s">
        <v>21</v>
      </c>
      <c r="B93" s="17" t="s">
        <v>252</v>
      </c>
      <c r="C93" s="17" t="s">
        <v>58</v>
      </c>
      <c r="D93" s="17" t="s">
        <v>170</v>
      </c>
      <c r="E93" s="17" t="s">
        <v>66</v>
      </c>
      <c r="F93" s="19" t="n">
        <v>3.54</v>
      </c>
      <c r="G93" s="14" t="n">
        <f aca="false">F93/Summary!$C$4</f>
        <v>4.91666666666667</v>
      </c>
      <c r="H93" s="19" t="n">
        <v>0</v>
      </c>
      <c r="I93" s="9" t="n">
        <f aca="false">F93+H93</f>
        <v>3.54</v>
      </c>
      <c r="J93" s="8" t="n">
        <f aca="false">IFERROR(F93/SUMIFS($F:$F,$A:$A,A93),0)</f>
        <v>0.0188749666755532</v>
      </c>
      <c r="K93" s="20" t="n">
        <v>1</v>
      </c>
      <c r="L93" s="17"/>
    </row>
    <row r="94" customFormat="false" ht="15" hidden="false" customHeight="false" outlineLevel="0" collapsed="false">
      <c r="A94" s="17" t="s">
        <v>21</v>
      </c>
      <c r="B94" s="17" t="s">
        <v>253</v>
      </c>
      <c r="C94" s="17" t="s">
        <v>62</v>
      </c>
      <c r="D94" s="17" t="s">
        <v>189</v>
      </c>
      <c r="E94" s="17" t="s">
        <v>66</v>
      </c>
      <c r="F94" s="19" t="n">
        <v>3.38</v>
      </c>
      <c r="G94" s="14" t="n">
        <f aca="false">F94/Summary!$C$4</f>
        <v>4.69444444444445</v>
      </c>
      <c r="H94" s="19" t="n">
        <v>0</v>
      </c>
      <c r="I94" s="9" t="n">
        <f aca="false">F94+H94</f>
        <v>3.38</v>
      </c>
      <c r="J94" s="8" t="n">
        <f aca="false">IFERROR(F94/SUMIFS($F:$F,$A:$A,A94),0)</f>
        <v>0.0180218608371101</v>
      </c>
      <c r="K94" s="20" t="n">
        <v>0</v>
      </c>
      <c r="L94" s="17"/>
    </row>
    <row r="95" customFormat="false" ht="15" hidden="false" customHeight="false" outlineLevel="0" collapsed="false">
      <c r="A95" s="17" t="s">
        <v>21</v>
      </c>
      <c r="B95" s="17" t="s">
        <v>254</v>
      </c>
      <c r="C95" s="17" t="s">
        <v>69</v>
      </c>
      <c r="D95" s="17" t="s">
        <v>79</v>
      </c>
      <c r="E95" s="17" t="s">
        <v>66</v>
      </c>
      <c r="F95" s="19" t="n">
        <v>2.32</v>
      </c>
      <c r="G95" s="14" t="n">
        <f aca="false">F95/Summary!$C$4</f>
        <v>3.22222222222222</v>
      </c>
      <c r="H95" s="19" t="n">
        <v>0</v>
      </c>
      <c r="I95" s="9" t="n">
        <f aca="false">F95+H95</f>
        <v>2.32</v>
      </c>
      <c r="J95" s="8" t="n">
        <f aca="false">IFERROR(F95/SUMIFS($F:$F,$A:$A,A95),0)</f>
        <v>0.0123700346574247</v>
      </c>
      <c r="K95" s="20" t="n">
        <v>1</v>
      </c>
      <c r="L95" s="17"/>
    </row>
    <row r="96" customFormat="false" ht="15" hidden="false" customHeight="false" outlineLevel="0" collapsed="false">
      <c r="A96" s="17" t="s">
        <v>21</v>
      </c>
      <c r="B96" s="17" t="s">
        <v>255</v>
      </c>
      <c r="C96" s="17" t="s">
        <v>69</v>
      </c>
      <c r="D96" s="17" t="s">
        <v>133</v>
      </c>
      <c r="E96" s="18" t="s">
        <v>60</v>
      </c>
      <c r="F96" s="19" t="n">
        <v>2.24</v>
      </c>
      <c r="G96" s="14" t="n">
        <f aca="false">F96/Summary!$C$4</f>
        <v>3.11111111111111</v>
      </c>
      <c r="H96" s="19" t="n">
        <v>0</v>
      </c>
      <c r="I96" s="9" t="n">
        <f aca="false">F96+H96</f>
        <v>2.24</v>
      </c>
      <c r="J96" s="8" t="n">
        <f aca="false">IFERROR(F96/SUMIFS($F:$F,$A:$A,A96),0)</f>
        <v>0.0119434817382031</v>
      </c>
      <c r="K96" s="20" t="n">
        <v>0</v>
      </c>
      <c r="L96" s="17"/>
    </row>
    <row r="97" customFormat="false" ht="15" hidden="false" customHeight="false" outlineLevel="0" collapsed="false">
      <c r="A97" s="17" t="s">
        <v>21</v>
      </c>
      <c r="B97" s="17" t="s">
        <v>256</v>
      </c>
      <c r="C97" s="17" t="s">
        <v>64</v>
      </c>
      <c r="D97" s="17" t="s">
        <v>257</v>
      </c>
      <c r="E97" s="17" t="s">
        <v>66</v>
      </c>
      <c r="F97" s="19" t="n">
        <v>2.07</v>
      </c>
      <c r="G97" s="14" t="n">
        <f aca="false">F97/Summary!$C$4</f>
        <v>2.875</v>
      </c>
      <c r="H97" s="19" t="n">
        <v>0</v>
      </c>
      <c r="I97" s="9" t="n">
        <f aca="false">F97+H97</f>
        <v>2.07</v>
      </c>
      <c r="J97" s="8" t="n">
        <f aca="false">IFERROR(F97/SUMIFS($F:$F,$A:$A,A97),0)</f>
        <v>0.0110370567848574</v>
      </c>
      <c r="K97" s="20" t="n">
        <v>1</v>
      </c>
      <c r="L97" s="17"/>
    </row>
    <row r="98" customFormat="false" ht="15" hidden="false" customHeight="false" outlineLevel="0" collapsed="false">
      <c r="A98" s="17" t="s">
        <v>21</v>
      </c>
      <c r="B98" s="17" t="s">
        <v>258</v>
      </c>
      <c r="C98" s="17" t="s">
        <v>58</v>
      </c>
      <c r="D98" s="17" t="s">
        <v>79</v>
      </c>
      <c r="E98" s="17" t="s">
        <v>66</v>
      </c>
      <c r="F98" s="19" t="n">
        <v>1.55</v>
      </c>
      <c r="G98" s="14" t="n">
        <f aca="false">F98/Summary!$C$4</f>
        <v>2.15277777777778</v>
      </c>
      <c r="H98" s="19" t="n">
        <v>0</v>
      </c>
      <c r="I98" s="9" t="n">
        <f aca="false">F98+H98</f>
        <v>1.55</v>
      </c>
      <c r="J98" s="8" t="n">
        <f aca="false">IFERROR(F98/SUMIFS($F:$F,$A:$A,A98),0)</f>
        <v>0.00826446280991736</v>
      </c>
      <c r="K98" s="20" t="n">
        <v>1</v>
      </c>
      <c r="L98" s="17"/>
    </row>
    <row r="99" customFormat="false" ht="15" hidden="false" customHeight="false" outlineLevel="0" collapsed="false">
      <c r="A99" s="17" t="s">
        <v>21</v>
      </c>
      <c r="B99" s="17" t="s">
        <v>259</v>
      </c>
      <c r="C99" s="17" t="s">
        <v>62</v>
      </c>
      <c r="D99" s="17" t="s">
        <v>59</v>
      </c>
      <c r="E99" s="17" t="s">
        <v>66</v>
      </c>
      <c r="F99" s="19" t="n">
        <v>1.55</v>
      </c>
      <c r="G99" s="14" t="n">
        <f aca="false">F99/Summary!$C$4</f>
        <v>2.15277777777778</v>
      </c>
      <c r="H99" s="19" t="n">
        <v>0</v>
      </c>
      <c r="I99" s="9" t="n">
        <f aca="false">F99+H99</f>
        <v>1.55</v>
      </c>
      <c r="J99" s="8" t="n">
        <f aca="false">IFERROR(F99/SUMIFS($F:$F,$A:$A,A99),0)</f>
        <v>0.00826446280991736</v>
      </c>
      <c r="K99" s="20" t="n">
        <v>1</v>
      </c>
      <c r="L99" s="17"/>
    </row>
    <row r="100" customFormat="false" ht="15" hidden="false" customHeight="false" outlineLevel="0" collapsed="false">
      <c r="A100" s="17" t="s">
        <v>21</v>
      </c>
      <c r="B100" s="17" t="s">
        <v>260</v>
      </c>
      <c r="C100" s="17" t="s">
        <v>64</v>
      </c>
      <c r="D100" s="17" t="s">
        <v>176</v>
      </c>
      <c r="E100" s="17" t="s">
        <v>66</v>
      </c>
      <c r="F100" s="19" t="n">
        <v>1.24</v>
      </c>
      <c r="G100" s="14" t="n">
        <f aca="false">F100/Summary!$C$4</f>
        <v>1.72222222222222</v>
      </c>
      <c r="H100" s="19" t="n">
        <v>0</v>
      </c>
      <c r="I100" s="9" t="n">
        <f aca="false">F100+H100</f>
        <v>1.24</v>
      </c>
      <c r="J100" s="8" t="n">
        <f aca="false">IFERROR(F100/SUMIFS($F:$F,$A:$A,A100),0)</f>
        <v>0.00661157024793388</v>
      </c>
      <c r="K100" s="20" t="n">
        <v>1</v>
      </c>
      <c r="L100" s="17"/>
    </row>
    <row r="101" customFormat="false" ht="15" hidden="false" customHeight="false" outlineLevel="0" collapsed="false">
      <c r="A101" s="17" t="s">
        <v>21</v>
      </c>
      <c r="B101" s="17" t="s">
        <v>261</v>
      </c>
      <c r="C101" s="17" t="s">
        <v>58</v>
      </c>
      <c r="D101" s="17" t="s">
        <v>151</v>
      </c>
      <c r="E101" s="17" t="s">
        <v>66</v>
      </c>
      <c r="F101" s="19" t="n">
        <v>1.17</v>
      </c>
      <c r="G101" s="14" t="n">
        <f aca="false">F101/Summary!$C$4</f>
        <v>1.625</v>
      </c>
      <c r="H101" s="19" t="n">
        <v>0</v>
      </c>
      <c r="I101" s="9" t="n">
        <f aca="false">F101+H101</f>
        <v>1.17</v>
      </c>
      <c r="J101" s="8" t="n">
        <f aca="false">IFERROR(F101/SUMIFS($F:$F,$A:$A,A101),0)</f>
        <v>0.00623833644361504</v>
      </c>
      <c r="K101" s="20" t="n">
        <v>0</v>
      </c>
      <c r="L101" s="17"/>
    </row>
    <row r="102" customFormat="false" ht="15" hidden="false" customHeight="false" outlineLevel="0" collapsed="false">
      <c r="A102" s="17" t="s">
        <v>21</v>
      </c>
      <c r="B102" s="17" t="s">
        <v>262</v>
      </c>
      <c r="C102" s="17" t="s">
        <v>62</v>
      </c>
      <c r="D102" s="17" t="s">
        <v>59</v>
      </c>
      <c r="E102" s="17" t="s">
        <v>66</v>
      </c>
      <c r="F102" s="19" t="n">
        <v>1.1</v>
      </c>
      <c r="G102" s="14" t="n">
        <f aca="false">F102/Summary!$C$4</f>
        <v>1.52777777777778</v>
      </c>
      <c r="H102" s="19" t="n">
        <v>0</v>
      </c>
      <c r="I102" s="9" t="n">
        <f aca="false">F102+H102</f>
        <v>1.1</v>
      </c>
      <c r="J102" s="8" t="n">
        <f aca="false">IFERROR(F102/SUMIFS($F:$F,$A:$A,A102),0)</f>
        <v>0.00586510263929619</v>
      </c>
      <c r="K102" s="20" t="n">
        <v>0</v>
      </c>
      <c r="L102" s="17"/>
    </row>
    <row r="103" customFormat="false" ht="15" hidden="false" customHeight="false" outlineLevel="0" collapsed="false">
      <c r="A103" s="17" t="s">
        <v>21</v>
      </c>
      <c r="B103" s="17" t="s">
        <v>263</v>
      </c>
      <c r="C103" s="17" t="s">
        <v>62</v>
      </c>
      <c r="D103" s="17" t="s">
        <v>151</v>
      </c>
      <c r="E103" s="17" t="s">
        <v>66</v>
      </c>
      <c r="F103" s="19" t="n">
        <v>1.07</v>
      </c>
      <c r="G103" s="14" t="n">
        <f aca="false">F103/Summary!$C$4</f>
        <v>1.48611111111111</v>
      </c>
      <c r="H103" s="19" t="n">
        <v>0</v>
      </c>
      <c r="I103" s="9" t="n">
        <f aca="false">F103+H103</f>
        <v>1.07</v>
      </c>
      <c r="J103" s="8" t="n">
        <f aca="false">IFERROR(F103/SUMIFS($F:$F,$A:$A,A103),0)</f>
        <v>0.00570514529458811</v>
      </c>
      <c r="K103" s="20" t="n">
        <v>0</v>
      </c>
      <c r="L103" s="17"/>
    </row>
  </sheetData>
  <autoFilter ref="A4:L10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9" min="7" style="0" width="9"/>
    <col collapsed="false" customWidth="true" hidden="false" outlineLevel="0" max="10" min="10" style="0" width="13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264</v>
      </c>
    </row>
    <row r="2" customFormat="false" ht="15" hidden="false" customHeight="false" outlineLevel="0" collapsed="false">
      <c r="A2" s="2" t="s">
        <v>265</v>
      </c>
    </row>
    <row r="4" customFormat="false" ht="31.5" hidden="false" customHeight="true" outlineLevel="0" collapsed="false">
      <c r="A4" s="6" t="s">
        <v>5</v>
      </c>
      <c r="B4" s="6" t="s">
        <v>48</v>
      </c>
      <c r="C4" s="6" t="s">
        <v>266</v>
      </c>
      <c r="D4" s="6" t="s">
        <v>267</v>
      </c>
      <c r="E4" s="6" t="s">
        <v>268</v>
      </c>
      <c r="F4" s="6" t="s">
        <v>269</v>
      </c>
      <c r="G4" s="6" t="s">
        <v>270</v>
      </c>
      <c r="H4" s="6" t="s">
        <v>271</v>
      </c>
      <c r="I4" s="6" t="s">
        <v>272</v>
      </c>
      <c r="J4" s="6" t="s">
        <v>273</v>
      </c>
      <c r="K4" s="6" t="s">
        <v>274</v>
      </c>
    </row>
    <row r="5" customFormat="false" ht="23.85" hidden="false" customHeight="false" outlineLevel="0" collapsed="false">
      <c r="A5" s="3" t="s">
        <v>17</v>
      </c>
      <c r="B5" s="17" t="s">
        <v>62</v>
      </c>
      <c r="C5" s="18" t="s">
        <v>275</v>
      </c>
      <c r="D5" s="21" t="n">
        <f aca="false">COUNTIFS(CTR_30d_Data!$A:$A,$A5,CTR_30d_Data!$B:$B,$B5,CTR_30d_Data!$C:$C,"Yes",CTR_30d_Data!$D:$D,"No")</f>
        <v>97</v>
      </c>
      <c r="E5" s="21" t="n">
        <f aca="false">SUMIFS(CTR_30d_Data!$I:$I,CTR_30d_Data!$A:$A,$A5,CTR_30d_Data!$B:$B,$B5,CTR_30d_Data!$C:$C,"Yes",CTR_30d_Data!$D:$D,"No")</f>
        <v>228902</v>
      </c>
      <c r="F5" s="21" t="n">
        <f aca="false">SUMIFS(CTR_30d_Data!$J:$J,CTR_30d_Data!$A:$A,$A5,CTR_30d_Data!$B:$B,$B5,CTR_30d_Data!$C:$C,"Yes",CTR_30d_Data!$D:$D,"No")</f>
        <v>2293</v>
      </c>
      <c r="G5" s="22" t="n">
        <f aca="false">IFERROR(F5/E5,0)</f>
        <v>0.0100173873535399</v>
      </c>
      <c r="H5" s="21" t="n">
        <f aca="false">SUMIFS(CTR_30d_Data!$M:$M,CTR_30d_Data!$A:$A,$A5,CTR_30d_Data!$B:$B,$B5,CTR_30d_Data!$C:$C,"Yes",CTR_30d_Data!$D:$D,"No")</f>
        <v>410</v>
      </c>
      <c r="I5" s="8" t="n">
        <f aca="false">IFERROR(H5/F5,0)</f>
        <v>0.178805058874836</v>
      </c>
      <c r="J5" s="7" t="n">
        <f aca="false">SUMIFS(CTR_30d_Data!$L:$L,CTR_30d_Data!$A:$A,$A5,CTR_30d_Data!$B:$B,$B5,CTR_30d_Data!$C:$C,"Yes",CTR_30d_Data!$D:$D,"No")</f>
        <v>4312.73</v>
      </c>
      <c r="K5" s="23" t="s">
        <v>276</v>
      </c>
    </row>
    <row r="6" customFormat="false" ht="15" hidden="false" customHeight="false" outlineLevel="0" collapsed="false">
      <c r="A6" s="17" t="s">
        <v>17</v>
      </c>
      <c r="B6" s="17" t="s">
        <v>62</v>
      </c>
      <c r="C6" s="17" t="s">
        <v>277</v>
      </c>
      <c r="D6" s="21" t="n">
        <f aca="false">COUNTIFS(CTR_30d_Data!$A:$A,$A6,CTR_30d_Data!$B:$B,$B6,CTR_30d_Data!$C:$C,"No",CTR_30d_Data!$D:$D,"No")</f>
        <v>33</v>
      </c>
      <c r="E6" s="21" t="n">
        <f aca="false">SUMIFS(CTR_30d_Data!$I:$I,CTR_30d_Data!$A:$A,$A6,CTR_30d_Data!$B:$B,$B6,CTR_30d_Data!$C:$C,"No",CTR_30d_Data!$D:$D,"No")</f>
        <v>319294</v>
      </c>
      <c r="F6" s="21" t="n">
        <f aca="false">SUMIFS(CTR_30d_Data!$J:$J,CTR_30d_Data!$A:$A,$A6,CTR_30d_Data!$B:$B,$B6,CTR_30d_Data!$C:$C,"No",CTR_30d_Data!$D:$D,"No")</f>
        <v>1446</v>
      </c>
      <c r="G6" s="22" t="n">
        <f aca="false">IFERROR(F6/E6,0)</f>
        <v>0.00452874153601383</v>
      </c>
      <c r="H6" s="21" t="n">
        <f aca="false">SUMIFS(CTR_30d_Data!$M:$M,CTR_30d_Data!$A:$A,$A6,CTR_30d_Data!$B:$B,$B6,CTR_30d_Data!$C:$C,"No",CTR_30d_Data!$D:$D,"No")</f>
        <v>226</v>
      </c>
      <c r="I6" s="8" t="n">
        <f aca="false">IFERROR(H6/F6,0)</f>
        <v>0.156293222683264</v>
      </c>
      <c r="J6" s="7" t="n">
        <f aca="false">SUMIFS(CTR_30d_Data!$L:$L,CTR_30d_Data!$A:$A,$A6,CTR_30d_Data!$B:$B,$B6,CTR_30d_Data!$C:$C,"No",CTR_30d_Data!$D:$D,"No")</f>
        <v>3055.9</v>
      </c>
      <c r="K6" s="23"/>
    </row>
    <row r="7" customFormat="false" ht="15" hidden="false" customHeight="false" outlineLevel="0" collapsed="false">
      <c r="A7" s="3" t="s">
        <v>17</v>
      </c>
      <c r="B7" s="17" t="s">
        <v>64</v>
      </c>
      <c r="C7" s="18" t="s">
        <v>275</v>
      </c>
      <c r="D7" s="21" t="n">
        <f aca="false">COUNTIFS(CTR_30d_Data!$A:$A,$A7,CTR_30d_Data!$B:$B,$B7,CTR_30d_Data!$C:$C,"Yes",CTR_30d_Data!$D:$D,"No")</f>
        <v>33</v>
      </c>
      <c r="E7" s="21" t="n">
        <f aca="false">SUMIFS(CTR_30d_Data!$I:$I,CTR_30d_Data!$A:$A,$A7,CTR_30d_Data!$B:$B,$B7,CTR_30d_Data!$C:$C,"Yes",CTR_30d_Data!$D:$D,"No")</f>
        <v>43425</v>
      </c>
      <c r="F7" s="21" t="n">
        <f aca="false">SUMIFS(CTR_30d_Data!$J:$J,CTR_30d_Data!$A:$A,$A7,CTR_30d_Data!$B:$B,$B7,CTR_30d_Data!$C:$C,"Yes",CTR_30d_Data!$D:$D,"No")</f>
        <v>707</v>
      </c>
      <c r="G7" s="22" t="n">
        <f aca="false">IFERROR(F7/E7,0)</f>
        <v>0.0162809441565918</v>
      </c>
      <c r="H7" s="21" t="n">
        <f aca="false">SUMIFS(CTR_30d_Data!$M:$M,CTR_30d_Data!$A:$A,$A7,CTR_30d_Data!$B:$B,$B7,CTR_30d_Data!$C:$C,"Yes",CTR_30d_Data!$D:$D,"No")</f>
        <v>156</v>
      </c>
      <c r="I7" s="8" t="n">
        <f aca="false">IFERROR(H7/F7,0)</f>
        <v>0.220650636492221</v>
      </c>
      <c r="J7" s="7" t="n">
        <f aca="false">SUMIFS(CTR_30d_Data!$L:$L,CTR_30d_Data!$A:$A,$A7,CTR_30d_Data!$B:$B,$B7,CTR_30d_Data!$C:$C,"Yes",CTR_30d_Data!$D:$D,"No")</f>
        <v>1885.68</v>
      </c>
      <c r="K7" s="23" t="s">
        <v>278</v>
      </c>
    </row>
    <row r="8" customFormat="false" ht="15" hidden="false" customHeight="false" outlineLevel="0" collapsed="false">
      <c r="A8" s="17" t="s">
        <v>17</v>
      </c>
      <c r="B8" s="17" t="s">
        <v>64</v>
      </c>
      <c r="C8" s="17" t="s">
        <v>277</v>
      </c>
      <c r="D8" s="21" t="n">
        <f aca="false">COUNTIFS(CTR_30d_Data!$A:$A,$A8,CTR_30d_Data!$B:$B,$B8,CTR_30d_Data!$C:$C,"No",CTR_30d_Data!$D:$D,"No")</f>
        <v>11</v>
      </c>
      <c r="E8" s="21" t="n">
        <f aca="false">SUMIFS(CTR_30d_Data!$I:$I,CTR_30d_Data!$A:$A,$A8,CTR_30d_Data!$B:$B,$B8,CTR_30d_Data!$C:$C,"No",CTR_30d_Data!$D:$D,"No")</f>
        <v>40677</v>
      </c>
      <c r="F8" s="21" t="n">
        <f aca="false">SUMIFS(CTR_30d_Data!$J:$J,CTR_30d_Data!$A:$A,$A8,CTR_30d_Data!$B:$B,$B8,CTR_30d_Data!$C:$C,"No",CTR_30d_Data!$D:$D,"No")</f>
        <v>255</v>
      </c>
      <c r="G8" s="22" t="n">
        <f aca="false">IFERROR(F8/E8,0)</f>
        <v>0.00626889888634855</v>
      </c>
      <c r="H8" s="21" t="n">
        <f aca="false">SUMIFS(CTR_30d_Data!$M:$M,CTR_30d_Data!$A:$A,$A8,CTR_30d_Data!$B:$B,$B8,CTR_30d_Data!$C:$C,"No",CTR_30d_Data!$D:$D,"No")</f>
        <v>37</v>
      </c>
      <c r="I8" s="8" t="n">
        <f aca="false">IFERROR(H8/F8,0)</f>
        <v>0.145098039215686</v>
      </c>
      <c r="J8" s="7" t="n">
        <f aca="false">SUMIFS(CTR_30d_Data!$L:$L,CTR_30d_Data!$A:$A,$A8,CTR_30d_Data!$B:$B,$B8,CTR_30d_Data!$C:$C,"No",CTR_30d_Data!$D:$D,"No")</f>
        <v>279.13</v>
      </c>
      <c r="K8" s="23"/>
    </row>
    <row r="9" customFormat="false" ht="15" hidden="false" customHeight="false" outlineLevel="0" collapsed="false">
      <c r="A9" s="3" t="s">
        <v>17</v>
      </c>
      <c r="B9" s="17" t="s">
        <v>69</v>
      </c>
      <c r="C9" s="18" t="s">
        <v>275</v>
      </c>
      <c r="D9" s="21" t="n">
        <f aca="false">COUNTIFS(CTR_30d_Data!$A:$A,$A9,CTR_30d_Data!$B:$B,$B9,CTR_30d_Data!$C:$C,"Yes",CTR_30d_Data!$D:$D,"No")</f>
        <v>13</v>
      </c>
      <c r="E9" s="21" t="n">
        <f aca="false">SUMIFS(CTR_30d_Data!$I:$I,CTR_30d_Data!$A:$A,$A9,CTR_30d_Data!$B:$B,$B9,CTR_30d_Data!$C:$C,"Yes",CTR_30d_Data!$D:$D,"No")</f>
        <v>19940</v>
      </c>
      <c r="F9" s="21" t="n">
        <f aca="false">SUMIFS(CTR_30d_Data!$J:$J,CTR_30d_Data!$A:$A,$A9,CTR_30d_Data!$B:$B,$B9,CTR_30d_Data!$C:$C,"Yes",CTR_30d_Data!$D:$D,"No")</f>
        <v>226</v>
      </c>
      <c r="G9" s="22" t="n">
        <f aca="false">IFERROR(F9/E9,0)</f>
        <v>0.0113340020060181</v>
      </c>
      <c r="H9" s="21" t="n">
        <f aca="false">SUMIFS(CTR_30d_Data!$M:$M,CTR_30d_Data!$A:$A,$A9,CTR_30d_Data!$B:$B,$B9,CTR_30d_Data!$C:$C,"Yes",CTR_30d_Data!$D:$D,"No")</f>
        <v>35</v>
      </c>
      <c r="I9" s="8" t="n">
        <f aca="false">IFERROR(H9/F9,0)</f>
        <v>0.154867256637168</v>
      </c>
      <c r="J9" s="7" t="n">
        <f aca="false">SUMIFS(CTR_30d_Data!$L:$L,CTR_30d_Data!$A:$A,$A9,CTR_30d_Data!$B:$B,$B9,CTR_30d_Data!$C:$C,"Yes",CTR_30d_Data!$D:$D,"No")</f>
        <v>665.31</v>
      </c>
      <c r="K9" s="23" t="s">
        <v>279</v>
      </c>
    </row>
    <row r="10" customFormat="false" ht="15" hidden="false" customHeight="false" outlineLevel="0" collapsed="false">
      <c r="A10" s="17" t="s">
        <v>17</v>
      </c>
      <c r="B10" s="17" t="s">
        <v>69</v>
      </c>
      <c r="C10" s="17" t="s">
        <v>277</v>
      </c>
      <c r="D10" s="21" t="n">
        <f aca="false">COUNTIFS(CTR_30d_Data!$A:$A,$A10,CTR_30d_Data!$B:$B,$B10,CTR_30d_Data!$C:$C,"No",CTR_30d_Data!$D:$D,"No")</f>
        <v>7</v>
      </c>
      <c r="E10" s="21" t="n">
        <f aca="false">SUMIFS(CTR_30d_Data!$I:$I,CTR_30d_Data!$A:$A,$A10,CTR_30d_Data!$B:$B,$B10,CTR_30d_Data!$C:$C,"No",CTR_30d_Data!$D:$D,"No")</f>
        <v>4012</v>
      </c>
      <c r="F10" s="21" t="n">
        <f aca="false">SUMIFS(CTR_30d_Data!$J:$J,CTR_30d_Data!$A:$A,$A10,CTR_30d_Data!$B:$B,$B10,CTR_30d_Data!$C:$C,"No",CTR_30d_Data!$D:$D,"No")</f>
        <v>20</v>
      </c>
      <c r="G10" s="22" t="n">
        <f aca="false">IFERROR(F10/E10,0)</f>
        <v>0.00498504486540379</v>
      </c>
      <c r="H10" s="21" t="n">
        <f aca="false">SUMIFS(CTR_30d_Data!$M:$M,CTR_30d_Data!$A:$A,$A10,CTR_30d_Data!$B:$B,$B10,CTR_30d_Data!$C:$C,"No",CTR_30d_Data!$D:$D,"No")</f>
        <v>3</v>
      </c>
      <c r="I10" s="8" t="n">
        <f aca="false">IFERROR(H10/F10,0)</f>
        <v>0.15</v>
      </c>
      <c r="J10" s="7" t="n">
        <f aca="false">SUMIFS(CTR_30d_Data!$L:$L,CTR_30d_Data!$A:$A,$A10,CTR_30d_Data!$B:$B,$B10,CTR_30d_Data!$C:$C,"No",CTR_30d_Data!$D:$D,"No")</f>
        <v>17.87</v>
      </c>
      <c r="K10" s="23"/>
    </row>
    <row r="11" customFormat="false" ht="23.85" hidden="false" customHeight="false" outlineLevel="0" collapsed="false">
      <c r="A11" s="3" t="s">
        <v>17</v>
      </c>
      <c r="B11" s="17" t="s">
        <v>58</v>
      </c>
      <c r="C11" s="18" t="s">
        <v>275</v>
      </c>
      <c r="D11" s="21" t="n">
        <f aca="false">COUNTIFS(CTR_30d_Data!$A:$A,$A11,CTR_30d_Data!$B:$B,$B11,CTR_30d_Data!$C:$C,"Yes",CTR_30d_Data!$D:$D,"No")</f>
        <v>2</v>
      </c>
      <c r="E11" s="21" t="n">
        <f aca="false">SUMIFS(CTR_30d_Data!$I:$I,CTR_30d_Data!$A:$A,$A11,CTR_30d_Data!$B:$B,$B11,CTR_30d_Data!$C:$C,"Yes",CTR_30d_Data!$D:$D,"No")</f>
        <v>2607</v>
      </c>
      <c r="F11" s="21" t="n">
        <f aca="false">SUMIFS(CTR_30d_Data!$J:$J,CTR_30d_Data!$A:$A,$A11,CTR_30d_Data!$B:$B,$B11,CTR_30d_Data!$C:$C,"Yes",CTR_30d_Data!$D:$D,"No")</f>
        <v>55</v>
      </c>
      <c r="G11" s="22" t="n">
        <f aca="false">IFERROR(F11/E11,0)</f>
        <v>0.0210970464135021</v>
      </c>
      <c r="H11" s="21" t="n">
        <f aca="false">SUMIFS(CTR_30d_Data!$M:$M,CTR_30d_Data!$A:$A,$A11,CTR_30d_Data!$B:$B,$B11,CTR_30d_Data!$C:$C,"Yes",CTR_30d_Data!$D:$D,"No")</f>
        <v>4</v>
      </c>
      <c r="I11" s="8" t="n">
        <f aca="false">IFERROR(H11/F11,0)</f>
        <v>0.0727272727272727</v>
      </c>
      <c r="J11" s="7" t="n">
        <f aca="false">SUMIFS(CTR_30d_Data!$L:$L,CTR_30d_Data!$A:$A,$A11,CTR_30d_Data!$B:$B,$B11,CTR_30d_Data!$C:$C,"Yes",CTR_30d_Data!$D:$D,"No")</f>
        <v>163.9</v>
      </c>
      <c r="K11" s="23" t="s">
        <v>280</v>
      </c>
    </row>
    <row r="12" customFormat="false" ht="15" hidden="false" customHeight="false" outlineLevel="0" collapsed="false">
      <c r="A12" s="17" t="s">
        <v>17</v>
      </c>
      <c r="B12" s="17" t="s">
        <v>58</v>
      </c>
      <c r="C12" s="17" t="s">
        <v>277</v>
      </c>
      <c r="D12" s="21" t="n">
        <f aca="false">COUNTIFS(CTR_30d_Data!$A:$A,$A12,CTR_30d_Data!$B:$B,$B12,CTR_30d_Data!$C:$C,"No",CTR_30d_Data!$D:$D,"No")</f>
        <v>47</v>
      </c>
      <c r="E12" s="21" t="n">
        <f aca="false">SUMIFS(CTR_30d_Data!$I:$I,CTR_30d_Data!$A:$A,$A12,CTR_30d_Data!$B:$B,$B12,CTR_30d_Data!$C:$C,"No",CTR_30d_Data!$D:$D,"No")</f>
        <v>67906</v>
      </c>
      <c r="F12" s="21" t="n">
        <f aca="false">SUMIFS(CTR_30d_Data!$J:$J,CTR_30d_Data!$A:$A,$A12,CTR_30d_Data!$B:$B,$B12,CTR_30d_Data!$C:$C,"No",CTR_30d_Data!$D:$D,"No")</f>
        <v>968</v>
      </c>
      <c r="G12" s="22" t="n">
        <f aca="false">IFERROR(F12/E12,0)</f>
        <v>0.0142549995582128</v>
      </c>
      <c r="H12" s="21" t="n">
        <f aca="false">SUMIFS(CTR_30d_Data!$M:$M,CTR_30d_Data!$A:$A,$A12,CTR_30d_Data!$B:$B,$B12,CTR_30d_Data!$C:$C,"No",CTR_30d_Data!$D:$D,"No")</f>
        <v>167</v>
      </c>
      <c r="I12" s="8" t="n">
        <f aca="false">IFERROR(H12/F12,0)</f>
        <v>0.172520661157025</v>
      </c>
      <c r="J12" s="7" t="n">
        <f aca="false">SUMIFS(CTR_30d_Data!$L:$L,CTR_30d_Data!$A:$A,$A12,CTR_30d_Data!$B:$B,$B12,CTR_30d_Data!$C:$C,"No",CTR_30d_Data!$D:$D,"No")</f>
        <v>2558.79</v>
      </c>
      <c r="K12" s="23"/>
    </row>
    <row r="13" customFormat="false" ht="23.85" hidden="false" customHeight="false" outlineLevel="0" collapsed="false">
      <c r="A13" s="3" t="s">
        <v>15</v>
      </c>
      <c r="B13" s="17" t="s">
        <v>69</v>
      </c>
      <c r="C13" s="18" t="s">
        <v>281</v>
      </c>
      <c r="D13" s="21" t="n">
        <f aca="false">COUNTIFS(CTR_30d_Data!$A:$A,$A13,CTR_30d_Data!$B:$B,$B13,CTR_30d_Data!$C:$C,"Yes",CTR_30d_Data!$D:$D,"No")</f>
        <v>2</v>
      </c>
      <c r="E13" s="21" t="n">
        <f aca="false">SUMIFS(CTR_30d_Data!$I:$I,CTR_30d_Data!$A:$A,$A13,CTR_30d_Data!$B:$B,$B13,CTR_30d_Data!$C:$C,"Yes",CTR_30d_Data!$D:$D,"No")</f>
        <v>3002</v>
      </c>
      <c r="F13" s="21" t="n">
        <f aca="false">SUMIFS(CTR_30d_Data!$J:$J,CTR_30d_Data!$A:$A,$A13,CTR_30d_Data!$B:$B,$B13,CTR_30d_Data!$C:$C,"Yes",CTR_30d_Data!$D:$D,"No")</f>
        <v>55</v>
      </c>
      <c r="G13" s="22" t="n">
        <f aca="false">IFERROR(F13/E13,0)</f>
        <v>0.0183211192538308</v>
      </c>
      <c r="H13" s="21" t="n">
        <f aca="false">SUMIFS(CTR_30d_Data!$M:$M,CTR_30d_Data!$A:$A,$A13,CTR_30d_Data!$B:$B,$B13,CTR_30d_Data!$C:$C,"Yes",CTR_30d_Data!$D:$D,"No")</f>
        <v>8</v>
      </c>
      <c r="I13" s="8" t="n">
        <f aca="false">IFERROR(H13/F13,0)</f>
        <v>0.145454545454545</v>
      </c>
      <c r="J13" s="7" t="n">
        <f aca="false">SUMIFS(CTR_30d_Data!$L:$L,CTR_30d_Data!$A:$A,$A13,CTR_30d_Data!$B:$B,$B13,CTR_30d_Data!$C:$C,"Yes",CTR_30d_Data!$D:$D,"No")</f>
        <v>168.35</v>
      </c>
      <c r="K13" s="23" t="s">
        <v>282</v>
      </c>
    </row>
    <row r="14" customFormat="false" ht="15" hidden="false" customHeight="false" outlineLevel="0" collapsed="false">
      <c r="A14" s="17" t="s">
        <v>15</v>
      </c>
      <c r="B14" s="17" t="s">
        <v>69</v>
      </c>
      <c r="C14" s="17" t="s">
        <v>277</v>
      </c>
      <c r="D14" s="21" t="n">
        <f aca="false">COUNTIFS(CTR_30d_Data!$A:$A,$A14,CTR_30d_Data!$B:$B,$B14,CTR_30d_Data!$C:$C,"No",CTR_30d_Data!$D:$D,"No")</f>
        <v>12</v>
      </c>
      <c r="E14" s="21" t="n">
        <f aca="false">SUMIFS(CTR_30d_Data!$I:$I,CTR_30d_Data!$A:$A,$A14,CTR_30d_Data!$B:$B,$B14,CTR_30d_Data!$C:$C,"No",CTR_30d_Data!$D:$D,"No")</f>
        <v>40601</v>
      </c>
      <c r="F14" s="21" t="n">
        <f aca="false">SUMIFS(CTR_30d_Data!$J:$J,CTR_30d_Data!$A:$A,$A14,CTR_30d_Data!$B:$B,$B14,CTR_30d_Data!$C:$C,"No",CTR_30d_Data!$D:$D,"No")</f>
        <v>138</v>
      </c>
      <c r="G14" s="22" t="n">
        <f aca="false">IFERROR(F14/E14,0)</f>
        <v>0.00339893106081131</v>
      </c>
      <c r="H14" s="21" t="n">
        <f aca="false">SUMIFS(CTR_30d_Data!$M:$M,CTR_30d_Data!$A:$A,$A14,CTR_30d_Data!$B:$B,$B14,CTR_30d_Data!$C:$C,"No",CTR_30d_Data!$D:$D,"No")</f>
        <v>15</v>
      </c>
      <c r="I14" s="8" t="n">
        <f aca="false">IFERROR(H14/F14,0)</f>
        <v>0.108695652173913</v>
      </c>
      <c r="J14" s="7" t="n">
        <f aca="false">SUMIFS(CTR_30d_Data!$L:$L,CTR_30d_Data!$A:$A,$A14,CTR_30d_Data!$B:$B,$B14,CTR_30d_Data!$C:$C,"No",CTR_30d_Data!$D:$D,"No")</f>
        <v>334.21</v>
      </c>
      <c r="K14" s="23"/>
    </row>
    <row r="15" customFormat="false" ht="23.85" hidden="false" customHeight="false" outlineLevel="0" collapsed="false">
      <c r="A15" s="3" t="s">
        <v>15</v>
      </c>
      <c r="B15" s="17" t="s">
        <v>64</v>
      </c>
      <c r="C15" s="18" t="s">
        <v>281</v>
      </c>
      <c r="D15" s="21" t="n">
        <f aca="false">COUNTIFS(CTR_30d_Data!$A:$A,$A15,CTR_30d_Data!$B:$B,$B15,CTR_30d_Data!$C:$C,"Yes",CTR_30d_Data!$D:$D,"No")</f>
        <v>14</v>
      </c>
      <c r="E15" s="21" t="n">
        <f aca="false">SUMIFS(CTR_30d_Data!$I:$I,CTR_30d_Data!$A:$A,$A15,CTR_30d_Data!$B:$B,$B15,CTR_30d_Data!$C:$C,"Yes",CTR_30d_Data!$D:$D,"No")</f>
        <v>22764</v>
      </c>
      <c r="F15" s="21" t="n">
        <f aca="false">SUMIFS(CTR_30d_Data!$J:$J,CTR_30d_Data!$A:$A,$A15,CTR_30d_Data!$B:$B,$B15,CTR_30d_Data!$C:$C,"Yes",CTR_30d_Data!$D:$D,"No")</f>
        <v>94</v>
      </c>
      <c r="G15" s="22" t="n">
        <f aca="false">IFERROR(F15/E15,0)</f>
        <v>0.00412932700755579</v>
      </c>
      <c r="H15" s="21" t="n">
        <f aca="false">SUMIFS(CTR_30d_Data!$M:$M,CTR_30d_Data!$A:$A,$A15,CTR_30d_Data!$B:$B,$B15,CTR_30d_Data!$C:$C,"Yes",CTR_30d_Data!$D:$D,"No")</f>
        <v>16</v>
      </c>
      <c r="I15" s="8" t="n">
        <f aca="false">IFERROR(H15/F15,0)</f>
        <v>0.170212765957447</v>
      </c>
      <c r="J15" s="7" t="n">
        <f aca="false">SUMIFS(CTR_30d_Data!$L:$L,CTR_30d_Data!$A:$A,$A15,CTR_30d_Data!$B:$B,$B15,CTR_30d_Data!$C:$C,"Yes",CTR_30d_Data!$D:$D,"No")</f>
        <v>376.02</v>
      </c>
      <c r="K15" s="23" t="s">
        <v>283</v>
      </c>
    </row>
    <row r="16" customFormat="false" ht="15" hidden="false" customHeight="false" outlineLevel="0" collapsed="false">
      <c r="A16" s="17" t="s">
        <v>15</v>
      </c>
      <c r="B16" s="17" t="s">
        <v>64</v>
      </c>
      <c r="C16" s="17" t="s">
        <v>277</v>
      </c>
      <c r="D16" s="21" t="n">
        <f aca="false">COUNTIFS(CTR_30d_Data!$A:$A,$A16,CTR_30d_Data!$B:$B,$B16,CTR_30d_Data!$C:$C,"No",CTR_30d_Data!$D:$D,"No")</f>
        <v>14</v>
      </c>
      <c r="E16" s="21" t="n">
        <f aca="false">SUMIFS(CTR_30d_Data!$I:$I,CTR_30d_Data!$A:$A,$A16,CTR_30d_Data!$B:$B,$B16,CTR_30d_Data!$C:$C,"No",CTR_30d_Data!$D:$D,"No")</f>
        <v>30961</v>
      </c>
      <c r="F16" s="21" t="n">
        <f aca="false">SUMIFS(CTR_30d_Data!$J:$J,CTR_30d_Data!$A:$A,$A16,CTR_30d_Data!$B:$B,$B16,CTR_30d_Data!$C:$C,"No",CTR_30d_Data!$D:$D,"No")</f>
        <v>335</v>
      </c>
      <c r="G16" s="22" t="n">
        <f aca="false">IFERROR(F16/E16,0)</f>
        <v>0.0108200639514228</v>
      </c>
      <c r="H16" s="21" t="n">
        <f aca="false">SUMIFS(CTR_30d_Data!$M:$M,CTR_30d_Data!$A:$A,$A16,CTR_30d_Data!$B:$B,$B16,CTR_30d_Data!$C:$C,"No",CTR_30d_Data!$D:$D,"No")</f>
        <v>41</v>
      </c>
      <c r="I16" s="8" t="n">
        <f aca="false">IFERROR(H16/F16,0)</f>
        <v>0.122388059701493</v>
      </c>
      <c r="J16" s="7" t="n">
        <f aca="false">SUMIFS(CTR_30d_Data!$L:$L,CTR_30d_Data!$A:$A,$A16,CTR_30d_Data!$B:$B,$B16,CTR_30d_Data!$C:$C,"No",CTR_30d_Data!$D:$D,"No")</f>
        <v>874.45</v>
      </c>
      <c r="K16" s="23"/>
    </row>
    <row r="17" customFormat="false" ht="15" hidden="false" customHeight="false" outlineLevel="0" collapsed="false">
      <c r="A17" s="3" t="s">
        <v>15</v>
      </c>
      <c r="B17" s="17" t="s">
        <v>62</v>
      </c>
      <c r="C17" s="18" t="s">
        <v>281</v>
      </c>
      <c r="D17" s="21" t="n">
        <f aca="false">COUNTIFS(CTR_30d_Data!$A:$A,$A17,CTR_30d_Data!$B:$B,$B17,CTR_30d_Data!$C:$C,"Yes",CTR_30d_Data!$D:$D,"No")</f>
        <v>50</v>
      </c>
      <c r="E17" s="21" t="n">
        <f aca="false">SUMIFS(CTR_30d_Data!$I:$I,CTR_30d_Data!$A:$A,$A17,CTR_30d_Data!$B:$B,$B17,CTR_30d_Data!$C:$C,"Yes",CTR_30d_Data!$D:$D,"No")</f>
        <v>300440</v>
      </c>
      <c r="F17" s="21" t="n">
        <f aca="false">SUMIFS(CTR_30d_Data!$J:$J,CTR_30d_Data!$A:$A,$A17,CTR_30d_Data!$B:$B,$B17,CTR_30d_Data!$C:$C,"Yes",CTR_30d_Data!$D:$D,"No")</f>
        <v>1046</v>
      </c>
      <c r="G17" s="22" t="n">
        <f aca="false">IFERROR(F17/E17,0)</f>
        <v>0.0034815603781121</v>
      </c>
      <c r="H17" s="21" t="n">
        <f aca="false">SUMIFS(CTR_30d_Data!$M:$M,CTR_30d_Data!$A:$A,$A17,CTR_30d_Data!$B:$B,$B17,CTR_30d_Data!$C:$C,"Yes",CTR_30d_Data!$D:$D,"No")</f>
        <v>134</v>
      </c>
      <c r="I17" s="8" t="n">
        <f aca="false">IFERROR(H17/F17,0)</f>
        <v>0.12810707456979</v>
      </c>
      <c r="J17" s="7" t="n">
        <f aca="false">SUMIFS(CTR_30d_Data!$L:$L,CTR_30d_Data!$A:$A,$A17,CTR_30d_Data!$B:$B,$B17,CTR_30d_Data!$C:$C,"Yes",CTR_30d_Data!$D:$D,"No")</f>
        <v>4206.39</v>
      </c>
      <c r="K17" s="23" t="s">
        <v>284</v>
      </c>
    </row>
    <row r="18" customFormat="false" ht="15" hidden="false" customHeight="false" outlineLevel="0" collapsed="false">
      <c r="A18" s="17" t="s">
        <v>15</v>
      </c>
      <c r="B18" s="17" t="s">
        <v>62</v>
      </c>
      <c r="C18" s="17" t="s">
        <v>277</v>
      </c>
      <c r="D18" s="21" t="n">
        <f aca="false">COUNTIFS(CTR_30d_Data!$A:$A,$A18,CTR_30d_Data!$B:$B,$B18,CTR_30d_Data!$C:$C,"No",CTR_30d_Data!$D:$D,"No")</f>
        <v>13</v>
      </c>
      <c r="E18" s="21" t="n">
        <f aca="false">SUMIFS(CTR_30d_Data!$I:$I,CTR_30d_Data!$A:$A,$A18,CTR_30d_Data!$B:$B,$B18,CTR_30d_Data!$C:$C,"No",CTR_30d_Data!$D:$D,"No")</f>
        <v>10681</v>
      </c>
      <c r="F18" s="21" t="n">
        <f aca="false">SUMIFS(CTR_30d_Data!$J:$J,CTR_30d_Data!$A:$A,$A18,CTR_30d_Data!$B:$B,$B18,CTR_30d_Data!$C:$C,"No",CTR_30d_Data!$D:$D,"No")</f>
        <v>49</v>
      </c>
      <c r="G18" s="22" t="n">
        <f aca="false">IFERROR(F18/E18,0)</f>
        <v>0.00458758543207565</v>
      </c>
      <c r="H18" s="21" t="n">
        <f aca="false">SUMIFS(CTR_30d_Data!$M:$M,CTR_30d_Data!$A:$A,$A18,CTR_30d_Data!$B:$B,$B18,CTR_30d_Data!$C:$C,"No",CTR_30d_Data!$D:$D,"No")</f>
        <v>5</v>
      </c>
      <c r="I18" s="8" t="n">
        <f aca="false">IFERROR(H18/F18,0)</f>
        <v>0.102040816326531</v>
      </c>
      <c r="J18" s="7" t="n">
        <f aca="false">SUMIFS(CTR_30d_Data!$L:$L,CTR_30d_Data!$A:$A,$A18,CTR_30d_Data!$B:$B,$B18,CTR_30d_Data!$C:$C,"No",CTR_30d_Data!$D:$D,"No")</f>
        <v>279.7</v>
      </c>
      <c r="K18" s="23"/>
    </row>
    <row r="19" customFormat="false" ht="15" hidden="false" customHeight="false" outlineLevel="0" collapsed="false">
      <c r="A19" s="3" t="s">
        <v>15</v>
      </c>
      <c r="B19" s="17" t="s">
        <v>58</v>
      </c>
      <c r="C19" s="18" t="s">
        <v>281</v>
      </c>
      <c r="D19" s="21" t="n">
        <f aca="false">COUNTIFS(CTR_30d_Data!$A:$A,$A19,CTR_30d_Data!$B:$B,$B19,CTR_30d_Data!$C:$C,"Yes",CTR_30d_Data!$D:$D,"No")</f>
        <v>155</v>
      </c>
      <c r="E19" s="21" t="n">
        <f aca="false">SUMIFS(CTR_30d_Data!$I:$I,CTR_30d_Data!$A:$A,$A19,CTR_30d_Data!$B:$B,$B19,CTR_30d_Data!$C:$C,"Yes",CTR_30d_Data!$D:$D,"No")</f>
        <v>564316</v>
      </c>
      <c r="F19" s="21" t="n">
        <f aca="false">SUMIFS(CTR_30d_Data!$J:$J,CTR_30d_Data!$A:$A,$A19,CTR_30d_Data!$B:$B,$B19,CTR_30d_Data!$C:$C,"Yes",CTR_30d_Data!$D:$D,"No")</f>
        <v>3204</v>
      </c>
      <c r="G19" s="22" t="n">
        <f aca="false">IFERROR(F19/E19,0)</f>
        <v>0.00567766995796681</v>
      </c>
      <c r="H19" s="21" t="n">
        <f aca="false">SUMIFS(CTR_30d_Data!$M:$M,CTR_30d_Data!$A:$A,$A19,CTR_30d_Data!$B:$B,$B19,CTR_30d_Data!$C:$C,"Yes",CTR_30d_Data!$D:$D,"No")</f>
        <v>377</v>
      </c>
      <c r="I19" s="8" t="n">
        <f aca="false">IFERROR(H19/F19,0)</f>
        <v>0.117665418227216</v>
      </c>
      <c r="J19" s="7" t="n">
        <f aca="false">SUMIFS(CTR_30d_Data!$L:$L,CTR_30d_Data!$A:$A,$A19,CTR_30d_Data!$B:$B,$B19,CTR_30d_Data!$C:$C,"Yes",CTR_30d_Data!$D:$D,"No")</f>
        <v>15317.36</v>
      </c>
      <c r="K19" s="23" t="s">
        <v>285</v>
      </c>
    </row>
    <row r="20" customFormat="false" ht="15" hidden="false" customHeight="false" outlineLevel="0" collapsed="false">
      <c r="A20" s="17" t="s">
        <v>15</v>
      </c>
      <c r="B20" s="17" t="s">
        <v>58</v>
      </c>
      <c r="C20" s="17" t="s">
        <v>277</v>
      </c>
      <c r="D20" s="21" t="n">
        <f aca="false">COUNTIFS(CTR_30d_Data!$A:$A,$A20,CTR_30d_Data!$B:$B,$B20,CTR_30d_Data!$C:$C,"No",CTR_30d_Data!$D:$D,"No")</f>
        <v>3</v>
      </c>
      <c r="E20" s="21" t="n">
        <f aca="false">SUMIFS(CTR_30d_Data!$I:$I,CTR_30d_Data!$A:$A,$A20,CTR_30d_Data!$B:$B,$B20,CTR_30d_Data!$C:$C,"No",CTR_30d_Data!$D:$D,"No")</f>
        <v>120</v>
      </c>
      <c r="F20" s="21" t="n">
        <f aca="false">SUMIFS(CTR_30d_Data!$J:$J,CTR_30d_Data!$A:$A,$A20,CTR_30d_Data!$B:$B,$B20,CTR_30d_Data!$C:$C,"No",CTR_30d_Data!$D:$D,"No")</f>
        <v>5</v>
      </c>
      <c r="G20" s="22" t="n">
        <f aca="false">IFERROR(F20/E20,0)</f>
        <v>0.0416666666666667</v>
      </c>
      <c r="H20" s="21" t="n">
        <f aca="false">SUMIFS(CTR_30d_Data!$M:$M,CTR_30d_Data!$A:$A,$A20,CTR_30d_Data!$B:$B,$B20,CTR_30d_Data!$C:$C,"No",CTR_30d_Data!$D:$D,"No")</f>
        <v>2</v>
      </c>
      <c r="I20" s="8" t="n">
        <f aca="false">IFERROR(H20/F20,0)</f>
        <v>0.4</v>
      </c>
      <c r="J20" s="7" t="n">
        <f aca="false">SUMIFS(CTR_30d_Data!$L:$L,CTR_30d_Data!$A:$A,$A20,CTR_30d_Data!$B:$B,$B20,CTR_30d_Data!$C:$C,"No",CTR_30d_Data!$D:$D,"No")</f>
        <v>9.86</v>
      </c>
      <c r="K20" s="23"/>
    </row>
    <row r="21" customFormat="false" ht="15" hidden="false" customHeight="false" outlineLevel="0" collapsed="false">
      <c r="A21" s="3" t="s">
        <v>16</v>
      </c>
      <c r="B21" s="17" t="s">
        <v>58</v>
      </c>
      <c r="C21" s="18" t="s">
        <v>281</v>
      </c>
      <c r="D21" s="21" t="n">
        <f aca="false">COUNTIFS(CTR_30d_Data!$A:$A,$A21,CTR_30d_Data!$B:$B,$B21,CTR_30d_Data!$C:$C,"Yes",CTR_30d_Data!$D:$D,"No")</f>
        <v>113</v>
      </c>
      <c r="E21" s="21" t="n">
        <f aca="false">SUMIFS(CTR_30d_Data!$I:$I,CTR_30d_Data!$A:$A,$A21,CTR_30d_Data!$B:$B,$B21,CTR_30d_Data!$C:$C,"Yes",CTR_30d_Data!$D:$D,"No")</f>
        <v>286191</v>
      </c>
      <c r="F21" s="21" t="n">
        <f aca="false">SUMIFS(CTR_30d_Data!$J:$J,CTR_30d_Data!$A:$A,$A21,CTR_30d_Data!$B:$B,$B21,CTR_30d_Data!$C:$C,"Yes",CTR_30d_Data!$D:$D,"No")</f>
        <v>1751</v>
      </c>
      <c r="G21" s="22" t="n">
        <f aca="false">IFERROR(F21/E21,0)</f>
        <v>0.00611829163041465</v>
      </c>
      <c r="H21" s="21" t="n">
        <f aca="false">SUMIFS(CTR_30d_Data!$M:$M,CTR_30d_Data!$A:$A,$A21,CTR_30d_Data!$B:$B,$B21,CTR_30d_Data!$C:$C,"Yes",CTR_30d_Data!$D:$D,"No")</f>
        <v>302</v>
      </c>
      <c r="I21" s="8" t="n">
        <f aca="false">IFERROR(H21/F21,0)</f>
        <v>0.172472872644203</v>
      </c>
      <c r="J21" s="7" t="n">
        <f aca="false">SUMIFS(CTR_30d_Data!$L:$L,CTR_30d_Data!$A:$A,$A21,CTR_30d_Data!$B:$B,$B21,CTR_30d_Data!$C:$C,"Yes",CTR_30d_Data!$D:$D,"No")</f>
        <v>6199.05</v>
      </c>
      <c r="K21" s="23"/>
    </row>
    <row r="22" customFormat="false" ht="15" hidden="false" customHeight="false" outlineLevel="0" collapsed="false">
      <c r="A22" s="17" t="s">
        <v>16</v>
      </c>
      <c r="B22" s="17" t="s">
        <v>58</v>
      </c>
      <c r="C22" s="17" t="s">
        <v>277</v>
      </c>
      <c r="D22" s="21" t="n">
        <f aca="false">COUNTIFS(CTR_30d_Data!$A:$A,$A22,CTR_30d_Data!$B:$B,$B22,CTR_30d_Data!$C:$C,"No",CTR_30d_Data!$D:$D,"No")</f>
        <v>0</v>
      </c>
      <c r="E22" s="21" t="n">
        <f aca="false">SUMIFS(CTR_30d_Data!$I:$I,CTR_30d_Data!$A:$A,$A22,CTR_30d_Data!$B:$B,$B22,CTR_30d_Data!$C:$C,"No",CTR_30d_Data!$D:$D,"No")</f>
        <v>0</v>
      </c>
      <c r="F22" s="21" t="n">
        <f aca="false">SUMIFS(CTR_30d_Data!$J:$J,CTR_30d_Data!$A:$A,$A22,CTR_30d_Data!$B:$B,$B22,CTR_30d_Data!$C:$C,"No",CTR_30d_Data!$D:$D,"No")</f>
        <v>0</v>
      </c>
      <c r="G22" s="22" t="n">
        <f aca="false">IFERROR(F22/E22,0)</f>
        <v>0</v>
      </c>
      <c r="H22" s="21" t="n">
        <f aca="false">SUMIFS(CTR_30d_Data!$M:$M,CTR_30d_Data!$A:$A,$A22,CTR_30d_Data!$B:$B,$B22,CTR_30d_Data!$C:$C,"No",CTR_30d_Data!$D:$D,"No")</f>
        <v>0</v>
      </c>
      <c r="I22" s="8" t="n">
        <f aca="false">IFERROR(H22/F22,0)</f>
        <v>0</v>
      </c>
      <c r="J22" s="7" t="n">
        <f aca="false">SUMIFS(CTR_30d_Data!$L:$L,CTR_30d_Data!$A:$A,$A22,CTR_30d_Data!$B:$B,$B22,CTR_30d_Data!$C:$C,"No",CTR_30d_Data!$D:$D,"No")</f>
        <v>0</v>
      </c>
      <c r="K22" s="23"/>
    </row>
    <row r="23" customFormat="false" ht="15" hidden="false" customHeight="false" outlineLevel="0" collapsed="false">
      <c r="A23" s="3" t="s">
        <v>16</v>
      </c>
      <c r="B23" s="17" t="s">
        <v>62</v>
      </c>
      <c r="C23" s="18" t="s">
        <v>281</v>
      </c>
      <c r="D23" s="21" t="n">
        <f aca="false">COUNTIFS(CTR_30d_Data!$A:$A,$A23,CTR_30d_Data!$B:$B,$B23,CTR_30d_Data!$C:$C,"Yes",CTR_30d_Data!$D:$D,"No")</f>
        <v>80</v>
      </c>
      <c r="E23" s="21" t="n">
        <f aca="false">SUMIFS(CTR_30d_Data!$I:$I,CTR_30d_Data!$A:$A,$A23,CTR_30d_Data!$B:$B,$B23,CTR_30d_Data!$C:$C,"Yes",CTR_30d_Data!$D:$D,"No")</f>
        <v>309295</v>
      </c>
      <c r="F23" s="21" t="n">
        <f aca="false">SUMIFS(CTR_30d_Data!$J:$J,CTR_30d_Data!$A:$A,$A23,CTR_30d_Data!$B:$B,$B23,CTR_30d_Data!$C:$C,"Yes",CTR_30d_Data!$D:$D,"No")</f>
        <v>1119</v>
      </c>
      <c r="G23" s="22" t="n">
        <f aca="false">IFERROR(F23/E23,0)</f>
        <v>0.00361790523610146</v>
      </c>
      <c r="H23" s="21" t="n">
        <f aca="false">SUMIFS(CTR_30d_Data!$M:$M,CTR_30d_Data!$A:$A,$A23,CTR_30d_Data!$B:$B,$B23,CTR_30d_Data!$C:$C,"Yes",CTR_30d_Data!$D:$D,"No")</f>
        <v>106</v>
      </c>
      <c r="I23" s="8" t="n">
        <f aca="false">IFERROR(H23/F23,0)</f>
        <v>0.0947274352100089</v>
      </c>
      <c r="J23" s="7" t="n">
        <f aca="false">SUMIFS(CTR_30d_Data!$L:$L,CTR_30d_Data!$A:$A,$A23,CTR_30d_Data!$B:$B,$B23,CTR_30d_Data!$C:$C,"Yes",CTR_30d_Data!$D:$D,"No")</f>
        <v>3707.58</v>
      </c>
      <c r="K23" s="23" t="s">
        <v>285</v>
      </c>
    </row>
    <row r="24" customFormat="false" ht="15" hidden="false" customHeight="false" outlineLevel="0" collapsed="false">
      <c r="A24" s="17" t="s">
        <v>16</v>
      </c>
      <c r="B24" s="17" t="s">
        <v>62</v>
      </c>
      <c r="C24" s="17" t="s">
        <v>277</v>
      </c>
      <c r="D24" s="21" t="n">
        <f aca="false">COUNTIFS(CTR_30d_Data!$A:$A,$A24,CTR_30d_Data!$B:$B,$B24,CTR_30d_Data!$C:$C,"No",CTR_30d_Data!$D:$D,"No")</f>
        <v>1</v>
      </c>
      <c r="E24" s="21" t="n">
        <f aca="false">SUMIFS(CTR_30d_Data!$I:$I,CTR_30d_Data!$A:$A,$A24,CTR_30d_Data!$B:$B,$B24,CTR_30d_Data!$C:$C,"No",CTR_30d_Data!$D:$D,"No")</f>
        <v>86</v>
      </c>
      <c r="F24" s="21" t="n">
        <f aca="false">SUMIFS(CTR_30d_Data!$J:$J,CTR_30d_Data!$A:$A,$A24,CTR_30d_Data!$B:$B,$B24,CTR_30d_Data!$C:$C,"No",CTR_30d_Data!$D:$D,"No")</f>
        <v>4</v>
      </c>
      <c r="G24" s="22" t="n">
        <f aca="false">IFERROR(F24/E24,0)</f>
        <v>0.0465116279069767</v>
      </c>
      <c r="H24" s="21" t="n">
        <f aca="false">SUMIFS(CTR_30d_Data!$M:$M,CTR_30d_Data!$A:$A,$A24,CTR_30d_Data!$B:$B,$B24,CTR_30d_Data!$C:$C,"No",CTR_30d_Data!$D:$D,"No")</f>
        <v>1</v>
      </c>
      <c r="I24" s="8" t="n">
        <f aca="false">IFERROR(H24/F24,0)</f>
        <v>0.25</v>
      </c>
      <c r="J24" s="7" t="n">
        <f aca="false">SUMIFS(CTR_30d_Data!$L:$L,CTR_30d_Data!$A:$A,$A24,CTR_30d_Data!$B:$B,$B24,CTR_30d_Data!$C:$C,"No",CTR_30d_Data!$D:$D,"No")</f>
        <v>5.45</v>
      </c>
      <c r="K24" s="23"/>
    </row>
    <row r="25" customFormat="false" ht="15" hidden="false" customHeight="false" outlineLevel="0" collapsed="false">
      <c r="A25" s="3" t="s">
        <v>16</v>
      </c>
      <c r="B25" s="17" t="s">
        <v>64</v>
      </c>
      <c r="C25" s="18" t="s">
        <v>281</v>
      </c>
      <c r="D25" s="21" t="n">
        <f aca="false">COUNTIFS(CTR_30d_Data!$A:$A,$A25,CTR_30d_Data!$B:$B,$B25,CTR_30d_Data!$C:$C,"Yes",CTR_30d_Data!$D:$D,"No")</f>
        <v>26</v>
      </c>
      <c r="E25" s="21" t="n">
        <f aca="false">SUMIFS(CTR_30d_Data!$I:$I,CTR_30d_Data!$A:$A,$A25,CTR_30d_Data!$B:$B,$B25,CTR_30d_Data!$C:$C,"Yes",CTR_30d_Data!$D:$D,"No")</f>
        <v>47164</v>
      </c>
      <c r="F25" s="21" t="n">
        <f aca="false">SUMIFS(CTR_30d_Data!$J:$J,CTR_30d_Data!$A:$A,$A25,CTR_30d_Data!$B:$B,$B25,CTR_30d_Data!$C:$C,"Yes",CTR_30d_Data!$D:$D,"No")</f>
        <v>237</v>
      </c>
      <c r="G25" s="22" t="n">
        <f aca="false">IFERROR(F25/E25,0)</f>
        <v>0.00502501908235095</v>
      </c>
      <c r="H25" s="21" t="n">
        <f aca="false">SUMIFS(CTR_30d_Data!$M:$M,CTR_30d_Data!$A:$A,$A25,CTR_30d_Data!$B:$B,$B25,CTR_30d_Data!$C:$C,"Yes",CTR_30d_Data!$D:$D,"No")</f>
        <v>24</v>
      </c>
      <c r="I25" s="8" t="n">
        <f aca="false">IFERROR(H25/F25,0)</f>
        <v>0.10126582278481</v>
      </c>
      <c r="J25" s="7" t="n">
        <f aca="false">SUMIFS(CTR_30d_Data!$L:$L,CTR_30d_Data!$A:$A,$A25,CTR_30d_Data!$B:$B,$B25,CTR_30d_Data!$C:$C,"Yes",CTR_30d_Data!$D:$D,"No")</f>
        <v>1038.13</v>
      </c>
      <c r="K25" s="23"/>
    </row>
    <row r="26" customFormat="false" ht="15" hidden="false" customHeight="false" outlineLevel="0" collapsed="false">
      <c r="A26" s="17" t="s">
        <v>16</v>
      </c>
      <c r="B26" s="17" t="s">
        <v>64</v>
      </c>
      <c r="C26" s="17" t="s">
        <v>277</v>
      </c>
      <c r="D26" s="21" t="n">
        <f aca="false">COUNTIFS(CTR_30d_Data!$A:$A,$A26,CTR_30d_Data!$B:$B,$B26,CTR_30d_Data!$C:$C,"No",CTR_30d_Data!$D:$D,"No")</f>
        <v>0</v>
      </c>
      <c r="E26" s="21" t="n">
        <f aca="false">SUMIFS(CTR_30d_Data!$I:$I,CTR_30d_Data!$A:$A,$A26,CTR_30d_Data!$B:$B,$B26,CTR_30d_Data!$C:$C,"No",CTR_30d_Data!$D:$D,"No")</f>
        <v>0</v>
      </c>
      <c r="F26" s="21" t="n">
        <f aca="false">SUMIFS(CTR_30d_Data!$J:$J,CTR_30d_Data!$A:$A,$A26,CTR_30d_Data!$B:$B,$B26,CTR_30d_Data!$C:$C,"No",CTR_30d_Data!$D:$D,"No")</f>
        <v>0</v>
      </c>
      <c r="G26" s="22" t="n">
        <f aca="false">IFERROR(F26/E26,0)</f>
        <v>0</v>
      </c>
      <c r="H26" s="21" t="n">
        <f aca="false">SUMIFS(CTR_30d_Data!$M:$M,CTR_30d_Data!$A:$A,$A26,CTR_30d_Data!$B:$B,$B26,CTR_30d_Data!$C:$C,"No",CTR_30d_Data!$D:$D,"No")</f>
        <v>0</v>
      </c>
      <c r="I26" s="8" t="n">
        <f aca="false">IFERROR(H26/F26,0)</f>
        <v>0</v>
      </c>
      <c r="J26" s="7" t="n">
        <f aca="false">SUMIFS(CTR_30d_Data!$L:$L,CTR_30d_Data!$A:$A,$A26,CTR_30d_Data!$B:$B,$B26,CTR_30d_Data!$C:$C,"No",CTR_30d_Data!$D:$D,"No")</f>
        <v>0</v>
      </c>
      <c r="K26" s="23"/>
    </row>
    <row r="27" customFormat="false" ht="15" hidden="false" customHeight="false" outlineLevel="0" collapsed="false">
      <c r="A27" s="3" t="s">
        <v>16</v>
      </c>
      <c r="B27" s="17" t="s">
        <v>69</v>
      </c>
      <c r="C27" s="18" t="s">
        <v>281</v>
      </c>
      <c r="D27" s="21" t="n">
        <f aca="false">COUNTIFS(CTR_30d_Data!$A:$A,$A27,CTR_30d_Data!$B:$B,$B27,CTR_30d_Data!$C:$C,"Yes",CTR_30d_Data!$D:$D,"No")</f>
        <v>7</v>
      </c>
      <c r="E27" s="21" t="n">
        <f aca="false">SUMIFS(CTR_30d_Data!$I:$I,CTR_30d_Data!$A:$A,$A27,CTR_30d_Data!$B:$B,$B27,CTR_30d_Data!$C:$C,"Yes",CTR_30d_Data!$D:$D,"No")</f>
        <v>4613</v>
      </c>
      <c r="F27" s="21" t="n">
        <f aca="false">SUMIFS(CTR_30d_Data!$J:$J,CTR_30d_Data!$A:$A,$A27,CTR_30d_Data!$B:$B,$B27,CTR_30d_Data!$C:$C,"Yes",CTR_30d_Data!$D:$D,"No")</f>
        <v>32</v>
      </c>
      <c r="G27" s="22" t="n">
        <f aca="false">IFERROR(F27/E27,0)</f>
        <v>0.00693691740732712</v>
      </c>
      <c r="H27" s="21" t="n">
        <f aca="false">SUMIFS(CTR_30d_Data!$M:$M,CTR_30d_Data!$A:$A,$A27,CTR_30d_Data!$B:$B,$B27,CTR_30d_Data!$C:$C,"Yes",CTR_30d_Data!$D:$D,"No")</f>
        <v>5</v>
      </c>
      <c r="I27" s="8" t="n">
        <f aca="false">IFERROR(H27/F27,0)</f>
        <v>0.15625</v>
      </c>
      <c r="J27" s="7" t="n">
        <f aca="false">SUMIFS(CTR_30d_Data!$L:$L,CTR_30d_Data!$A:$A,$A27,CTR_30d_Data!$B:$B,$B27,CTR_30d_Data!$C:$C,"Yes",CTR_30d_Data!$D:$D,"No")</f>
        <v>127.81</v>
      </c>
      <c r="K27" s="23"/>
    </row>
    <row r="28" customFormat="false" ht="15" hidden="false" customHeight="false" outlineLevel="0" collapsed="false">
      <c r="A28" s="17" t="s">
        <v>16</v>
      </c>
      <c r="B28" s="17" t="s">
        <v>69</v>
      </c>
      <c r="C28" s="17" t="s">
        <v>277</v>
      </c>
      <c r="D28" s="21" t="n">
        <f aca="false">COUNTIFS(CTR_30d_Data!$A:$A,$A28,CTR_30d_Data!$B:$B,$B28,CTR_30d_Data!$C:$C,"No",CTR_30d_Data!$D:$D,"No")</f>
        <v>0</v>
      </c>
      <c r="E28" s="21" t="n">
        <f aca="false">SUMIFS(CTR_30d_Data!$I:$I,CTR_30d_Data!$A:$A,$A28,CTR_30d_Data!$B:$B,$B28,CTR_30d_Data!$C:$C,"No",CTR_30d_Data!$D:$D,"No")</f>
        <v>0</v>
      </c>
      <c r="F28" s="21" t="n">
        <f aca="false">SUMIFS(CTR_30d_Data!$J:$J,CTR_30d_Data!$A:$A,$A28,CTR_30d_Data!$B:$B,$B28,CTR_30d_Data!$C:$C,"No",CTR_30d_Data!$D:$D,"No")</f>
        <v>0</v>
      </c>
      <c r="G28" s="22" t="n">
        <f aca="false">IFERROR(F28/E28,0)</f>
        <v>0</v>
      </c>
      <c r="H28" s="21" t="n">
        <f aca="false">SUMIFS(CTR_30d_Data!$M:$M,CTR_30d_Data!$A:$A,$A28,CTR_30d_Data!$B:$B,$B28,CTR_30d_Data!$C:$C,"No",CTR_30d_Data!$D:$D,"No")</f>
        <v>0</v>
      </c>
      <c r="I28" s="8" t="n">
        <f aca="false">IFERROR(H28/F28,0)</f>
        <v>0</v>
      </c>
      <c r="J28" s="7" t="n">
        <f aca="false">SUMIFS(CTR_30d_Data!$L:$L,CTR_30d_Data!$A:$A,$A28,CTR_30d_Data!$B:$B,$B28,CTR_30d_Data!$C:$C,"No",CTR_30d_Data!$D:$D,"No")</f>
        <v>0</v>
      </c>
      <c r="K28" s="23"/>
    </row>
    <row r="30" customFormat="false" ht="15" hidden="false" customHeight="false" outlineLevel="0" collapsed="false">
      <c r="A30" s="2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"/>
    <col collapsed="false" customWidth="true" hidden="false" outlineLevel="0" max="3" min="3" style="0" width="62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9" min="8" style="0" width="10"/>
    <col collapsed="false" customWidth="true" hidden="false" outlineLevel="0" max="10" min="10" style="0" width="16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4" min="13" style="0" width="8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2"/>
    <col collapsed="false" customWidth="true" hidden="false" outlineLevel="0" max="20" min="19" style="0" width="9"/>
  </cols>
  <sheetData>
    <row r="1" customFormat="false" ht="17.35" hidden="false" customHeight="false" outlineLevel="0" collapsed="false">
      <c r="A1" s="1" t="s">
        <v>287</v>
      </c>
    </row>
    <row r="2" customFormat="false" ht="15" hidden="false" customHeight="false" outlineLevel="0" collapsed="false">
      <c r="A2" s="2" t="s">
        <v>288</v>
      </c>
    </row>
    <row r="4" customFormat="false" ht="31.5" hidden="false" customHeight="true" outlineLevel="0" collapsed="false">
      <c r="A4" s="6" t="s">
        <v>5</v>
      </c>
      <c r="B4" s="6" t="s">
        <v>289</v>
      </c>
      <c r="C4" s="6" t="s">
        <v>290</v>
      </c>
      <c r="D4" s="6" t="s">
        <v>23</v>
      </c>
      <c r="E4" s="6" t="s">
        <v>291</v>
      </c>
      <c r="F4" s="6" t="s">
        <v>292</v>
      </c>
      <c r="G4" s="6" t="s">
        <v>293</v>
      </c>
      <c r="H4" s="6" t="s">
        <v>294</v>
      </c>
      <c r="I4" s="6" t="s">
        <v>295</v>
      </c>
      <c r="J4" s="6" t="s">
        <v>296</v>
      </c>
      <c r="K4" s="6" t="s">
        <v>297</v>
      </c>
      <c r="L4" s="6" t="s">
        <v>268</v>
      </c>
      <c r="M4" s="6" t="s">
        <v>269</v>
      </c>
      <c r="N4" s="6" t="s">
        <v>270</v>
      </c>
      <c r="O4" s="6" t="s">
        <v>273</v>
      </c>
      <c r="P4" s="6" t="s">
        <v>298</v>
      </c>
      <c r="Q4" s="6" t="s">
        <v>271</v>
      </c>
      <c r="R4" s="6" t="s">
        <v>299</v>
      </c>
      <c r="S4" s="6" t="s">
        <v>300</v>
      </c>
      <c r="T4" s="6" t="s">
        <v>272</v>
      </c>
    </row>
    <row r="5" customFormat="false" ht="15" hidden="false" customHeight="false" outlineLevel="0" collapsed="false">
      <c r="A5" s="17" t="s">
        <v>15</v>
      </c>
      <c r="B5" s="17" t="s">
        <v>301</v>
      </c>
      <c r="C5" s="17" t="s">
        <v>302</v>
      </c>
      <c r="D5" s="24" t="s">
        <v>34</v>
      </c>
      <c r="E5" s="17" t="s">
        <v>303</v>
      </c>
      <c r="F5" s="17"/>
      <c r="G5" s="17"/>
      <c r="H5" s="17"/>
      <c r="I5" s="17" t="s">
        <v>66</v>
      </c>
      <c r="J5" s="17"/>
      <c r="K5" s="17" t="s">
        <v>60</v>
      </c>
      <c r="L5" s="20" t="n">
        <v>42507</v>
      </c>
      <c r="M5" s="20" t="n">
        <v>377</v>
      </c>
      <c r="N5" s="25" t="n">
        <f aca="false">IFERROR(M5/L5,0)</f>
        <v>0.00886912743783377</v>
      </c>
      <c r="O5" s="19" t="n">
        <v>501.26</v>
      </c>
      <c r="P5" s="9" t="n">
        <f aca="false">IFERROR(O5/M5,0)</f>
        <v>1.32960212201592</v>
      </c>
      <c r="Q5" s="20" t="n">
        <v>21</v>
      </c>
      <c r="R5" s="19" t="n">
        <v>1364.14</v>
      </c>
      <c r="S5" s="8" t="n">
        <f aca="false">IFERROR(O5/R5,0)</f>
        <v>0.367454953303913</v>
      </c>
      <c r="T5" s="8" t="n">
        <f aca="false">IFERROR(Q5/M5,0)</f>
        <v>0.0557029177718833</v>
      </c>
    </row>
    <row r="6" customFormat="false" ht="15" hidden="false" customHeight="false" outlineLevel="0" collapsed="false">
      <c r="A6" s="17" t="s">
        <v>15</v>
      </c>
      <c r="B6" s="17" t="s">
        <v>304</v>
      </c>
      <c r="C6" s="17" t="s">
        <v>305</v>
      </c>
      <c r="D6" s="26" t="s">
        <v>32</v>
      </c>
      <c r="E6" s="17" t="s">
        <v>303</v>
      </c>
      <c r="F6" s="17" t="s">
        <v>306</v>
      </c>
      <c r="G6" s="17" t="s">
        <v>110</v>
      </c>
      <c r="H6" s="26" t="s">
        <v>66</v>
      </c>
      <c r="I6" s="17" t="s">
        <v>60</v>
      </c>
      <c r="J6" s="17" t="s">
        <v>16</v>
      </c>
      <c r="K6" s="17" t="s">
        <v>60</v>
      </c>
      <c r="L6" s="20" t="n">
        <v>17347</v>
      </c>
      <c r="M6" s="20" t="n">
        <v>90</v>
      </c>
      <c r="N6" s="25" t="n">
        <f aca="false">IFERROR(M6/L6,0)</f>
        <v>0.00518821698276359</v>
      </c>
      <c r="O6" s="19" t="n">
        <v>337.28</v>
      </c>
      <c r="P6" s="9" t="n">
        <f aca="false">IFERROR(O6/M6,0)</f>
        <v>3.74755555555556</v>
      </c>
      <c r="Q6" s="20" t="n">
        <v>11</v>
      </c>
      <c r="R6" s="19" t="n">
        <v>701.04</v>
      </c>
      <c r="S6" s="8" t="n">
        <f aca="false">IFERROR(O6/R6,0)</f>
        <v>0.481113773821751</v>
      </c>
      <c r="T6" s="8" t="n">
        <f aca="false">IFERROR(Q6/M6,0)</f>
        <v>0.122222222222222</v>
      </c>
    </row>
    <row r="7" customFormat="false" ht="15" hidden="false" customHeight="false" outlineLevel="0" collapsed="false">
      <c r="A7" s="17" t="s">
        <v>15</v>
      </c>
      <c r="B7" s="17" t="s">
        <v>307</v>
      </c>
      <c r="C7" s="17" t="s">
        <v>308</v>
      </c>
      <c r="D7" s="26" t="s">
        <v>32</v>
      </c>
      <c r="E7" s="17" t="s">
        <v>303</v>
      </c>
      <c r="F7" s="17" t="s">
        <v>306</v>
      </c>
      <c r="G7" s="17" t="s">
        <v>57</v>
      </c>
      <c r="H7" s="18" t="s">
        <v>60</v>
      </c>
      <c r="I7" s="17" t="s">
        <v>66</v>
      </c>
      <c r="J7" s="17"/>
      <c r="K7" s="17" t="s">
        <v>60</v>
      </c>
      <c r="L7" s="20" t="n">
        <v>15071</v>
      </c>
      <c r="M7" s="20" t="n">
        <v>64</v>
      </c>
      <c r="N7" s="25" t="n">
        <f aca="false">IFERROR(M7/L7,0)</f>
        <v>0.00424656625306881</v>
      </c>
      <c r="O7" s="19" t="n">
        <v>303.01</v>
      </c>
      <c r="P7" s="9" t="n">
        <f aca="false">IFERROR(O7/M7,0)</f>
        <v>4.73453125</v>
      </c>
      <c r="Q7" s="20" t="n">
        <v>13</v>
      </c>
      <c r="R7" s="19" t="n">
        <v>972.3</v>
      </c>
      <c r="S7" s="8" t="n">
        <f aca="false">IFERROR(O7/R7,0)</f>
        <v>0.311642497171655</v>
      </c>
      <c r="T7" s="8" t="n">
        <f aca="false">IFERROR(Q7/M7,0)</f>
        <v>0.203125</v>
      </c>
    </row>
    <row r="8" customFormat="false" ht="15" hidden="false" customHeight="false" outlineLevel="0" collapsed="false">
      <c r="A8" s="17" t="s">
        <v>15</v>
      </c>
      <c r="B8" s="17" t="s">
        <v>309</v>
      </c>
      <c r="C8" s="17" t="s">
        <v>310</v>
      </c>
      <c r="D8" s="17" t="s">
        <v>30</v>
      </c>
      <c r="E8" s="17" t="s">
        <v>311</v>
      </c>
      <c r="F8" s="17" t="s">
        <v>312</v>
      </c>
      <c r="G8" s="17" t="s">
        <v>57</v>
      </c>
      <c r="H8" s="18" t="s">
        <v>60</v>
      </c>
      <c r="I8" s="17" t="s">
        <v>66</v>
      </c>
      <c r="J8" s="17"/>
      <c r="K8" s="17" t="s">
        <v>60</v>
      </c>
      <c r="L8" s="20" t="n">
        <v>11995</v>
      </c>
      <c r="M8" s="20" t="n">
        <v>69</v>
      </c>
      <c r="N8" s="25" t="n">
        <f aca="false">IFERROR(M8/L8,0)</f>
        <v>0.00575239683201334</v>
      </c>
      <c r="O8" s="19" t="n">
        <v>202.39</v>
      </c>
      <c r="P8" s="9" t="n">
        <f aca="false">IFERROR(O8/M8,0)</f>
        <v>2.9331884057971</v>
      </c>
      <c r="Q8" s="20" t="n">
        <v>14</v>
      </c>
      <c r="R8" s="19" t="n">
        <v>943.56</v>
      </c>
      <c r="S8" s="8" t="n">
        <f aca="false">IFERROR(O8/R8,0)</f>
        <v>0.214496163466022</v>
      </c>
      <c r="T8" s="8" t="n">
        <f aca="false">IFERROR(Q8/M8,0)</f>
        <v>0.202898550724638</v>
      </c>
    </row>
    <row r="9" customFormat="false" ht="15" hidden="false" customHeight="false" outlineLevel="0" collapsed="false">
      <c r="A9" s="17" t="s">
        <v>15</v>
      </c>
      <c r="B9" s="17" t="s">
        <v>313</v>
      </c>
      <c r="C9" s="17" t="s">
        <v>314</v>
      </c>
      <c r="D9" s="17" t="s">
        <v>28</v>
      </c>
      <c r="E9" s="17" t="s">
        <v>315</v>
      </c>
      <c r="F9" s="17" t="s">
        <v>28</v>
      </c>
      <c r="G9" s="17" t="s">
        <v>57</v>
      </c>
      <c r="H9" s="18" t="s">
        <v>60</v>
      </c>
      <c r="I9" s="17" t="s">
        <v>66</v>
      </c>
      <c r="J9" s="17"/>
      <c r="K9" s="17" t="s">
        <v>60</v>
      </c>
      <c r="L9" s="20" t="n">
        <v>164</v>
      </c>
      <c r="M9" s="20" t="n">
        <v>11</v>
      </c>
      <c r="N9" s="25" t="n">
        <f aca="false">IFERROR(M9/L9,0)</f>
        <v>0.0670731707317073</v>
      </c>
      <c r="O9" s="19" t="n">
        <v>71.6</v>
      </c>
      <c r="P9" s="9" t="n">
        <f aca="false">IFERROR(O9/M9,0)</f>
        <v>6.50909090909091</v>
      </c>
      <c r="Q9" s="20" t="n">
        <v>2</v>
      </c>
      <c r="R9" s="19" t="n">
        <v>135.53</v>
      </c>
      <c r="S9" s="8" t="n">
        <f aca="false">IFERROR(O9/R9,0)</f>
        <v>0.528296318158341</v>
      </c>
      <c r="T9" s="8" t="n">
        <f aca="false">IFERROR(Q9/M9,0)</f>
        <v>0.181818181818182</v>
      </c>
    </row>
    <row r="10" customFormat="false" ht="15" hidden="false" customHeight="false" outlineLevel="0" collapsed="false">
      <c r="A10" s="17" t="s">
        <v>15</v>
      </c>
      <c r="B10" s="17" t="s">
        <v>316</v>
      </c>
      <c r="C10" s="17" t="s">
        <v>317</v>
      </c>
      <c r="D10" s="17" t="s">
        <v>33</v>
      </c>
      <c r="E10" s="17" t="s">
        <v>318</v>
      </c>
      <c r="F10" s="17" t="s">
        <v>319</v>
      </c>
      <c r="G10" s="17" t="s">
        <v>57</v>
      </c>
      <c r="H10" s="18" t="s">
        <v>60</v>
      </c>
      <c r="I10" s="17" t="s">
        <v>66</v>
      </c>
      <c r="J10" s="17"/>
      <c r="K10" s="17" t="s">
        <v>60</v>
      </c>
      <c r="L10" s="20" t="n">
        <v>1821</v>
      </c>
      <c r="M10" s="20" t="n">
        <v>32</v>
      </c>
      <c r="N10" s="25" t="n">
        <f aca="false">IFERROR(M10/L10,0)</f>
        <v>0.0175727622185612</v>
      </c>
      <c r="O10" s="19" t="n">
        <v>62.68</v>
      </c>
      <c r="P10" s="9" t="n">
        <f aca="false">IFERROR(O10/M10,0)</f>
        <v>1.95875</v>
      </c>
      <c r="Q10" s="20" t="n">
        <v>6</v>
      </c>
      <c r="R10" s="19" t="n">
        <v>410.34</v>
      </c>
      <c r="S10" s="8" t="n">
        <f aca="false">IFERROR(O10/R10,0)</f>
        <v>0.152751376906955</v>
      </c>
      <c r="T10" s="8" t="n">
        <f aca="false">IFERROR(Q10/M10,0)</f>
        <v>0.1875</v>
      </c>
    </row>
    <row r="11" customFormat="false" ht="15" hidden="false" customHeight="false" outlineLevel="0" collapsed="false">
      <c r="A11" s="17" t="s">
        <v>15</v>
      </c>
      <c r="B11" s="17" t="s">
        <v>320</v>
      </c>
      <c r="C11" s="17" t="s">
        <v>321</v>
      </c>
      <c r="D11" s="17" t="s">
        <v>31</v>
      </c>
      <c r="E11" s="17" t="s">
        <v>311</v>
      </c>
      <c r="F11" s="17" t="s">
        <v>306</v>
      </c>
      <c r="G11" s="17" t="s">
        <v>61</v>
      </c>
      <c r="H11" s="18" t="s">
        <v>60</v>
      </c>
      <c r="I11" s="17" t="s">
        <v>66</v>
      </c>
      <c r="J11" s="17"/>
      <c r="K11" s="17" t="s">
        <v>60</v>
      </c>
      <c r="L11" s="20" t="n">
        <v>4102</v>
      </c>
      <c r="M11" s="20" t="n">
        <v>12</v>
      </c>
      <c r="N11" s="25" t="n">
        <f aca="false">IFERROR(M11/L11,0)</f>
        <v>0.00292540224280839</v>
      </c>
      <c r="O11" s="19" t="n">
        <v>51.63</v>
      </c>
      <c r="P11" s="9" t="n">
        <f aca="false">IFERROR(O11/M11,0)</f>
        <v>4.3025</v>
      </c>
      <c r="Q11" s="20" t="n">
        <v>3</v>
      </c>
      <c r="R11" s="19" t="n">
        <v>196.37</v>
      </c>
      <c r="S11" s="8" t="n">
        <f aca="false">IFERROR(O11/R11,0)</f>
        <v>0.262922034934053</v>
      </c>
      <c r="T11" s="8" t="n">
        <f aca="false">IFERROR(Q11/M11,0)</f>
        <v>0.25</v>
      </c>
    </row>
    <row r="12" customFormat="false" ht="15" hidden="false" customHeight="false" outlineLevel="0" collapsed="false">
      <c r="A12" s="17" t="s">
        <v>15</v>
      </c>
      <c r="B12" s="17" t="s">
        <v>322</v>
      </c>
      <c r="C12" s="17" t="s">
        <v>323</v>
      </c>
      <c r="D12" s="17" t="s">
        <v>33</v>
      </c>
      <c r="E12" s="17" t="s">
        <v>318</v>
      </c>
      <c r="F12" s="17"/>
      <c r="G12" s="17" t="s">
        <v>324</v>
      </c>
      <c r="H12" s="18" t="s">
        <v>60</v>
      </c>
      <c r="I12" s="17" t="s">
        <v>66</v>
      </c>
      <c r="J12" s="17"/>
      <c r="K12" s="17" t="s">
        <v>60</v>
      </c>
      <c r="L12" s="20" t="n">
        <v>6173</v>
      </c>
      <c r="M12" s="20" t="n">
        <v>22</v>
      </c>
      <c r="N12" s="25" t="n">
        <f aca="false">IFERROR(M12/L12,0)</f>
        <v>0.0035639073384092</v>
      </c>
      <c r="O12" s="19" t="n">
        <v>47.74</v>
      </c>
      <c r="P12" s="9" t="n">
        <f aca="false">IFERROR(O12/M12,0)</f>
        <v>2.17</v>
      </c>
      <c r="Q12" s="20" t="n">
        <v>0</v>
      </c>
      <c r="R12" s="19" t="n">
        <v>0</v>
      </c>
      <c r="S12" s="8" t="n">
        <f aca="false">IFERROR(O12/R12,0)</f>
        <v>0</v>
      </c>
      <c r="T12" s="8" t="n">
        <f aca="false">IFERROR(Q12/M12,0)</f>
        <v>0</v>
      </c>
    </row>
    <row r="13" customFormat="false" ht="15" hidden="false" customHeight="false" outlineLevel="0" collapsed="false">
      <c r="A13" s="17" t="s">
        <v>15</v>
      </c>
      <c r="B13" s="17" t="s">
        <v>325</v>
      </c>
      <c r="C13" s="17" t="s">
        <v>326</v>
      </c>
      <c r="D13" s="17" t="s">
        <v>33</v>
      </c>
      <c r="E13" s="17" t="s">
        <v>318</v>
      </c>
      <c r="F13" s="17" t="s">
        <v>312</v>
      </c>
      <c r="G13" s="17"/>
      <c r="H13" s="17"/>
      <c r="I13" s="17" t="s">
        <v>60</v>
      </c>
      <c r="J13" s="17" t="s">
        <v>327</v>
      </c>
      <c r="K13" s="17" t="s">
        <v>60</v>
      </c>
      <c r="L13" s="20" t="n">
        <v>10572</v>
      </c>
      <c r="M13" s="20" t="n">
        <v>64</v>
      </c>
      <c r="N13" s="25" t="n">
        <f aca="false">IFERROR(M13/L13,0)</f>
        <v>0.006053726825577</v>
      </c>
      <c r="O13" s="19" t="n">
        <v>47.6</v>
      </c>
      <c r="P13" s="9" t="n">
        <f aca="false">IFERROR(O13/M13,0)</f>
        <v>0.74375</v>
      </c>
      <c r="Q13" s="20" t="n">
        <v>10</v>
      </c>
      <c r="R13" s="19" t="n">
        <v>453.42</v>
      </c>
      <c r="S13" s="8" t="n">
        <f aca="false">IFERROR(O13/R13,0)</f>
        <v>0.104979930307441</v>
      </c>
      <c r="T13" s="8" t="n">
        <f aca="false">IFERROR(Q13/M13,0)</f>
        <v>0.15625</v>
      </c>
    </row>
    <row r="14" customFormat="false" ht="15" hidden="false" customHeight="false" outlineLevel="0" collapsed="false">
      <c r="A14" s="17" t="s">
        <v>15</v>
      </c>
      <c r="B14" s="17" t="s">
        <v>328</v>
      </c>
      <c r="C14" s="17" t="s">
        <v>329</v>
      </c>
      <c r="D14" s="17" t="s">
        <v>28</v>
      </c>
      <c r="E14" s="17" t="s">
        <v>315</v>
      </c>
      <c r="F14" s="17" t="s">
        <v>28</v>
      </c>
      <c r="G14" s="17" t="s">
        <v>61</v>
      </c>
      <c r="H14" s="18" t="s">
        <v>60</v>
      </c>
      <c r="I14" s="17" t="s">
        <v>66</v>
      </c>
      <c r="J14" s="17"/>
      <c r="K14" s="17" t="s">
        <v>60</v>
      </c>
      <c r="L14" s="20" t="n">
        <v>1141</v>
      </c>
      <c r="M14" s="20" t="n">
        <v>11</v>
      </c>
      <c r="N14" s="25" t="n">
        <f aca="false">IFERROR(M14/L14,0)</f>
        <v>0.00964066608238387</v>
      </c>
      <c r="O14" s="19" t="n">
        <v>39.09</v>
      </c>
      <c r="P14" s="9" t="n">
        <f aca="false">IFERROR(O14/M14,0)</f>
        <v>3.55363636363636</v>
      </c>
      <c r="Q14" s="20" t="n">
        <v>5</v>
      </c>
      <c r="R14" s="19" t="n">
        <v>396.49</v>
      </c>
      <c r="S14" s="8" t="n">
        <f aca="false">IFERROR(O14/R14,0)</f>
        <v>0.0985901283765038</v>
      </c>
      <c r="T14" s="8" t="n">
        <f aca="false">IFERROR(Q14/M14,0)</f>
        <v>0.454545454545455</v>
      </c>
    </row>
    <row r="15" customFormat="false" ht="15" hidden="false" customHeight="false" outlineLevel="0" collapsed="false">
      <c r="A15" s="17" t="s">
        <v>15</v>
      </c>
      <c r="B15" s="17" t="s">
        <v>330</v>
      </c>
      <c r="C15" s="17" t="s">
        <v>331</v>
      </c>
      <c r="D15" s="24" t="s">
        <v>34</v>
      </c>
      <c r="E15" s="17" t="s">
        <v>303</v>
      </c>
      <c r="F15" s="17" t="s">
        <v>332</v>
      </c>
      <c r="G15" s="17"/>
      <c r="H15" s="17"/>
      <c r="I15" s="17" t="s">
        <v>60</v>
      </c>
      <c r="J15" s="17" t="s">
        <v>16</v>
      </c>
      <c r="K15" s="17" t="s">
        <v>60</v>
      </c>
      <c r="L15" s="20" t="n">
        <v>2304</v>
      </c>
      <c r="M15" s="20" t="n">
        <v>16</v>
      </c>
      <c r="N15" s="25" t="n">
        <f aca="false">IFERROR(M15/L15,0)</f>
        <v>0.00694444444444444</v>
      </c>
      <c r="O15" s="19" t="n">
        <v>38.42</v>
      </c>
      <c r="P15" s="9" t="n">
        <f aca="false">IFERROR(O15/M15,0)</f>
        <v>2.40125</v>
      </c>
      <c r="Q15" s="20" t="n">
        <v>0</v>
      </c>
      <c r="R15" s="19" t="n">
        <v>0</v>
      </c>
      <c r="S15" s="8" t="n">
        <f aca="false">IFERROR(O15/R15,0)</f>
        <v>0</v>
      </c>
      <c r="T15" s="8" t="n">
        <f aca="false">IFERROR(Q15/M15,0)</f>
        <v>0</v>
      </c>
    </row>
    <row r="16" customFormat="false" ht="15" hidden="false" customHeight="false" outlineLevel="0" collapsed="false">
      <c r="A16" s="17" t="s">
        <v>15</v>
      </c>
      <c r="B16" s="17" t="s">
        <v>333</v>
      </c>
      <c r="C16" s="17" t="s">
        <v>334</v>
      </c>
      <c r="D16" s="17" t="s">
        <v>28</v>
      </c>
      <c r="E16" s="17" t="s">
        <v>315</v>
      </c>
      <c r="F16" s="17" t="s">
        <v>28</v>
      </c>
      <c r="G16" s="17" t="s">
        <v>57</v>
      </c>
      <c r="H16" s="18" t="s">
        <v>60</v>
      </c>
      <c r="I16" s="17" t="s">
        <v>66</v>
      </c>
      <c r="J16" s="17"/>
      <c r="K16" s="17" t="s">
        <v>60</v>
      </c>
      <c r="L16" s="20" t="n">
        <v>47</v>
      </c>
      <c r="M16" s="20" t="n">
        <v>3</v>
      </c>
      <c r="N16" s="25" t="n">
        <f aca="false">IFERROR(M16/L16,0)</f>
        <v>0.0638297872340426</v>
      </c>
      <c r="O16" s="19" t="n">
        <v>25.23</v>
      </c>
      <c r="P16" s="9" t="n">
        <f aca="false">IFERROR(O16/M16,0)</f>
        <v>8.41</v>
      </c>
      <c r="Q16" s="20" t="n">
        <v>0</v>
      </c>
      <c r="R16" s="19" t="n">
        <v>0</v>
      </c>
      <c r="S16" s="8" t="n">
        <f aca="false">IFERROR(O16/R16,0)</f>
        <v>0</v>
      </c>
      <c r="T16" s="8" t="n">
        <f aca="false">IFERROR(Q16/M16,0)</f>
        <v>0</v>
      </c>
    </row>
    <row r="17" customFormat="false" ht="15" hidden="false" customHeight="false" outlineLevel="0" collapsed="false">
      <c r="A17" s="17" t="s">
        <v>15</v>
      </c>
      <c r="B17" s="17" t="s">
        <v>335</v>
      </c>
      <c r="C17" s="17" t="s">
        <v>336</v>
      </c>
      <c r="D17" s="17" t="s">
        <v>28</v>
      </c>
      <c r="E17" s="17" t="s">
        <v>315</v>
      </c>
      <c r="F17" s="17" t="s">
        <v>28</v>
      </c>
      <c r="G17" s="17" t="s">
        <v>57</v>
      </c>
      <c r="H17" s="18" t="s">
        <v>60</v>
      </c>
      <c r="I17" s="17" t="s">
        <v>66</v>
      </c>
      <c r="J17" s="17"/>
      <c r="K17" s="17" t="s">
        <v>60</v>
      </c>
      <c r="L17" s="20" t="n">
        <v>815</v>
      </c>
      <c r="M17" s="20" t="n">
        <v>3</v>
      </c>
      <c r="N17" s="25" t="n">
        <f aca="false">IFERROR(M17/L17,0)</f>
        <v>0.00368098159509202</v>
      </c>
      <c r="O17" s="19" t="n">
        <v>24.28</v>
      </c>
      <c r="P17" s="9" t="n">
        <f aca="false">IFERROR(O17/M17,0)</f>
        <v>8.09333333333333</v>
      </c>
      <c r="Q17" s="20" t="n">
        <v>2</v>
      </c>
      <c r="R17" s="19" t="n">
        <v>135.98</v>
      </c>
      <c r="S17" s="8" t="n">
        <f aca="false">IFERROR(O17/R17,0)</f>
        <v>0.178555669951463</v>
      </c>
      <c r="T17" s="8" t="n">
        <f aca="false">IFERROR(Q17/M17,0)</f>
        <v>0.666666666666667</v>
      </c>
    </row>
    <row r="18" customFormat="false" ht="15" hidden="false" customHeight="false" outlineLevel="0" collapsed="false">
      <c r="A18" s="17" t="s">
        <v>15</v>
      </c>
      <c r="B18" s="17" t="s">
        <v>337</v>
      </c>
      <c r="C18" s="17" t="s">
        <v>338</v>
      </c>
      <c r="D18" s="24" t="s">
        <v>34</v>
      </c>
      <c r="E18" s="17" t="s">
        <v>311</v>
      </c>
      <c r="F18" s="17" t="s">
        <v>332</v>
      </c>
      <c r="G18" s="17" t="s">
        <v>339</v>
      </c>
      <c r="H18" s="26" t="s">
        <v>66</v>
      </c>
      <c r="I18" s="17" t="s">
        <v>66</v>
      </c>
      <c r="J18" s="17"/>
      <c r="K18" s="17" t="s">
        <v>60</v>
      </c>
      <c r="L18" s="20" t="n">
        <v>2758</v>
      </c>
      <c r="M18" s="20" t="n">
        <v>23</v>
      </c>
      <c r="N18" s="25" t="n">
        <f aca="false">IFERROR(M18/L18,0)</f>
        <v>0.00833937635968093</v>
      </c>
      <c r="O18" s="19" t="n">
        <v>24.22</v>
      </c>
      <c r="P18" s="9" t="n">
        <f aca="false">IFERROR(O18/M18,0)</f>
        <v>1.05304347826087</v>
      </c>
      <c r="Q18" s="20" t="n">
        <v>1</v>
      </c>
      <c r="R18" s="19" t="n">
        <v>79.99</v>
      </c>
      <c r="S18" s="8" t="n">
        <f aca="false">IFERROR(O18/R18,0)</f>
        <v>0.30278784848106</v>
      </c>
      <c r="T18" s="8" t="n">
        <f aca="false">IFERROR(Q18/M18,0)</f>
        <v>0.0434782608695652</v>
      </c>
    </row>
    <row r="19" customFormat="false" ht="15" hidden="false" customHeight="false" outlineLevel="0" collapsed="false">
      <c r="A19" s="17" t="s">
        <v>15</v>
      </c>
      <c r="B19" s="17" t="s">
        <v>340</v>
      </c>
      <c r="C19" s="17" t="s">
        <v>341</v>
      </c>
      <c r="D19" s="17" t="s">
        <v>33</v>
      </c>
      <c r="E19" s="17" t="s">
        <v>318</v>
      </c>
      <c r="F19" s="17" t="s">
        <v>319</v>
      </c>
      <c r="G19" s="17" t="s">
        <v>57</v>
      </c>
      <c r="H19" s="18" t="s">
        <v>60</v>
      </c>
      <c r="I19" s="17" t="s">
        <v>66</v>
      </c>
      <c r="J19" s="17"/>
      <c r="K19" s="17" t="s">
        <v>60</v>
      </c>
      <c r="L19" s="20" t="n">
        <v>2562</v>
      </c>
      <c r="M19" s="20" t="n">
        <v>11</v>
      </c>
      <c r="N19" s="25" t="n">
        <f aca="false">IFERROR(M19/L19,0)</f>
        <v>0.00429352068696331</v>
      </c>
      <c r="O19" s="19" t="n">
        <v>21.92</v>
      </c>
      <c r="P19" s="9" t="n">
        <f aca="false">IFERROR(O19/M19,0)</f>
        <v>1.99272727272727</v>
      </c>
      <c r="Q19" s="20" t="n">
        <v>1</v>
      </c>
      <c r="R19" s="19" t="n">
        <v>62.39</v>
      </c>
      <c r="S19" s="8" t="n">
        <f aca="false">IFERROR(O19/R19,0)</f>
        <v>0.35133835550569</v>
      </c>
      <c r="T19" s="8" t="n">
        <f aca="false">IFERROR(Q19/M19,0)</f>
        <v>0.0909090909090909</v>
      </c>
    </row>
    <row r="20" customFormat="false" ht="15" hidden="false" customHeight="false" outlineLevel="0" collapsed="false">
      <c r="A20" s="17" t="s">
        <v>15</v>
      </c>
      <c r="B20" s="17" t="s">
        <v>342</v>
      </c>
      <c r="C20" s="17" t="s">
        <v>343</v>
      </c>
      <c r="D20" s="17" t="s">
        <v>28</v>
      </c>
      <c r="E20" s="17" t="s">
        <v>315</v>
      </c>
      <c r="F20" s="17" t="s">
        <v>28</v>
      </c>
      <c r="G20" s="17" t="s">
        <v>344</v>
      </c>
      <c r="H20" s="18" t="s">
        <v>60</v>
      </c>
      <c r="I20" s="17" t="s">
        <v>66</v>
      </c>
      <c r="J20" s="17"/>
      <c r="K20" s="17" t="s">
        <v>60</v>
      </c>
      <c r="L20" s="20" t="n">
        <v>137</v>
      </c>
      <c r="M20" s="20" t="n">
        <v>3</v>
      </c>
      <c r="N20" s="25" t="n">
        <f aca="false">IFERROR(M20/L20,0)</f>
        <v>0.0218978102189781</v>
      </c>
      <c r="O20" s="19" t="n">
        <v>17.3</v>
      </c>
      <c r="P20" s="9" t="n">
        <f aca="false">IFERROR(O20/M20,0)</f>
        <v>5.76666666666667</v>
      </c>
      <c r="Q20" s="20" t="n">
        <v>0</v>
      </c>
      <c r="R20" s="19" t="n">
        <v>0</v>
      </c>
      <c r="S20" s="8" t="n">
        <f aca="false">IFERROR(O20/R20,0)</f>
        <v>0</v>
      </c>
      <c r="T20" s="8" t="n">
        <f aca="false">IFERROR(Q20/M20,0)</f>
        <v>0</v>
      </c>
    </row>
    <row r="21" customFormat="false" ht="15" hidden="false" customHeight="false" outlineLevel="0" collapsed="false">
      <c r="A21" s="17" t="s">
        <v>15</v>
      </c>
      <c r="B21" s="17" t="s">
        <v>345</v>
      </c>
      <c r="C21" s="17" t="s">
        <v>346</v>
      </c>
      <c r="D21" s="17" t="s">
        <v>28</v>
      </c>
      <c r="E21" s="17" t="s">
        <v>315</v>
      </c>
      <c r="F21" s="17" t="s">
        <v>28</v>
      </c>
      <c r="G21" s="17" t="s">
        <v>57</v>
      </c>
      <c r="H21" s="18" t="s">
        <v>60</v>
      </c>
      <c r="I21" s="17" t="s">
        <v>66</v>
      </c>
      <c r="J21" s="17"/>
      <c r="K21" s="17" t="s">
        <v>60</v>
      </c>
      <c r="L21" s="20" t="n">
        <v>169</v>
      </c>
      <c r="M21" s="20" t="n">
        <v>3</v>
      </c>
      <c r="N21" s="25" t="n">
        <f aca="false">IFERROR(M21/L21,0)</f>
        <v>0.0177514792899408</v>
      </c>
      <c r="O21" s="19" t="n">
        <v>15.91</v>
      </c>
      <c r="P21" s="9" t="n">
        <f aca="false">IFERROR(O21/M21,0)</f>
        <v>5.30333333333333</v>
      </c>
      <c r="Q21" s="20" t="n">
        <v>1</v>
      </c>
      <c r="R21" s="19" t="n">
        <v>84.99</v>
      </c>
      <c r="S21" s="8" t="n">
        <f aca="false">IFERROR(O21/R21,0)</f>
        <v>0.187198493940464</v>
      </c>
      <c r="T21" s="8" t="n">
        <f aca="false">IFERROR(Q21/M21,0)</f>
        <v>0.333333333333333</v>
      </c>
    </row>
    <row r="22" customFormat="false" ht="15" hidden="false" customHeight="false" outlineLevel="0" collapsed="false">
      <c r="A22" s="17" t="s">
        <v>15</v>
      </c>
      <c r="B22" s="17" t="s">
        <v>347</v>
      </c>
      <c r="C22" s="17" t="s">
        <v>348</v>
      </c>
      <c r="D22" s="17" t="s">
        <v>28</v>
      </c>
      <c r="E22" s="17" t="s">
        <v>315</v>
      </c>
      <c r="F22" s="17" t="s">
        <v>28</v>
      </c>
      <c r="G22" s="17" t="s">
        <v>57</v>
      </c>
      <c r="H22" s="18" t="s">
        <v>60</v>
      </c>
      <c r="I22" s="17" t="s">
        <v>66</v>
      </c>
      <c r="J22" s="17"/>
      <c r="K22" s="17" t="s">
        <v>60</v>
      </c>
      <c r="L22" s="20" t="n">
        <v>242</v>
      </c>
      <c r="M22" s="20" t="n">
        <v>24</v>
      </c>
      <c r="N22" s="25" t="n">
        <f aca="false">IFERROR(M22/L22,0)</f>
        <v>0.0991735537190083</v>
      </c>
      <c r="O22" s="19" t="n">
        <v>15.73</v>
      </c>
      <c r="P22" s="9" t="n">
        <f aca="false">IFERROR(O22/M22,0)</f>
        <v>0.655416666666667</v>
      </c>
      <c r="Q22" s="20" t="n">
        <v>0</v>
      </c>
      <c r="R22" s="19" t="n">
        <v>0</v>
      </c>
      <c r="S22" s="8" t="n">
        <f aca="false">IFERROR(O22/R22,0)</f>
        <v>0</v>
      </c>
      <c r="T22" s="8" t="n">
        <f aca="false">IFERROR(Q22/M22,0)</f>
        <v>0</v>
      </c>
    </row>
    <row r="23" customFormat="false" ht="15" hidden="false" customHeight="false" outlineLevel="0" collapsed="false">
      <c r="A23" s="17" t="s">
        <v>15</v>
      </c>
      <c r="B23" s="17" t="s">
        <v>349</v>
      </c>
      <c r="C23" s="17" t="s">
        <v>350</v>
      </c>
      <c r="D23" s="24" t="s">
        <v>34</v>
      </c>
      <c r="E23" s="17" t="s">
        <v>351</v>
      </c>
      <c r="F23" s="17" t="s">
        <v>332</v>
      </c>
      <c r="G23" s="17" t="s">
        <v>352</v>
      </c>
      <c r="H23" s="26" t="s">
        <v>66</v>
      </c>
      <c r="I23" s="17" t="s">
        <v>66</v>
      </c>
      <c r="J23" s="17"/>
      <c r="K23" s="17" t="s">
        <v>60</v>
      </c>
      <c r="L23" s="20" t="n">
        <v>2253</v>
      </c>
      <c r="M23" s="20" t="n">
        <v>7</v>
      </c>
      <c r="N23" s="25" t="n">
        <f aca="false">IFERROR(M23/L23,0)</f>
        <v>0.00310696848646249</v>
      </c>
      <c r="O23" s="19" t="n">
        <v>15.64</v>
      </c>
      <c r="P23" s="9" t="n">
        <f aca="false">IFERROR(O23/M23,0)</f>
        <v>2.23428571428571</v>
      </c>
      <c r="Q23" s="20" t="n">
        <v>0</v>
      </c>
      <c r="R23" s="19" t="n">
        <v>0</v>
      </c>
      <c r="S23" s="8" t="n">
        <f aca="false">IFERROR(O23/R23,0)</f>
        <v>0</v>
      </c>
      <c r="T23" s="8" t="n">
        <f aca="false">IFERROR(Q23/M23,0)</f>
        <v>0</v>
      </c>
    </row>
    <row r="24" customFormat="false" ht="15" hidden="false" customHeight="false" outlineLevel="0" collapsed="false">
      <c r="A24" s="17" t="s">
        <v>15</v>
      </c>
      <c r="B24" s="17" t="s">
        <v>353</v>
      </c>
      <c r="C24" s="17" t="s">
        <v>354</v>
      </c>
      <c r="D24" s="17" t="s">
        <v>31</v>
      </c>
      <c r="E24" s="17" t="s">
        <v>311</v>
      </c>
      <c r="F24" s="17" t="s">
        <v>306</v>
      </c>
      <c r="G24" s="17" t="s">
        <v>61</v>
      </c>
      <c r="H24" s="18" t="s">
        <v>60</v>
      </c>
      <c r="I24" s="17" t="s">
        <v>66</v>
      </c>
      <c r="J24" s="17"/>
      <c r="K24" s="17" t="s">
        <v>60</v>
      </c>
      <c r="L24" s="20" t="n">
        <v>1950</v>
      </c>
      <c r="M24" s="20" t="n">
        <v>12</v>
      </c>
      <c r="N24" s="25" t="n">
        <f aca="false">IFERROR(M24/L24,0)</f>
        <v>0.00615384615384615</v>
      </c>
      <c r="O24" s="19" t="n">
        <v>14.71</v>
      </c>
      <c r="P24" s="9" t="n">
        <f aca="false">IFERROR(O24/M24,0)</f>
        <v>1.22583333333333</v>
      </c>
      <c r="Q24" s="20" t="n">
        <v>1</v>
      </c>
      <c r="R24" s="19" t="n">
        <v>63.99</v>
      </c>
      <c r="S24" s="8" t="n">
        <f aca="false">IFERROR(O24/R24,0)</f>
        <v>0.229879668698234</v>
      </c>
      <c r="T24" s="8" t="n">
        <f aca="false">IFERROR(Q24/M24,0)</f>
        <v>0.0833333333333333</v>
      </c>
    </row>
    <row r="25" customFormat="false" ht="15" hidden="false" customHeight="false" outlineLevel="0" collapsed="false">
      <c r="A25" s="17" t="s">
        <v>15</v>
      </c>
      <c r="B25" s="17" t="s">
        <v>355</v>
      </c>
      <c r="C25" s="17" t="s">
        <v>356</v>
      </c>
      <c r="D25" s="17" t="s">
        <v>28</v>
      </c>
      <c r="E25" s="17" t="s">
        <v>315</v>
      </c>
      <c r="F25" s="17" t="s">
        <v>28</v>
      </c>
      <c r="G25" s="17" t="s">
        <v>357</v>
      </c>
      <c r="H25" s="18" t="s">
        <v>60</v>
      </c>
      <c r="I25" s="17" t="s">
        <v>66</v>
      </c>
      <c r="J25" s="17"/>
      <c r="K25" s="17" t="s">
        <v>60</v>
      </c>
      <c r="L25" s="20" t="n">
        <v>877</v>
      </c>
      <c r="M25" s="20" t="n">
        <v>3</v>
      </c>
      <c r="N25" s="25" t="n">
        <f aca="false">IFERROR(M25/L25,0)</f>
        <v>0.00342075256556442</v>
      </c>
      <c r="O25" s="19" t="n">
        <v>14.02</v>
      </c>
      <c r="P25" s="9" t="n">
        <f aca="false">IFERROR(O25/M25,0)</f>
        <v>4.67333333333333</v>
      </c>
      <c r="Q25" s="20" t="n">
        <v>1</v>
      </c>
      <c r="R25" s="19" t="n">
        <v>55.29</v>
      </c>
      <c r="S25" s="8" t="n">
        <f aca="false">IFERROR(O25/R25,0)</f>
        <v>0.253572074516187</v>
      </c>
      <c r="T25" s="8" t="n">
        <f aca="false">IFERROR(Q25/M25,0)</f>
        <v>0.333333333333333</v>
      </c>
    </row>
    <row r="26" customFormat="false" ht="15" hidden="false" customHeight="false" outlineLevel="0" collapsed="false">
      <c r="A26" s="17" t="s">
        <v>15</v>
      </c>
      <c r="B26" s="17" t="s">
        <v>358</v>
      </c>
      <c r="C26" s="17" t="s">
        <v>359</v>
      </c>
      <c r="D26" s="17" t="s">
        <v>28</v>
      </c>
      <c r="E26" s="17" t="s">
        <v>315</v>
      </c>
      <c r="F26" s="17" t="s">
        <v>28</v>
      </c>
      <c r="G26" s="17" t="s">
        <v>91</v>
      </c>
      <c r="H26" s="18" t="s">
        <v>60</v>
      </c>
      <c r="I26" s="17" t="s">
        <v>66</v>
      </c>
      <c r="J26" s="17"/>
      <c r="K26" s="17" t="s">
        <v>60</v>
      </c>
      <c r="L26" s="20" t="n">
        <v>61</v>
      </c>
      <c r="M26" s="20" t="n">
        <v>3</v>
      </c>
      <c r="N26" s="25" t="n">
        <f aca="false">IFERROR(M26/L26,0)</f>
        <v>0.0491803278688525</v>
      </c>
      <c r="O26" s="19" t="n">
        <v>13.53</v>
      </c>
      <c r="P26" s="9" t="n">
        <f aca="false">IFERROR(O26/M26,0)</f>
        <v>4.51</v>
      </c>
      <c r="Q26" s="20" t="n">
        <v>3</v>
      </c>
      <c r="R26" s="19" t="n">
        <v>154.17</v>
      </c>
      <c r="S26" s="8" t="n">
        <f aca="false">IFERROR(O26/R26,0)</f>
        <v>0.0877602646429267</v>
      </c>
      <c r="T26" s="8" t="n">
        <f aca="false">IFERROR(Q26/M26,0)</f>
        <v>1</v>
      </c>
    </row>
    <row r="27" customFormat="false" ht="15" hidden="false" customHeight="false" outlineLevel="0" collapsed="false">
      <c r="A27" s="17" t="s">
        <v>15</v>
      </c>
      <c r="B27" s="17" t="s">
        <v>360</v>
      </c>
      <c r="C27" s="17" t="s">
        <v>361</v>
      </c>
      <c r="D27" s="17" t="s">
        <v>28</v>
      </c>
      <c r="E27" s="17" t="s">
        <v>315</v>
      </c>
      <c r="F27" s="17" t="s">
        <v>28</v>
      </c>
      <c r="G27" s="17" t="s">
        <v>75</v>
      </c>
      <c r="H27" s="26" t="s">
        <v>66</v>
      </c>
      <c r="I27" s="17" t="s">
        <v>66</v>
      </c>
      <c r="J27" s="17"/>
      <c r="K27" s="17" t="s">
        <v>60</v>
      </c>
      <c r="L27" s="20" t="n">
        <v>107</v>
      </c>
      <c r="M27" s="20" t="n">
        <v>2</v>
      </c>
      <c r="N27" s="25" t="n">
        <f aca="false">IFERROR(M27/L27,0)</f>
        <v>0.0186915887850467</v>
      </c>
      <c r="O27" s="19" t="n">
        <v>13.35</v>
      </c>
      <c r="P27" s="9" t="n">
        <f aca="false">IFERROR(O27/M27,0)</f>
        <v>6.675</v>
      </c>
      <c r="Q27" s="20" t="n">
        <v>1</v>
      </c>
      <c r="R27" s="19" t="n">
        <v>46.19</v>
      </c>
      <c r="S27" s="8" t="n">
        <f aca="false">IFERROR(O27/R27,0)</f>
        <v>0.289023598181425</v>
      </c>
      <c r="T27" s="8" t="n">
        <f aca="false">IFERROR(Q27/M27,0)</f>
        <v>0.5</v>
      </c>
    </row>
    <row r="28" customFormat="false" ht="15" hidden="false" customHeight="false" outlineLevel="0" collapsed="false">
      <c r="A28" s="17" t="s">
        <v>15</v>
      </c>
      <c r="B28" s="17" t="s">
        <v>362</v>
      </c>
      <c r="C28" s="17" t="s">
        <v>363</v>
      </c>
      <c r="D28" s="24" t="s">
        <v>34</v>
      </c>
      <c r="E28" s="17" t="s">
        <v>303</v>
      </c>
      <c r="F28" s="17" t="s">
        <v>332</v>
      </c>
      <c r="G28" s="17"/>
      <c r="H28" s="17"/>
      <c r="I28" s="17" t="s">
        <v>60</v>
      </c>
      <c r="J28" s="17" t="s">
        <v>16</v>
      </c>
      <c r="K28" s="17" t="s">
        <v>60</v>
      </c>
      <c r="L28" s="20" t="n">
        <v>4665</v>
      </c>
      <c r="M28" s="20" t="n">
        <v>17</v>
      </c>
      <c r="N28" s="25" t="n">
        <f aca="false">IFERROR(M28/L28,0)</f>
        <v>0.00364415862808146</v>
      </c>
      <c r="O28" s="19" t="n">
        <v>13.27</v>
      </c>
      <c r="P28" s="9" t="n">
        <f aca="false">IFERROR(O28/M28,0)</f>
        <v>0.780588235294118</v>
      </c>
      <c r="Q28" s="20" t="n">
        <v>0</v>
      </c>
      <c r="R28" s="19" t="n">
        <v>0</v>
      </c>
      <c r="S28" s="8" t="n">
        <f aca="false">IFERROR(O28/R28,0)</f>
        <v>0</v>
      </c>
      <c r="T28" s="8" t="n">
        <f aca="false">IFERROR(Q28/M28,0)</f>
        <v>0</v>
      </c>
    </row>
    <row r="29" customFormat="false" ht="15" hidden="false" customHeight="false" outlineLevel="0" collapsed="false">
      <c r="A29" s="17" t="s">
        <v>15</v>
      </c>
      <c r="B29" s="17" t="s">
        <v>364</v>
      </c>
      <c r="C29" s="17" t="s">
        <v>365</v>
      </c>
      <c r="D29" s="17" t="s">
        <v>33</v>
      </c>
      <c r="E29" s="17" t="s">
        <v>318</v>
      </c>
      <c r="F29" s="17" t="s">
        <v>319</v>
      </c>
      <c r="G29" s="17" t="s">
        <v>100</v>
      </c>
      <c r="H29" s="26" t="s">
        <v>66</v>
      </c>
      <c r="I29" s="17" t="s">
        <v>66</v>
      </c>
      <c r="J29" s="17"/>
      <c r="K29" s="17" t="s">
        <v>60</v>
      </c>
      <c r="L29" s="20" t="n">
        <v>502</v>
      </c>
      <c r="M29" s="20" t="n">
        <v>6</v>
      </c>
      <c r="N29" s="25" t="n">
        <f aca="false">IFERROR(M29/L29,0)</f>
        <v>0.0119521912350598</v>
      </c>
      <c r="O29" s="19" t="n">
        <v>11.82</v>
      </c>
      <c r="P29" s="9" t="n">
        <f aca="false">IFERROR(O29/M29,0)</f>
        <v>1.97</v>
      </c>
      <c r="Q29" s="20" t="n">
        <v>0</v>
      </c>
      <c r="R29" s="19" t="n">
        <v>0</v>
      </c>
      <c r="S29" s="8" t="n">
        <f aca="false">IFERROR(O29/R29,0)</f>
        <v>0</v>
      </c>
      <c r="T29" s="8" t="n">
        <f aca="false">IFERROR(Q29/M29,0)</f>
        <v>0</v>
      </c>
    </row>
    <row r="30" customFormat="false" ht="15" hidden="false" customHeight="false" outlineLevel="0" collapsed="false">
      <c r="A30" s="17" t="s">
        <v>15</v>
      </c>
      <c r="B30" s="17" t="s">
        <v>366</v>
      </c>
      <c r="C30" s="17" t="s">
        <v>367</v>
      </c>
      <c r="D30" s="17" t="s">
        <v>30</v>
      </c>
      <c r="E30" s="17" t="s">
        <v>315</v>
      </c>
      <c r="F30" s="17" t="s">
        <v>312</v>
      </c>
      <c r="G30" s="17" t="s">
        <v>57</v>
      </c>
      <c r="H30" s="18" t="s">
        <v>60</v>
      </c>
      <c r="I30" s="17" t="s">
        <v>66</v>
      </c>
      <c r="J30" s="17"/>
      <c r="K30" s="17" t="s">
        <v>60</v>
      </c>
      <c r="L30" s="20" t="n">
        <v>599</v>
      </c>
      <c r="M30" s="20" t="n">
        <v>7</v>
      </c>
      <c r="N30" s="25" t="n">
        <f aca="false">IFERROR(M30/L30,0)</f>
        <v>0.011686143572621</v>
      </c>
      <c r="O30" s="19" t="n">
        <v>10.28</v>
      </c>
      <c r="P30" s="9" t="n">
        <f aca="false">IFERROR(O30/M30,0)</f>
        <v>1.46857142857143</v>
      </c>
      <c r="Q30" s="20" t="n">
        <v>1</v>
      </c>
      <c r="R30" s="19" t="n">
        <v>67.99</v>
      </c>
      <c r="S30" s="8" t="n">
        <f aca="false">IFERROR(O30/R30,0)</f>
        <v>0.151198705692014</v>
      </c>
      <c r="T30" s="8" t="n">
        <f aca="false">IFERROR(Q30/M30,0)</f>
        <v>0.142857142857143</v>
      </c>
    </row>
    <row r="31" customFormat="false" ht="15" hidden="false" customHeight="false" outlineLevel="0" collapsed="false">
      <c r="A31" s="17" t="s">
        <v>15</v>
      </c>
      <c r="B31" s="17" t="s">
        <v>368</v>
      </c>
      <c r="C31" s="17" t="s">
        <v>369</v>
      </c>
      <c r="D31" s="17" t="s">
        <v>28</v>
      </c>
      <c r="E31" s="17" t="s">
        <v>315</v>
      </c>
      <c r="F31" s="17" t="s">
        <v>28</v>
      </c>
      <c r="G31" s="17" t="s">
        <v>75</v>
      </c>
      <c r="H31" s="26" t="s">
        <v>66</v>
      </c>
      <c r="I31" s="17" t="s">
        <v>66</v>
      </c>
      <c r="J31" s="17"/>
      <c r="K31" s="17" t="s">
        <v>60</v>
      </c>
      <c r="L31" s="20" t="n">
        <v>14</v>
      </c>
      <c r="M31" s="20" t="n">
        <v>1</v>
      </c>
      <c r="N31" s="25" t="n">
        <f aca="false">IFERROR(M31/L31,0)</f>
        <v>0.0714285714285714</v>
      </c>
      <c r="O31" s="19" t="n">
        <v>10.12</v>
      </c>
      <c r="P31" s="9" t="n">
        <f aca="false">IFERROR(O31/M31,0)</f>
        <v>10.12</v>
      </c>
      <c r="Q31" s="20" t="n">
        <v>0</v>
      </c>
      <c r="R31" s="19" t="n">
        <v>0</v>
      </c>
      <c r="S31" s="8" t="n">
        <f aca="false">IFERROR(O31/R31,0)</f>
        <v>0</v>
      </c>
      <c r="T31" s="8" t="n">
        <f aca="false">IFERROR(Q31/M31,0)</f>
        <v>0</v>
      </c>
    </row>
    <row r="32" customFormat="false" ht="15" hidden="false" customHeight="false" outlineLevel="0" collapsed="false">
      <c r="A32" s="17" t="s">
        <v>15</v>
      </c>
      <c r="B32" s="17" t="s">
        <v>370</v>
      </c>
      <c r="C32" s="17" t="s">
        <v>371</v>
      </c>
      <c r="D32" s="17" t="s">
        <v>28</v>
      </c>
      <c r="E32" s="17" t="s">
        <v>315</v>
      </c>
      <c r="F32" s="17" t="s">
        <v>28</v>
      </c>
      <c r="G32" s="17" t="s">
        <v>57</v>
      </c>
      <c r="H32" s="18" t="s">
        <v>60</v>
      </c>
      <c r="I32" s="17" t="s">
        <v>66</v>
      </c>
      <c r="J32" s="17"/>
      <c r="K32" s="17" t="s">
        <v>60</v>
      </c>
      <c r="L32" s="20" t="n">
        <v>30</v>
      </c>
      <c r="M32" s="20" t="n">
        <v>1</v>
      </c>
      <c r="N32" s="25" t="n">
        <f aca="false">IFERROR(M32/L32,0)</f>
        <v>0.0333333333333333</v>
      </c>
      <c r="O32" s="19" t="n">
        <v>9.55</v>
      </c>
      <c r="P32" s="9" t="n">
        <f aca="false">IFERROR(O32/M32,0)</f>
        <v>9.55</v>
      </c>
      <c r="Q32" s="20" t="n">
        <v>0</v>
      </c>
      <c r="R32" s="19" t="n">
        <v>0</v>
      </c>
      <c r="S32" s="8" t="n">
        <f aca="false">IFERROR(O32/R32,0)</f>
        <v>0</v>
      </c>
      <c r="T32" s="8" t="n">
        <f aca="false">IFERROR(Q32/M32,0)</f>
        <v>0</v>
      </c>
    </row>
    <row r="33" customFormat="false" ht="15" hidden="false" customHeight="false" outlineLevel="0" collapsed="false">
      <c r="A33" s="17" t="s">
        <v>15</v>
      </c>
      <c r="B33" s="17" t="s">
        <v>372</v>
      </c>
      <c r="C33" s="17" t="s">
        <v>373</v>
      </c>
      <c r="D33" s="17" t="s">
        <v>28</v>
      </c>
      <c r="E33" s="17" t="s">
        <v>315</v>
      </c>
      <c r="F33" s="17" t="s">
        <v>28</v>
      </c>
      <c r="G33" s="17" t="s">
        <v>75</v>
      </c>
      <c r="H33" s="26" t="s">
        <v>66</v>
      </c>
      <c r="I33" s="17" t="s">
        <v>66</v>
      </c>
      <c r="J33" s="17"/>
      <c r="K33" s="17" t="s">
        <v>60</v>
      </c>
      <c r="L33" s="20" t="n">
        <v>60</v>
      </c>
      <c r="M33" s="20" t="n">
        <v>2</v>
      </c>
      <c r="N33" s="25" t="n">
        <f aca="false">IFERROR(M33/L33,0)</f>
        <v>0.0333333333333333</v>
      </c>
      <c r="O33" s="19" t="n">
        <v>9.55</v>
      </c>
      <c r="P33" s="9" t="n">
        <f aca="false">IFERROR(O33/M33,0)</f>
        <v>4.775</v>
      </c>
      <c r="Q33" s="20" t="n">
        <v>0</v>
      </c>
      <c r="R33" s="19" t="n">
        <v>0</v>
      </c>
      <c r="S33" s="8" t="n">
        <f aca="false">IFERROR(O33/R33,0)</f>
        <v>0</v>
      </c>
      <c r="T33" s="8" t="n">
        <f aca="false">IFERROR(Q33/M33,0)</f>
        <v>0</v>
      </c>
    </row>
    <row r="34" customFormat="false" ht="15" hidden="false" customHeight="false" outlineLevel="0" collapsed="false">
      <c r="A34" s="17" t="s">
        <v>15</v>
      </c>
      <c r="B34" s="17" t="s">
        <v>374</v>
      </c>
      <c r="C34" s="17" t="s">
        <v>375</v>
      </c>
      <c r="D34" s="17" t="s">
        <v>28</v>
      </c>
      <c r="E34" s="17" t="s">
        <v>315</v>
      </c>
      <c r="F34" s="17" t="s">
        <v>28</v>
      </c>
      <c r="G34" s="17" t="s">
        <v>61</v>
      </c>
      <c r="H34" s="18" t="s">
        <v>60</v>
      </c>
      <c r="I34" s="17" t="s">
        <v>66</v>
      </c>
      <c r="J34" s="17"/>
      <c r="K34" s="17" t="s">
        <v>60</v>
      </c>
      <c r="L34" s="20" t="n">
        <v>44</v>
      </c>
      <c r="M34" s="20" t="n">
        <v>2</v>
      </c>
      <c r="N34" s="25" t="n">
        <f aca="false">IFERROR(M34/L34,0)</f>
        <v>0.0454545454545455</v>
      </c>
      <c r="O34" s="19" t="n">
        <v>8.64</v>
      </c>
      <c r="P34" s="9" t="n">
        <f aca="false">IFERROR(O34/M34,0)</f>
        <v>4.32</v>
      </c>
      <c r="Q34" s="20" t="n">
        <v>0</v>
      </c>
      <c r="R34" s="19" t="n">
        <v>0</v>
      </c>
      <c r="S34" s="8" t="n">
        <f aca="false">IFERROR(O34/R34,0)</f>
        <v>0</v>
      </c>
      <c r="T34" s="8" t="n">
        <f aca="false">IFERROR(Q34/M34,0)</f>
        <v>0</v>
      </c>
    </row>
    <row r="35" customFormat="false" ht="15" hidden="false" customHeight="false" outlineLevel="0" collapsed="false">
      <c r="A35" s="17" t="s">
        <v>15</v>
      </c>
      <c r="B35" s="17" t="s">
        <v>376</v>
      </c>
      <c r="C35" s="17" t="s">
        <v>377</v>
      </c>
      <c r="D35" s="17" t="s">
        <v>28</v>
      </c>
      <c r="E35" s="17" t="s">
        <v>315</v>
      </c>
      <c r="F35" s="17" t="s">
        <v>28</v>
      </c>
      <c r="G35" s="17" t="s">
        <v>75</v>
      </c>
      <c r="H35" s="26" t="s">
        <v>66</v>
      </c>
      <c r="I35" s="17" t="s">
        <v>66</v>
      </c>
      <c r="J35" s="17"/>
      <c r="K35" s="17" t="s">
        <v>60</v>
      </c>
      <c r="L35" s="20" t="n">
        <v>48</v>
      </c>
      <c r="M35" s="20" t="n">
        <v>1</v>
      </c>
      <c r="N35" s="25" t="n">
        <f aca="false">IFERROR(M35/L35,0)</f>
        <v>0.0208333333333333</v>
      </c>
      <c r="O35" s="19" t="n">
        <v>8.3</v>
      </c>
      <c r="P35" s="9" t="n">
        <f aca="false">IFERROR(O35/M35,0)</f>
        <v>8.3</v>
      </c>
      <c r="Q35" s="20" t="n">
        <v>0</v>
      </c>
      <c r="R35" s="19" t="n">
        <v>0</v>
      </c>
      <c r="S35" s="8" t="n">
        <f aca="false">IFERROR(O35/R35,0)</f>
        <v>0</v>
      </c>
      <c r="T35" s="8" t="n">
        <f aca="false">IFERROR(Q35/M35,0)</f>
        <v>0</v>
      </c>
    </row>
    <row r="36" customFormat="false" ht="15" hidden="false" customHeight="false" outlineLevel="0" collapsed="false">
      <c r="A36" s="17" t="s">
        <v>15</v>
      </c>
      <c r="B36" s="17" t="s">
        <v>378</v>
      </c>
      <c r="C36" s="17" t="s">
        <v>379</v>
      </c>
      <c r="D36" s="24" t="s">
        <v>34</v>
      </c>
      <c r="E36" s="17" t="s">
        <v>303</v>
      </c>
      <c r="F36" s="17" t="s">
        <v>332</v>
      </c>
      <c r="G36" s="17"/>
      <c r="H36" s="17"/>
      <c r="I36" s="17" t="s">
        <v>60</v>
      </c>
      <c r="J36" s="17" t="s">
        <v>327</v>
      </c>
      <c r="K36" s="17" t="s">
        <v>60</v>
      </c>
      <c r="L36" s="20" t="n">
        <v>2736</v>
      </c>
      <c r="M36" s="20" t="n">
        <v>18</v>
      </c>
      <c r="N36" s="25" t="n">
        <f aca="false">IFERROR(M36/L36,0)</f>
        <v>0.00657894736842105</v>
      </c>
      <c r="O36" s="19" t="n">
        <v>7.96</v>
      </c>
      <c r="P36" s="9" t="n">
        <f aca="false">IFERROR(O36/M36,0)</f>
        <v>0.442222222222222</v>
      </c>
      <c r="Q36" s="20" t="n">
        <v>2</v>
      </c>
      <c r="R36" s="19" t="n">
        <v>61.9</v>
      </c>
      <c r="S36" s="8" t="n">
        <f aca="false">IFERROR(O36/R36,0)</f>
        <v>0.12859450726979</v>
      </c>
      <c r="T36" s="8" t="n">
        <f aca="false">IFERROR(Q36/M36,0)</f>
        <v>0.111111111111111</v>
      </c>
    </row>
    <row r="37" customFormat="false" ht="15" hidden="false" customHeight="false" outlineLevel="0" collapsed="false">
      <c r="A37" s="17" t="s">
        <v>15</v>
      </c>
      <c r="B37" s="17" t="s">
        <v>380</v>
      </c>
      <c r="C37" s="17" t="s">
        <v>381</v>
      </c>
      <c r="D37" s="17" t="s">
        <v>28</v>
      </c>
      <c r="E37" s="17" t="s">
        <v>315</v>
      </c>
      <c r="F37" s="17" t="s">
        <v>28</v>
      </c>
      <c r="G37" s="17" t="s">
        <v>75</v>
      </c>
      <c r="H37" s="26" t="s">
        <v>66</v>
      </c>
      <c r="I37" s="17" t="s">
        <v>66</v>
      </c>
      <c r="J37" s="17"/>
      <c r="K37" s="17" t="s">
        <v>60</v>
      </c>
      <c r="L37" s="20" t="n">
        <v>40</v>
      </c>
      <c r="M37" s="20" t="n">
        <v>1</v>
      </c>
      <c r="N37" s="25" t="n">
        <f aca="false">IFERROR(M37/L37,0)</f>
        <v>0.025</v>
      </c>
      <c r="O37" s="19" t="n">
        <v>7.69</v>
      </c>
      <c r="P37" s="9" t="n">
        <f aca="false">IFERROR(O37/M37,0)</f>
        <v>7.69</v>
      </c>
      <c r="Q37" s="20" t="n">
        <v>0</v>
      </c>
      <c r="R37" s="19" t="n">
        <v>0</v>
      </c>
      <c r="S37" s="8" t="n">
        <f aca="false">IFERROR(O37/R37,0)</f>
        <v>0</v>
      </c>
      <c r="T37" s="8" t="n">
        <f aca="false">IFERROR(Q37/M37,0)</f>
        <v>0</v>
      </c>
    </row>
    <row r="38" customFormat="false" ht="15" hidden="false" customHeight="false" outlineLevel="0" collapsed="false">
      <c r="A38" s="17" t="s">
        <v>15</v>
      </c>
      <c r="B38" s="17" t="s">
        <v>382</v>
      </c>
      <c r="C38" s="17" t="s">
        <v>383</v>
      </c>
      <c r="D38" s="17" t="s">
        <v>28</v>
      </c>
      <c r="E38" s="17" t="s">
        <v>315</v>
      </c>
      <c r="F38" s="17" t="s">
        <v>28</v>
      </c>
      <c r="G38" s="17" t="s">
        <v>75</v>
      </c>
      <c r="H38" s="26" t="s">
        <v>66</v>
      </c>
      <c r="I38" s="17" t="s">
        <v>66</v>
      </c>
      <c r="J38" s="17"/>
      <c r="K38" s="17" t="s">
        <v>60</v>
      </c>
      <c r="L38" s="20" t="n">
        <v>9</v>
      </c>
      <c r="M38" s="20" t="n">
        <v>1</v>
      </c>
      <c r="N38" s="25" t="n">
        <f aca="false">IFERROR(M38/L38,0)</f>
        <v>0.111111111111111</v>
      </c>
      <c r="O38" s="19" t="n">
        <v>7.13</v>
      </c>
      <c r="P38" s="9" t="n">
        <f aca="false">IFERROR(O38/M38,0)</f>
        <v>7.13</v>
      </c>
      <c r="Q38" s="20" t="n">
        <v>0</v>
      </c>
      <c r="R38" s="19" t="n">
        <v>0</v>
      </c>
      <c r="S38" s="8" t="n">
        <f aca="false">IFERROR(O38/R38,0)</f>
        <v>0</v>
      </c>
      <c r="T38" s="8" t="n">
        <f aca="false">IFERROR(Q38/M38,0)</f>
        <v>0</v>
      </c>
    </row>
    <row r="39" customFormat="false" ht="15" hidden="false" customHeight="false" outlineLevel="0" collapsed="false">
      <c r="A39" s="17" t="s">
        <v>15</v>
      </c>
      <c r="B39" s="17" t="s">
        <v>384</v>
      </c>
      <c r="C39" s="17" t="s">
        <v>385</v>
      </c>
      <c r="D39" s="17" t="s">
        <v>28</v>
      </c>
      <c r="E39" s="17" t="s">
        <v>315</v>
      </c>
      <c r="F39" s="17" t="s">
        <v>28</v>
      </c>
      <c r="G39" s="17" t="s">
        <v>107</v>
      </c>
      <c r="H39" s="26" t="s">
        <v>66</v>
      </c>
      <c r="I39" s="17" t="s">
        <v>66</v>
      </c>
      <c r="J39" s="17"/>
      <c r="K39" s="17" t="s">
        <v>60</v>
      </c>
      <c r="L39" s="20" t="n">
        <v>878</v>
      </c>
      <c r="M39" s="20" t="n">
        <v>5</v>
      </c>
      <c r="N39" s="25" t="n">
        <f aca="false">IFERROR(M39/L39,0)</f>
        <v>0.00569476082004556</v>
      </c>
      <c r="O39" s="19" t="n">
        <v>6.82</v>
      </c>
      <c r="P39" s="9" t="n">
        <f aca="false">IFERROR(O39/M39,0)</f>
        <v>1.364</v>
      </c>
      <c r="Q39" s="20" t="n">
        <v>0</v>
      </c>
      <c r="R39" s="19" t="n">
        <v>0</v>
      </c>
      <c r="S39" s="8" t="n">
        <f aca="false">IFERROR(O39/R39,0)</f>
        <v>0</v>
      </c>
      <c r="T39" s="8" t="n">
        <f aca="false">IFERROR(Q39/M39,0)</f>
        <v>0</v>
      </c>
    </row>
    <row r="40" customFormat="false" ht="15" hidden="false" customHeight="false" outlineLevel="0" collapsed="false">
      <c r="A40" s="17" t="s">
        <v>15</v>
      </c>
      <c r="B40" s="17" t="s">
        <v>386</v>
      </c>
      <c r="C40" s="17" t="s">
        <v>387</v>
      </c>
      <c r="D40" s="17" t="s">
        <v>28</v>
      </c>
      <c r="E40" s="17" t="s">
        <v>315</v>
      </c>
      <c r="F40" s="17" t="s">
        <v>28</v>
      </c>
      <c r="G40" s="17" t="s">
        <v>57</v>
      </c>
      <c r="H40" s="18" t="s">
        <v>60</v>
      </c>
      <c r="I40" s="17" t="s">
        <v>66</v>
      </c>
      <c r="J40" s="17"/>
      <c r="K40" s="17" t="s">
        <v>60</v>
      </c>
      <c r="L40" s="20" t="n">
        <v>326</v>
      </c>
      <c r="M40" s="20" t="n">
        <v>3</v>
      </c>
      <c r="N40" s="25" t="n">
        <f aca="false">IFERROR(M40/L40,0)</f>
        <v>0.00920245398773006</v>
      </c>
      <c r="O40" s="19" t="n">
        <v>6.57</v>
      </c>
      <c r="P40" s="9" t="n">
        <f aca="false">IFERROR(O40/M40,0)</f>
        <v>2.19</v>
      </c>
      <c r="Q40" s="20" t="n">
        <v>0</v>
      </c>
      <c r="R40" s="19" t="n">
        <v>0</v>
      </c>
      <c r="S40" s="8" t="n">
        <f aca="false">IFERROR(O40/R40,0)</f>
        <v>0</v>
      </c>
      <c r="T40" s="8" t="n">
        <f aca="false">IFERROR(Q40/M40,0)</f>
        <v>0</v>
      </c>
    </row>
    <row r="41" customFormat="false" ht="15" hidden="false" customHeight="false" outlineLevel="0" collapsed="false">
      <c r="A41" s="17" t="s">
        <v>15</v>
      </c>
      <c r="B41" s="17" t="s">
        <v>388</v>
      </c>
      <c r="C41" s="17" t="s">
        <v>389</v>
      </c>
      <c r="D41" s="17" t="s">
        <v>33</v>
      </c>
      <c r="E41" s="17" t="s">
        <v>318</v>
      </c>
      <c r="F41" s="17" t="s">
        <v>312</v>
      </c>
      <c r="G41" s="17" t="s">
        <v>390</v>
      </c>
      <c r="H41" s="26" t="s">
        <v>66</v>
      </c>
      <c r="I41" s="17" t="s">
        <v>60</v>
      </c>
      <c r="J41" s="17" t="s">
        <v>327</v>
      </c>
      <c r="K41" s="17" t="s">
        <v>60</v>
      </c>
      <c r="L41" s="20" t="n">
        <v>249</v>
      </c>
      <c r="M41" s="20" t="n">
        <v>6</v>
      </c>
      <c r="N41" s="25" t="n">
        <f aca="false">IFERROR(M41/L41,0)</f>
        <v>0.0240963855421687</v>
      </c>
      <c r="O41" s="19" t="n">
        <v>6.43</v>
      </c>
      <c r="P41" s="9" t="n">
        <f aca="false">IFERROR(O41/M41,0)</f>
        <v>1.07166666666667</v>
      </c>
      <c r="Q41" s="20" t="n">
        <v>1</v>
      </c>
      <c r="R41" s="19" t="n">
        <v>67.99</v>
      </c>
      <c r="S41" s="8" t="n">
        <f aca="false">IFERROR(O41/R41,0)</f>
        <v>0.0945727312840124</v>
      </c>
      <c r="T41" s="8" t="n">
        <f aca="false">IFERROR(Q41/M41,0)</f>
        <v>0.166666666666667</v>
      </c>
    </row>
    <row r="42" customFormat="false" ht="15" hidden="false" customHeight="false" outlineLevel="0" collapsed="false">
      <c r="A42" s="17" t="s">
        <v>15</v>
      </c>
      <c r="B42" s="17" t="s">
        <v>391</v>
      </c>
      <c r="C42" s="17" t="s">
        <v>392</v>
      </c>
      <c r="D42" s="17" t="s">
        <v>35</v>
      </c>
      <c r="E42" s="17" t="s">
        <v>315</v>
      </c>
      <c r="F42" s="17"/>
      <c r="G42" s="17" t="s">
        <v>393</v>
      </c>
      <c r="H42" s="18" t="s">
        <v>60</v>
      </c>
      <c r="I42" s="17" t="s">
        <v>66</v>
      </c>
      <c r="J42" s="17"/>
      <c r="K42" s="17" t="s">
        <v>60</v>
      </c>
      <c r="L42" s="20" t="n">
        <v>71</v>
      </c>
      <c r="M42" s="20" t="n">
        <v>1</v>
      </c>
      <c r="N42" s="25" t="n">
        <f aca="false">IFERROR(M42/L42,0)</f>
        <v>0.0140845070422535</v>
      </c>
      <c r="O42" s="19" t="n">
        <v>5.85</v>
      </c>
      <c r="P42" s="9" t="n">
        <f aca="false">IFERROR(O42/M42,0)</f>
        <v>5.85</v>
      </c>
      <c r="Q42" s="20" t="n">
        <v>0</v>
      </c>
      <c r="R42" s="19" t="n">
        <v>0</v>
      </c>
      <c r="S42" s="8" t="n">
        <f aca="false">IFERROR(O42/R42,0)</f>
        <v>0</v>
      </c>
      <c r="T42" s="8" t="n">
        <f aca="false">IFERROR(Q42/M42,0)</f>
        <v>0</v>
      </c>
    </row>
    <row r="43" customFormat="false" ht="15" hidden="false" customHeight="false" outlineLevel="0" collapsed="false">
      <c r="A43" s="17" t="s">
        <v>15</v>
      </c>
      <c r="B43" s="17" t="s">
        <v>394</v>
      </c>
      <c r="C43" s="17" t="s">
        <v>395</v>
      </c>
      <c r="D43" s="17" t="s">
        <v>35</v>
      </c>
      <c r="E43" s="17" t="s">
        <v>315</v>
      </c>
      <c r="F43" s="17"/>
      <c r="G43" s="17" t="s">
        <v>61</v>
      </c>
      <c r="H43" s="18" t="s">
        <v>60</v>
      </c>
      <c r="I43" s="17" t="s">
        <v>66</v>
      </c>
      <c r="J43" s="17"/>
      <c r="K43" s="17" t="s">
        <v>60</v>
      </c>
      <c r="L43" s="20" t="n">
        <v>6</v>
      </c>
      <c r="M43" s="20" t="n">
        <v>1</v>
      </c>
      <c r="N43" s="25" t="n">
        <f aca="false">IFERROR(M43/L43,0)</f>
        <v>0.166666666666667</v>
      </c>
      <c r="O43" s="19" t="n">
        <v>5.65</v>
      </c>
      <c r="P43" s="9" t="n">
        <f aca="false">IFERROR(O43/M43,0)</f>
        <v>5.65</v>
      </c>
      <c r="Q43" s="20" t="n">
        <v>0</v>
      </c>
      <c r="R43" s="19" t="n">
        <v>0</v>
      </c>
      <c r="S43" s="8" t="n">
        <f aca="false">IFERROR(O43/R43,0)</f>
        <v>0</v>
      </c>
      <c r="T43" s="8" t="n">
        <f aca="false">IFERROR(Q43/M43,0)</f>
        <v>0</v>
      </c>
    </row>
    <row r="44" customFormat="false" ht="15" hidden="false" customHeight="false" outlineLevel="0" collapsed="false">
      <c r="A44" s="17" t="s">
        <v>15</v>
      </c>
      <c r="B44" s="17" t="s">
        <v>396</v>
      </c>
      <c r="C44" s="17" t="s">
        <v>397</v>
      </c>
      <c r="D44" s="17" t="s">
        <v>28</v>
      </c>
      <c r="E44" s="17" t="s">
        <v>315</v>
      </c>
      <c r="F44" s="17" t="s">
        <v>28</v>
      </c>
      <c r="G44" s="17" t="s">
        <v>57</v>
      </c>
      <c r="H44" s="18" t="s">
        <v>60</v>
      </c>
      <c r="I44" s="17" t="s">
        <v>66</v>
      </c>
      <c r="J44" s="17"/>
      <c r="K44" s="17" t="s">
        <v>60</v>
      </c>
      <c r="L44" s="20" t="n">
        <v>119</v>
      </c>
      <c r="M44" s="20" t="n">
        <v>2</v>
      </c>
      <c r="N44" s="25" t="n">
        <f aca="false">IFERROR(M44/L44,0)</f>
        <v>0.0168067226890756</v>
      </c>
      <c r="O44" s="19" t="n">
        <v>5.38</v>
      </c>
      <c r="P44" s="9" t="n">
        <f aca="false">IFERROR(O44/M44,0)</f>
        <v>2.69</v>
      </c>
      <c r="Q44" s="20" t="n">
        <v>0</v>
      </c>
      <c r="R44" s="19" t="n">
        <v>0</v>
      </c>
      <c r="S44" s="8" t="n">
        <f aca="false">IFERROR(O44/R44,0)</f>
        <v>0</v>
      </c>
      <c r="T44" s="8" t="n">
        <f aca="false">IFERROR(Q44/M44,0)</f>
        <v>0</v>
      </c>
    </row>
    <row r="45" customFormat="false" ht="15" hidden="false" customHeight="false" outlineLevel="0" collapsed="false">
      <c r="A45" s="17" t="s">
        <v>15</v>
      </c>
      <c r="B45" s="17" t="s">
        <v>398</v>
      </c>
      <c r="C45" s="17" t="s">
        <v>399</v>
      </c>
      <c r="D45" s="17" t="s">
        <v>28</v>
      </c>
      <c r="E45" s="17" t="s">
        <v>315</v>
      </c>
      <c r="F45" s="17" t="s">
        <v>28</v>
      </c>
      <c r="G45" s="17" t="s">
        <v>57</v>
      </c>
      <c r="H45" s="18" t="s">
        <v>60</v>
      </c>
      <c r="I45" s="17" t="s">
        <v>66</v>
      </c>
      <c r="J45" s="17"/>
      <c r="K45" s="17" t="s">
        <v>60</v>
      </c>
      <c r="L45" s="20" t="n">
        <v>2</v>
      </c>
      <c r="M45" s="20" t="n">
        <v>1</v>
      </c>
      <c r="N45" s="25" t="n">
        <f aca="false">IFERROR(M45/L45,0)</f>
        <v>0.5</v>
      </c>
      <c r="O45" s="19" t="n">
        <v>4.69</v>
      </c>
      <c r="P45" s="9" t="n">
        <f aca="false">IFERROR(O45/M45,0)</f>
        <v>4.69</v>
      </c>
      <c r="Q45" s="20" t="n">
        <v>0</v>
      </c>
      <c r="R45" s="19" t="n">
        <v>0</v>
      </c>
      <c r="S45" s="8" t="n">
        <f aca="false">IFERROR(O45/R45,0)</f>
        <v>0</v>
      </c>
      <c r="T45" s="8" t="n">
        <f aca="false">IFERROR(Q45/M45,0)</f>
        <v>0</v>
      </c>
    </row>
    <row r="46" customFormat="false" ht="15" hidden="false" customHeight="false" outlineLevel="0" collapsed="false">
      <c r="A46" s="17" t="s">
        <v>15</v>
      </c>
      <c r="B46" s="17" t="s">
        <v>400</v>
      </c>
      <c r="C46" s="17" t="s">
        <v>401</v>
      </c>
      <c r="D46" s="17" t="s">
        <v>28</v>
      </c>
      <c r="E46" s="17" t="s">
        <v>315</v>
      </c>
      <c r="F46" s="17" t="s">
        <v>28</v>
      </c>
      <c r="G46" s="17" t="s">
        <v>194</v>
      </c>
      <c r="H46" s="26" t="s">
        <v>66</v>
      </c>
      <c r="I46" s="17" t="s">
        <v>66</v>
      </c>
      <c r="J46" s="17"/>
      <c r="K46" s="17" t="s">
        <v>60</v>
      </c>
      <c r="L46" s="20" t="n">
        <v>14</v>
      </c>
      <c r="M46" s="20" t="n">
        <v>1</v>
      </c>
      <c r="N46" s="25" t="n">
        <f aca="false">IFERROR(M46/L46,0)</f>
        <v>0.0714285714285714</v>
      </c>
      <c r="O46" s="19" t="n">
        <v>4.36</v>
      </c>
      <c r="P46" s="9" t="n">
        <f aca="false">IFERROR(O46/M46,0)</f>
        <v>4.36</v>
      </c>
      <c r="Q46" s="20" t="n">
        <v>1</v>
      </c>
      <c r="R46" s="19" t="n">
        <v>79.99</v>
      </c>
      <c r="S46" s="8" t="n">
        <f aca="false">IFERROR(O46/R46,0)</f>
        <v>0.054506813351669</v>
      </c>
      <c r="T46" s="8" t="n">
        <f aca="false">IFERROR(Q46/M46,0)</f>
        <v>1</v>
      </c>
    </row>
    <row r="47" customFormat="false" ht="15" hidden="false" customHeight="false" outlineLevel="0" collapsed="false">
      <c r="A47" s="17" t="s">
        <v>15</v>
      </c>
      <c r="B47" s="17" t="s">
        <v>402</v>
      </c>
      <c r="C47" s="17" t="s">
        <v>403</v>
      </c>
      <c r="D47" s="17" t="s">
        <v>31</v>
      </c>
      <c r="E47" s="17" t="s">
        <v>311</v>
      </c>
      <c r="F47" s="17" t="s">
        <v>306</v>
      </c>
      <c r="G47" s="17" t="s">
        <v>57</v>
      </c>
      <c r="H47" s="18" t="s">
        <v>60</v>
      </c>
      <c r="I47" s="17" t="s">
        <v>66</v>
      </c>
      <c r="J47" s="17"/>
      <c r="K47" s="17" t="s">
        <v>60</v>
      </c>
      <c r="L47" s="20" t="n">
        <v>601</v>
      </c>
      <c r="M47" s="20" t="n">
        <v>3</v>
      </c>
      <c r="N47" s="25" t="n">
        <f aca="false">IFERROR(M47/L47,0)</f>
        <v>0.00499168053244592</v>
      </c>
      <c r="O47" s="19" t="n">
        <v>3.92</v>
      </c>
      <c r="P47" s="9" t="n">
        <f aca="false">IFERROR(O47/M47,0)</f>
        <v>1.30666666666667</v>
      </c>
      <c r="Q47" s="20" t="n">
        <v>0</v>
      </c>
      <c r="R47" s="19" t="n">
        <v>0</v>
      </c>
      <c r="S47" s="8" t="n">
        <f aca="false">IFERROR(O47/R47,0)</f>
        <v>0</v>
      </c>
      <c r="T47" s="8" t="n">
        <f aca="false">IFERROR(Q47/M47,0)</f>
        <v>0</v>
      </c>
    </row>
    <row r="48" customFormat="false" ht="15" hidden="false" customHeight="false" outlineLevel="0" collapsed="false">
      <c r="A48" s="17" t="s">
        <v>15</v>
      </c>
      <c r="B48" s="17" t="s">
        <v>404</v>
      </c>
      <c r="C48" s="17" t="s">
        <v>405</v>
      </c>
      <c r="D48" s="17" t="s">
        <v>28</v>
      </c>
      <c r="E48" s="17" t="s">
        <v>315</v>
      </c>
      <c r="F48" s="17" t="s">
        <v>28</v>
      </c>
      <c r="G48" s="17" t="s">
        <v>57</v>
      </c>
      <c r="H48" s="18" t="s">
        <v>60</v>
      </c>
      <c r="I48" s="17" t="s">
        <v>66</v>
      </c>
      <c r="J48" s="17"/>
      <c r="K48" s="17" t="s">
        <v>60</v>
      </c>
      <c r="L48" s="20" t="n">
        <v>52</v>
      </c>
      <c r="M48" s="20" t="n">
        <v>1</v>
      </c>
      <c r="N48" s="25" t="n">
        <f aca="false">IFERROR(M48/L48,0)</f>
        <v>0.0192307692307692</v>
      </c>
      <c r="O48" s="19" t="n">
        <v>3.58</v>
      </c>
      <c r="P48" s="9" t="n">
        <f aca="false">IFERROR(O48/M48,0)</f>
        <v>3.58</v>
      </c>
      <c r="Q48" s="20" t="n">
        <v>0</v>
      </c>
      <c r="R48" s="19" t="n">
        <v>0</v>
      </c>
      <c r="S48" s="8" t="n">
        <f aca="false">IFERROR(O48/R48,0)</f>
        <v>0</v>
      </c>
      <c r="T48" s="8" t="n">
        <f aca="false">IFERROR(Q48/M48,0)</f>
        <v>0</v>
      </c>
    </row>
    <row r="49" customFormat="false" ht="15" hidden="false" customHeight="false" outlineLevel="0" collapsed="false">
      <c r="A49" s="17" t="s">
        <v>15</v>
      </c>
      <c r="B49" s="17" t="s">
        <v>406</v>
      </c>
      <c r="C49" s="17" t="s">
        <v>407</v>
      </c>
      <c r="D49" s="17" t="s">
        <v>28</v>
      </c>
      <c r="E49" s="17" t="s">
        <v>315</v>
      </c>
      <c r="F49" s="17" t="s">
        <v>28</v>
      </c>
      <c r="G49" s="17" t="s">
        <v>57</v>
      </c>
      <c r="H49" s="18" t="s">
        <v>60</v>
      </c>
      <c r="I49" s="17" t="s">
        <v>66</v>
      </c>
      <c r="J49" s="17"/>
      <c r="K49" s="17" t="s">
        <v>60</v>
      </c>
      <c r="L49" s="20" t="n">
        <v>36</v>
      </c>
      <c r="M49" s="20" t="n">
        <v>1</v>
      </c>
      <c r="N49" s="25" t="n">
        <f aca="false">IFERROR(M49/L49,0)</f>
        <v>0.0277777777777778</v>
      </c>
      <c r="O49" s="19" t="n">
        <v>3.58</v>
      </c>
      <c r="P49" s="9" t="n">
        <f aca="false">IFERROR(O49/M49,0)</f>
        <v>3.58</v>
      </c>
      <c r="Q49" s="20" t="n">
        <v>0</v>
      </c>
      <c r="R49" s="19" t="n">
        <v>0</v>
      </c>
      <c r="S49" s="8" t="n">
        <f aca="false">IFERROR(O49/R49,0)</f>
        <v>0</v>
      </c>
      <c r="T49" s="8" t="n">
        <f aca="false">IFERROR(Q49/M49,0)</f>
        <v>0</v>
      </c>
    </row>
    <row r="50" customFormat="false" ht="15" hidden="false" customHeight="false" outlineLevel="0" collapsed="false">
      <c r="A50" s="17" t="s">
        <v>15</v>
      </c>
      <c r="B50" s="17" t="s">
        <v>408</v>
      </c>
      <c r="C50" s="17" t="s">
        <v>409</v>
      </c>
      <c r="D50" s="17" t="s">
        <v>28</v>
      </c>
      <c r="E50" s="17" t="s">
        <v>315</v>
      </c>
      <c r="F50" s="17" t="s">
        <v>28</v>
      </c>
      <c r="G50" s="17" t="s">
        <v>61</v>
      </c>
      <c r="H50" s="18" t="s">
        <v>60</v>
      </c>
      <c r="I50" s="17" t="s">
        <v>66</v>
      </c>
      <c r="J50" s="17"/>
      <c r="K50" s="17" t="s">
        <v>60</v>
      </c>
      <c r="L50" s="20" t="n">
        <v>1072</v>
      </c>
      <c r="M50" s="20" t="n">
        <v>2</v>
      </c>
      <c r="N50" s="25" t="n">
        <f aca="false">IFERROR(M50/L50,0)</f>
        <v>0.00186567164179104</v>
      </c>
      <c r="O50" s="19" t="n">
        <v>3.44</v>
      </c>
      <c r="P50" s="9" t="n">
        <f aca="false">IFERROR(O50/M50,0)</f>
        <v>1.72</v>
      </c>
      <c r="Q50" s="20" t="n">
        <v>0</v>
      </c>
      <c r="R50" s="19" t="n">
        <v>0</v>
      </c>
      <c r="S50" s="8" t="n">
        <f aca="false">IFERROR(O50/R50,0)</f>
        <v>0</v>
      </c>
      <c r="T50" s="8" t="n">
        <f aca="false">IFERROR(Q50/M50,0)</f>
        <v>0</v>
      </c>
    </row>
    <row r="51" customFormat="false" ht="15" hidden="false" customHeight="false" outlineLevel="0" collapsed="false">
      <c r="A51" s="17" t="s">
        <v>15</v>
      </c>
      <c r="B51" s="17" t="s">
        <v>410</v>
      </c>
      <c r="C51" s="17" t="s">
        <v>411</v>
      </c>
      <c r="D51" s="17" t="s">
        <v>31</v>
      </c>
      <c r="E51" s="17" t="s">
        <v>311</v>
      </c>
      <c r="F51" s="17" t="s">
        <v>306</v>
      </c>
      <c r="G51" s="17" t="s">
        <v>206</v>
      </c>
      <c r="H51" s="18" t="s">
        <v>60</v>
      </c>
      <c r="I51" s="17" t="s">
        <v>66</v>
      </c>
      <c r="J51" s="17"/>
      <c r="K51" s="17" t="s">
        <v>60</v>
      </c>
      <c r="L51" s="20" t="n">
        <v>300</v>
      </c>
      <c r="M51" s="20" t="n">
        <v>3</v>
      </c>
      <c r="N51" s="25" t="n">
        <f aca="false">IFERROR(M51/L51,0)</f>
        <v>0.01</v>
      </c>
      <c r="O51" s="19" t="n">
        <v>3.3</v>
      </c>
      <c r="P51" s="9" t="n">
        <f aca="false">IFERROR(O51/M51,0)</f>
        <v>1.1</v>
      </c>
      <c r="Q51" s="20" t="n">
        <v>0</v>
      </c>
      <c r="R51" s="19" t="n">
        <v>0</v>
      </c>
      <c r="S51" s="8" t="n">
        <f aca="false">IFERROR(O51/R51,0)</f>
        <v>0</v>
      </c>
      <c r="T51" s="8" t="n">
        <f aca="false">IFERROR(Q51/M51,0)</f>
        <v>0</v>
      </c>
    </row>
    <row r="52" customFormat="false" ht="15" hidden="false" customHeight="false" outlineLevel="0" collapsed="false">
      <c r="A52" s="17" t="s">
        <v>15</v>
      </c>
      <c r="B52" s="17" t="s">
        <v>412</v>
      </c>
      <c r="C52" s="17" t="s">
        <v>413</v>
      </c>
      <c r="D52" s="17" t="s">
        <v>28</v>
      </c>
      <c r="E52" s="17" t="s">
        <v>315</v>
      </c>
      <c r="F52" s="17" t="s">
        <v>28</v>
      </c>
      <c r="G52" s="17" t="s">
        <v>57</v>
      </c>
      <c r="H52" s="18" t="s">
        <v>60</v>
      </c>
      <c r="I52" s="17" t="s">
        <v>66</v>
      </c>
      <c r="J52" s="17"/>
      <c r="K52" s="17" t="s">
        <v>60</v>
      </c>
      <c r="L52" s="20" t="n">
        <v>120</v>
      </c>
      <c r="M52" s="20" t="n">
        <v>3</v>
      </c>
      <c r="N52" s="25" t="n">
        <f aca="false">IFERROR(M52/L52,0)</f>
        <v>0.025</v>
      </c>
      <c r="O52" s="19" t="n">
        <v>3.27</v>
      </c>
      <c r="P52" s="9" t="n">
        <f aca="false">IFERROR(O52/M52,0)</f>
        <v>1.09</v>
      </c>
      <c r="Q52" s="20" t="n">
        <v>0</v>
      </c>
      <c r="R52" s="19" t="n">
        <v>0</v>
      </c>
      <c r="S52" s="8" t="n">
        <f aca="false">IFERROR(O52/R52,0)</f>
        <v>0</v>
      </c>
      <c r="T52" s="8" t="n">
        <f aca="false">IFERROR(Q52/M52,0)</f>
        <v>0</v>
      </c>
    </row>
    <row r="53" customFormat="false" ht="15" hidden="false" customHeight="false" outlineLevel="0" collapsed="false">
      <c r="A53" s="17" t="s">
        <v>15</v>
      </c>
      <c r="B53" s="17" t="s">
        <v>414</v>
      </c>
      <c r="C53" s="17" t="s">
        <v>415</v>
      </c>
      <c r="D53" s="17" t="s">
        <v>33</v>
      </c>
      <c r="E53" s="17" t="s">
        <v>318</v>
      </c>
      <c r="F53" s="17" t="s">
        <v>312</v>
      </c>
      <c r="G53" s="17" t="s">
        <v>118</v>
      </c>
      <c r="H53" s="18" t="s">
        <v>60</v>
      </c>
      <c r="I53" s="17" t="s">
        <v>60</v>
      </c>
      <c r="J53" s="17" t="s">
        <v>327</v>
      </c>
      <c r="K53" s="17" t="s">
        <v>60</v>
      </c>
      <c r="L53" s="20" t="n">
        <v>476</v>
      </c>
      <c r="M53" s="20" t="n">
        <v>3</v>
      </c>
      <c r="N53" s="25" t="n">
        <f aca="false">IFERROR(M53/L53,0)</f>
        <v>0.00630252100840336</v>
      </c>
      <c r="O53" s="19" t="n">
        <v>2.81</v>
      </c>
      <c r="P53" s="9" t="n">
        <f aca="false">IFERROR(O53/M53,0)</f>
        <v>0.936666666666667</v>
      </c>
      <c r="Q53" s="20" t="n">
        <v>0</v>
      </c>
      <c r="R53" s="19" t="n">
        <v>0</v>
      </c>
      <c r="S53" s="8" t="n">
        <f aca="false">IFERROR(O53/R53,0)</f>
        <v>0</v>
      </c>
      <c r="T53" s="8" t="n">
        <f aca="false">IFERROR(Q53/M53,0)</f>
        <v>0</v>
      </c>
    </row>
    <row r="54" customFormat="false" ht="15" hidden="false" customHeight="false" outlineLevel="0" collapsed="false">
      <c r="A54" s="17" t="s">
        <v>15</v>
      </c>
      <c r="B54" s="17" t="s">
        <v>416</v>
      </c>
      <c r="C54" s="17" t="s">
        <v>417</v>
      </c>
      <c r="D54" s="17" t="s">
        <v>30</v>
      </c>
      <c r="E54" s="17" t="s">
        <v>315</v>
      </c>
      <c r="F54" s="17" t="s">
        <v>312</v>
      </c>
      <c r="G54" s="17" t="s">
        <v>57</v>
      </c>
      <c r="H54" s="18" t="s">
        <v>60</v>
      </c>
      <c r="I54" s="17" t="s">
        <v>66</v>
      </c>
      <c r="J54" s="17"/>
      <c r="K54" s="17" t="s">
        <v>60</v>
      </c>
      <c r="L54" s="20" t="n">
        <v>37</v>
      </c>
      <c r="M54" s="20" t="n">
        <v>2</v>
      </c>
      <c r="N54" s="25" t="n">
        <f aca="false">IFERROR(M54/L54,0)</f>
        <v>0.0540540540540541</v>
      </c>
      <c r="O54" s="19" t="n">
        <v>2.78</v>
      </c>
      <c r="P54" s="9" t="n">
        <f aca="false">IFERROR(O54/M54,0)</f>
        <v>1.39</v>
      </c>
      <c r="Q54" s="20" t="n">
        <v>0</v>
      </c>
      <c r="R54" s="19" t="n">
        <v>0</v>
      </c>
      <c r="S54" s="8" t="n">
        <f aca="false">IFERROR(O54/R54,0)</f>
        <v>0</v>
      </c>
      <c r="T54" s="8" t="n">
        <f aca="false">IFERROR(Q54/M54,0)</f>
        <v>0</v>
      </c>
    </row>
    <row r="55" customFormat="false" ht="15" hidden="false" customHeight="false" outlineLevel="0" collapsed="false">
      <c r="A55" s="17" t="s">
        <v>15</v>
      </c>
      <c r="B55" s="17" t="s">
        <v>418</v>
      </c>
      <c r="C55" s="17" t="s">
        <v>419</v>
      </c>
      <c r="D55" s="17" t="s">
        <v>31</v>
      </c>
      <c r="E55" s="17" t="s">
        <v>311</v>
      </c>
      <c r="F55" s="17" t="s">
        <v>306</v>
      </c>
      <c r="G55" s="17" t="s">
        <v>57</v>
      </c>
      <c r="H55" s="18" t="s">
        <v>60</v>
      </c>
      <c r="I55" s="17" t="s">
        <v>66</v>
      </c>
      <c r="J55" s="17"/>
      <c r="K55" s="17" t="s">
        <v>60</v>
      </c>
      <c r="L55" s="20" t="n">
        <v>70</v>
      </c>
      <c r="M55" s="20" t="n">
        <v>2</v>
      </c>
      <c r="N55" s="25" t="n">
        <f aca="false">IFERROR(M55/L55,0)</f>
        <v>0.0285714285714286</v>
      </c>
      <c r="O55" s="19" t="n">
        <v>2.42</v>
      </c>
      <c r="P55" s="9" t="n">
        <f aca="false">IFERROR(O55/M55,0)</f>
        <v>1.21</v>
      </c>
      <c r="Q55" s="20" t="n">
        <v>0</v>
      </c>
      <c r="R55" s="19" t="n">
        <v>0</v>
      </c>
      <c r="S55" s="8" t="n">
        <f aca="false">IFERROR(O55/R55,0)</f>
        <v>0</v>
      </c>
      <c r="T55" s="8" t="n">
        <f aca="false">IFERROR(Q55/M55,0)</f>
        <v>0</v>
      </c>
    </row>
    <row r="56" customFormat="false" ht="15" hidden="false" customHeight="false" outlineLevel="0" collapsed="false">
      <c r="A56" s="17" t="s">
        <v>15</v>
      </c>
      <c r="B56" s="17" t="s">
        <v>420</v>
      </c>
      <c r="C56" s="17" t="s">
        <v>421</v>
      </c>
      <c r="D56" s="17" t="s">
        <v>28</v>
      </c>
      <c r="E56" s="17" t="s">
        <v>315</v>
      </c>
      <c r="F56" s="17" t="s">
        <v>28</v>
      </c>
      <c r="G56" s="17" t="s">
        <v>57</v>
      </c>
      <c r="H56" s="18" t="s">
        <v>60</v>
      </c>
      <c r="I56" s="17" t="s">
        <v>66</v>
      </c>
      <c r="J56" s="17"/>
      <c r="K56" s="17" t="s">
        <v>60</v>
      </c>
      <c r="L56" s="20" t="n">
        <v>4832</v>
      </c>
      <c r="M56" s="20" t="n">
        <v>1</v>
      </c>
      <c r="N56" s="25" t="n">
        <f aca="false">IFERROR(M56/L56,0)</f>
        <v>0.000206953642384106</v>
      </c>
      <c r="O56" s="19" t="n">
        <v>2.26</v>
      </c>
      <c r="P56" s="9" t="n">
        <f aca="false">IFERROR(O56/M56,0)</f>
        <v>2.26</v>
      </c>
      <c r="Q56" s="20" t="n">
        <v>0</v>
      </c>
      <c r="R56" s="19" t="n">
        <v>0</v>
      </c>
      <c r="S56" s="8" t="n">
        <f aca="false">IFERROR(O56/R56,0)</f>
        <v>0</v>
      </c>
      <c r="T56" s="8" t="n">
        <f aca="false">IFERROR(Q56/M56,0)</f>
        <v>0</v>
      </c>
    </row>
    <row r="57" customFormat="false" ht="15" hidden="false" customHeight="false" outlineLevel="0" collapsed="false">
      <c r="A57" s="17" t="s">
        <v>15</v>
      </c>
      <c r="B57" s="17" t="s">
        <v>422</v>
      </c>
      <c r="C57" s="17" t="s">
        <v>423</v>
      </c>
      <c r="D57" s="17" t="s">
        <v>28</v>
      </c>
      <c r="E57" s="17" t="s">
        <v>315</v>
      </c>
      <c r="F57" s="17" t="s">
        <v>28</v>
      </c>
      <c r="G57" s="17" t="s">
        <v>57</v>
      </c>
      <c r="H57" s="18" t="s">
        <v>60</v>
      </c>
      <c r="I57" s="17" t="s">
        <v>66</v>
      </c>
      <c r="J57" s="17"/>
      <c r="K57" s="17" t="s">
        <v>60</v>
      </c>
      <c r="L57" s="20" t="n">
        <v>46</v>
      </c>
      <c r="M57" s="20" t="n">
        <v>1</v>
      </c>
      <c r="N57" s="25" t="n">
        <f aca="false">IFERROR(M57/L57,0)</f>
        <v>0.0217391304347826</v>
      </c>
      <c r="O57" s="19" t="n">
        <v>1.99</v>
      </c>
      <c r="P57" s="9" t="n">
        <f aca="false">IFERROR(O57/M57,0)</f>
        <v>1.99</v>
      </c>
      <c r="Q57" s="20" t="n">
        <v>0</v>
      </c>
      <c r="R57" s="19" t="n">
        <v>0</v>
      </c>
      <c r="S57" s="8" t="n">
        <f aca="false">IFERROR(O57/R57,0)</f>
        <v>0</v>
      </c>
      <c r="T57" s="8" t="n">
        <f aca="false">IFERROR(Q57/M57,0)</f>
        <v>0</v>
      </c>
    </row>
    <row r="58" customFormat="false" ht="15" hidden="false" customHeight="false" outlineLevel="0" collapsed="false">
      <c r="A58" s="17" t="s">
        <v>15</v>
      </c>
      <c r="B58" s="17" t="s">
        <v>424</v>
      </c>
      <c r="C58" s="17" t="s">
        <v>425</v>
      </c>
      <c r="D58" s="17" t="s">
        <v>28</v>
      </c>
      <c r="E58" s="17" t="s">
        <v>315</v>
      </c>
      <c r="F58" s="17" t="s">
        <v>28</v>
      </c>
      <c r="G58" s="17" t="s">
        <v>75</v>
      </c>
      <c r="H58" s="26" t="s">
        <v>66</v>
      </c>
      <c r="I58" s="17" t="s">
        <v>66</v>
      </c>
      <c r="J58" s="17"/>
      <c r="K58" s="17" t="s">
        <v>60</v>
      </c>
      <c r="L58" s="20" t="n">
        <v>128</v>
      </c>
      <c r="M58" s="20" t="n">
        <v>1</v>
      </c>
      <c r="N58" s="25" t="n">
        <f aca="false">IFERROR(M58/L58,0)</f>
        <v>0.0078125</v>
      </c>
      <c r="O58" s="19" t="n">
        <v>1.36</v>
      </c>
      <c r="P58" s="9" t="n">
        <f aca="false">IFERROR(O58/M58,0)</f>
        <v>1.36</v>
      </c>
      <c r="Q58" s="20" t="n">
        <v>1</v>
      </c>
      <c r="R58" s="19" t="n">
        <v>63.99</v>
      </c>
      <c r="S58" s="8" t="n">
        <f aca="false">IFERROR(O58/R58,0)</f>
        <v>0.0212533208313799</v>
      </c>
      <c r="T58" s="8" t="n">
        <f aca="false">IFERROR(Q58/M58,0)</f>
        <v>1</v>
      </c>
    </row>
    <row r="59" customFormat="false" ht="15" hidden="false" customHeight="false" outlineLevel="0" collapsed="false">
      <c r="A59" s="17" t="s">
        <v>15</v>
      </c>
      <c r="B59" s="17" t="s">
        <v>426</v>
      </c>
      <c r="C59" s="17" t="s">
        <v>427</v>
      </c>
      <c r="D59" s="17" t="s">
        <v>33</v>
      </c>
      <c r="E59" s="17" t="s">
        <v>318</v>
      </c>
      <c r="F59" s="17" t="s">
        <v>312</v>
      </c>
      <c r="G59" s="17" t="s">
        <v>115</v>
      </c>
      <c r="H59" s="18" t="s">
        <v>60</v>
      </c>
      <c r="I59" s="17" t="s">
        <v>60</v>
      </c>
      <c r="J59" s="17" t="s">
        <v>327</v>
      </c>
      <c r="K59" s="17" t="s">
        <v>60</v>
      </c>
      <c r="L59" s="20" t="n">
        <v>485</v>
      </c>
      <c r="M59" s="20" t="n">
        <v>1</v>
      </c>
      <c r="N59" s="25" t="n">
        <f aca="false">IFERROR(M59/L59,0)</f>
        <v>0.00206185567010309</v>
      </c>
      <c r="O59" s="19" t="n">
        <v>0.99</v>
      </c>
      <c r="P59" s="9" t="n">
        <f aca="false">IFERROR(O59/M59,0)</f>
        <v>0.99</v>
      </c>
      <c r="Q59" s="20" t="n">
        <v>0</v>
      </c>
      <c r="R59" s="19" t="n">
        <v>0</v>
      </c>
      <c r="S59" s="8" t="n">
        <f aca="false">IFERROR(O59/R59,0)</f>
        <v>0</v>
      </c>
      <c r="T59" s="8" t="n">
        <f aca="false">IFERROR(Q59/M59,0)</f>
        <v>0</v>
      </c>
    </row>
    <row r="60" customFormat="false" ht="15" hidden="false" customHeight="false" outlineLevel="0" collapsed="false">
      <c r="A60" s="17" t="s">
        <v>15</v>
      </c>
      <c r="B60" s="17" t="s">
        <v>428</v>
      </c>
      <c r="C60" s="17" t="s">
        <v>429</v>
      </c>
      <c r="D60" s="17" t="s">
        <v>33</v>
      </c>
      <c r="E60" s="17" t="s">
        <v>318</v>
      </c>
      <c r="F60" s="17" t="s">
        <v>312</v>
      </c>
      <c r="G60" s="17" t="s">
        <v>100</v>
      </c>
      <c r="H60" s="26" t="s">
        <v>66</v>
      </c>
      <c r="I60" s="17" t="s">
        <v>66</v>
      </c>
      <c r="J60" s="17"/>
      <c r="K60" s="17" t="s">
        <v>60</v>
      </c>
      <c r="L60" s="20" t="n">
        <v>5</v>
      </c>
      <c r="M60" s="20" t="n">
        <v>1</v>
      </c>
      <c r="N60" s="25" t="n">
        <f aca="false">IFERROR(M60/L60,0)</f>
        <v>0.2</v>
      </c>
      <c r="O60" s="19" t="n">
        <v>0.99</v>
      </c>
      <c r="P60" s="9" t="n">
        <f aca="false">IFERROR(O60/M60,0)</f>
        <v>0.99</v>
      </c>
      <c r="Q60" s="20" t="n">
        <v>1</v>
      </c>
      <c r="R60" s="19" t="n">
        <v>67.99</v>
      </c>
      <c r="S60" s="8" t="n">
        <f aca="false">IFERROR(O60/R60,0)</f>
        <v>0.0145609648477717</v>
      </c>
      <c r="T60" s="8" t="n">
        <f aca="false">IFERROR(Q60/M60,0)</f>
        <v>1</v>
      </c>
    </row>
    <row r="61" customFormat="false" ht="15" hidden="false" customHeight="false" outlineLevel="0" collapsed="false">
      <c r="A61" s="17" t="s">
        <v>15</v>
      </c>
      <c r="B61" s="17" t="s">
        <v>430</v>
      </c>
      <c r="C61" s="17" t="s">
        <v>431</v>
      </c>
      <c r="D61" s="17" t="s">
        <v>28</v>
      </c>
      <c r="E61" s="17" t="s">
        <v>315</v>
      </c>
      <c r="F61" s="17" t="s">
        <v>28</v>
      </c>
      <c r="G61" s="17" t="s">
        <v>57</v>
      </c>
      <c r="H61" s="18" t="s">
        <v>60</v>
      </c>
      <c r="I61" s="17" t="s">
        <v>66</v>
      </c>
      <c r="J61" s="17"/>
      <c r="K61" s="17" t="s">
        <v>60</v>
      </c>
      <c r="L61" s="20" t="n">
        <v>84</v>
      </c>
      <c r="M61" s="20" t="n">
        <v>1</v>
      </c>
      <c r="N61" s="25" t="n">
        <f aca="false">IFERROR(M61/L61,0)</f>
        <v>0.0119047619047619</v>
      </c>
      <c r="O61" s="19" t="n">
        <v>0.83</v>
      </c>
      <c r="P61" s="9" t="n">
        <f aca="false">IFERROR(O61/M61,0)</f>
        <v>0.83</v>
      </c>
      <c r="Q61" s="20" t="n">
        <v>0</v>
      </c>
      <c r="R61" s="19" t="n">
        <v>0</v>
      </c>
      <c r="S61" s="8" t="n">
        <f aca="false">IFERROR(O61/R61,0)</f>
        <v>0</v>
      </c>
      <c r="T61" s="8" t="n">
        <f aca="false">IFERROR(Q61/M61,0)</f>
        <v>0</v>
      </c>
    </row>
    <row r="62" customFormat="false" ht="15" hidden="false" customHeight="false" outlineLevel="0" collapsed="false">
      <c r="A62" s="17" t="s">
        <v>15</v>
      </c>
      <c r="B62" s="17" t="s">
        <v>432</v>
      </c>
      <c r="C62" s="17" t="s">
        <v>433</v>
      </c>
      <c r="D62" s="17" t="s">
        <v>28</v>
      </c>
      <c r="E62" s="17" t="s">
        <v>311</v>
      </c>
      <c r="F62" s="17" t="s">
        <v>28</v>
      </c>
      <c r="G62" s="17" t="s">
        <v>57</v>
      </c>
      <c r="H62" s="18" t="s">
        <v>60</v>
      </c>
      <c r="I62" s="17" t="s">
        <v>66</v>
      </c>
      <c r="J62" s="17"/>
      <c r="K62" s="17" t="s">
        <v>60</v>
      </c>
      <c r="L62" s="20" t="n">
        <v>120</v>
      </c>
      <c r="M62" s="20" t="n">
        <v>1</v>
      </c>
      <c r="N62" s="25" t="n">
        <f aca="false">IFERROR(M62/L62,0)</f>
        <v>0.00833333333333333</v>
      </c>
      <c r="O62" s="19" t="n">
        <v>0.82</v>
      </c>
      <c r="P62" s="9" t="n">
        <f aca="false">IFERROR(O62/M62,0)</f>
        <v>0.82</v>
      </c>
      <c r="Q62" s="20" t="n">
        <v>0</v>
      </c>
      <c r="R62" s="19" t="n">
        <v>0</v>
      </c>
      <c r="S62" s="8" t="n">
        <f aca="false">IFERROR(O62/R62,0)</f>
        <v>0</v>
      </c>
      <c r="T62" s="8" t="n">
        <f aca="false">IFERROR(Q62/M62,0)</f>
        <v>0</v>
      </c>
    </row>
    <row r="63" customFormat="false" ht="15" hidden="false" customHeight="false" outlineLevel="0" collapsed="false">
      <c r="A63" s="17" t="s">
        <v>16</v>
      </c>
      <c r="B63" s="17" t="s">
        <v>304</v>
      </c>
      <c r="C63" s="17" t="s">
        <v>305</v>
      </c>
      <c r="D63" s="26" t="s">
        <v>32</v>
      </c>
      <c r="E63" s="17" t="s">
        <v>303</v>
      </c>
      <c r="F63" s="17" t="s">
        <v>306</v>
      </c>
      <c r="G63" s="17" t="s">
        <v>110</v>
      </c>
      <c r="H63" s="26" t="s">
        <v>66</v>
      </c>
      <c r="I63" s="17" t="s">
        <v>60</v>
      </c>
      <c r="J63" s="17" t="s">
        <v>15</v>
      </c>
      <c r="K63" s="17" t="s">
        <v>66</v>
      </c>
      <c r="L63" s="20" t="n">
        <v>17347</v>
      </c>
      <c r="M63" s="20" t="n">
        <v>90</v>
      </c>
      <c r="N63" s="25" t="n">
        <f aca="false">IFERROR(M63/L63,0)</f>
        <v>0.00518821698276359</v>
      </c>
      <c r="O63" s="19" t="n">
        <v>337.28</v>
      </c>
      <c r="P63" s="9" t="n">
        <f aca="false">IFERROR(O63/M63,0)</f>
        <v>3.74755555555556</v>
      </c>
      <c r="Q63" s="20" t="n">
        <v>11</v>
      </c>
      <c r="R63" s="19" t="n">
        <v>701.04</v>
      </c>
      <c r="S63" s="8" t="n">
        <f aca="false">IFERROR(O63/R63,0)</f>
        <v>0.481113773821751</v>
      </c>
      <c r="T63" s="8" t="n">
        <f aca="false">IFERROR(Q63/M63,0)</f>
        <v>0.122222222222222</v>
      </c>
    </row>
    <row r="64" customFormat="false" ht="15" hidden="false" customHeight="false" outlineLevel="0" collapsed="false">
      <c r="A64" s="17" t="s">
        <v>16</v>
      </c>
      <c r="B64" s="17" t="s">
        <v>434</v>
      </c>
      <c r="C64" s="17" t="s">
        <v>435</v>
      </c>
      <c r="D64" s="24" t="s">
        <v>34</v>
      </c>
      <c r="E64" s="17" t="s">
        <v>303</v>
      </c>
      <c r="F64" s="17"/>
      <c r="G64" s="17"/>
      <c r="H64" s="17"/>
      <c r="I64" s="17" t="s">
        <v>66</v>
      </c>
      <c r="J64" s="17"/>
      <c r="K64" s="17" t="s">
        <v>60</v>
      </c>
      <c r="L64" s="20" t="n">
        <v>36943</v>
      </c>
      <c r="M64" s="20" t="n">
        <v>190</v>
      </c>
      <c r="N64" s="25" t="n">
        <f aca="false">IFERROR(M64/L64,0)</f>
        <v>0.00514305822483285</v>
      </c>
      <c r="O64" s="19" t="n">
        <v>252.66</v>
      </c>
      <c r="P64" s="9" t="n">
        <f aca="false">IFERROR(O64/M64,0)</f>
        <v>1.32978947368421</v>
      </c>
      <c r="Q64" s="20" t="n">
        <v>22</v>
      </c>
      <c r="R64" s="19" t="n">
        <v>1418.79</v>
      </c>
      <c r="S64" s="8" t="n">
        <f aca="false">IFERROR(O64/R64,0)</f>
        <v>0.17808132281733</v>
      </c>
      <c r="T64" s="8" t="n">
        <f aca="false">IFERROR(Q64/M64,0)</f>
        <v>0.115789473684211</v>
      </c>
    </row>
    <row r="65" customFormat="false" ht="15" hidden="false" customHeight="false" outlineLevel="0" collapsed="false">
      <c r="A65" s="17" t="s">
        <v>16</v>
      </c>
      <c r="B65" s="17" t="s">
        <v>436</v>
      </c>
      <c r="C65" s="17" t="s">
        <v>437</v>
      </c>
      <c r="D65" s="17" t="s">
        <v>33</v>
      </c>
      <c r="E65" s="17" t="s">
        <v>318</v>
      </c>
      <c r="F65" s="17"/>
      <c r="G65" s="17" t="s">
        <v>438</v>
      </c>
      <c r="H65" s="18" t="s">
        <v>60</v>
      </c>
      <c r="I65" s="17" t="s">
        <v>66</v>
      </c>
      <c r="J65" s="17"/>
      <c r="K65" s="17" t="s">
        <v>60</v>
      </c>
      <c r="L65" s="20" t="n">
        <v>16384</v>
      </c>
      <c r="M65" s="20" t="n">
        <v>74</v>
      </c>
      <c r="N65" s="25" t="n">
        <f aca="false">IFERROR(M65/L65,0)</f>
        <v>0.0045166015625</v>
      </c>
      <c r="O65" s="19" t="n">
        <v>150.11</v>
      </c>
      <c r="P65" s="9" t="n">
        <f aca="false">IFERROR(O65/M65,0)</f>
        <v>2.02851351351351</v>
      </c>
      <c r="Q65" s="20" t="n">
        <v>10</v>
      </c>
      <c r="R65" s="19" t="n">
        <v>673.15</v>
      </c>
      <c r="S65" s="8" t="n">
        <f aca="false">IFERROR(O65/R65,0)</f>
        <v>0.222996360395157</v>
      </c>
      <c r="T65" s="8" t="n">
        <f aca="false">IFERROR(Q65/M65,0)</f>
        <v>0.135135135135135</v>
      </c>
    </row>
    <row r="66" customFormat="false" ht="15" hidden="false" customHeight="false" outlineLevel="0" collapsed="false">
      <c r="A66" s="17" t="s">
        <v>16</v>
      </c>
      <c r="B66" s="17" t="s">
        <v>439</v>
      </c>
      <c r="C66" s="17" t="s">
        <v>440</v>
      </c>
      <c r="D66" s="26" t="s">
        <v>32</v>
      </c>
      <c r="E66" s="17" t="s">
        <v>303</v>
      </c>
      <c r="F66" s="17" t="s">
        <v>306</v>
      </c>
      <c r="G66" s="17" t="s">
        <v>118</v>
      </c>
      <c r="H66" s="18" t="s">
        <v>60</v>
      </c>
      <c r="I66" s="17" t="s">
        <v>66</v>
      </c>
      <c r="J66" s="17"/>
      <c r="K66" s="17" t="s">
        <v>60</v>
      </c>
      <c r="L66" s="20" t="n">
        <v>5879</v>
      </c>
      <c r="M66" s="20" t="n">
        <v>20</v>
      </c>
      <c r="N66" s="25" t="n">
        <f aca="false">IFERROR(M66/L66,0)</f>
        <v>0.00340193910529002</v>
      </c>
      <c r="O66" s="19" t="n">
        <v>93.08</v>
      </c>
      <c r="P66" s="9" t="n">
        <f aca="false">IFERROR(O66/M66,0)</f>
        <v>4.654</v>
      </c>
      <c r="Q66" s="20" t="n">
        <v>1</v>
      </c>
      <c r="R66" s="19" t="n">
        <v>63.74</v>
      </c>
      <c r="S66" s="8" t="n">
        <f aca="false">IFERROR(O66/R66,0)</f>
        <v>1.46030749921556</v>
      </c>
      <c r="T66" s="8" t="n">
        <f aca="false">IFERROR(Q66/M66,0)</f>
        <v>0.05</v>
      </c>
    </row>
    <row r="67" customFormat="false" ht="15" hidden="false" customHeight="false" outlineLevel="0" collapsed="false">
      <c r="A67" s="17" t="s">
        <v>16</v>
      </c>
      <c r="B67" s="17" t="s">
        <v>441</v>
      </c>
      <c r="C67" s="17" t="s">
        <v>442</v>
      </c>
      <c r="D67" s="17" t="s">
        <v>28</v>
      </c>
      <c r="E67" s="17" t="s">
        <v>315</v>
      </c>
      <c r="F67" s="17" t="s">
        <v>28</v>
      </c>
      <c r="G67" s="17" t="s">
        <v>118</v>
      </c>
      <c r="H67" s="18" t="s">
        <v>60</v>
      </c>
      <c r="I67" s="17" t="s">
        <v>66</v>
      </c>
      <c r="J67" s="17"/>
      <c r="K67" s="17" t="s">
        <v>60</v>
      </c>
      <c r="L67" s="20" t="n">
        <v>3479</v>
      </c>
      <c r="M67" s="20" t="n">
        <v>24</v>
      </c>
      <c r="N67" s="25" t="n">
        <f aca="false">IFERROR(M67/L67,0)</f>
        <v>0.00689853406151193</v>
      </c>
      <c r="O67" s="19" t="n">
        <v>79.08</v>
      </c>
      <c r="P67" s="9" t="n">
        <f aca="false">IFERROR(O67/M67,0)</f>
        <v>3.295</v>
      </c>
      <c r="Q67" s="20" t="n">
        <v>3</v>
      </c>
      <c r="R67" s="19" t="n">
        <v>191.47</v>
      </c>
      <c r="S67" s="8" t="n">
        <f aca="false">IFERROR(O67/R67,0)</f>
        <v>0.413015093748368</v>
      </c>
      <c r="T67" s="8" t="n">
        <f aca="false">IFERROR(Q67/M67,0)</f>
        <v>0.125</v>
      </c>
    </row>
    <row r="68" customFormat="false" ht="15" hidden="false" customHeight="false" outlineLevel="0" collapsed="false">
      <c r="A68" s="17" t="s">
        <v>16</v>
      </c>
      <c r="B68" s="17" t="s">
        <v>443</v>
      </c>
      <c r="C68" s="17" t="s">
        <v>444</v>
      </c>
      <c r="D68" s="24" t="s">
        <v>34</v>
      </c>
      <c r="E68" s="17" t="s">
        <v>311</v>
      </c>
      <c r="F68" s="17"/>
      <c r="G68" s="17"/>
      <c r="H68" s="17"/>
      <c r="I68" s="17" t="s">
        <v>66</v>
      </c>
      <c r="J68" s="17"/>
      <c r="K68" s="17" t="s">
        <v>60</v>
      </c>
      <c r="L68" s="20" t="n">
        <v>19320</v>
      </c>
      <c r="M68" s="20" t="n">
        <v>50</v>
      </c>
      <c r="N68" s="25" t="n">
        <f aca="false">IFERROR(M68/L68,0)</f>
        <v>0.0025879917184265</v>
      </c>
      <c r="O68" s="19" t="n">
        <v>70.16</v>
      </c>
      <c r="P68" s="9" t="n">
        <f aca="false">IFERROR(O68/M68,0)</f>
        <v>1.4032</v>
      </c>
      <c r="Q68" s="20" t="n">
        <v>3</v>
      </c>
      <c r="R68" s="19" t="n">
        <v>193.57</v>
      </c>
      <c r="S68" s="8" t="n">
        <f aca="false">IFERROR(O68/R68,0)</f>
        <v>0.362452859430697</v>
      </c>
      <c r="T68" s="8" t="n">
        <f aca="false">IFERROR(Q68/M68,0)</f>
        <v>0.06</v>
      </c>
    </row>
    <row r="69" customFormat="false" ht="15" hidden="false" customHeight="false" outlineLevel="0" collapsed="false">
      <c r="A69" s="17" t="s">
        <v>16</v>
      </c>
      <c r="B69" s="17" t="s">
        <v>445</v>
      </c>
      <c r="C69" s="17" t="s">
        <v>446</v>
      </c>
      <c r="D69" s="17" t="s">
        <v>28</v>
      </c>
      <c r="E69" s="17" t="s">
        <v>315</v>
      </c>
      <c r="F69" s="17" t="s">
        <v>28</v>
      </c>
      <c r="G69" s="17" t="s">
        <v>115</v>
      </c>
      <c r="H69" s="18" t="s">
        <v>60</v>
      </c>
      <c r="I69" s="17" t="s">
        <v>66</v>
      </c>
      <c r="J69" s="17"/>
      <c r="K69" s="17" t="s">
        <v>60</v>
      </c>
      <c r="L69" s="20" t="n">
        <v>199</v>
      </c>
      <c r="M69" s="20" t="n">
        <v>8</v>
      </c>
      <c r="N69" s="25" t="n">
        <f aca="false">IFERROR(M69/L69,0)</f>
        <v>0.0402010050251256</v>
      </c>
      <c r="O69" s="19" t="n">
        <v>69.05</v>
      </c>
      <c r="P69" s="9" t="n">
        <f aca="false">IFERROR(O69/M69,0)</f>
        <v>8.63125</v>
      </c>
      <c r="Q69" s="20" t="n">
        <v>0</v>
      </c>
      <c r="R69" s="19" t="n">
        <v>0</v>
      </c>
      <c r="S69" s="8" t="n">
        <f aca="false">IFERROR(O69/R69,0)</f>
        <v>0</v>
      </c>
      <c r="T69" s="8" t="n">
        <f aca="false">IFERROR(Q69/M69,0)</f>
        <v>0</v>
      </c>
    </row>
    <row r="70" customFormat="false" ht="15" hidden="false" customHeight="false" outlineLevel="0" collapsed="false">
      <c r="A70" s="17" t="s">
        <v>16</v>
      </c>
      <c r="B70" s="17" t="s">
        <v>447</v>
      </c>
      <c r="C70" s="17" t="s">
        <v>448</v>
      </c>
      <c r="D70" s="17" t="s">
        <v>28</v>
      </c>
      <c r="E70" s="17" t="s">
        <v>315</v>
      </c>
      <c r="F70" s="17" t="s">
        <v>28</v>
      </c>
      <c r="G70" s="17" t="s">
        <v>115</v>
      </c>
      <c r="H70" s="18" t="s">
        <v>60</v>
      </c>
      <c r="I70" s="17" t="s">
        <v>66</v>
      </c>
      <c r="J70" s="17"/>
      <c r="K70" s="17" t="s">
        <v>60</v>
      </c>
      <c r="L70" s="20" t="n">
        <v>112</v>
      </c>
      <c r="M70" s="20" t="n">
        <v>7</v>
      </c>
      <c r="N70" s="25" t="n">
        <f aca="false">IFERROR(M70/L70,0)</f>
        <v>0.0625</v>
      </c>
      <c r="O70" s="19" t="n">
        <v>57.61</v>
      </c>
      <c r="P70" s="9" t="n">
        <f aca="false">IFERROR(O70/M70,0)</f>
        <v>8.23</v>
      </c>
      <c r="Q70" s="20" t="n">
        <v>2</v>
      </c>
      <c r="R70" s="19" t="n">
        <v>136.78</v>
      </c>
      <c r="S70" s="8" t="n">
        <f aca="false">IFERROR(O70/R70,0)</f>
        <v>0.421187308085978</v>
      </c>
      <c r="T70" s="8" t="n">
        <f aca="false">IFERROR(Q70/M70,0)</f>
        <v>0.285714285714286</v>
      </c>
    </row>
    <row r="71" customFormat="false" ht="15" hidden="false" customHeight="false" outlineLevel="0" collapsed="false">
      <c r="A71" s="17" t="s">
        <v>16</v>
      </c>
      <c r="B71" s="17" t="s">
        <v>325</v>
      </c>
      <c r="C71" s="17" t="s">
        <v>326</v>
      </c>
      <c r="D71" s="17" t="s">
        <v>33</v>
      </c>
      <c r="E71" s="17" t="s">
        <v>318</v>
      </c>
      <c r="F71" s="17" t="s">
        <v>312</v>
      </c>
      <c r="G71" s="17"/>
      <c r="H71" s="17"/>
      <c r="I71" s="17" t="s">
        <v>60</v>
      </c>
      <c r="J71" s="17" t="s">
        <v>449</v>
      </c>
      <c r="K71" s="17" t="s">
        <v>66</v>
      </c>
      <c r="L71" s="20" t="n">
        <v>10572</v>
      </c>
      <c r="M71" s="20" t="n">
        <v>64</v>
      </c>
      <c r="N71" s="25" t="n">
        <f aca="false">IFERROR(M71/L71,0)</f>
        <v>0.006053726825577</v>
      </c>
      <c r="O71" s="19" t="n">
        <v>47.6</v>
      </c>
      <c r="P71" s="9" t="n">
        <f aca="false">IFERROR(O71/M71,0)</f>
        <v>0.74375</v>
      </c>
      <c r="Q71" s="20" t="n">
        <v>10</v>
      </c>
      <c r="R71" s="19" t="n">
        <v>453.42</v>
      </c>
      <c r="S71" s="8" t="n">
        <f aca="false">IFERROR(O71/R71,0)</f>
        <v>0.104979930307441</v>
      </c>
      <c r="T71" s="8" t="n">
        <f aca="false">IFERROR(Q71/M71,0)</f>
        <v>0.15625</v>
      </c>
    </row>
    <row r="72" customFormat="false" ht="15" hidden="false" customHeight="false" outlineLevel="0" collapsed="false">
      <c r="A72" s="17" t="s">
        <v>16</v>
      </c>
      <c r="B72" s="17" t="s">
        <v>450</v>
      </c>
      <c r="C72" s="17" t="s">
        <v>451</v>
      </c>
      <c r="D72" s="17" t="s">
        <v>28</v>
      </c>
      <c r="E72" s="17" t="s">
        <v>315</v>
      </c>
      <c r="F72" s="17" t="s">
        <v>28</v>
      </c>
      <c r="G72" s="17" t="s">
        <v>115</v>
      </c>
      <c r="H72" s="18" t="s">
        <v>60</v>
      </c>
      <c r="I72" s="17" t="s">
        <v>66</v>
      </c>
      <c r="J72" s="17"/>
      <c r="K72" s="17" t="s">
        <v>60</v>
      </c>
      <c r="L72" s="20" t="n">
        <v>310</v>
      </c>
      <c r="M72" s="20" t="n">
        <v>8</v>
      </c>
      <c r="N72" s="25" t="n">
        <f aca="false">IFERROR(M72/L72,0)</f>
        <v>0.0258064516129032</v>
      </c>
      <c r="O72" s="19" t="n">
        <v>40.24</v>
      </c>
      <c r="P72" s="9" t="n">
        <f aca="false">IFERROR(O72/M72,0)</f>
        <v>5.03</v>
      </c>
      <c r="Q72" s="20" t="n">
        <v>3</v>
      </c>
      <c r="R72" s="19" t="n">
        <v>193.32</v>
      </c>
      <c r="S72" s="8" t="n">
        <f aca="false">IFERROR(O72/R72,0)</f>
        <v>0.208152286364577</v>
      </c>
      <c r="T72" s="8" t="n">
        <f aca="false">IFERROR(Q72/M72,0)</f>
        <v>0.375</v>
      </c>
    </row>
    <row r="73" customFormat="false" ht="15" hidden="false" customHeight="false" outlineLevel="0" collapsed="false">
      <c r="A73" s="17" t="s">
        <v>16</v>
      </c>
      <c r="B73" s="17" t="s">
        <v>452</v>
      </c>
      <c r="C73" s="17" t="s">
        <v>453</v>
      </c>
      <c r="D73" s="17" t="s">
        <v>28</v>
      </c>
      <c r="E73" s="17" t="s">
        <v>315</v>
      </c>
      <c r="F73" s="17" t="s">
        <v>28</v>
      </c>
      <c r="G73" s="17" t="s">
        <v>115</v>
      </c>
      <c r="H73" s="18" t="s">
        <v>60</v>
      </c>
      <c r="I73" s="17" t="s">
        <v>66</v>
      </c>
      <c r="J73" s="17"/>
      <c r="K73" s="17" t="s">
        <v>60</v>
      </c>
      <c r="L73" s="20" t="n">
        <v>136</v>
      </c>
      <c r="M73" s="20" t="n">
        <v>5</v>
      </c>
      <c r="N73" s="25" t="n">
        <f aca="false">IFERROR(M73/L73,0)</f>
        <v>0.0367647058823529</v>
      </c>
      <c r="O73" s="19" t="n">
        <v>38.98</v>
      </c>
      <c r="P73" s="9" t="n">
        <f aca="false">IFERROR(O73/M73,0)</f>
        <v>7.796</v>
      </c>
      <c r="Q73" s="20" t="n">
        <v>0</v>
      </c>
      <c r="R73" s="19" t="n">
        <v>0</v>
      </c>
      <c r="S73" s="8" t="n">
        <f aca="false">IFERROR(O73/R73,0)</f>
        <v>0</v>
      </c>
      <c r="T73" s="8" t="n">
        <f aca="false">IFERROR(Q73/M73,0)</f>
        <v>0</v>
      </c>
    </row>
    <row r="74" customFormat="false" ht="15" hidden="false" customHeight="false" outlineLevel="0" collapsed="false">
      <c r="A74" s="17" t="s">
        <v>16</v>
      </c>
      <c r="B74" s="17" t="s">
        <v>330</v>
      </c>
      <c r="C74" s="17" t="s">
        <v>331</v>
      </c>
      <c r="D74" s="24" t="s">
        <v>34</v>
      </c>
      <c r="E74" s="17" t="s">
        <v>303</v>
      </c>
      <c r="F74" s="17" t="s">
        <v>332</v>
      </c>
      <c r="G74" s="17"/>
      <c r="H74" s="17"/>
      <c r="I74" s="17" t="s">
        <v>60</v>
      </c>
      <c r="J74" s="17" t="s">
        <v>15</v>
      </c>
      <c r="K74" s="17" t="s">
        <v>66</v>
      </c>
      <c r="L74" s="20" t="n">
        <v>2304</v>
      </c>
      <c r="M74" s="20" t="n">
        <v>16</v>
      </c>
      <c r="N74" s="25" t="n">
        <f aca="false">IFERROR(M74/L74,0)</f>
        <v>0.00694444444444444</v>
      </c>
      <c r="O74" s="19" t="n">
        <v>38.42</v>
      </c>
      <c r="P74" s="9" t="n">
        <f aca="false">IFERROR(O74/M74,0)</f>
        <v>2.40125</v>
      </c>
      <c r="Q74" s="20" t="n">
        <v>0</v>
      </c>
      <c r="R74" s="19" t="n">
        <v>0</v>
      </c>
      <c r="S74" s="8" t="n">
        <f aca="false">IFERROR(O74/R74,0)</f>
        <v>0</v>
      </c>
      <c r="T74" s="8" t="n">
        <f aca="false">IFERROR(Q74/M74,0)</f>
        <v>0</v>
      </c>
    </row>
    <row r="75" customFormat="false" ht="15" hidden="false" customHeight="false" outlineLevel="0" collapsed="false">
      <c r="A75" s="17" t="s">
        <v>16</v>
      </c>
      <c r="B75" s="17" t="s">
        <v>454</v>
      </c>
      <c r="C75" s="17" t="s">
        <v>455</v>
      </c>
      <c r="D75" s="17" t="s">
        <v>28</v>
      </c>
      <c r="E75" s="17" t="s">
        <v>315</v>
      </c>
      <c r="F75" s="17" t="s">
        <v>28</v>
      </c>
      <c r="G75" s="17" t="s">
        <v>115</v>
      </c>
      <c r="H75" s="18" t="s">
        <v>60</v>
      </c>
      <c r="I75" s="17" t="s">
        <v>66</v>
      </c>
      <c r="J75" s="17"/>
      <c r="K75" s="17" t="s">
        <v>60</v>
      </c>
      <c r="L75" s="20" t="n">
        <v>135</v>
      </c>
      <c r="M75" s="20" t="n">
        <v>4</v>
      </c>
      <c r="N75" s="25" t="n">
        <f aca="false">IFERROR(M75/L75,0)</f>
        <v>0.0296296296296296</v>
      </c>
      <c r="O75" s="19" t="n">
        <v>33.76</v>
      </c>
      <c r="P75" s="9" t="n">
        <f aca="false">IFERROR(O75/M75,0)</f>
        <v>8.44</v>
      </c>
      <c r="Q75" s="20" t="n">
        <v>1</v>
      </c>
      <c r="R75" s="19" t="n">
        <v>68.39</v>
      </c>
      <c r="S75" s="8" t="n">
        <f aca="false">IFERROR(O75/R75,0)</f>
        <v>0.493639420967978</v>
      </c>
      <c r="T75" s="8" t="n">
        <f aca="false">IFERROR(Q75/M75,0)</f>
        <v>0.25</v>
      </c>
    </row>
    <row r="76" customFormat="false" ht="15" hidden="false" customHeight="false" outlineLevel="0" collapsed="false">
      <c r="A76" s="17" t="s">
        <v>16</v>
      </c>
      <c r="B76" s="17" t="s">
        <v>456</v>
      </c>
      <c r="C76" s="17" t="s">
        <v>457</v>
      </c>
      <c r="D76" s="17" t="s">
        <v>28</v>
      </c>
      <c r="E76" s="17" t="s">
        <v>315</v>
      </c>
      <c r="F76" s="17" t="s">
        <v>28</v>
      </c>
      <c r="G76" s="17" t="s">
        <v>115</v>
      </c>
      <c r="H76" s="18" t="s">
        <v>60</v>
      </c>
      <c r="I76" s="17" t="s">
        <v>66</v>
      </c>
      <c r="J76" s="17"/>
      <c r="K76" s="17" t="s">
        <v>60</v>
      </c>
      <c r="L76" s="20" t="n">
        <v>1413</v>
      </c>
      <c r="M76" s="20" t="n">
        <v>11</v>
      </c>
      <c r="N76" s="25" t="n">
        <f aca="false">IFERROR(M76/L76,0)</f>
        <v>0.00778485491861288</v>
      </c>
      <c r="O76" s="19" t="n">
        <v>33.09</v>
      </c>
      <c r="P76" s="9" t="n">
        <f aca="false">IFERROR(O76/M76,0)</f>
        <v>3.00818181818182</v>
      </c>
      <c r="Q76" s="20" t="n">
        <v>3</v>
      </c>
      <c r="R76" s="19" t="n">
        <v>226.77</v>
      </c>
      <c r="S76" s="8" t="n">
        <f aca="false">IFERROR(O76/R76,0)</f>
        <v>0.145918772324382</v>
      </c>
      <c r="T76" s="8" t="n">
        <f aca="false">IFERROR(Q76/M76,0)</f>
        <v>0.272727272727273</v>
      </c>
    </row>
    <row r="77" customFormat="false" ht="15" hidden="false" customHeight="false" outlineLevel="0" collapsed="false">
      <c r="A77" s="17" t="s">
        <v>16</v>
      </c>
      <c r="B77" s="17" t="s">
        <v>458</v>
      </c>
      <c r="C77" s="17" t="s">
        <v>459</v>
      </c>
      <c r="D77" s="26" t="s">
        <v>32</v>
      </c>
      <c r="E77" s="17" t="s">
        <v>303</v>
      </c>
      <c r="F77" s="17" t="s">
        <v>306</v>
      </c>
      <c r="G77" s="17" t="s">
        <v>210</v>
      </c>
      <c r="H77" s="26" t="s">
        <v>66</v>
      </c>
      <c r="I77" s="17" t="s">
        <v>66</v>
      </c>
      <c r="J77" s="17"/>
      <c r="K77" s="17" t="s">
        <v>60</v>
      </c>
      <c r="L77" s="20" t="n">
        <v>6290</v>
      </c>
      <c r="M77" s="20" t="n">
        <v>20</v>
      </c>
      <c r="N77" s="25" t="n">
        <f aca="false">IFERROR(M77/L77,0)</f>
        <v>0.00317965023847377</v>
      </c>
      <c r="O77" s="19" t="n">
        <v>30.6</v>
      </c>
      <c r="P77" s="9" t="n">
        <f aca="false">IFERROR(O77/M77,0)</f>
        <v>1.53</v>
      </c>
      <c r="Q77" s="20" t="n">
        <v>3</v>
      </c>
      <c r="R77" s="19" t="n">
        <v>205.17</v>
      </c>
      <c r="S77" s="8" t="n">
        <f aca="false">IFERROR(O77/R77,0)</f>
        <v>0.149144611785349</v>
      </c>
      <c r="T77" s="8" t="n">
        <f aca="false">IFERROR(Q77/M77,0)</f>
        <v>0.15</v>
      </c>
    </row>
    <row r="78" customFormat="false" ht="15" hidden="false" customHeight="false" outlineLevel="0" collapsed="false">
      <c r="A78" s="17" t="s">
        <v>16</v>
      </c>
      <c r="B78" s="17" t="s">
        <v>460</v>
      </c>
      <c r="C78" s="17" t="s">
        <v>461</v>
      </c>
      <c r="D78" s="17" t="s">
        <v>33</v>
      </c>
      <c r="E78" s="17" t="s">
        <v>318</v>
      </c>
      <c r="F78" s="17" t="s">
        <v>319</v>
      </c>
      <c r="G78" s="17" t="s">
        <v>462</v>
      </c>
      <c r="H78" s="18" t="s">
        <v>60</v>
      </c>
      <c r="I78" s="17" t="s">
        <v>66</v>
      </c>
      <c r="J78" s="17"/>
      <c r="K78" s="17" t="s">
        <v>60</v>
      </c>
      <c r="L78" s="20" t="n">
        <v>2478</v>
      </c>
      <c r="M78" s="20" t="n">
        <v>13</v>
      </c>
      <c r="N78" s="25" t="n">
        <f aca="false">IFERROR(M78/L78,0)</f>
        <v>0.00524616626311542</v>
      </c>
      <c r="O78" s="19" t="n">
        <v>24.38</v>
      </c>
      <c r="P78" s="9" t="n">
        <f aca="false">IFERROR(O78/M78,0)</f>
        <v>1.87538461538462</v>
      </c>
      <c r="Q78" s="20" t="n">
        <v>1</v>
      </c>
      <c r="R78" s="19" t="n">
        <v>63.74</v>
      </c>
      <c r="S78" s="8" t="n">
        <f aca="false">IFERROR(O78/R78,0)</f>
        <v>0.382491371195482</v>
      </c>
      <c r="T78" s="8" t="n">
        <f aca="false">IFERROR(Q78/M78,0)</f>
        <v>0.0769230769230769</v>
      </c>
    </row>
    <row r="79" customFormat="false" ht="15" hidden="false" customHeight="false" outlineLevel="0" collapsed="false">
      <c r="A79" s="17" t="s">
        <v>16</v>
      </c>
      <c r="B79" s="17" t="s">
        <v>463</v>
      </c>
      <c r="C79" s="17" t="s">
        <v>464</v>
      </c>
      <c r="D79" s="17" t="s">
        <v>28</v>
      </c>
      <c r="E79" s="17" t="s">
        <v>315</v>
      </c>
      <c r="F79" s="17" t="s">
        <v>28</v>
      </c>
      <c r="G79" s="17" t="s">
        <v>115</v>
      </c>
      <c r="H79" s="18" t="s">
        <v>60</v>
      </c>
      <c r="I79" s="17" t="s">
        <v>66</v>
      </c>
      <c r="J79" s="17"/>
      <c r="K79" s="17" t="s">
        <v>60</v>
      </c>
      <c r="L79" s="20" t="n">
        <v>558</v>
      </c>
      <c r="M79" s="20" t="n">
        <v>4</v>
      </c>
      <c r="N79" s="25" t="n">
        <f aca="false">IFERROR(M79/L79,0)</f>
        <v>0.00716845878136201</v>
      </c>
      <c r="O79" s="19" t="n">
        <v>21.94</v>
      </c>
      <c r="P79" s="9" t="n">
        <f aca="false">IFERROR(O79/M79,0)</f>
        <v>5.485</v>
      </c>
      <c r="Q79" s="20" t="n">
        <v>1</v>
      </c>
      <c r="R79" s="19" t="n">
        <v>63.74</v>
      </c>
      <c r="S79" s="8" t="n">
        <f aca="false">IFERROR(O79/R79,0)</f>
        <v>0.344210856604958</v>
      </c>
      <c r="T79" s="8" t="n">
        <f aca="false">IFERROR(Q79/M79,0)</f>
        <v>0.25</v>
      </c>
    </row>
    <row r="80" customFormat="false" ht="15" hidden="false" customHeight="false" outlineLevel="0" collapsed="false">
      <c r="A80" s="17" t="s">
        <v>16</v>
      </c>
      <c r="B80" s="17" t="s">
        <v>465</v>
      </c>
      <c r="C80" s="17" t="s">
        <v>466</v>
      </c>
      <c r="D80" s="17" t="s">
        <v>28</v>
      </c>
      <c r="E80" s="17" t="s">
        <v>315</v>
      </c>
      <c r="F80" s="17" t="s">
        <v>28</v>
      </c>
      <c r="G80" s="17" t="s">
        <v>115</v>
      </c>
      <c r="H80" s="18" t="s">
        <v>60</v>
      </c>
      <c r="I80" s="17" t="s">
        <v>66</v>
      </c>
      <c r="J80" s="17"/>
      <c r="K80" s="17" t="s">
        <v>60</v>
      </c>
      <c r="L80" s="20" t="n">
        <v>336</v>
      </c>
      <c r="M80" s="20" t="n">
        <v>3</v>
      </c>
      <c r="N80" s="25" t="n">
        <f aca="false">IFERROR(M80/L80,0)</f>
        <v>0.00892857142857143</v>
      </c>
      <c r="O80" s="19" t="n">
        <v>19.27</v>
      </c>
      <c r="P80" s="9" t="n">
        <f aca="false">IFERROR(O80/M80,0)</f>
        <v>6.42333333333333</v>
      </c>
      <c r="Q80" s="20" t="n">
        <v>0</v>
      </c>
      <c r="R80" s="19" t="n">
        <v>0</v>
      </c>
      <c r="S80" s="8" t="n">
        <f aca="false">IFERROR(O80/R80,0)</f>
        <v>0</v>
      </c>
      <c r="T80" s="8" t="n">
        <f aca="false">IFERROR(Q80/M80,0)</f>
        <v>0</v>
      </c>
    </row>
    <row r="81" customFormat="false" ht="15" hidden="false" customHeight="false" outlineLevel="0" collapsed="false">
      <c r="A81" s="17" t="s">
        <v>16</v>
      </c>
      <c r="B81" s="17" t="s">
        <v>467</v>
      </c>
      <c r="C81" s="17" t="s">
        <v>468</v>
      </c>
      <c r="D81" s="17" t="s">
        <v>28</v>
      </c>
      <c r="E81" s="17" t="s">
        <v>315</v>
      </c>
      <c r="F81" s="17" t="s">
        <v>28</v>
      </c>
      <c r="G81" s="17" t="s">
        <v>115</v>
      </c>
      <c r="H81" s="18" t="s">
        <v>60</v>
      </c>
      <c r="I81" s="17" t="s">
        <v>66</v>
      </c>
      <c r="J81" s="17"/>
      <c r="K81" s="17" t="s">
        <v>60</v>
      </c>
      <c r="L81" s="20" t="n">
        <v>24</v>
      </c>
      <c r="M81" s="20" t="n">
        <v>2</v>
      </c>
      <c r="N81" s="25" t="n">
        <f aca="false">IFERROR(M81/L81,0)</f>
        <v>0.0833333333333333</v>
      </c>
      <c r="O81" s="19" t="n">
        <v>18.2</v>
      </c>
      <c r="P81" s="9" t="n">
        <f aca="false">IFERROR(O81/M81,0)</f>
        <v>9.1</v>
      </c>
      <c r="Q81" s="20" t="n">
        <v>1</v>
      </c>
      <c r="R81" s="19" t="n">
        <v>68.39</v>
      </c>
      <c r="S81" s="8" t="n">
        <f aca="false">IFERROR(O81/R81,0)</f>
        <v>0.266120777891505</v>
      </c>
      <c r="T81" s="8" t="n">
        <f aca="false">IFERROR(Q81/M81,0)</f>
        <v>0.5</v>
      </c>
    </row>
    <row r="82" customFormat="false" ht="15" hidden="false" customHeight="false" outlineLevel="0" collapsed="false">
      <c r="A82" s="17" t="s">
        <v>16</v>
      </c>
      <c r="B82" s="17" t="s">
        <v>469</v>
      </c>
      <c r="C82" s="17" t="s">
        <v>470</v>
      </c>
      <c r="D82" s="17" t="s">
        <v>28</v>
      </c>
      <c r="E82" s="17" t="s">
        <v>315</v>
      </c>
      <c r="F82" s="17" t="s">
        <v>28</v>
      </c>
      <c r="G82" s="17" t="s">
        <v>115</v>
      </c>
      <c r="H82" s="18" t="s">
        <v>60</v>
      </c>
      <c r="I82" s="17" t="s">
        <v>66</v>
      </c>
      <c r="J82" s="17"/>
      <c r="K82" s="17" t="s">
        <v>60</v>
      </c>
      <c r="L82" s="20" t="n">
        <v>38</v>
      </c>
      <c r="M82" s="20" t="n">
        <v>3</v>
      </c>
      <c r="N82" s="25" t="n">
        <f aca="false">IFERROR(M82/L82,0)</f>
        <v>0.0789473684210526</v>
      </c>
      <c r="O82" s="19" t="n">
        <v>18.05</v>
      </c>
      <c r="P82" s="9" t="n">
        <f aca="false">IFERROR(O82/M82,0)</f>
        <v>6.01666666666667</v>
      </c>
      <c r="Q82" s="20" t="n">
        <v>0</v>
      </c>
      <c r="R82" s="19" t="n">
        <v>0</v>
      </c>
      <c r="S82" s="8" t="n">
        <f aca="false">IFERROR(O82/R82,0)</f>
        <v>0</v>
      </c>
      <c r="T82" s="8" t="n">
        <f aca="false">IFERROR(Q82/M82,0)</f>
        <v>0</v>
      </c>
    </row>
    <row r="83" customFormat="false" ht="15" hidden="false" customHeight="false" outlineLevel="0" collapsed="false">
      <c r="A83" s="17" t="s">
        <v>16</v>
      </c>
      <c r="B83" s="17" t="s">
        <v>471</v>
      </c>
      <c r="C83" s="17" t="s">
        <v>472</v>
      </c>
      <c r="D83" s="17" t="s">
        <v>33</v>
      </c>
      <c r="E83" s="17" t="s">
        <v>318</v>
      </c>
      <c r="F83" s="17" t="s">
        <v>319</v>
      </c>
      <c r="G83" s="17" t="s">
        <v>115</v>
      </c>
      <c r="H83" s="18" t="s">
        <v>60</v>
      </c>
      <c r="I83" s="17" t="s">
        <v>66</v>
      </c>
      <c r="J83" s="17"/>
      <c r="K83" s="17" t="s">
        <v>60</v>
      </c>
      <c r="L83" s="20" t="n">
        <v>2481</v>
      </c>
      <c r="M83" s="20" t="n">
        <v>8</v>
      </c>
      <c r="N83" s="25" t="n">
        <f aca="false">IFERROR(M83/L83,0)</f>
        <v>0.00322450624748085</v>
      </c>
      <c r="O83" s="19" t="n">
        <v>15.3</v>
      </c>
      <c r="P83" s="9" t="n">
        <f aca="false">IFERROR(O83/M83,0)</f>
        <v>1.9125</v>
      </c>
      <c r="Q83" s="20" t="n">
        <v>0</v>
      </c>
      <c r="R83" s="19" t="n">
        <v>0</v>
      </c>
      <c r="S83" s="8" t="n">
        <f aca="false">IFERROR(O83/R83,0)</f>
        <v>0</v>
      </c>
      <c r="T83" s="8" t="n">
        <f aca="false">IFERROR(Q83/M83,0)</f>
        <v>0</v>
      </c>
    </row>
    <row r="84" customFormat="false" ht="15" hidden="false" customHeight="false" outlineLevel="0" collapsed="false">
      <c r="A84" s="17" t="s">
        <v>16</v>
      </c>
      <c r="B84" s="17" t="s">
        <v>473</v>
      </c>
      <c r="C84" s="17" t="s">
        <v>474</v>
      </c>
      <c r="D84" s="17" t="s">
        <v>28</v>
      </c>
      <c r="E84" s="17" t="s">
        <v>315</v>
      </c>
      <c r="F84" s="17" t="s">
        <v>28</v>
      </c>
      <c r="G84" s="17" t="s">
        <v>115</v>
      </c>
      <c r="H84" s="18" t="s">
        <v>60</v>
      </c>
      <c r="I84" s="17" t="s">
        <v>66</v>
      </c>
      <c r="J84" s="17"/>
      <c r="K84" s="17" t="s">
        <v>60</v>
      </c>
      <c r="L84" s="20" t="n">
        <v>26</v>
      </c>
      <c r="M84" s="20" t="n">
        <v>2</v>
      </c>
      <c r="N84" s="25" t="n">
        <f aca="false">IFERROR(M84/L84,0)</f>
        <v>0.0769230769230769</v>
      </c>
      <c r="O84" s="19" t="n">
        <v>14.64</v>
      </c>
      <c r="P84" s="9" t="n">
        <f aca="false">IFERROR(O84/M84,0)</f>
        <v>7.32</v>
      </c>
      <c r="Q84" s="20" t="n">
        <v>1</v>
      </c>
      <c r="R84" s="19" t="n">
        <v>68.39</v>
      </c>
      <c r="S84" s="8" t="n">
        <f aca="false">IFERROR(O84/R84,0)</f>
        <v>0.214066383974265</v>
      </c>
      <c r="T84" s="8" t="n">
        <f aca="false">IFERROR(Q84/M84,0)</f>
        <v>0.5</v>
      </c>
    </row>
    <row r="85" customFormat="false" ht="15" hidden="false" customHeight="false" outlineLevel="0" collapsed="false">
      <c r="A85" s="17" t="s">
        <v>16</v>
      </c>
      <c r="B85" s="17" t="s">
        <v>475</v>
      </c>
      <c r="C85" s="17" t="s">
        <v>476</v>
      </c>
      <c r="D85" s="17" t="s">
        <v>28</v>
      </c>
      <c r="E85" s="17" t="s">
        <v>315</v>
      </c>
      <c r="F85" s="17" t="s">
        <v>28</v>
      </c>
      <c r="G85" s="17" t="s">
        <v>115</v>
      </c>
      <c r="H85" s="18" t="s">
        <v>60</v>
      </c>
      <c r="I85" s="17" t="s">
        <v>66</v>
      </c>
      <c r="J85" s="17"/>
      <c r="K85" s="17" t="s">
        <v>60</v>
      </c>
      <c r="L85" s="20" t="n">
        <v>76</v>
      </c>
      <c r="M85" s="20" t="n">
        <v>3</v>
      </c>
      <c r="N85" s="25" t="n">
        <f aca="false">IFERROR(M85/L85,0)</f>
        <v>0.0394736842105263</v>
      </c>
      <c r="O85" s="19" t="n">
        <v>14.4</v>
      </c>
      <c r="P85" s="9" t="n">
        <f aca="false">IFERROR(O85/M85,0)</f>
        <v>4.8</v>
      </c>
      <c r="Q85" s="20" t="n">
        <v>1</v>
      </c>
      <c r="R85" s="19" t="n">
        <v>68.39</v>
      </c>
      <c r="S85" s="8" t="n">
        <f aca="false">IFERROR(O85/R85,0)</f>
        <v>0.210557098991081</v>
      </c>
      <c r="T85" s="8" t="n">
        <f aca="false">IFERROR(Q85/M85,0)</f>
        <v>0.333333333333333</v>
      </c>
    </row>
    <row r="86" customFormat="false" ht="15" hidden="false" customHeight="false" outlineLevel="0" collapsed="false">
      <c r="A86" s="17" t="s">
        <v>16</v>
      </c>
      <c r="B86" s="17" t="s">
        <v>477</v>
      </c>
      <c r="C86" s="17" t="s">
        <v>478</v>
      </c>
      <c r="D86" s="17" t="s">
        <v>28</v>
      </c>
      <c r="E86" s="17" t="s">
        <v>315</v>
      </c>
      <c r="F86" s="17" t="s">
        <v>28</v>
      </c>
      <c r="G86" s="17" t="s">
        <v>115</v>
      </c>
      <c r="H86" s="18" t="s">
        <v>60</v>
      </c>
      <c r="I86" s="17" t="s">
        <v>66</v>
      </c>
      <c r="J86" s="17"/>
      <c r="K86" s="17" t="s">
        <v>60</v>
      </c>
      <c r="L86" s="20" t="n">
        <v>44</v>
      </c>
      <c r="M86" s="20" t="n">
        <v>3</v>
      </c>
      <c r="N86" s="25" t="n">
        <f aca="false">IFERROR(M86/L86,0)</f>
        <v>0.0681818181818182</v>
      </c>
      <c r="O86" s="19" t="n">
        <v>14.24</v>
      </c>
      <c r="P86" s="9" t="n">
        <f aca="false">IFERROR(O86/M86,0)</f>
        <v>4.74666666666667</v>
      </c>
      <c r="Q86" s="20" t="n">
        <v>2</v>
      </c>
      <c r="R86" s="19" t="n">
        <v>158.38</v>
      </c>
      <c r="S86" s="8" t="n">
        <f aca="false">IFERROR(O86/R86,0)</f>
        <v>0.0899103422149261</v>
      </c>
      <c r="T86" s="8" t="n">
        <f aca="false">IFERROR(Q86/M86,0)</f>
        <v>0.666666666666667</v>
      </c>
    </row>
    <row r="87" customFormat="false" ht="15" hidden="false" customHeight="false" outlineLevel="0" collapsed="false">
      <c r="A87" s="17" t="s">
        <v>16</v>
      </c>
      <c r="B87" s="17" t="s">
        <v>479</v>
      </c>
      <c r="C87" s="17" t="s">
        <v>480</v>
      </c>
      <c r="D87" s="17" t="s">
        <v>28</v>
      </c>
      <c r="E87" s="17" t="s">
        <v>315</v>
      </c>
      <c r="F87" s="17" t="s">
        <v>28</v>
      </c>
      <c r="G87" s="17" t="s">
        <v>115</v>
      </c>
      <c r="H87" s="18" t="s">
        <v>60</v>
      </c>
      <c r="I87" s="17" t="s">
        <v>66</v>
      </c>
      <c r="J87" s="17"/>
      <c r="K87" s="17" t="s">
        <v>60</v>
      </c>
      <c r="L87" s="20" t="n">
        <v>106</v>
      </c>
      <c r="M87" s="20" t="n">
        <v>2</v>
      </c>
      <c r="N87" s="25" t="n">
        <f aca="false">IFERROR(M87/L87,0)</f>
        <v>0.0188679245283019</v>
      </c>
      <c r="O87" s="19" t="n">
        <v>14.12</v>
      </c>
      <c r="P87" s="9" t="n">
        <f aca="false">IFERROR(O87/M87,0)</f>
        <v>7.06</v>
      </c>
      <c r="Q87" s="20" t="n">
        <v>0</v>
      </c>
      <c r="R87" s="19" t="n">
        <v>0</v>
      </c>
      <c r="S87" s="8" t="n">
        <f aca="false">IFERROR(O87/R87,0)</f>
        <v>0</v>
      </c>
      <c r="T87" s="8" t="n">
        <f aca="false">IFERROR(Q87/M87,0)</f>
        <v>0</v>
      </c>
    </row>
    <row r="88" customFormat="false" ht="15" hidden="false" customHeight="false" outlineLevel="0" collapsed="false">
      <c r="A88" s="17" t="s">
        <v>16</v>
      </c>
      <c r="B88" s="17" t="s">
        <v>362</v>
      </c>
      <c r="C88" s="17" t="s">
        <v>363</v>
      </c>
      <c r="D88" s="24" t="s">
        <v>34</v>
      </c>
      <c r="E88" s="17" t="s">
        <v>303</v>
      </c>
      <c r="F88" s="17" t="s">
        <v>332</v>
      </c>
      <c r="G88" s="17"/>
      <c r="H88" s="17"/>
      <c r="I88" s="17" t="s">
        <v>60</v>
      </c>
      <c r="J88" s="17" t="s">
        <v>15</v>
      </c>
      <c r="K88" s="17" t="s">
        <v>66</v>
      </c>
      <c r="L88" s="20" t="n">
        <v>4665</v>
      </c>
      <c r="M88" s="20" t="n">
        <v>17</v>
      </c>
      <c r="N88" s="25" t="n">
        <f aca="false">IFERROR(M88/L88,0)</f>
        <v>0.00364415862808146</v>
      </c>
      <c r="O88" s="19" t="n">
        <v>13.27</v>
      </c>
      <c r="P88" s="9" t="n">
        <f aca="false">IFERROR(O88/M88,0)</f>
        <v>0.780588235294118</v>
      </c>
      <c r="Q88" s="20" t="n">
        <v>0</v>
      </c>
      <c r="R88" s="19" t="n">
        <v>0</v>
      </c>
      <c r="S88" s="8" t="n">
        <f aca="false">IFERROR(O88/R88,0)</f>
        <v>0</v>
      </c>
      <c r="T88" s="8" t="n">
        <f aca="false">IFERROR(Q88/M88,0)</f>
        <v>0</v>
      </c>
    </row>
    <row r="89" customFormat="false" ht="15" hidden="false" customHeight="false" outlineLevel="0" collapsed="false">
      <c r="A89" s="17" t="s">
        <v>16</v>
      </c>
      <c r="B89" s="17" t="s">
        <v>481</v>
      </c>
      <c r="C89" s="17" t="s">
        <v>482</v>
      </c>
      <c r="D89" s="17" t="s">
        <v>31</v>
      </c>
      <c r="E89" s="17" t="s">
        <v>311</v>
      </c>
      <c r="F89" s="17" t="s">
        <v>306</v>
      </c>
      <c r="G89" s="17" t="s">
        <v>115</v>
      </c>
      <c r="H89" s="18" t="s">
        <v>60</v>
      </c>
      <c r="I89" s="17" t="s">
        <v>66</v>
      </c>
      <c r="J89" s="17"/>
      <c r="K89" s="17" t="s">
        <v>60</v>
      </c>
      <c r="L89" s="20" t="n">
        <v>689</v>
      </c>
      <c r="M89" s="20" t="n">
        <v>11</v>
      </c>
      <c r="N89" s="25" t="n">
        <f aca="false">IFERROR(M89/L89,0)</f>
        <v>0.0159651669085631</v>
      </c>
      <c r="O89" s="19" t="n">
        <v>13.09</v>
      </c>
      <c r="P89" s="9" t="n">
        <f aca="false">IFERROR(O89/M89,0)</f>
        <v>1.19</v>
      </c>
      <c r="Q89" s="20" t="n">
        <v>4</v>
      </c>
      <c r="R89" s="19" t="n">
        <v>264.26</v>
      </c>
      <c r="S89" s="8" t="n">
        <f aca="false">IFERROR(O89/R89,0)</f>
        <v>0.0495345493075002</v>
      </c>
      <c r="T89" s="8" t="n">
        <f aca="false">IFERROR(Q89/M89,0)</f>
        <v>0.363636363636364</v>
      </c>
    </row>
    <row r="90" customFormat="false" ht="15" hidden="false" customHeight="false" outlineLevel="0" collapsed="false">
      <c r="A90" s="17" t="s">
        <v>16</v>
      </c>
      <c r="B90" s="17" t="s">
        <v>483</v>
      </c>
      <c r="C90" s="17" t="s">
        <v>484</v>
      </c>
      <c r="D90" s="17" t="s">
        <v>28</v>
      </c>
      <c r="E90" s="17" t="s">
        <v>315</v>
      </c>
      <c r="F90" s="17" t="s">
        <v>28</v>
      </c>
      <c r="G90" s="17" t="s">
        <v>115</v>
      </c>
      <c r="H90" s="18" t="s">
        <v>60</v>
      </c>
      <c r="I90" s="17" t="s">
        <v>66</v>
      </c>
      <c r="J90" s="17"/>
      <c r="K90" s="17" t="s">
        <v>60</v>
      </c>
      <c r="L90" s="20" t="n">
        <v>7</v>
      </c>
      <c r="M90" s="20" t="n">
        <v>2</v>
      </c>
      <c r="N90" s="25" t="n">
        <f aca="false">IFERROR(M90/L90,0)</f>
        <v>0.285714285714286</v>
      </c>
      <c r="O90" s="19" t="n">
        <v>12.42</v>
      </c>
      <c r="P90" s="9" t="n">
        <f aca="false">IFERROR(O90/M90,0)</f>
        <v>6.21</v>
      </c>
      <c r="Q90" s="20" t="n">
        <v>0</v>
      </c>
      <c r="R90" s="19" t="n">
        <v>0</v>
      </c>
      <c r="S90" s="8" t="n">
        <f aca="false">IFERROR(O90/R90,0)</f>
        <v>0</v>
      </c>
      <c r="T90" s="8" t="n">
        <f aca="false">IFERROR(Q90/M90,0)</f>
        <v>0</v>
      </c>
    </row>
    <row r="91" customFormat="false" ht="15" hidden="false" customHeight="false" outlineLevel="0" collapsed="false">
      <c r="A91" s="17" t="s">
        <v>16</v>
      </c>
      <c r="B91" s="17" t="s">
        <v>485</v>
      </c>
      <c r="C91" s="17" t="s">
        <v>486</v>
      </c>
      <c r="D91" s="17" t="s">
        <v>33</v>
      </c>
      <c r="E91" s="17" t="s">
        <v>318</v>
      </c>
      <c r="F91" s="17" t="s">
        <v>319</v>
      </c>
      <c r="G91" s="17" t="s">
        <v>115</v>
      </c>
      <c r="H91" s="18" t="s">
        <v>60</v>
      </c>
      <c r="I91" s="17" t="s">
        <v>66</v>
      </c>
      <c r="J91" s="17"/>
      <c r="K91" s="17" t="s">
        <v>60</v>
      </c>
      <c r="L91" s="20" t="n">
        <v>90</v>
      </c>
      <c r="M91" s="20" t="n">
        <v>6</v>
      </c>
      <c r="N91" s="25" t="n">
        <f aca="false">IFERROR(M91/L91,0)</f>
        <v>0.0666666666666667</v>
      </c>
      <c r="O91" s="19" t="n">
        <v>10.26</v>
      </c>
      <c r="P91" s="9" t="n">
        <f aca="false">IFERROR(O91/M91,0)</f>
        <v>1.71</v>
      </c>
      <c r="Q91" s="20" t="n">
        <v>1</v>
      </c>
      <c r="R91" s="19" t="n">
        <v>71.99</v>
      </c>
      <c r="S91" s="8" t="n">
        <f aca="false">IFERROR(O91/R91,0)</f>
        <v>0.142519794415891</v>
      </c>
      <c r="T91" s="8" t="n">
        <f aca="false">IFERROR(Q91/M91,0)</f>
        <v>0.166666666666667</v>
      </c>
    </row>
    <row r="92" customFormat="false" ht="15" hidden="false" customHeight="false" outlineLevel="0" collapsed="false">
      <c r="A92" s="17" t="s">
        <v>16</v>
      </c>
      <c r="B92" s="17" t="s">
        <v>487</v>
      </c>
      <c r="C92" s="17" t="s">
        <v>488</v>
      </c>
      <c r="D92" s="17" t="s">
        <v>28</v>
      </c>
      <c r="E92" s="17" t="s">
        <v>315</v>
      </c>
      <c r="F92" s="17" t="s">
        <v>28</v>
      </c>
      <c r="G92" s="17" t="s">
        <v>115</v>
      </c>
      <c r="H92" s="18" t="s">
        <v>60</v>
      </c>
      <c r="I92" s="17" t="s">
        <v>66</v>
      </c>
      <c r="J92" s="17"/>
      <c r="K92" s="17" t="s">
        <v>60</v>
      </c>
      <c r="L92" s="20" t="n">
        <v>75</v>
      </c>
      <c r="M92" s="20" t="n">
        <v>1</v>
      </c>
      <c r="N92" s="25" t="n">
        <f aca="false">IFERROR(M92/L92,0)</f>
        <v>0.0133333333333333</v>
      </c>
      <c r="O92" s="19" t="n">
        <v>8.13</v>
      </c>
      <c r="P92" s="9" t="n">
        <f aca="false">IFERROR(O92/M92,0)</f>
        <v>8.13</v>
      </c>
      <c r="Q92" s="20" t="n">
        <v>0</v>
      </c>
      <c r="R92" s="19" t="n">
        <v>0</v>
      </c>
      <c r="S92" s="8" t="n">
        <f aca="false">IFERROR(O92/R92,0)</f>
        <v>0</v>
      </c>
      <c r="T92" s="8" t="n">
        <f aca="false">IFERROR(Q92/M92,0)</f>
        <v>0</v>
      </c>
    </row>
    <row r="93" customFormat="false" ht="15" hidden="false" customHeight="false" outlineLevel="0" collapsed="false">
      <c r="A93" s="17" t="s">
        <v>16</v>
      </c>
      <c r="B93" s="17" t="s">
        <v>489</v>
      </c>
      <c r="C93" s="17" t="s">
        <v>490</v>
      </c>
      <c r="D93" s="17" t="s">
        <v>28</v>
      </c>
      <c r="E93" s="17" t="s">
        <v>315</v>
      </c>
      <c r="F93" s="17" t="s">
        <v>28</v>
      </c>
      <c r="G93" s="17" t="s">
        <v>115</v>
      </c>
      <c r="H93" s="18" t="s">
        <v>60</v>
      </c>
      <c r="I93" s="17" t="s">
        <v>66</v>
      </c>
      <c r="J93" s="17"/>
      <c r="K93" s="17" t="s">
        <v>60</v>
      </c>
      <c r="L93" s="20" t="n">
        <v>41</v>
      </c>
      <c r="M93" s="20" t="n">
        <v>1</v>
      </c>
      <c r="N93" s="25" t="n">
        <f aca="false">IFERROR(M93/L93,0)</f>
        <v>0.024390243902439</v>
      </c>
      <c r="O93" s="19" t="n">
        <v>8.03</v>
      </c>
      <c r="P93" s="9" t="n">
        <f aca="false">IFERROR(O93/M93,0)</f>
        <v>8.03</v>
      </c>
      <c r="Q93" s="20" t="n">
        <v>0</v>
      </c>
      <c r="R93" s="19" t="n">
        <v>0</v>
      </c>
      <c r="S93" s="8" t="n">
        <f aca="false">IFERROR(O93/R93,0)</f>
        <v>0</v>
      </c>
      <c r="T93" s="8" t="n">
        <f aca="false">IFERROR(Q93/M93,0)</f>
        <v>0</v>
      </c>
    </row>
    <row r="94" customFormat="false" ht="15" hidden="false" customHeight="false" outlineLevel="0" collapsed="false">
      <c r="A94" s="17" t="s">
        <v>16</v>
      </c>
      <c r="B94" s="17" t="s">
        <v>491</v>
      </c>
      <c r="C94" s="17" t="s">
        <v>492</v>
      </c>
      <c r="D94" s="17" t="s">
        <v>33</v>
      </c>
      <c r="E94" s="17" t="s">
        <v>318</v>
      </c>
      <c r="F94" s="17" t="s">
        <v>319</v>
      </c>
      <c r="G94" s="17" t="s">
        <v>115</v>
      </c>
      <c r="H94" s="18" t="s">
        <v>60</v>
      </c>
      <c r="I94" s="17" t="s">
        <v>66</v>
      </c>
      <c r="J94" s="17"/>
      <c r="K94" s="17" t="s">
        <v>60</v>
      </c>
      <c r="L94" s="20" t="n">
        <v>372</v>
      </c>
      <c r="M94" s="20" t="n">
        <v>4</v>
      </c>
      <c r="N94" s="25" t="n">
        <f aca="false">IFERROR(M94/L94,0)</f>
        <v>0.010752688172043</v>
      </c>
      <c r="O94" s="19" t="n">
        <v>8</v>
      </c>
      <c r="P94" s="9" t="n">
        <f aca="false">IFERROR(O94/M94,0)</f>
        <v>2</v>
      </c>
      <c r="Q94" s="20" t="n">
        <v>0</v>
      </c>
      <c r="R94" s="19" t="n">
        <v>0</v>
      </c>
      <c r="S94" s="8" t="n">
        <f aca="false">IFERROR(O94/R94,0)</f>
        <v>0</v>
      </c>
      <c r="T94" s="8" t="n">
        <f aca="false">IFERROR(Q94/M94,0)</f>
        <v>0</v>
      </c>
    </row>
    <row r="95" customFormat="false" ht="15" hidden="false" customHeight="false" outlineLevel="0" collapsed="false">
      <c r="A95" s="17" t="s">
        <v>16</v>
      </c>
      <c r="B95" s="17" t="s">
        <v>378</v>
      </c>
      <c r="C95" s="17" t="s">
        <v>379</v>
      </c>
      <c r="D95" s="24" t="s">
        <v>34</v>
      </c>
      <c r="E95" s="17" t="s">
        <v>303</v>
      </c>
      <c r="F95" s="17" t="s">
        <v>332</v>
      </c>
      <c r="G95" s="17"/>
      <c r="H95" s="17"/>
      <c r="I95" s="17" t="s">
        <v>60</v>
      </c>
      <c r="J95" s="17" t="s">
        <v>449</v>
      </c>
      <c r="K95" s="17" t="s">
        <v>66</v>
      </c>
      <c r="L95" s="20" t="n">
        <v>2736</v>
      </c>
      <c r="M95" s="20" t="n">
        <v>18</v>
      </c>
      <c r="N95" s="25" t="n">
        <f aca="false">IFERROR(M95/L95,0)</f>
        <v>0.00657894736842105</v>
      </c>
      <c r="O95" s="19" t="n">
        <v>7.96</v>
      </c>
      <c r="P95" s="9" t="n">
        <f aca="false">IFERROR(O95/M95,0)</f>
        <v>0.442222222222222</v>
      </c>
      <c r="Q95" s="20" t="n">
        <v>2</v>
      </c>
      <c r="R95" s="19" t="n">
        <v>61.9</v>
      </c>
      <c r="S95" s="8" t="n">
        <f aca="false">IFERROR(O95/R95,0)</f>
        <v>0.12859450726979</v>
      </c>
      <c r="T95" s="8" t="n">
        <f aca="false">IFERROR(Q95/M95,0)</f>
        <v>0.111111111111111</v>
      </c>
    </row>
    <row r="96" customFormat="false" ht="15" hidden="false" customHeight="false" outlineLevel="0" collapsed="false">
      <c r="A96" s="17" t="s">
        <v>16</v>
      </c>
      <c r="B96" s="17" t="s">
        <v>493</v>
      </c>
      <c r="C96" s="17" t="s">
        <v>494</v>
      </c>
      <c r="D96" s="17" t="s">
        <v>28</v>
      </c>
      <c r="E96" s="17" t="s">
        <v>315</v>
      </c>
      <c r="F96" s="17" t="s">
        <v>28</v>
      </c>
      <c r="G96" s="17" t="s">
        <v>495</v>
      </c>
      <c r="H96" s="26" t="s">
        <v>66</v>
      </c>
      <c r="I96" s="17" t="s">
        <v>66</v>
      </c>
      <c r="J96" s="17"/>
      <c r="K96" s="17" t="s">
        <v>60</v>
      </c>
      <c r="L96" s="20" t="n">
        <v>1064</v>
      </c>
      <c r="M96" s="20" t="n">
        <v>6</v>
      </c>
      <c r="N96" s="25" t="n">
        <f aca="false">IFERROR(M96/L96,0)</f>
        <v>0.0056390977443609</v>
      </c>
      <c r="O96" s="19" t="n">
        <v>7.76</v>
      </c>
      <c r="P96" s="9" t="n">
        <f aca="false">IFERROR(O96/M96,0)</f>
        <v>1.29333333333333</v>
      </c>
      <c r="Q96" s="20" t="n">
        <v>0</v>
      </c>
      <c r="R96" s="19" t="n">
        <v>0</v>
      </c>
      <c r="S96" s="8" t="n">
        <f aca="false">IFERROR(O96/R96,0)</f>
        <v>0</v>
      </c>
      <c r="T96" s="8" t="n">
        <f aca="false">IFERROR(Q96/M96,0)</f>
        <v>0</v>
      </c>
    </row>
    <row r="97" customFormat="false" ht="15" hidden="false" customHeight="false" outlineLevel="0" collapsed="false">
      <c r="A97" s="17" t="s">
        <v>16</v>
      </c>
      <c r="B97" s="17" t="s">
        <v>496</v>
      </c>
      <c r="C97" s="17" t="s">
        <v>497</v>
      </c>
      <c r="D97" s="17" t="s">
        <v>28</v>
      </c>
      <c r="E97" s="17" t="s">
        <v>315</v>
      </c>
      <c r="F97" s="17" t="s">
        <v>28</v>
      </c>
      <c r="G97" s="17" t="s">
        <v>115</v>
      </c>
      <c r="H97" s="18" t="s">
        <v>60</v>
      </c>
      <c r="I97" s="17" t="s">
        <v>66</v>
      </c>
      <c r="J97" s="17"/>
      <c r="K97" s="17" t="s">
        <v>60</v>
      </c>
      <c r="L97" s="20" t="n">
        <v>6</v>
      </c>
      <c r="M97" s="20" t="n">
        <v>1</v>
      </c>
      <c r="N97" s="25" t="n">
        <f aca="false">IFERROR(M97/L97,0)</f>
        <v>0.166666666666667</v>
      </c>
      <c r="O97" s="19" t="n">
        <v>7.16</v>
      </c>
      <c r="P97" s="9" t="n">
        <f aca="false">IFERROR(O97/M97,0)</f>
        <v>7.16</v>
      </c>
      <c r="Q97" s="20" t="n">
        <v>0</v>
      </c>
      <c r="R97" s="19" t="n">
        <v>0</v>
      </c>
      <c r="S97" s="8" t="n">
        <f aca="false">IFERROR(O97/R97,0)</f>
        <v>0</v>
      </c>
      <c r="T97" s="8" t="n">
        <f aca="false">IFERROR(Q97/M97,0)</f>
        <v>0</v>
      </c>
    </row>
    <row r="98" customFormat="false" ht="15" hidden="false" customHeight="false" outlineLevel="0" collapsed="false">
      <c r="A98" s="17" t="s">
        <v>16</v>
      </c>
      <c r="B98" s="17" t="s">
        <v>498</v>
      </c>
      <c r="C98" s="17" t="s">
        <v>499</v>
      </c>
      <c r="D98" s="17" t="s">
        <v>35</v>
      </c>
      <c r="E98" s="17" t="s">
        <v>315</v>
      </c>
      <c r="F98" s="17"/>
      <c r="G98" s="17" t="s">
        <v>115</v>
      </c>
      <c r="H98" s="18" t="s">
        <v>60</v>
      </c>
      <c r="I98" s="17" t="s">
        <v>66</v>
      </c>
      <c r="J98" s="17"/>
      <c r="K98" s="17" t="s">
        <v>60</v>
      </c>
      <c r="L98" s="20" t="n">
        <v>176</v>
      </c>
      <c r="M98" s="20" t="n">
        <v>2</v>
      </c>
      <c r="N98" s="25" t="n">
        <f aca="false">IFERROR(M98/L98,0)</f>
        <v>0.0113636363636364</v>
      </c>
      <c r="O98" s="19" t="n">
        <v>7.06</v>
      </c>
      <c r="P98" s="9" t="n">
        <f aca="false">IFERROR(O98/M98,0)</f>
        <v>3.53</v>
      </c>
      <c r="Q98" s="20" t="n">
        <v>1</v>
      </c>
      <c r="R98" s="19" t="n">
        <v>67.99</v>
      </c>
      <c r="S98" s="8" t="n">
        <f aca="false">IFERROR(O98/R98,0)</f>
        <v>0.103838799823503</v>
      </c>
      <c r="T98" s="8" t="n">
        <f aca="false">IFERROR(Q98/M98,0)</f>
        <v>0.5</v>
      </c>
    </row>
    <row r="99" customFormat="false" ht="15" hidden="false" customHeight="false" outlineLevel="0" collapsed="false">
      <c r="A99" s="17" t="s">
        <v>16</v>
      </c>
      <c r="B99" s="17" t="s">
        <v>500</v>
      </c>
      <c r="C99" s="17" t="s">
        <v>501</v>
      </c>
      <c r="D99" s="17" t="s">
        <v>28</v>
      </c>
      <c r="E99" s="17" t="s">
        <v>315</v>
      </c>
      <c r="F99" s="17" t="s">
        <v>28</v>
      </c>
      <c r="G99" s="17" t="s">
        <v>115</v>
      </c>
      <c r="H99" s="18" t="s">
        <v>60</v>
      </c>
      <c r="I99" s="17" t="s">
        <v>66</v>
      </c>
      <c r="J99" s="17"/>
      <c r="K99" s="17" t="s">
        <v>60</v>
      </c>
      <c r="L99" s="20" t="n">
        <v>8</v>
      </c>
      <c r="M99" s="20" t="n">
        <v>1</v>
      </c>
      <c r="N99" s="25" t="n">
        <f aca="false">IFERROR(M99/L99,0)</f>
        <v>0.125</v>
      </c>
      <c r="O99" s="19" t="n">
        <v>6.79</v>
      </c>
      <c r="P99" s="9" t="n">
        <f aca="false">IFERROR(O99/M99,0)</f>
        <v>6.79</v>
      </c>
      <c r="Q99" s="20" t="n">
        <v>1</v>
      </c>
      <c r="R99" s="19" t="n">
        <v>71.99</v>
      </c>
      <c r="S99" s="8" t="n">
        <f aca="false">IFERROR(O99/R99,0)</f>
        <v>0.0943186553688012</v>
      </c>
      <c r="T99" s="8" t="n">
        <f aca="false">IFERROR(Q99/M99,0)</f>
        <v>1</v>
      </c>
    </row>
    <row r="100" customFormat="false" ht="15" hidden="false" customHeight="false" outlineLevel="0" collapsed="false">
      <c r="A100" s="17" t="s">
        <v>16</v>
      </c>
      <c r="B100" s="17" t="s">
        <v>502</v>
      </c>
      <c r="C100" s="17" t="s">
        <v>503</v>
      </c>
      <c r="D100" s="17" t="s">
        <v>33</v>
      </c>
      <c r="E100" s="17" t="s">
        <v>318</v>
      </c>
      <c r="F100" s="17" t="s">
        <v>319</v>
      </c>
      <c r="G100" s="17" t="s">
        <v>504</v>
      </c>
      <c r="H100" s="18" t="s">
        <v>60</v>
      </c>
      <c r="I100" s="17" t="s">
        <v>66</v>
      </c>
      <c r="J100" s="17"/>
      <c r="K100" s="17" t="s">
        <v>60</v>
      </c>
      <c r="L100" s="20" t="n">
        <v>128</v>
      </c>
      <c r="M100" s="20" t="n">
        <v>4</v>
      </c>
      <c r="N100" s="25" t="n">
        <f aca="false">IFERROR(M100/L100,0)</f>
        <v>0.03125</v>
      </c>
      <c r="O100" s="19" t="n">
        <v>6.66</v>
      </c>
      <c r="P100" s="9" t="n">
        <f aca="false">IFERROR(O100/M100,0)</f>
        <v>1.665</v>
      </c>
      <c r="Q100" s="20" t="n">
        <v>2</v>
      </c>
      <c r="R100" s="19" t="n">
        <v>135.73</v>
      </c>
      <c r="S100" s="8" t="n">
        <f aca="false">IFERROR(O100/R100,0)</f>
        <v>0.0490680026523245</v>
      </c>
      <c r="T100" s="8" t="n">
        <f aca="false">IFERROR(Q100/M100,0)</f>
        <v>0.5</v>
      </c>
    </row>
    <row r="101" customFormat="false" ht="15" hidden="false" customHeight="false" outlineLevel="0" collapsed="false">
      <c r="A101" s="17" t="s">
        <v>16</v>
      </c>
      <c r="B101" s="17" t="s">
        <v>505</v>
      </c>
      <c r="C101" s="17" t="s">
        <v>506</v>
      </c>
      <c r="D101" s="26" t="s">
        <v>32</v>
      </c>
      <c r="E101" s="17" t="s">
        <v>303</v>
      </c>
      <c r="F101" s="17" t="s">
        <v>306</v>
      </c>
      <c r="G101" s="17" t="s">
        <v>507</v>
      </c>
      <c r="H101" s="18" t="s">
        <v>60</v>
      </c>
      <c r="I101" s="17" t="s">
        <v>66</v>
      </c>
      <c r="J101" s="17"/>
      <c r="K101" s="17" t="s">
        <v>60</v>
      </c>
      <c r="L101" s="20" t="n">
        <v>1390</v>
      </c>
      <c r="M101" s="20" t="n">
        <v>6</v>
      </c>
      <c r="N101" s="25" t="n">
        <f aca="false">IFERROR(M101/L101,0)</f>
        <v>0.00431654676258993</v>
      </c>
      <c r="O101" s="19" t="n">
        <v>6.65</v>
      </c>
      <c r="P101" s="9" t="n">
        <f aca="false">IFERROR(O101/M101,0)</f>
        <v>1.10833333333333</v>
      </c>
      <c r="Q101" s="20" t="n">
        <v>0</v>
      </c>
      <c r="R101" s="19" t="n">
        <v>0</v>
      </c>
      <c r="S101" s="8" t="n">
        <f aca="false">IFERROR(O101/R101,0)</f>
        <v>0</v>
      </c>
      <c r="T101" s="8" t="n">
        <f aca="false">IFERROR(Q101/M101,0)</f>
        <v>0</v>
      </c>
    </row>
    <row r="102" customFormat="false" ht="15" hidden="false" customHeight="false" outlineLevel="0" collapsed="false">
      <c r="A102" s="17" t="s">
        <v>16</v>
      </c>
      <c r="B102" s="17" t="s">
        <v>508</v>
      </c>
      <c r="C102" s="17" t="s">
        <v>509</v>
      </c>
      <c r="D102" s="17" t="s">
        <v>28</v>
      </c>
      <c r="E102" s="17" t="s">
        <v>315</v>
      </c>
      <c r="F102" s="17" t="s">
        <v>28</v>
      </c>
      <c r="G102" s="17" t="s">
        <v>510</v>
      </c>
      <c r="H102" s="26" t="s">
        <v>66</v>
      </c>
      <c r="I102" s="17" t="s">
        <v>66</v>
      </c>
      <c r="J102" s="17"/>
      <c r="K102" s="17" t="s">
        <v>60</v>
      </c>
      <c r="L102" s="20" t="n">
        <v>103</v>
      </c>
      <c r="M102" s="20" t="n">
        <v>2</v>
      </c>
      <c r="N102" s="25" t="n">
        <f aca="false">IFERROR(M102/L102,0)</f>
        <v>0.0194174757281553</v>
      </c>
      <c r="O102" s="19" t="n">
        <v>6.52</v>
      </c>
      <c r="P102" s="9" t="n">
        <f aca="false">IFERROR(O102/M102,0)</f>
        <v>3.26</v>
      </c>
      <c r="Q102" s="20" t="n">
        <v>2</v>
      </c>
      <c r="R102" s="19" t="n">
        <v>132.13</v>
      </c>
      <c r="S102" s="8" t="n">
        <f aca="false">IFERROR(O102/R102,0)</f>
        <v>0.049345341708923</v>
      </c>
      <c r="T102" s="8" t="n">
        <f aca="false">IFERROR(Q102/M102,0)</f>
        <v>1</v>
      </c>
    </row>
    <row r="103" customFormat="false" ht="15" hidden="false" customHeight="false" outlineLevel="0" collapsed="false">
      <c r="A103" s="17" t="s">
        <v>16</v>
      </c>
      <c r="B103" s="17" t="s">
        <v>511</v>
      </c>
      <c r="C103" s="17" t="s">
        <v>512</v>
      </c>
      <c r="D103" s="17" t="s">
        <v>28</v>
      </c>
      <c r="E103" s="17" t="s">
        <v>315</v>
      </c>
      <c r="F103" s="17" t="s">
        <v>28</v>
      </c>
      <c r="G103" s="17" t="s">
        <v>513</v>
      </c>
      <c r="H103" s="26" t="s">
        <v>66</v>
      </c>
      <c r="I103" s="17" t="s">
        <v>66</v>
      </c>
      <c r="J103" s="17"/>
      <c r="K103" s="17" t="s">
        <v>60</v>
      </c>
      <c r="L103" s="20" t="n">
        <v>207</v>
      </c>
      <c r="M103" s="20" t="n">
        <v>2</v>
      </c>
      <c r="N103" s="25" t="n">
        <f aca="false">IFERROR(M103/L103,0)</f>
        <v>0.00966183574879227</v>
      </c>
      <c r="O103" s="19" t="n">
        <v>6.51</v>
      </c>
      <c r="P103" s="9" t="n">
        <f aca="false">IFERROR(O103/M103,0)</f>
        <v>3.255</v>
      </c>
      <c r="Q103" s="20" t="n">
        <v>1</v>
      </c>
      <c r="R103" s="19" t="n">
        <v>63.99</v>
      </c>
      <c r="S103" s="8" t="n">
        <f aca="false">IFERROR(O103/R103,0)</f>
        <v>0.101734646038444</v>
      </c>
      <c r="T103" s="8" t="n">
        <f aca="false">IFERROR(Q103/M103,0)</f>
        <v>0.5</v>
      </c>
    </row>
    <row r="104" customFormat="false" ht="15" hidden="false" customHeight="false" outlineLevel="0" collapsed="false">
      <c r="A104" s="17" t="s">
        <v>16</v>
      </c>
      <c r="B104" s="17" t="s">
        <v>388</v>
      </c>
      <c r="C104" s="17" t="s">
        <v>389</v>
      </c>
      <c r="D104" s="17" t="s">
        <v>33</v>
      </c>
      <c r="E104" s="17" t="s">
        <v>318</v>
      </c>
      <c r="F104" s="17" t="s">
        <v>312</v>
      </c>
      <c r="G104" s="17" t="s">
        <v>390</v>
      </c>
      <c r="H104" s="26" t="s">
        <v>66</v>
      </c>
      <c r="I104" s="17" t="s">
        <v>60</v>
      </c>
      <c r="J104" s="17" t="s">
        <v>449</v>
      </c>
      <c r="K104" s="17" t="s">
        <v>66</v>
      </c>
      <c r="L104" s="20" t="n">
        <v>249</v>
      </c>
      <c r="M104" s="20" t="n">
        <v>6</v>
      </c>
      <c r="N104" s="25" t="n">
        <f aca="false">IFERROR(M104/L104,0)</f>
        <v>0.0240963855421687</v>
      </c>
      <c r="O104" s="19" t="n">
        <v>6.43</v>
      </c>
      <c r="P104" s="9" t="n">
        <f aca="false">IFERROR(O104/M104,0)</f>
        <v>1.07166666666667</v>
      </c>
      <c r="Q104" s="20" t="n">
        <v>1</v>
      </c>
      <c r="R104" s="19" t="n">
        <v>67.99</v>
      </c>
      <c r="S104" s="8" t="n">
        <f aca="false">IFERROR(O104/R104,0)</f>
        <v>0.0945727312840124</v>
      </c>
      <c r="T104" s="8" t="n">
        <f aca="false">IFERROR(Q104/M104,0)</f>
        <v>0.166666666666667</v>
      </c>
    </row>
    <row r="105" customFormat="false" ht="15" hidden="false" customHeight="false" outlineLevel="0" collapsed="false">
      <c r="A105" s="17" t="s">
        <v>16</v>
      </c>
      <c r="B105" s="17" t="s">
        <v>514</v>
      </c>
      <c r="C105" s="17" t="s">
        <v>515</v>
      </c>
      <c r="D105" s="17" t="s">
        <v>33</v>
      </c>
      <c r="E105" s="17" t="s">
        <v>318</v>
      </c>
      <c r="F105" s="17" t="s">
        <v>319</v>
      </c>
      <c r="G105" s="17" t="s">
        <v>115</v>
      </c>
      <c r="H105" s="18" t="s">
        <v>60</v>
      </c>
      <c r="I105" s="17" t="s">
        <v>66</v>
      </c>
      <c r="J105" s="17"/>
      <c r="K105" s="17" t="s">
        <v>60</v>
      </c>
      <c r="L105" s="20" t="n">
        <v>601</v>
      </c>
      <c r="M105" s="20" t="n">
        <v>3</v>
      </c>
      <c r="N105" s="25" t="n">
        <f aca="false">IFERROR(M105/L105,0)</f>
        <v>0.00499168053244592</v>
      </c>
      <c r="O105" s="19" t="n">
        <v>6.35</v>
      </c>
      <c r="P105" s="9" t="n">
        <f aca="false">IFERROR(O105/M105,0)</f>
        <v>2.11666666666667</v>
      </c>
      <c r="Q105" s="20" t="n">
        <v>0</v>
      </c>
      <c r="R105" s="19" t="n">
        <v>0</v>
      </c>
      <c r="S105" s="8" t="n">
        <f aca="false">IFERROR(O105/R105,0)</f>
        <v>0</v>
      </c>
      <c r="T105" s="8" t="n">
        <f aca="false">IFERROR(Q105/M105,0)</f>
        <v>0</v>
      </c>
    </row>
    <row r="106" customFormat="false" ht="15" hidden="false" customHeight="false" outlineLevel="0" collapsed="false">
      <c r="A106" s="17" t="s">
        <v>16</v>
      </c>
      <c r="B106" s="17" t="s">
        <v>516</v>
      </c>
      <c r="C106" s="17" t="s">
        <v>517</v>
      </c>
      <c r="D106" s="17" t="s">
        <v>33</v>
      </c>
      <c r="E106" s="17" t="s">
        <v>318</v>
      </c>
      <c r="F106" s="17" t="s">
        <v>319</v>
      </c>
      <c r="G106" s="17" t="s">
        <v>462</v>
      </c>
      <c r="H106" s="18" t="s">
        <v>60</v>
      </c>
      <c r="I106" s="17" t="s">
        <v>66</v>
      </c>
      <c r="J106" s="17"/>
      <c r="K106" s="17" t="s">
        <v>60</v>
      </c>
      <c r="L106" s="20" t="n">
        <v>394</v>
      </c>
      <c r="M106" s="20" t="n">
        <v>5</v>
      </c>
      <c r="N106" s="25" t="n">
        <f aca="false">IFERROR(M106/L106,0)</f>
        <v>0.0126903553299492</v>
      </c>
      <c r="O106" s="19" t="n">
        <v>6.34</v>
      </c>
      <c r="P106" s="9" t="n">
        <f aca="false">IFERROR(O106/M106,0)</f>
        <v>1.268</v>
      </c>
      <c r="Q106" s="20" t="n">
        <v>3</v>
      </c>
      <c r="R106" s="19" t="n">
        <v>282.11</v>
      </c>
      <c r="S106" s="8" t="n">
        <f aca="false">IFERROR(O106/R106,0)</f>
        <v>0.0224735032434157</v>
      </c>
      <c r="T106" s="8" t="n">
        <f aca="false">IFERROR(Q106/M106,0)</f>
        <v>0.6</v>
      </c>
    </row>
    <row r="107" customFormat="false" ht="15" hidden="false" customHeight="false" outlineLevel="0" collapsed="false">
      <c r="A107" s="17" t="s">
        <v>16</v>
      </c>
      <c r="B107" s="17" t="s">
        <v>518</v>
      </c>
      <c r="C107" s="17" t="s">
        <v>519</v>
      </c>
      <c r="D107" s="17" t="s">
        <v>28</v>
      </c>
      <c r="E107" s="17" t="s">
        <v>315</v>
      </c>
      <c r="F107" s="17" t="s">
        <v>28</v>
      </c>
      <c r="G107" s="17" t="s">
        <v>115</v>
      </c>
      <c r="H107" s="18" t="s">
        <v>60</v>
      </c>
      <c r="I107" s="17" t="s">
        <v>66</v>
      </c>
      <c r="J107" s="17"/>
      <c r="K107" s="17" t="s">
        <v>60</v>
      </c>
      <c r="L107" s="20" t="n">
        <v>243</v>
      </c>
      <c r="M107" s="20" t="n">
        <v>1</v>
      </c>
      <c r="N107" s="25" t="n">
        <f aca="false">IFERROR(M107/L107,0)</f>
        <v>0.00411522633744856</v>
      </c>
      <c r="O107" s="19" t="n">
        <v>6.17</v>
      </c>
      <c r="P107" s="9" t="n">
        <f aca="false">IFERROR(O107/M107,0)</f>
        <v>6.17</v>
      </c>
      <c r="Q107" s="20" t="n">
        <v>0</v>
      </c>
      <c r="R107" s="19" t="n">
        <v>0</v>
      </c>
      <c r="S107" s="8" t="n">
        <f aca="false">IFERROR(O107/R107,0)</f>
        <v>0</v>
      </c>
      <c r="T107" s="8" t="n">
        <f aca="false">IFERROR(Q107/M107,0)</f>
        <v>0</v>
      </c>
    </row>
    <row r="108" customFormat="false" ht="15" hidden="false" customHeight="false" outlineLevel="0" collapsed="false">
      <c r="A108" s="17" t="s">
        <v>16</v>
      </c>
      <c r="B108" s="17" t="s">
        <v>520</v>
      </c>
      <c r="C108" s="17" t="s">
        <v>521</v>
      </c>
      <c r="D108" s="17" t="s">
        <v>28</v>
      </c>
      <c r="E108" s="17" t="s">
        <v>315</v>
      </c>
      <c r="F108" s="17" t="s">
        <v>28</v>
      </c>
      <c r="G108" s="17" t="s">
        <v>522</v>
      </c>
      <c r="H108" s="26" t="s">
        <v>66</v>
      </c>
      <c r="I108" s="17" t="s">
        <v>66</v>
      </c>
      <c r="J108" s="17"/>
      <c r="K108" s="17" t="s">
        <v>60</v>
      </c>
      <c r="L108" s="20" t="n">
        <v>29</v>
      </c>
      <c r="M108" s="20" t="n">
        <v>1</v>
      </c>
      <c r="N108" s="25" t="n">
        <f aca="false">IFERROR(M108/L108,0)</f>
        <v>0.0344827586206897</v>
      </c>
      <c r="O108" s="19" t="n">
        <v>6.16</v>
      </c>
      <c r="P108" s="9" t="n">
        <f aca="false">IFERROR(O108/M108,0)</f>
        <v>6.16</v>
      </c>
      <c r="Q108" s="20" t="n">
        <v>0</v>
      </c>
      <c r="R108" s="19" t="n">
        <v>0</v>
      </c>
      <c r="S108" s="8" t="n">
        <f aca="false">IFERROR(O108/R108,0)</f>
        <v>0</v>
      </c>
      <c r="T108" s="8" t="n">
        <f aca="false">IFERROR(Q108/M108,0)</f>
        <v>0</v>
      </c>
    </row>
    <row r="109" customFormat="false" ht="15" hidden="false" customHeight="false" outlineLevel="0" collapsed="false">
      <c r="A109" s="17" t="s">
        <v>16</v>
      </c>
      <c r="B109" s="17" t="s">
        <v>523</v>
      </c>
      <c r="C109" s="17" t="s">
        <v>524</v>
      </c>
      <c r="D109" s="17" t="s">
        <v>28</v>
      </c>
      <c r="E109" s="17" t="s">
        <v>315</v>
      </c>
      <c r="F109" s="17" t="s">
        <v>28</v>
      </c>
      <c r="G109" s="17" t="s">
        <v>525</v>
      </c>
      <c r="H109" s="18" t="s">
        <v>60</v>
      </c>
      <c r="I109" s="17" t="s">
        <v>66</v>
      </c>
      <c r="J109" s="17"/>
      <c r="K109" s="17" t="s">
        <v>60</v>
      </c>
      <c r="L109" s="20" t="n">
        <v>86</v>
      </c>
      <c r="M109" s="20" t="n">
        <v>1</v>
      </c>
      <c r="N109" s="25" t="n">
        <f aca="false">IFERROR(M109/L109,0)</f>
        <v>0.0116279069767442</v>
      </c>
      <c r="O109" s="19" t="n">
        <v>6.12</v>
      </c>
      <c r="P109" s="9" t="n">
        <f aca="false">IFERROR(O109/M109,0)</f>
        <v>6.12</v>
      </c>
      <c r="Q109" s="20" t="n">
        <v>0</v>
      </c>
      <c r="R109" s="19" t="n">
        <v>0</v>
      </c>
      <c r="S109" s="8" t="n">
        <f aca="false">IFERROR(O109/R109,0)</f>
        <v>0</v>
      </c>
      <c r="T109" s="8" t="n">
        <f aca="false">IFERROR(Q109/M109,0)</f>
        <v>0</v>
      </c>
    </row>
    <row r="110" customFormat="false" ht="15" hidden="false" customHeight="false" outlineLevel="0" collapsed="false">
      <c r="A110" s="17" t="s">
        <v>16</v>
      </c>
      <c r="B110" s="17" t="s">
        <v>526</v>
      </c>
      <c r="C110" s="17" t="s">
        <v>527</v>
      </c>
      <c r="D110" s="17" t="s">
        <v>28</v>
      </c>
      <c r="E110" s="17" t="s">
        <v>315</v>
      </c>
      <c r="F110" s="17" t="s">
        <v>28</v>
      </c>
      <c r="G110" s="17" t="s">
        <v>115</v>
      </c>
      <c r="H110" s="18" t="s">
        <v>60</v>
      </c>
      <c r="I110" s="17" t="s">
        <v>66</v>
      </c>
      <c r="J110" s="17"/>
      <c r="K110" s="17" t="s">
        <v>60</v>
      </c>
      <c r="L110" s="20" t="n">
        <v>396</v>
      </c>
      <c r="M110" s="20" t="n">
        <v>1</v>
      </c>
      <c r="N110" s="25" t="n">
        <f aca="false">IFERROR(M110/L110,0)</f>
        <v>0.00252525252525253</v>
      </c>
      <c r="O110" s="19" t="n">
        <v>6.12</v>
      </c>
      <c r="P110" s="9" t="n">
        <f aca="false">IFERROR(O110/M110,0)</f>
        <v>6.12</v>
      </c>
      <c r="Q110" s="20" t="n">
        <v>0</v>
      </c>
      <c r="R110" s="19" t="n">
        <v>0</v>
      </c>
      <c r="S110" s="8" t="n">
        <f aca="false">IFERROR(O110/R110,0)</f>
        <v>0</v>
      </c>
      <c r="T110" s="8" t="n">
        <f aca="false">IFERROR(Q110/M110,0)</f>
        <v>0</v>
      </c>
    </row>
    <row r="111" customFormat="false" ht="15" hidden="false" customHeight="false" outlineLevel="0" collapsed="false">
      <c r="A111" s="17" t="s">
        <v>16</v>
      </c>
      <c r="B111" s="17" t="s">
        <v>528</v>
      </c>
      <c r="C111" s="17" t="s">
        <v>529</v>
      </c>
      <c r="D111" s="17" t="s">
        <v>28</v>
      </c>
      <c r="E111" s="17" t="s">
        <v>315</v>
      </c>
      <c r="F111" s="17" t="s">
        <v>28</v>
      </c>
      <c r="G111" s="17" t="s">
        <v>530</v>
      </c>
      <c r="H111" s="18" t="s">
        <v>60</v>
      </c>
      <c r="I111" s="17" t="s">
        <v>66</v>
      </c>
      <c r="J111" s="17"/>
      <c r="K111" s="17" t="s">
        <v>60</v>
      </c>
      <c r="L111" s="20" t="n">
        <v>22</v>
      </c>
      <c r="M111" s="20" t="n">
        <v>1</v>
      </c>
      <c r="N111" s="25" t="n">
        <f aca="false">IFERROR(M111/L111,0)</f>
        <v>0.0454545454545455</v>
      </c>
      <c r="O111" s="19" t="n">
        <v>5.71</v>
      </c>
      <c r="P111" s="9" t="n">
        <f aca="false">IFERROR(O111/M111,0)</f>
        <v>5.71</v>
      </c>
      <c r="Q111" s="20" t="n">
        <v>0</v>
      </c>
      <c r="R111" s="19" t="n">
        <v>0</v>
      </c>
      <c r="S111" s="8" t="n">
        <f aca="false">IFERROR(O111/R111,0)</f>
        <v>0</v>
      </c>
      <c r="T111" s="8" t="n">
        <f aca="false">IFERROR(Q111/M111,0)</f>
        <v>0</v>
      </c>
    </row>
    <row r="112" customFormat="false" ht="15" hidden="false" customHeight="false" outlineLevel="0" collapsed="false">
      <c r="A112" s="17" t="s">
        <v>16</v>
      </c>
      <c r="B112" s="17" t="s">
        <v>531</v>
      </c>
      <c r="C112" s="17" t="s">
        <v>532</v>
      </c>
      <c r="D112" s="17" t="s">
        <v>28</v>
      </c>
      <c r="E112" s="17" t="s">
        <v>315</v>
      </c>
      <c r="F112" s="17" t="s">
        <v>28</v>
      </c>
      <c r="G112" s="17" t="s">
        <v>115</v>
      </c>
      <c r="H112" s="18" t="s">
        <v>60</v>
      </c>
      <c r="I112" s="17" t="s">
        <v>66</v>
      </c>
      <c r="J112" s="17"/>
      <c r="K112" s="17" t="s">
        <v>60</v>
      </c>
      <c r="L112" s="20" t="n">
        <v>55</v>
      </c>
      <c r="M112" s="20" t="n">
        <v>1</v>
      </c>
      <c r="N112" s="25" t="n">
        <f aca="false">IFERROR(M112/L112,0)</f>
        <v>0.0181818181818182</v>
      </c>
      <c r="O112" s="19" t="n">
        <v>5.69</v>
      </c>
      <c r="P112" s="9" t="n">
        <f aca="false">IFERROR(O112/M112,0)</f>
        <v>5.69</v>
      </c>
      <c r="Q112" s="20" t="n">
        <v>0</v>
      </c>
      <c r="R112" s="19" t="n">
        <v>0</v>
      </c>
      <c r="S112" s="8" t="n">
        <f aca="false">IFERROR(O112/R112,0)</f>
        <v>0</v>
      </c>
      <c r="T112" s="8" t="n">
        <f aca="false">IFERROR(Q112/M112,0)</f>
        <v>0</v>
      </c>
    </row>
    <row r="113" customFormat="false" ht="15" hidden="false" customHeight="false" outlineLevel="0" collapsed="false">
      <c r="A113" s="17" t="s">
        <v>16</v>
      </c>
      <c r="B113" s="17" t="s">
        <v>533</v>
      </c>
      <c r="C113" s="17" t="s">
        <v>534</v>
      </c>
      <c r="D113" s="17" t="s">
        <v>28</v>
      </c>
      <c r="E113" s="17" t="s">
        <v>315</v>
      </c>
      <c r="F113" s="17" t="s">
        <v>28</v>
      </c>
      <c r="G113" s="17" t="s">
        <v>115</v>
      </c>
      <c r="H113" s="18" t="s">
        <v>60</v>
      </c>
      <c r="I113" s="17" t="s">
        <v>66</v>
      </c>
      <c r="J113" s="17"/>
      <c r="K113" s="17" t="s">
        <v>60</v>
      </c>
      <c r="L113" s="20" t="n">
        <v>15</v>
      </c>
      <c r="M113" s="20" t="n">
        <v>1</v>
      </c>
      <c r="N113" s="25" t="n">
        <f aca="false">IFERROR(M113/L113,0)</f>
        <v>0.0666666666666667</v>
      </c>
      <c r="O113" s="19" t="n">
        <v>5.58</v>
      </c>
      <c r="P113" s="9" t="n">
        <f aca="false">IFERROR(O113/M113,0)</f>
        <v>5.58</v>
      </c>
      <c r="Q113" s="20" t="n">
        <v>0</v>
      </c>
      <c r="R113" s="19" t="n">
        <v>0</v>
      </c>
      <c r="S113" s="8" t="n">
        <f aca="false">IFERROR(O113/R113,0)</f>
        <v>0</v>
      </c>
      <c r="T113" s="8" t="n">
        <f aca="false">IFERROR(Q113/M113,0)</f>
        <v>0</v>
      </c>
    </row>
    <row r="114" customFormat="false" ht="15" hidden="false" customHeight="false" outlineLevel="0" collapsed="false">
      <c r="A114" s="17" t="s">
        <v>16</v>
      </c>
      <c r="B114" s="17" t="s">
        <v>535</v>
      </c>
      <c r="C114" s="17" t="s">
        <v>536</v>
      </c>
      <c r="D114" s="17" t="s">
        <v>28</v>
      </c>
      <c r="E114" s="17" t="s">
        <v>315</v>
      </c>
      <c r="F114" s="17" t="s">
        <v>28</v>
      </c>
      <c r="G114" s="17" t="s">
        <v>115</v>
      </c>
      <c r="H114" s="18" t="s">
        <v>60</v>
      </c>
      <c r="I114" s="17" t="s">
        <v>66</v>
      </c>
      <c r="J114" s="17"/>
      <c r="K114" s="17" t="s">
        <v>60</v>
      </c>
      <c r="L114" s="20" t="n">
        <v>70</v>
      </c>
      <c r="M114" s="20" t="n">
        <v>1</v>
      </c>
      <c r="N114" s="25" t="n">
        <f aca="false">IFERROR(M114/L114,0)</f>
        <v>0.0142857142857143</v>
      </c>
      <c r="O114" s="19" t="n">
        <v>5.48</v>
      </c>
      <c r="P114" s="9" t="n">
        <f aca="false">IFERROR(O114/M114,0)</f>
        <v>5.48</v>
      </c>
      <c r="Q114" s="20" t="n">
        <v>0</v>
      </c>
      <c r="R114" s="19" t="n">
        <v>0</v>
      </c>
      <c r="S114" s="8" t="n">
        <f aca="false">IFERROR(O114/R114,0)</f>
        <v>0</v>
      </c>
      <c r="T114" s="8" t="n">
        <f aca="false">IFERROR(Q114/M114,0)</f>
        <v>0</v>
      </c>
    </row>
    <row r="115" customFormat="false" ht="15" hidden="false" customHeight="false" outlineLevel="0" collapsed="false">
      <c r="A115" s="17" t="s">
        <v>16</v>
      </c>
      <c r="B115" s="17" t="s">
        <v>537</v>
      </c>
      <c r="C115" s="17" t="s">
        <v>538</v>
      </c>
      <c r="D115" s="17" t="s">
        <v>28</v>
      </c>
      <c r="E115" s="17" t="s">
        <v>315</v>
      </c>
      <c r="F115" s="17" t="s">
        <v>28</v>
      </c>
      <c r="G115" s="17" t="s">
        <v>115</v>
      </c>
      <c r="H115" s="18" t="s">
        <v>60</v>
      </c>
      <c r="I115" s="17" t="s">
        <v>66</v>
      </c>
      <c r="J115" s="17"/>
      <c r="K115" s="17" t="s">
        <v>60</v>
      </c>
      <c r="L115" s="20" t="n">
        <v>83</v>
      </c>
      <c r="M115" s="20" t="n">
        <v>1</v>
      </c>
      <c r="N115" s="25" t="n">
        <f aca="false">IFERROR(M115/L115,0)</f>
        <v>0.0120481927710843</v>
      </c>
      <c r="O115" s="19" t="n">
        <v>5.48</v>
      </c>
      <c r="P115" s="9" t="n">
        <f aca="false">IFERROR(O115/M115,0)</f>
        <v>5.48</v>
      </c>
      <c r="Q115" s="20" t="n">
        <v>0</v>
      </c>
      <c r="R115" s="19" t="n">
        <v>0</v>
      </c>
      <c r="S115" s="8" t="n">
        <f aca="false">IFERROR(O115/R115,0)</f>
        <v>0</v>
      </c>
      <c r="T115" s="8" t="n">
        <f aca="false">IFERROR(Q115/M115,0)</f>
        <v>0</v>
      </c>
    </row>
    <row r="116" customFormat="false" ht="15" hidden="false" customHeight="false" outlineLevel="0" collapsed="false">
      <c r="A116" s="17" t="s">
        <v>16</v>
      </c>
      <c r="B116" s="17" t="s">
        <v>539</v>
      </c>
      <c r="C116" s="17" t="s">
        <v>540</v>
      </c>
      <c r="D116" s="17" t="s">
        <v>28</v>
      </c>
      <c r="E116" s="17" t="s">
        <v>315</v>
      </c>
      <c r="F116" s="17" t="s">
        <v>28</v>
      </c>
      <c r="G116" s="17" t="s">
        <v>118</v>
      </c>
      <c r="H116" s="18" t="s">
        <v>60</v>
      </c>
      <c r="I116" s="17" t="s">
        <v>66</v>
      </c>
      <c r="J116" s="17"/>
      <c r="K116" s="17" t="s">
        <v>60</v>
      </c>
      <c r="L116" s="20" t="n">
        <v>145</v>
      </c>
      <c r="M116" s="20" t="n">
        <v>2</v>
      </c>
      <c r="N116" s="25" t="n">
        <f aca="false">IFERROR(M116/L116,0)</f>
        <v>0.0137931034482759</v>
      </c>
      <c r="O116" s="19" t="n">
        <v>5.18</v>
      </c>
      <c r="P116" s="9" t="n">
        <f aca="false">IFERROR(O116/M116,0)</f>
        <v>2.59</v>
      </c>
      <c r="Q116" s="20" t="n">
        <v>0</v>
      </c>
      <c r="R116" s="19" t="n">
        <v>0</v>
      </c>
      <c r="S116" s="8" t="n">
        <f aca="false">IFERROR(O116/R116,0)</f>
        <v>0</v>
      </c>
      <c r="T116" s="8" t="n">
        <f aca="false">IFERROR(Q116/M116,0)</f>
        <v>0</v>
      </c>
    </row>
    <row r="117" customFormat="false" ht="15" hidden="false" customHeight="false" outlineLevel="0" collapsed="false">
      <c r="A117" s="17" t="s">
        <v>16</v>
      </c>
      <c r="B117" s="17" t="s">
        <v>541</v>
      </c>
      <c r="C117" s="17" t="s">
        <v>542</v>
      </c>
      <c r="D117" s="17" t="s">
        <v>33</v>
      </c>
      <c r="E117" s="17" t="s">
        <v>318</v>
      </c>
      <c r="F117" s="17" t="s">
        <v>319</v>
      </c>
      <c r="G117" s="17" t="s">
        <v>462</v>
      </c>
      <c r="H117" s="18" t="s">
        <v>60</v>
      </c>
      <c r="I117" s="17" t="s">
        <v>66</v>
      </c>
      <c r="J117" s="17"/>
      <c r="K117" s="17" t="s">
        <v>60</v>
      </c>
      <c r="L117" s="20" t="n">
        <v>451</v>
      </c>
      <c r="M117" s="20" t="n">
        <v>2</v>
      </c>
      <c r="N117" s="25" t="n">
        <f aca="false">IFERROR(M117/L117,0)</f>
        <v>0.00443458980044346</v>
      </c>
      <c r="O117" s="19" t="n">
        <v>4.26</v>
      </c>
      <c r="P117" s="9" t="n">
        <f aca="false">IFERROR(O117/M117,0)</f>
        <v>2.13</v>
      </c>
      <c r="Q117" s="20" t="n">
        <v>0</v>
      </c>
      <c r="R117" s="19" t="n">
        <v>0</v>
      </c>
      <c r="S117" s="8" t="n">
        <f aca="false">IFERROR(O117/R117,0)</f>
        <v>0</v>
      </c>
      <c r="T117" s="8" t="n">
        <f aca="false">IFERROR(Q117/M117,0)</f>
        <v>0</v>
      </c>
    </row>
    <row r="118" customFormat="false" ht="15" hidden="false" customHeight="false" outlineLevel="0" collapsed="false">
      <c r="A118" s="17" t="s">
        <v>16</v>
      </c>
      <c r="B118" s="17" t="s">
        <v>543</v>
      </c>
      <c r="C118" s="17" t="s">
        <v>544</v>
      </c>
      <c r="D118" s="17" t="s">
        <v>28</v>
      </c>
      <c r="E118" s="17" t="s">
        <v>315</v>
      </c>
      <c r="F118" s="17" t="s">
        <v>28</v>
      </c>
      <c r="G118" s="17" t="s">
        <v>118</v>
      </c>
      <c r="H118" s="18" t="s">
        <v>60</v>
      </c>
      <c r="I118" s="17" t="s">
        <v>66</v>
      </c>
      <c r="J118" s="17"/>
      <c r="K118" s="17" t="s">
        <v>60</v>
      </c>
      <c r="L118" s="20" t="n">
        <v>16</v>
      </c>
      <c r="M118" s="20" t="n">
        <v>1</v>
      </c>
      <c r="N118" s="25" t="n">
        <f aca="false">IFERROR(M118/L118,0)</f>
        <v>0.0625</v>
      </c>
      <c r="O118" s="19" t="n">
        <v>3.87</v>
      </c>
      <c r="P118" s="9" t="n">
        <f aca="false">IFERROR(O118/M118,0)</f>
        <v>3.87</v>
      </c>
      <c r="Q118" s="20" t="n">
        <v>0</v>
      </c>
      <c r="R118" s="19" t="n">
        <v>0</v>
      </c>
      <c r="S118" s="8" t="n">
        <f aca="false">IFERROR(O118/R118,0)</f>
        <v>0</v>
      </c>
      <c r="T118" s="8" t="n">
        <f aca="false">IFERROR(Q118/M118,0)</f>
        <v>0</v>
      </c>
    </row>
    <row r="119" customFormat="false" ht="15" hidden="false" customHeight="false" outlineLevel="0" collapsed="false">
      <c r="A119" s="17" t="s">
        <v>16</v>
      </c>
      <c r="B119" s="17" t="s">
        <v>545</v>
      </c>
      <c r="C119" s="17" t="s">
        <v>546</v>
      </c>
      <c r="D119" s="17" t="s">
        <v>30</v>
      </c>
      <c r="E119" s="17" t="s">
        <v>315</v>
      </c>
      <c r="F119" s="17" t="s">
        <v>312</v>
      </c>
      <c r="G119" s="17" t="s">
        <v>115</v>
      </c>
      <c r="H119" s="18" t="s">
        <v>60</v>
      </c>
      <c r="I119" s="17" t="s">
        <v>66</v>
      </c>
      <c r="J119" s="17"/>
      <c r="K119" s="17" t="s">
        <v>60</v>
      </c>
      <c r="L119" s="20" t="n">
        <v>246</v>
      </c>
      <c r="M119" s="20" t="n">
        <v>3</v>
      </c>
      <c r="N119" s="25" t="n">
        <f aca="false">IFERROR(M119/L119,0)</f>
        <v>0.0121951219512195</v>
      </c>
      <c r="O119" s="19" t="n">
        <v>3.61</v>
      </c>
      <c r="P119" s="9" t="n">
        <f aca="false">IFERROR(O119/M119,0)</f>
        <v>1.20333333333333</v>
      </c>
      <c r="Q119" s="20" t="n">
        <v>1</v>
      </c>
      <c r="R119" s="19" t="n">
        <v>71.99</v>
      </c>
      <c r="S119" s="8" t="n">
        <f aca="false">IFERROR(O119/R119,0)</f>
        <v>0.0501458535907765</v>
      </c>
      <c r="T119" s="8" t="n">
        <f aca="false">IFERROR(Q119/M119,0)</f>
        <v>0.333333333333333</v>
      </c>
    </row>
    <row r="120" customFormat="false" ht="15" hidden="false" customHeight="false" outlineLevel="0" collapsed="false">
      <c r="A120" s="17" t="s">
        <v>16</v>
      </c>
      <c r="B120" s="17" t="s">
        <v>547</v>
      </c>
      <c r="C120" s="17" t="s">
        <v>548</v>
      </c>
      <c r="D120" s="17" t="s">
        <v>33</v>
      </c>
      <c r="E120" s="17" t="s">
        <v>318</v>
      </c>
      <c r="F120" s="17" t="s">
        <v>319</v>
      </c>
      <c r="G120" s="17" t="s">
        <v>115</v>
      </c>
      <c r="H120" s="18" t="s">
        <v>60</v>
      </c>
      <c r="I120" s="17" t="s">
        <v>66</v>
      </c>
      <c r="J120" s="17"/>
      <c r="K120" s="17" t="s">
        <v>60</v>
      </c>
      <c r="L120" s="20" t="n">
        <v>469</v>
      </c>
      <c r="M120" s="20" t="n">
        <v>4</v>
      </c>
      <c r="N120" s="25" t="n">
        <f aca="false">IFERROR(M120/L120,0)</f>
        <v>0.00852878464818763</v>
      </c>
      <c r="O120" s="19" t="n">
        <v>3.28</v>
      </c>
      <c r="P120" s="9" t="n">
        <f aca="false">IFERROR(O120/M120,0)</f>
        <v>0.82</v>
      </c>
      <c r="Q120" s="20" t="n">
        <v>1</v>
      </c>
      <c r="R120" s="19" t="n">
        <v>136.78</v>
      </c>
      <c r="S120" s="8" t="n">
        <f aca="false">IFERROR(O120/R120,0)</f>
        <v>0.023980114051762</v>
      </c>
      <c r="T120" s="8" t="n">
        <f aca="false">IFERROR(Q120/M120,0)</f>
        <v>0.25</v>
      </c>
    </row>
    <row r="121" customFormat="false" ht="15" hidden="false" customHeight="false" outlineLevel="0" collapsed="false">
      <c r="A121" s="17" t="s">
        <v>16</v>
      </c>
      <c r="B121" s="17" t="s">
        <v>549</v>
      </c>
      <c r="C121" s="17" t="s">
        <v>550</v>
      </c>
      <c r="D121" s="17" t="s">
        <v>28</v>
      </c>
      <c r="E121" s="17" t="s">
        <v>315</v>
      </c>
      <c r="F121" s="17" t="s">
        <v>28</v>
      </c>
      <c r="G121" s="17" t="s">
        <v>135</v>
      </c>
      <c r="H121" s="18" t="s">
        <v>60</v>
      </c>
      <c r="I121" s="17" t="s">
        <v>66</v>
      </c>
      <c r="J121" s="17"/>
      <c r="K121" s="17" t="s">
        <v>60</v>
      </c>
      <c r="L121" s="20" t="n">
        <v>26</v>
      </c>
      <c r="M121" s="20" t="n">
        <v>1</v>
      </c>
      <c r="N121" s="25" t="n">
        <f aca="false">IFERROR(M121/L121,0)</f>
        <v>0.0384615384615385</v>
      </c>
      <c r="O121" s="19" t="n">
        <v>3</v>
      </c>
      <c r="P121" s="9" t="n">
        <f aca="false">IFERROR(O121/M121,0)</f>
        <v>3</v>
      </c>
      <c r="Q121" s="20" t="n">
        <v>0</v>
      </c>
      <c r="R121" s="19" t="n">
        <v>0</v>
      </c>
      <c r="S121" s="8" t="n">
        <f aca="false">IFERROR(O121/R121,0)</f>
        <v>0</v>
      </c>
      <c r="T121" s="8" t="n">
        <f aca="false">IFERROR(Q121/M121,0)</f>
        <v>0</v>
      </c>
    </row>
    <row r="122" customFormat="false" ht="15" hidden="false" customHeight="false" outlineLevel="0" collapsed="false">
      <c r="A122" s="17" t="s">
        <v>16</v>
      </c>
      <c r="B122" s="17" t="s">
        <v>414</v>
      </c>
      <c r="C122" s="17" t="s">
        <v>415</v>
      </c>
      <c r="D122" s="17" t="s">
        <v>33</v>
      </c>
      <c r="E122" s="17" t="s">
        <v>318</v>
      </c>
      <c r="F122" s="17" t="s">
        <v>312</v>
      </c>
      <c r="G122" s="17" t="s">
        <v>118</v>
      </c>
      <c r="H122" s="18" t="s">
        <v>60</v>
      </c>
      <c r="I122" s="17" t="s">
        <v>60</v>
      </c>
      <c r="J122" s="17" t="s">
        <v>449</v>
      </c>
      <c r="K122" s="17" t="s">
        <v>66</v>
      </c>
      <c r="L122" s="20" t="n">
        <v>476</v>
      </c>
      <c r="M122" s="20" t="n">
        <v>3</v>
      </c>
      <c r="N122" s="25" t="n">
        <f aca="false">IFERROR(M122/L122,0)</f>
        <v>0.00630252100840336</v>
      </c>
      <c r="O122" s="19" t="n">
        <v>2.81</v>
      </c>
      <c r="P122" s="9" t="n">
        <f aca="false">IFERROR(O122/M122,0)</f>
        <v>0.936666666666667</v>
      </c>
      <c r="Q122" s="20" t="n">
        <v>0</v>
      </c>
      <c r="R122" s="19" t="n">
        <v>0</v>
      </c>
      <c r="S122" s="8" t="n">
        <f aca="false">IFERROR(O122/R122,0)</f>
        <v>0</v>
      </c>
      <c r="T122" s="8" t="n">
        <f aca="false">IFERROR(Q122/M122,0)</f>
        <v>0</v>
      </c>
    </row>
    <row r="123" customFormat="false" ht="15" hidden="false" customHeight="false" outlineLevel="0" collapsed="false">
      <c r="A123" s="17" t="s">
        <v>16</v>
      </c>
      <c r="B123" s="17" t="s">
        <v>551</v>
      </c>
      <c r="C123" s="17" t="s">
        <v>552</v>
      </c>
      <c r="D123" s="17" t="s">
        <v>28</v>
      </c>
      <c r="E123" s="17" t="s">
        <v>315</v>
      </c>
      <c r="F123" s="17" t="s">
        <v>28</v>
      </c>
      <c r="G123" s="17" t="s">
        <v>115</v>
      </c>
      <c r="H123" s="18" t="s">
        <v>60</v>
      </c>
      <c r="I123" s="17" t="s">
        <v>66</v>
      </c>
      <c r="J123" s="17"/>
      <c r="K123" s="17" t="s">
        <v>60</v>
      </c>
      <c r="L123" s="20" t="n">
        <v>96</v>
      </c>
      <c r="M123" s="20" t="n">
        <v>2</v>
      </c>
      <c r="N123" s="25" t="n">
        <f aca="false">IFERROR(M123/L123,0)</f>
        <v>0.0208333333333333</v>
      </c>
      <c r="O123" s="19" t="n">
        <v>1.84</v>
      </c>
      <c r="P123" s="9" t="n">
        <f aca="false">IFERROR(O123/M123,0)</f>
        <v>0.92</v>
      </c>
      <c r="Q123" s="20" t="n">
        <v>1</v>
      </c>
      <c r="R123" s="19" t="n">
        <v>63.74</v>
      </c>
      <c r="S123" s="8" t="n">
        <f aca="false">IFERROR(O123/R123,0)</f>
        <v>0.0288672732977722</v>
      </c>
      <c r="T123" s="8" t="n">
        <f aca="false">IFERROR(Q123/M123,0)</f>
        <v>0.5</v>
      </c>
    </row>
    <row r="124" customFormat="false" ht="15" hidden="false" customHeight="false" outlineLevel="0" collapsed="false">
      <c r="A124" s="17" t="s">
        <v>16</v>
      </c>
      <c r="B124" s="17" t="s">
        <v>553</v>
      </c>
      <c r="C124" s="17" t="s">
        <v>554</v>
      </c>
      <c r="D124" s="17" t="s">
        <v>28</v>
      </c>
      <c r="E124" s="17" t="s">
        <v>315</v>
      </c>
      <c r="F124" s="17" t="s">
        <v>28</v>
      </c>
      <c r="G124" s="17" t="s">
        <v>118</v>
      </c>
      <c r="H124" s="18" t="s">
        <v>60</v>
      </c>
      <c r="I124" s="17" t="s">
        <v>66</v>
      </c>
      <c r="J124" s="17"/>
      <c r="K124" s="17" t="s">
        <v>60</v>
      </c>
      <c r="L124" s="20" t="n">
        <v>11</v>
      </c>
      <c r="M124" s="20" t="n">
        <v>2</v>
      </c>
      <c r="N124" s="25" t="n">
        <f aca="false">IFERROR(M124/L124,0)</f>
        <v>0.181818181818182</v>
      </c>
      <c r="O124" s="19" t="n">
        <v>1.38</v>
      </c>
      <c r="P124" s="9" t="n">
        <f aca="false">IFERROR(O124/M124,0)</f>
        <v>0.69</v>
      </c>
      <c r="Q124" s="20" t="n">
        <v>0</v>
      </c>
      <c r="R124" s="19" t="n">
        <v>0</v>
      </c>
      <c r="S124" s="8" t="n">
        <f aca="false">IFERROR(O124/R124,0)</f>
        <v>0</v>
      </c>
      <c r="T124" s="8" t="n">
        <f aca="false">IFERROR(Q124/M124,0)</f>
        <v>0</v>
      </c>
    </row>
    <row r="125" customFormat="false" ht="15" hidden="false" customHeight="false" outlineLevel="0" collapsed="false">
      <c r="A125" s="17" t="s">
        <v>16</v>
      </c>
      <c r="B125" s="17" t="s">
        <v>555</v>
      </c>
      <c r="C125" s="17" t="s">
        <v>556</v>
      </c>
      <c r="D125" s="17" t="s">
        <v>28</v>
      </c>
      <c r="E125" s="17" t="s">
        <v>315</v>
      </c>
      <c r="F125" s="17" t="s">
        <v>28</v>
      </c>
      <c r="G125" s="17" t="s">
        <v>557</v>
      </c>
      <c r="H125" s="18" t="s">
        <v>60</v>
      </c>
      <c r="I125" s="17" t="s">
        <v>66</v>
      </c>
      <c r="J125" s="17"/>
      <c r="K125" s="17" t="s">
        <v>60</v>
      </c>
      <c r="L125" s="20" t="n">
        <v>22</v>
      </c>
      <c r="M125" s="20" t="n">
        <v>1</v>
      </c>
      <c r="N125" s="25" t="n">
        <f aca="false">IFERROR(M125/L125,0)</f>
        <v>0.0454545454545455</v>
      </c>
      <c r="O125" s="19" t="n">
        <v>1.08</v>
      </c>
      <c r="P125" s="9" t="n">
        <f aca="false">IFERROR(O125/M125,0)</f>
        <v>1.08</v>
      </c>
      <c r="Q125" s="20" t="n">
        <v>0</v>
      </c>
      <c r="R125" s="19" t="n">
        <v>0</v>
      </c>
      <c r="S125" s="8" t="n">
        <f aca="false">IFERROR(O125/R125,0)</f>
        <v>0</v>
      </c>
      <c r="T125" s="8" t="n">
        <f aca="false">IFERROR(Q125/M125,0)</f>
        <v>0</v>
      </c>
    </row>
    <row r="126" customFormat="false" ht="15" hidden="false" customHeight="false" outlineLevel="0" collapsed="false">
      <c r="A126" s="17" t="s">
        <v>16</v>
      </c>
      <c r="B126" s="17" t="s">
        <v>558</v>
      </c>
      <c r="C126" s="17" t="s">
        <v>559</v>
      </c>
      <c r="D126" s="17" t="s">
        <v>31</v>
      </c>
      <c r="E126" s="17" t="s">
        <v>311</v>
      </c>
      <c r="F126" s="17" t="s">
        <v>306</v>
      </c>
      <c r="G126" s="17" t="s">
        <v>115</v>
      </c>
      <c r="H126" s="18" t="s">
        <v>60</v>
      </c>
      <c r="I126" s="17" t="s">
        <v>66</v>
      </c>
      <c r="J126" s="17"/>
      <c r="K126" s="17" t="s">
        <v>60</v>
      </c>
      <c r="L126" s="20" t="n">
        <v>100</v>
      </c>
      <c r="M126" s="20" t="n">
        <v>1</v>
      </c>
      <c r="N126" s="25" t="n">
        <f aca="false">IFERROR(M126/L126,0)</f>
        <v>0.01</v>
      </c>
      <c r="O126" s="19" t="n">
        <v>1.08</v>
      </c>
      <c r="P126" s="9" t="n">
        <f aca="false">IFERROR(O126/M126,0)</f>
        <v>1.08</v>
      </c>
      <c r="Q126" s="20" t="n">
        <v>0</v>
      </c>
      <c r="R126" s="19" t="n">
        <v>0</v>
      </c>
      <c r="S126" s="8" t="n">
        <f aca="false">IFERROR(O126/R126,0)</f>
        <v>0</v>
      </c>
      <c r="T126" s="8" t="n">
        <f aca="false">IFERROR(Q126/M126,0)</f>
        <v>0</v>
      </c>
    </row>
    <row r="127" customFormat="false" ht="15" hidden="false" customHeight="false" outlineLevel="0" collapsed="false">
      <c r="A127" s="17" t="s">
        <v>16</v>
      </c>
      <c r="B127" s="17" t="s">
        <v>426</v>
      </c>
      <c r="C127" s="17" t="s">
        <v>427</v>
      </c>
      <c r="D127" s="17" t="s">
        <v>33</v>
      </c>
      <c r="E127" s="17" t="s">
        <v>318</v>
      </c>
      <c r="F127" s="17" t="s">
        <v>312</v>
      </c>
      <c r="G127" s="17" t="s">
        <v>115</v>
      </c>
      <c r="H127" s="18" t="s">
        <v>60</v>
      </c>
      <c r="I127" s="17" t="s">
        <v>60</v>
      </c>
      <c r="J127" s="17" t="s">
        <v>449</v>
      </c>
      <c r="K127" s="17" t="s">
        <v>66</v>
      </c>
      <c r="L127" s="20" t="n">
        <v>485</v>
      </c>
      <c r="M127" s="20" t="n">
        <v>1</v>
      </c>
      <c r="N127" s="25" t="n">
        <f aca="false">IFERROR(M127/L127,0)</f>
        <v>0.00206185567010309</v>
      </c>
      <c r="O127" s="19" t="n">
        <v>0.99</v>
      </c>
      <c r="P127" s="9" t="n">
        <f aca="false">IFERROR(O127/M127,0)</f>
        <v>0.99</v>
      </c>
      <c r="Q127" s="20" t="n">
        <v>0</v>
      </c>
      <c r="R127" s="19" t="n">
        <v>0</v>
      </c>
      <c r="S127" s="8" t="n">
        <f aca="false">IFERROR(O127/R127,0)</f>
        <v>0</v>
      </c>
      <c r="T127" s="8" t="n">
        <f aca="false">IFERROR(Q127/M127,0)</f>
        <v>0</v>
      </c>
    </row>
    <row r="128" customFormat="false" ht="15" hidden="false" customHeight="false" outlineLevel="0" collapsed="false">
      <c r="A128" s="17" t="s">
        <v>16</v>
      </c>
      <c r="B128" s="17" t="s">
        <v>560</v>
      </c>
      <c r="C128" s="17" t="s">
        <v>561</v>
      </c>
      <c r="D128" s="26" t="s">
        <v>32</v>
      </c>
      <c r="E128" s="17" t="s">
        <v>303</v>
      </c>
      <c r="F128" s="17" t="s">
        <v>306</v>
      </c>
      <c r="G128" s="17" t="s">
        <v>562</v>
      </c>
      <c r="H128" s="26" t="s">
        <v>66</v>
      </c>
      <c r="I128" s="17" t="s">
        <v>66</v>
      </c>
      <c r="J128" s="17"/>
      <c r="K128" s="17" t="s">
        <v>60</v>
      </c>
      <c r="L128" s="20" t="n">
        <v>123</v>
      </c>
      <c r="M128" s="20" t="n">
        <v>1</v>
      </c>
      <c r="N128" s="25" t="n">
        <f aca="false">IFERROR(M128/L128,0)</f>
        <v>0.00813008130081301</v>
      </c>
      <c r="O128" s="19" t="n">
        <v>0.85</v>
      </c>
      <c r="P128" s="9" t="n">
        <f aca="false">IFERROR(O128/M128,0)</f>
        <v>0.85</v>
      </c>
      <c r="Q128" s="20" t="n">
        <v>0</v>
      </c>
      <c r="R128" s="19" t="n">
        <v>0</v>
      </c>
      <c r="S128" s="8" t="n">
        <f aca="false">IFERROR(O128/R128,0)</f>
        <v>0</v>
      </c>
      <c r="T128" s="8" t="n">
        <f aca="false">IFERROR(Q128/M128,0)</f>
        <v>0</v>
      </c>
    </row>
    <row r="129" customFormat="false" ht="15" hidden="false" customHeight="false" outlineLevel="0" collapsed="false">
      <c r="A129" s="17" t="s">
        <v>16</v>
      </c>
      <c r="B129" s="17" t="s">
        <v>563</v>
      </c>
      <c r="C129" s="17" t="s">
        <v>564</v>
      </c>
      <c r="D129" s="17" t="s">
        <v>30</v>
      </c>
      <c r="E129" s="17" t="s">
        <v>315</v>
      </c>
      <c r="F129" s="17" t="s">
        <v>312</v>
      </c>
      <c r="G129" s="17" t="s">
        <v>116</v>
      </c>
      <c r="H129" s="26" t="s">
        <v>66</v>
      </c>
      <c r="I129" s="17" t="s">
        <v>66</v>
      </c>
      <c r="J129" s="17"/>
      <c r="K129" s="17" t="s">
        <v>60</v>
      </c>
      <c r="L129" s="20" t="n">
        <v>1</v>
      </c>
      <c r="M129" s="20" t="n">
        <v>1</v>
      </c>
      <c r="N129" s="25" t="n">
        <f aca="false">IFERROR(M129/L129,0)</f>
        <v>1</v>
      </c>
      <c r="O129" s="19" t="n">
        <v>0.73</v>
      </c>
      <c r="P129" s="9" t="n">
        <f aca="false">IFERROR(O129/M129,0)</f>
        <v>0.73</v>
      </c>
      <c r="Q129" s="20" t="n">
        <v>0</v>
      </c>
      <c r="R129" s="19" t="n">
        <v>0</v>
      </c>
      <c r="S129" s="8" t="n">
        <f aca="false">IFERROR(O129/R129,0)</f>
        <v>0</v>
      </c>
      <c r="T129" s="8" t="n">
        <f aca="false">IFERROR(Q129/M129,0)</f>
        <v>0</v>
      </c>
    </row>
    <row r="130" customFormat="false" ht="15" hidden="false" customHeight="false" outlineLevel="0" collapsed="false">
      <c r="A130" s="17" t="s">
        <v>16</v>
      </c>
      <c r="B130" s="17" t="s">
        <v>565</v>
      </c>
      <c r="C130" s="17" t="s">
        <v>566</v>
      </c>
      <c r="D130" s="17" t="s">
        <v>31</v>
      </c>
      <c r="E130" s="17" t="s">
        <v>311</v>
      </c>
      <c r="F130" s="17" t="s">
        <v>306</v>
      </c>
      <c r="G130" s="17" t="s">
        <v>118</v>
      </c>
      <c r="H130" s="18" t="s">
        <v>60</v>
      </c>
      <c r="I130" s="17" t="s">
        <v>66</v>
      </c>
      <c r="J130" s="17"/>
      <c r="K130" s="17" t="s">
        <v>60</v>
      </c>
      <c r="L130" s="20" t="n">
        <v>59</v>
      </c>
      <c r="M130" s="20" t="n">
        <v>1</v>
      </c>
      <c r="N130" s="25" t="n">
        <f aca="false">IFERROR(M130/L130,0)</f>
        <v>0.0169491525423729</v>
      </c>
      <c r="O130" s="19" t="n">
        <v>0.02</v>
      </c>
      <c r="P130" s="9" t="n">
        <f aca="false">IFERROR(O130/M130,0)</f>
        <v>0.02</v>
      </c>
      <c r="Q130" s="20" t="n">
        <v>0</v>
      </c>
      <c r="R130" s="19" t="n">
        <v>0</v>
      </c>
      <c r="S130" s="8" t="n">
        <f aca="false">IFERROR(O130/R130,0)</f>
        <v>0</v>
      </c>
      <c r="T130" s="8" t="n">
        <f aca="false">IFERROR(Q130/M130,0)</f>
        <v>0</v>
      </c>
    </row>
    <row r="131" customFormat="false" ht="15" hidden="false" customHeight="false" outlineLevel="0" collapsed="false">
      <c r="A131" s="17" t="s">
        <v>16</v>
      </c>
      <c r="B131" s="17" t="s">
        <v>567</v>
      </c>
      <c r="C131" s="17" t="s">
        <v>568</v>
      </c>
      <c r="D131" s="17" t="s">
        <v>29</v>
      </c>
      <c r="E131" s="17" t="s">
        <v>315</v>
      </c>
      <c r="F131" s="17" t="s">
        <v>319</v>
      </c>
      <c r="G131" s="17" t="s">
        <v>118</v>
      </c>
      <c r="H131" s="18" t="s">
        <v>60</v>
      </c>
      <c r="I131" s="17" t="s">
        <v>66</v>
      </c>
      <c r="J131" s="17"/>
      <c r="K131" s="17" t="s">
        <v>60</v>
      </c>
      <c r="L131" s="20" t="n">
        <v>21</v>
      </c>
      <c r="M131" s="20" t="n">
        <v>1</v>
      </c>
      <c r="N131" s="25" t="n">
        <f aca="false">IFERROR(M131/L131,0)</f>
        <v>0.0476190476190476</v>
      </c>
      <c r="O131" s="19" t="n">
        <v>0.02</v>
      </c>
      <c r="P131" s="9" t="n">
        <f aca="false">IFERROR(O131/M131,0)</f>
        <v>0.02</v>
      </c>
      <c r="Q131" s="20" t="n">
        <v>0</v>
      </c>
      <c r="R131" s="19" t="n">
        <v>0</v>
      </c>
      <c r="S131" s="8" t="n">
        <f aca="false">IFERROR(O131/R131,0)</f>
        <v>0</v>
      </c>
      <c r="T131" s="8" t="n">
        <f aca="false">IFERROR(Q131/M131,0)</f>
        <v>0</v>
      </c>
    </row>
    <row r="132" customFormat="false" ht="15" hidden="false" customHeight="false" outlineLevel="0" collapsed="false">
      <c r="A132" s="17" t="s">
        <v>17</v>
      </c>
      <c r="B132" s="17" t="s">
        <v>569</v>
      </c>
      <c r="C132" s="17" t="s">
        <v>570</v>
      </c>
      <c r="D132" s="17" t="s">
        <v>28</v>
      </c>
      <c r="E132" s="17" t="s">
        <v>315</v>
      </c>
      <c r="F132" s="17" t="s">
        <v>28</v>
      </c>
      <c r="G132" s="17" t="s">
        <v>571</v>
      </c>
      <c r="H132" s="26" t="s">
        <v>66</v>
      </c>
      <c r="I132" s="17" t="s">
        <v>66</v>
      </c>
      <c r="J132" s="17"/>
      <c r="K132" s="17" t="s">
        <v>60</v>
      </c>
      <c r="L132" s="20" t="n">
        <v>16086</v>
      </c>
      <c r="M132" s="20" t="n">
        <v>67</v>
      </c>
      <c r="N132" s="25" t="n">
        <f aca="false">IFERROR(M132/L132,0)</f>
        <v>0.0041651125202039</v>
      </c>
      <c r="O132" s="19" t="n">
        <v>183.11</v>
      </c>
      <c r="P132" s="9" t="n">
        <f aca="false">IFERROR(O132/M132,0)</f>
        <v>2.73298507462687</v>
      </c>
      <c r="Q132" s="20" t="n">
        <v>11</v>
      </c>
      <c r="R132" s="19" t="n">
        <v>343.45</v>
      </c>
      <c r="S132" s="8" t="n">
        <f aca="false">IFERROR(O132/R132,0)</f>
        <v>0.533148929975251</v>
      </c>
      <c r="T132" s="8" t="n">
        <f aca="false">IFERROR(Q132/M132,0)</f>
        <v>0.164179104477612</v>
      </c>
    </row>
    <row r="133" customFormat="false" ht="15" hidden="false" customHeight="false" outlineLevel="0" collapsed="false">
      <c r="A133" s="17" t="s">
        <v>17</v>
      </c>
      <c r="B133" s="17" t="s">
        <v>572</v>
      </c>
      <c r="C133" s="17" t="s">
        <v>573</v>
      </c>
      <c r="D133" s="24" t="s">
        <v>34</v>
      </c>
      <c r="E133" s="17" t="s">
        <v>311</v>
      </c>
      <c r="F133" s="17"/>
      <c r="G133" s="17"/>
      <c r="H133" s="17"/>
      <c r="I133" s="17" t="s">
        <v>66</v>
      </c>
      <c r="J133" s="17"/>
      <c r="K133" s="17" t="s">
        <v>60</v>
      </c>
      <c r="L133" s="20" t="n">
        <v>13903</v>
      </c>
      <c r="M133" s="20" t="n">
        <v>125</v>
      </c>
      <c r="N133" s="25" t="n">
        <f aca="false">IFERROR(M133/L133,0)</f>
        <v>0.00899086528087463</v>
      </c>
      <c r="O133" s="19" t="n">
        <v>151.25</v>
      </c>
      <c r="P133" s="9" t="n">
        <f aca="false">IFERROR(O133/M133,0)</f>
        <v>1.21</v>
      </c>
      <c r="Q133" s="20" t="n">
        <v>14</v>
      </c>
      <c r="R133" s="19" t="n">
        <v>441.3</v>
      </c>
      <c r="S133" s="8" t="n">
        <f aca="false">IFERROR(O133/R133,0)</f>
        <v>0.34273736687061</v>
      </c>
      <c r="T133" s="8" t="n">
        <f aca="false">IFERROR(Q133/M133,0)</f>
        <v>0.112</v>
      </c>
    </row>
    <row r="134" customFormat="false" ht="15" hidden="false" customHeight="false" outlineLevel="0" collapsed="false">
      <c r="A134" s="17" t="s">
        <v>17</v>
      </c>
      <c r="B134" s="17" t="s">
        <v>574</v>
      </c>
      <c r="C134" s="17" t="s">
        <v>575</v>
      </c>
      <c r="D134" s="17" t="s">
        <v>28</v>
      </c>
      <c r="E134" s="17" t="s">
        <v>315</v>
      </c>
      <c r="F134" s="17" t="s">
        <v>28</v>
      </c>
      <c r="G134" s="17" t="s">
        <v>140</v>
      </c>
      <c r="H134" s="18" t="s">
        <v>60</v>
      </c>
      <c r="I134" s="17" t="s">
        <v>66</v>
      </c>
      <c r="J134" s="17"/>
      <c r="K134" s="17" t="s">
        <v>60</v>
      </c>
      <c r="L134" s="20" t="n">
        <v>2929</v>
      </c>
      <c r="M134" s="20" t="n">
        <v>53</v>
      </c>
      <c r="N134" s="25" t="n">
        <f aca="false">IFERROR(M134/L134,0)</f>
        <v>0.0180949129395698</v>
      </c>
      <c r="O134" s="19" t="n">
        <v>113.33</v>
      </c>
      <c r="P134" s="9" t="n">
        <f aca="false">IFERROR(O134/M134,0)</f>
        <v>2.13830188679245</v>
      </c>
      <c r="Q134" s="20" t="n">
        <v>17</v>
      </c>
      <c r="R134" s="19" t="n">
        <v>513.68</v>
      </c>
      <c r="S134" s="8" t="n">
        <f aca="false">IFERROR(O134/R134,0)</f>
        <v>0.220623734620776</v>
      </c>
      <c r="T134" s="8" t="n">
        <f aca="false">IFERROR(Q134/M134,0)</f>
        <v>0.320754716981132</v>
      </c>
    </row>
    <row r="135" customFormat="false" ht="15" hidden="false" customHeight="false" outlineLevel="0" collapsed="false">
      <c r="A135" s="17" t="s">
        <v>17</v>
      </c>
      <c r="B135" s="17" t="s">
        <v>325</v>
      </c>
      <c r="C135" s="17" t="s">
        <v>326</v>
      </c>
      <c r="D135" s="17" t="s">
        <v>33</v>
      </c>
      <c r="E135" s="17" t="s">
        <v>318</v>
      </c>
      <c r="F135" s="17" t="s">
        <v>312</v>
      </c>
      <c r="G135" s="17"/>
      <c r="H135" s="17"/>
      <c r="I135" s="17" t="s">
        <v>60</v>
      </c>
      <c r="J135" s="17" t="s">
        <v>576</v>
      </c>
      <c r="K135" s="17" t="s">
        <v>66</v>
      </c>
      <c r="L135" s="20" t="n">
        <v>10572</v>
      </c>
      <c r="M135" s="20" t="n">
        <v>64</v>
      </c>
      <c r="N135" s="25" t="n">
        <f aca="false">IFERROR(M135/L135,0)</f>
        <v>0.006053726825577</v>
      </c>
      <c r="O135" s="19" t="n">
        <v>47.6</v>
      </c>
      <c r="P135" s="9" t="n">
        <f aca="false">IFERROR(O135/M135,0)</f>
        <v>0.74375</v>
      </c>
      <c r="Q135" s="20" t="n">
        <v>10</v>
      </c>
      <c r="R135" s="19" t="n">
        <v>453.42</v>
      </c>
      <c r="S135" s="8" t="n">
        <f aca="false">IFERROR(O135/R135,0)</f>
        <v>0.104979930307441</v>
      </c>
      <c r="T135" s="8" t="n">
        <f aca="false">IFERROR(Q135/M135,0)</f>
        <v>0.15625</v>
      </c>
    </row>
    <row r="136" customFormat="false" ht="15" hidden="false" customHeight="false" outlineLevel="0" collapsed="false">
      <c r="A136" s="17" t="s">
        <v>17</v>
      </c>
      <c r="B136" s="17" t="s">
        <v>577</v>
      </c>
      <c r="C136" s="17" t="s">
        <v>578</v>
      </c>
      <c r="D136" s="24" t="s">
        <v>34</v>
      </c>
      <c r="E136" s="17" t="s">
        <v>303</v>
      </c>
      <c r="F136" s="17" t="s">
        <v>332</v>
      </c>
      <c r="G136" s="17"/>
      <c r="H136" s="17"/>
      <c r="I136" s="17" t="s">
        <v>66</v>
      </c>
      <c r="J136" s="17"/>
      <c r="K136" s="17" t="s">
        <v>60</v>
      </c>
      <c r="L136" s="20" t="n">
        <v>13214</v>
      </c>
      <c r="M136" s="20" t="n">
        <v>72</v>
      </c>
      <c r="N136" s="25" t="n">
        <f aca="false">IFERROR(M136/L136,0)</f>
        <v>0.00544876645981535</v>
      </c>
      <c r="O136" s="19" t="n">
        <v>35.38</v>
      </c>
      <c r="P136" s="9" t="n">
        <f aca="false">IFERROR(O136/M136,0)</f>
        <v>0.491388888888889</v>
      </c>
      <c r="Q136" s="20" t="n">
        <v>7</v>
      </c>
      <c r="R136" s="19" t="n">
        <v>227.65</v>
      </c>
      <c r="S136" s="8" t="n">
        <f aca="false">IFERROR(O136/R136,0)</f>
        <v>0.155414012738854</v>
      </c>
      <c r="T136" s="8" t="n">
        <f aca="false">IFERROR(Q136/M136,0)</f>
        <v>0.0972222222222222</v>
      </c>
    </row>
    <row r="137" customFormat="false" ht="15" hidden="false" customHeight="false" outlineLevel="0" collapsed="false">
      <c r="A137" s="17" t="s">
        <v>17</v>
      </c>
      <c r="B137" s="17" t="s">
        <v>579</v>
      </c>
      <c r="C137" s="17" t="s">
        <v>580</v>
      </c>
      <c r="D137" s="17" t="s">
        <v>28</v>
      </c>
      <c r="E137" s="17" t="s">
        <v>315</v>
      </c>
      <c r="F137" s="17" t="s">
        <v>28</v>
      </c>
      <c r="G137" s="17" t="s">
        <v>141</v>
      </c>
      <c r="H137" s="26" t="s">
        <v>66</v>
      </c>
      <c r="I137" s="17" t="s">
        <v>66</v>
      </c>
      <c r="J137" s="17"/>
      <c r="K137" s="17" t="s">
        <v>60</v>
      </c>
      <c r="L137" s="20" t="n">
        <v>375</v>
      </c>
      <c r="M137" s="20" t="n">
        <v>8</v>
      </c>
      <c r="N137" s="25" t="n">
        <f aca="false">IFERROR(M137/L137,0)</f>
        <v>0.0213333333333333</v>
      </c>
      <c r="O137" s="19" t="n">
        <v>31.43</v>
      </c>
      <c r="P137" s="9" t="n">
        <f aca="false">IFERROR(O137/M137,0)</f>
        <v>3.92875</v>
      </c>
      <c r="Q137" s="20" t="n">
        <v>1</v>
      </c>
      <c r="R137" s="19" t="n">
        <v>33.95</v>
      </c>
      <c r="S137" s="8" t="n">
        <f aca="false">IFERROR(O137/R137,0)</f>
        <v>0.925773195876289</v>
      </c>
      <c r="T137" s="8" t="n">
        <f aca="false">IFERROR(Q137/M137,0)</f>
        <v>0.125</v>
      </c>
    </row>
    <row r="138" customFormat="false" ht="15" hidden="false" customHeight="false" outlineLevel="0" collapsed="false">
      <c r="A138" s="17" t="s">
        <v>17</v>
      </c>
      <c r="B138" s="17" t="s">
        <v>581</v>
      </c>
      <c r="C138" s="17" t="s">
        <v>582</v>
      </c>
      <c r="D138" s="17" t="s">
        <v>28</v>
      </c>
      <c r="E138" s="17" t="s">
        <v>315</v>
      </c>
      <c r="F138" s="17" t="s">
        <v>28</v>
      </c>
      <c r="G138" s="17" t="s">
        <v>141</v>
      </c>
      <c r="H138" s="26" t="s">
        <v>66</v>
      </c>
      <c r="I138" s="17" t="s">
        <v>66</v>
      </c>
      <c r="J138" s="17"/>
      <c r="K138" s="17" t="s">
        <v>60</v>
      </c>
      <c r="L138" s="20" t="n">
        <v>526</v>
      </c>
      <c r="M138" s="20" t="n">
        <v>11</v>
      </c>
      <c r="N138" s="25" t="n">
        <f aca="false">IFERROR(M138/L138,0)</f>
        <v>0.0209125475285171</v>
      </c>
      <c r="O138" s="19" t="n">
        <v>27.23</v>
      </c>
      <c r="P138" s="9" t="n">
        <f aca="false">IFERROR(O138/M138,0)</f>
        <v>2.47545454545455</v>
      </c>
      <c r="Q138" s="20" t="n">
        <v>2</v>
      </c>
      <c r="R138" s="19" t="n">
        <v>67.9</v>
      </c>
      <c r="S138" s="8" t="n">
        <f aca="false">IFERROR(O138/R138,0)</f>
        <v>0.401030927835052</v>
      </c>
      <c r="T138" s="8" t="n">
        <f aca="false">IFERROR(Q138/M138,0)</f>
        <v>0.181818181818182</v>
      </c>
    </row>
    <row r="139" customFormat="false" ht="15" hidden="false" customHeight="false" outlineLevel="0" collapsed="false">
      <c r="A139" s="17" t="s">
        <v>17</v>
      </c>
      <c r="B139" s="17" t="s">
        <v>583</v>
      </c>
      <c r="C139" s="17" t="s">
        <v>584</v>
      </c>
      <c r="D139" s="17" t="s">
        <v>28</v>
      </c>
      <c r="E139" s="17" t="s">
        <v>315</v>
      </c>
      <c r="F139" s="17" t="s">
        <v>28</v>
      </c>
      <c r="G139" s="17" t="s">
        <v>140</v>
      </c>
      <c r="H139" s="18" t="s">
        <v>60</v>
      </c>
      <c r="I139" s="17" t="s">
        <v>66</v>
      </c>
      <c r="J139" s="17"/>
      <c r="K139" s="17" t="s">
        <v>60</v>
      </c>
      <c r="L139" s="20" t="n">
        <v>1097</v>
      </c>
      <c r="M139" s="20" t="n">
        <v>13</v>
      </c>
      <c r="N139" s="25" t="n">
        <f aca="false">IFERROR(M139/L139,0)</f>
        <v>0.0118505013673655</v>
      </c>
      <c r="O139" s="19" t="n">
        <v>26.22</v>
      </c>
      <c r="P139" s="9" t="n">
        <f aca="false">IFERROR(O139/M139,0)</f>
        <v>2.01692307692308</v>
      </c>
      <c r="Q139" s="20" t="n">
        <v>3</v>
      </c>
      <c r="R139" s="19" t="n">
        <v>79.47</v>
      </c>
      <c r="S139" s="8" t="n">
        <f aca="false">IFERROR(O139/R139,0)</f>
        <v>0.329935824839562</v>
      </c>
      <c r="T139" s="8" t="n">
        <f aca="false">IFERROR(Q139/M139,0)</f>
        <v>0.230769230769231</v>
      </c>
    </row>
    <row r="140" customFormat="false" ht="15" hidden="false" customHeight="false" outlineLevel="0" collapsed="false">
      <c r="A140" s="17" t="s">
        <v>17</v>
      </c>
      <c r="B140" s="17" t="s">
        <v>585</v>
      </c>
      <c r="C140" s="17" t="s">
        <v>586</v>
      </c>
      <c r="D140" s="17" t="s">
        <v>28</v>
      </c>
      <c r="E140" s="17" t="s">
        <v>315</v>
      </c>
      <c r="F140" s="17" t="s">
        <v>28</v>
      </c>
      <c r="G140" s="17" t="s">
        <v>149</v>
      </c>
      <c r="H140" s="18" t="s">
        <v>60</v>
      </c>
      <c r="I140" s="17" t="s">
        <v>66</v>
      </c>
      <c r="J140" s="17"/>
      <c r="K140" s="17" t="s">
        <v>60</v>
      </c>
      <c r="L140" s="20" t="n">
        <v>183</v>
      </c>
      <c r="M140" s="20" t="n">
        <v>7</v>
      </c>
      <c r="N140" s="25" t="n">
        <f aca="false">IFERROR(M140/L140,0)</f>
        <v>0.0382513661202186</v>
      </c>
      <c r="O140" s="19" t="n">
        <v>22.33</v>
      </c>
      <c r="P140" s="9" t="n">
        <f aca="false">IFERROR(O140/M140,0)</f>
        <v>3.19</v>
      </c>
      <c r="Q140" s="20" t="n">
        <v>2</v>
      </c>
      <c r="R140" s="19" t="n">
        <v>55.9</v>
      </c>
      <c r="S140" s="8" t="n">
        <f aca="false">IFERROR(O140/R140,0)</f>
        <v>0.399463327370304</v>
      </c>
      <c r="T140" s="8" t="n">
        <f aca="false">IFERROR(Q140/M140,0)</f>
        <v>0.285714285714286</v>
      </c>
    </row>
    <row r="141" customFormat="false" ht="15" hidden="false" customHeight="false" outlineLevel="0" collapsed="false">
      <c r="A141" s="17" t="s">
        <v>17</v>
      </c>
      <c r="B141" s="17" t="s">
        <v>587</v>
      </c>
      <c r="C141" s="17" t="s">
        <v>588</v>
      </c>
      <c r="D141" s="24" t="s">
        <v>34</v>
      </c>
      <c r="E141" s="17" t="s">
        <v>311</v>
      </c>
      <c r="F141" s="17"/>
      <c r="G141" s="17"/>
      <c r="H141" s="17"/>
      <c r="I141" s="17" t="s">
        <v>66</v>
      </c>
      <c r="J141" s="17"/>
      <c r="K141" s="17" t="s">
        <v>60</v>
      </c>
      <c r="L141" s="20" t="n">
        <v>2513</v>
      </c>
      <c r="M141" s="20" t="n">
        <v>19</v>
      </c>
      <c r="N141" s="25" t="n">
        <f aca="false">IFERROR(M141/L141,0)</f>
        <v>0.00756068444090728</v>
      </c>
      <c r="O141" s="19" t="n">
        <v>18</v>
      </c>
      <c r="P141" s="9" t="n">
        <f aca="false">IFERROR(O141/M141,0)</f>
        <v>0.947368421052632</v>
      </c>
      <c r="Q141" s="20" t="n">
        <v>3</v>
      </c>
      <c r="R141" s="19" t="n">
        <v>72.67</v>
      </c>
      <c r="S141" s="8" t="n">
        <f aca="false">IFERROR(O141/R141,0)</f>
        <v>0.247695059859639</v>
      </c>
      <c r="T141" s="8" t="n">
        <f aca="false">IFERROR(Q141/M141,0)</f>
        <v>0.157894736842105</v>
      </c>
    </row>
    <row r="142" customFormat="false" ht="15" hidden="false" customHeight="false" outlineLevel="0" collapsed="false">
      <c r="A142" s="17" t="s">
        <v>17</v>
      </c>
      <c r="B142" s="17" t="s">
        <v>589</v>
      </c>
      <c r="C142" s="17" t="s">
        <v>590</v>
      </c>
      <c r="D142" s="17" t="s">
        <v>31</v>
      </c>
      <c r="E142" s="17" t="s">
        <v>311</v>
      </c>
      <c r="F142" s="17" t="s">
        <v>306</v>
      </c>
      <c r="G142" s="17" t="s">
        <v>148</v>
      </c>
      <c r="H142" s="26" t="s">
        <v>66</v>
      </c>
      <c r="I142" s="17" t="s">
        <v>66</v>
      </c>
      <c r="J142" s="17"/>
      <c r="K142" s="17" t="s">
        <v>60</v>
      </c>
      <c r="L142" s="20" t="n">
        <v>744</v>
      </c>
      <c r="M142" s="20" t="n">
        <v>14</v>
      </c>
      <c r="N142" s="25" t="n">
        <f aca="false">IFERROR(M142/L142,0)</f>
        <v>0.0188172043010753</v>
      </c>
      <c r="O142" s="19" t="n">
        <v>16.45</v>
      </c>
      <c r="P142" s="9" t="n">
        <f aca="false">IFERROR(O142/M142,0)</f>
        <v>1.175</v>
      </c>
      <c r="Q142" s="20" t="n">
        <v>4</v>
      </c>
      <c r="R142" s="19" t="n">
        <v>109.82</v>
      </c>
      <c r="S142" s="8" t="n">
        <f aca="false">IFERROR(O142/R142,0)</f>
        <v>0.149790566381351</v>
      </c>
      <c r="T142" s="8" t="n">
        <f aca="false">IFERROR(Q142/M142,0)</f>
        <v>0.285714285714286</v>
      </c>
    </row>
    <row r="143" customFormat="false" ht="15" hidden="false" customHeight="false" outlineLevel="0" collapsed="false">
      <c r="A143" s="17" t="s">
        <v>17</v>
      </c>
      <c r="B143" s="17" t="s">
        <v>591</v>
      </c>
      <c r="C143" s="17" t="s">
        <v>592</v>
      </c>
      <c r="D143" s="26" t="s">
        <v>32</v>
      </c>
      <c r="E143" s="17" t="s">
        <v>303</v>
      </c>
      <c r="F143" s="17" t="s">
        <v>306</v>
      </c>
      <c r="G143" s="17" t="s">
        <v>140</v>
      </c>
      <c r="H143" s="18" t="s">
        <v>60</v>
      </c>
      <c r="I143" s="17" t="s">
        <v>66</v>
      </c>
      <c r="J143" s="17"/>
      <c r="K143" s="17" t="s">
        <v>60</v>
      </c>
      <c r="L143" s="20" t="n">
        <v>4971</v>
      </c>
      <c r="M143" s="20" t="n">
        <v>20</v>
      </c>
      <c r="N143" s="25" t="n">
        <f aca="false">IFERROR(M143/L143,0)</f>
        <v>0.00402333534500101</v>
      </c>
      <c r="O143" s="19" t="n">
        <v>14.09</v>
      </c>
      <c r="P143" s="9" t="n">
        <f aca="false">IFERROR(O143/M143,0)</f>
        <v>0.7045</v>
      </c>
      <c r="Q143" s="20" t="n">
        <v>0</v>
      </c>
      <c r="R143" s="19" t="n">
        <v>0</v>
      </c>
      <c r="S143" s="8" t="n">
        <f aca="false">IFERROR(O143/R143,0)</f>
        <v>0</v>
      </c>
      <c r="T143" s="8" t="n">
        <f aca="false">IFERROR(Q143/M143,0)</f>
        <v>0</v>
      </c>
    </row>
    <row r="144" customFormat="false" ht="15" hidden="false" customHeight="false" outlineLevel="0" collapsed="false">
      <c r="A144" s="17" t="s">
        <v>17</v>
      </c>
      <c r="B144" s="17" t="s">
        <v>593</v>
      </c>
      <c r="C144" s="17" t="s">
        <v>594</v>
      </c>
      <c r="D144" s="17" t="s">
        <v>33</v>
      </c>
      <c r="E144" s="17" t="s">
        <v>318</v>
      </c>
      <c r="F144" s="17" t="s">
        <v>319</v>
      </c>
      <c r="G144" s="17" t="s">
        <v>144</v>
      </c>
      <c r="H144" s="26" t="s">
        <v>66</v>
      </c>
      <c r="I144" s="17" t="s">
        <v>66</v>
      </c>
      <c r="J144" s="17"/>
      <c r="K144" s="17" t="s">
        <v>60</v>
      </c>
      <c r="L144" s="20" t="n">
        <v>5703</v>
      </c>
      <c r="M144" s="20" t="n">
        <v>18</v>
      </c>
      <c r="N144" s="25" t="n">
        <f aca="false">IFERROR(M144/L144,0)</f>
        <v>0.00315623356128354</v>
      </c>
      <c r="O144" s="19" t="n">
        <v>12.85</v>
      </c>
      <c r="P144" s="9" t="n">
        <f aca="false">IFERROR(O144/M144,0)</f>
        <v>0.713888888888889</v>
      </c>
      <c r="Q144" s="20" t="n">
        <v>2</v>
      </c>
      <c r="R144" s="19" t="n">
        <v>67.9</v>
      </c>
      <c r="S144" s="8" t="n">
        <f aca="false">IFERROR(O144/R144,0)</f>
        <v>0.189248895434462</v>
      </c>
      <c r="T144" s="8" t="n">
        <f aca="false">IFERROR(Q144/M144,0)</f>
        <v>0.111111111111111</v>
      </c>
    </row>
    <row r="145" customFormat="false" ht="15" hidden="false" customHeight="false" outlineLevel="0" collapsed="false">
      <c r="A145" s="17" t="s">
        <v>17</v>
      </c>
      <c r="B145" s="17" t="s">
        <v>595</v>
      </c>
      <c r="C145" s="17" t="s">
        <v>596</v>
      </c>
      <c r="D145" s="17" t="s">
        <v>28</v>
      </c>
      <c r="E145" s="17" t="s">
        <v>315</v>
      </c>
      <c r="F145" s="17" t="s">
        <v>28</v>
      </c>
      <c r="G145" s="17" t="s">
        <v>143</v>
      </c>
      <c r="H145" s="18" t="s">
        <v>60</v>
      </c>
      <c r="I145" s="17" t="s">
        <v>66</v>
      </c>
      <c r="J145" s="17"/>
      <c r="K145" s="17" t="s">
        <v>60</v>
      </c>
      <c r="L145" s="20" t="n">
        <v>195</v>
      </c>
      <c r="M145" s="20" t="n">
        <v>5</v>
      </c>
      <c r="N145" s="25" t="n">
        <f aca="false">IFERROR(M145/L145,0)</f>
        <v>0.0256410256410256</v>
      </c>
      <c r="O145" s="19" t="n">
        <v>12.48</v>
      </c>
      <c r="P145" s="9" t="n">
        <f aca="false">IFERROR(O145/M145,0)</f>
        <v>2.496</v>
      </c>
      <c r="Q145" s="20" t="n">
        <v>0</v>
      </c>
      <c r="R145" s="19" t="n">
        <v>0</v>
      </c>
      <c r="S145" s="8" t="n">
        <f aca="false">IFERROR(O145/R145,0)</f>
        <v>0</v>
      </c>
      <c r="T145" s="8" t="n">
        <f aca="false">IFERROR(Q145/M145,0)</f>
        <v>0</v>
      </c>
    </row>
    <row r="146" customFormat="false" ht="15" hidden="false" customHeight="false" outlineLevel="0" collapsed="false">
      <c r="A146" s="17" t="s">
        <v>17</v>
      </c>
      <c r="B146" s="17" t="s">
        <v>597</v>
      </c>
      <c r="C146" s="17" t="s">
        <v>598</v>
      </c>
      <c r="D146" s="17" t="s">
        <v>28</v>
      </c>
      <c r="E146" s="17" t="s">
        <v>315</v>
      </c>
      <c r="F146" s="17" t="s">
        <v>28</v>
      </c>
      <c r="G146" s="17" t="s">
        <v>143</v>
      </c>
      <c r="H146" s="18" t="s">
        <v>60</v>
      </c>
      <c r="I146" s="17" t="s">
        <v>66</v>
      </c>
      <c r="J146" s="17"/>
      <c r="K146" s="17" t="s">
        <v>60</v>
      </c>
      <c r="L146" s="20" t="n">
        <v>166</v>
      </c>
      <c r="M146" s="20" t="n">
        <v>5</v>
      </c>
      <c r="N146" s="25" t="n">
        <f aca="false">IFERROR(M146/L146,0)</f>
        <v>0.0301204819277108</v>
      </c>
      <c r="O146" s="19" t="n">
        <v>12.22</v>
      </c>
      <c r="P146" s="9" t="n">
        <f aca="false">IFERROR(O146/M146,0)</f>
        <v>2.444</v>
      </c>
      <c r="Q146" s="20" t="n">
        <v>0</v>
      </c>
      <c r="R146" s="19" t="n">
        <v>0</v>
      </c>
      <c r="S146" s="8" t="n">
        <f aca="false">IFERROR(O146/R146,0)</f>
        <v>0</v>
      </c>
      <c r="T146" s="8" t="n">
        <f aca="false">IFERROR(Q146/M146,0)</f>
        <v>0</v>
      </c>
    </row>
    <row r="147" customFormat="false" ht="15" hidden="false" customHeight="false" outlineLevel="0" collapsed="false">
      <c r="A147" s="17" t="s">
        <v>17</v>
      </c>
      <c r="B147" s="17" t="s">
        <v>599</v>
      </c>
      <c r="C147" s="17" t="s">
        <v>600</v>
      </c>
      <c r="D147" s="17" t="s">
        <v>28</v>
      </c>
      <c r="E147" s="17" t="s">
        <v>315</v>
      </c>
      <c r="F147" s="17" t="s">
        <v>28</v>
      </c>
      <c r="G147" s="17" t="s">
        <v>143</v>
      </c>
      <c r="H147" s="18" t="s">
        <v>60</v>
      </c>
      <c r="I147" s="17" t="s">
        <v>66</v>
      </c>
      <c r="J147" s="17"/>
      <c r="K147" s="17" t="s">
        <v>60</v>
      </c>
      <c r="L147" s="20" t="n">
        <v>113</v>
      </c>
      <c r="M147" s="20" t="n">
        <v>4</v>
      </c>
      <c r="N147" s="25" t="n">
        <f aca="false">IFERROR(M147/L147,0)</f>
        <v>0.0353982300884956</v>
      </c>
      <c r="O147" s="19" t="n">
        <v>11.76</v>
      </c>
      <c r="P147" s="9" t="n">
        <f aca="false">IFERROR(O147/M147,0)</f>
        <v>2.94</v>
      </c>
      <c r="Q147" s="20" t="n">
        <v>1</v>
      </c>
      <c r="R147" s="19" t="n">
        <v>29.95</v>
      </c>
      <c r="S147" s="8" t="n">
        <f aca="false">IFERROR(O147/R147,0)</f>
        <v>0.392654424040067</v>
      </c>
      <c r="T147" s="8" t="n">
        <f aca="false">IFERROR(Q147/M147,0)</f>
        <v>0.25</v>
      </c>
    </row>
    <row r="148" customFormat="false" ht="15" hidden="false" customHeight="false" outlineLevel="0" collapsed="false">
      <c r="A148" s="17" t="s">
        <v>17</v>
      </c>
      <c r="B148" s="17" t="s">
        <v>601</v>
      </c>
      <c r="C148" s="17" t="s">
        <v>602</v>
      </c>
      <c r="D148" s="17" t="s">
        <v>28</v>
      </c>
      <c r="E148" s="17" t="s">
        <v>315</v>
      </c>
      <c r="F148" s="17" t="s">
        <v>28</v>
      </c>
      <c r="G148" s="17" t="s">
        <v>143</v>
      </c>
      <c r="H148" s="18" t="s">
        <v>60</v>
      </c>
      <c r="I148" s="17" t="s">
        <v>66</v>
      </c>
      <c r="J148" s="17"/>
      <c r="K148" s="17" t="s">
        <v>60</v>
      </c>
      <c r="L148" s="20" t="n">
        <v>130</v>
      </c>
      <c r="M148" s="20" t="n">
        <v>5</v>
      </c>
      <c r="N148" s="25" t="n">
        <f aca="false">IFERROR(M148/L148,0)</f>
        <v>0.0384615384615385</v>
      </c>
      <c r="O148" s="19" t="n">
        <v>11.6</v>
      </c>
      <c r="P148" s="9" t="n">
        <f aca="false">IFERROR(O148/M148,0)</f>
        <v>2.32</v>
      </c>
      <c r="Q148" s="20" t="n">
        <v>1</v>
      </c>
      <c r="R148" s="19" t="n">
        <v>29.95</v>
      </c>
      <c r="S148" s="8" t="n">
        <f aca="false">IFERROR(O148/R148,0)</f>
        <v>0.387312186978297</v>
      </c>
      <c r="T148" s="8" t="n">
        <f aca="false">IFERROR(Q148/M148,0)</f>
        <v>0.2</v>
      </c>
    </row>
    <row r="149" customFormat="false" ht="15" hidden="false" customHeight="false" outlineLevel="0" collapsed="false">
      <c r="A149" s="17" t="s">
        <v>17</v>
      </c>
      <c r="B149" s="17" t="s">
        <v>603</v>
      </c>
      <c r="C149" s="17" t="s">
        <v>604</v>
      </c>
      <c r="D149" s="17" t="s">
        <v>31</v>
      </c>
      <c r="E149" s="17" t="s">
        <v>311</v>
      </c>
      <c r="F149" s="17" t="s">
        <v>306</v>
      </c>
      <c r="G149" s="17" t="s">
        <v>146</v>
      </c>
      <c r="H149" s="26" t="s">
        <v>66</v>
      </c>
      <c r="I149" s="17" t="s">
        <v>66</v>
      </c>
      <c r="J149" s="17"/>
      <c r="K149" s="17" t="s">
        <v>60</v>
      </c>
      <c r="L149" s="20" t="n">
        <v>1682</v>
      </c>
      <c r="M149" s="20" t="n">
        <v>15</v>
      </c>
      <c r="N149" s="25" t="n">
        <f aca="false">IFERROR(M149/L149,0)</f>
        <v>0.0089179548156956</v>
      </c>
      <c r="O149" s="19" t="n">
        <v>11.56</v>
      </c>
      <c r="P149" s="9" t="n">
        <f aca="false">IFERROR(O149/M149,0)</f>
        <v>0.770666666666667</v>
      </c>
      <c r="Q149" s="20" t="n">
        <v>5</v>
      </c>
      <c r="R149" s="19" t="n">
        <v>125.9</v>
      </c>
      <c r="S149" s="8" t="n">
        <f aca="false">IFERROR(O149/R149,0)</f>
        <v>0.0918189038919778</v>
      </c>
      <c r="T149" s="8" t="n">
        <f aca="false">IFERROR(Q149/M149,0)</f>
        <v>0.333333333333333</v>
      </c>
    </row>
    <row r="150" customFormat="false" ht="15" hidden="false" customHeight="false" outlineLevel="0" collapsed="false">
      <c r="A150" s="17" t="s">
        <v>17</v>
      </c>
      <c r="B150" s="17" t="s">
        <v>605</v>
      </c>
      <c r="C150" s="17" t="s">
        <v>606</v>
      </c>
      <c r="D150" s="17" t="s">
        <v>28</v>
      </c>
      <c r="E150" s="17" t="s">
        <v>315</v>
      </c>
      <c r="F150" s="17" t="s">
        <v>28</v>
      </c>
      <c r="G150" s="17" t="s">
        <v>221</v>
      </c>
      <c r="H150" s="26" t="s">
        <v>66</v>
      </c>
      <c r="I150" s="17" t="s">
        <v>66</v>
      </c>
      <c r="J150" s="17"/>
      <c r="K150" s="17" t="s">
        <v>60</v>
      </c>
      <c r="L150" s="20" t="n">
        <v>559</v>
      </c>
      <c r="M150" s="20" t="n">
        <v>7</v>
      </c>
      <c r="N150" s="25" t="n">
        <f aca="false">IFERROR(M150/L150,0)</f>
        <v>0.0125223613595707</v>
      </c>
      <c r="O150" s="19" t="n">
        <v>9</v>
      </c>
      <c r="P150" s="9" t="n">
        <f aca="false">IFERROR(O150/M150,0)</f>
        <v>1.28571428571429</v>
      </c>
      <c r="Q150" s="20" t="n">
        <v>0</v>
      </c>
      <c r="R150" s="19" t="n">
        <v>0</v>
      </c>
      <c r="S150" s="8" t="n">
        <f aca="false">IFERROR(O150/R150,0)</f>
        <v>0</v>
      </c>
      <c r="T150" s="8" t="n">
        <f aca="false">IFERROR(Q150/M150,0)</f>
        <v>0</v>
      </c>
    </row>
    <row r="151" customFormat="false" ht="15" hidden="false" customHeight="false" outlineLevel="0" collapsed="false">
      <c r="A151" s="17" t="s">
        <v>17</v>
      </c>
      <c r="B151" s="17" t="s">
        <v>607</v>
      </c>
      <c r="C151" s="17" t="s">
        <v>608</v>
      </c>
      <c r="D151" s="17" t="s">
        <v>29</v>
      </c>
      <c r="E151" s="17" t="s">
        <v>315</v>
      </c>
      <c r="F151" s="17"/>
      <c r="G151" s="17" t="s">
        <v>609</v>
      </c>
      <c r="H151" s="26" t="s">
        <v>66</v>
      </c>
      <c r="I151" s="17" t="s">
        <v>66</v>
      </c>
      <c r="J151" s="17"/>
      <c r="K151" s="17" t="s">
        <v>60</v>
      </c>
      <c r="L151" s="20" t="n">
        <v>59</v>
      </c>
      <c r="M151" s="20" t="n">
        <v>4</v>
      </c>
      <c r="N151" s="25" t="n">
        <f aca="false">IFERROR(M151/L151,0)</f>
        <v>0.0677966101694915</v>
      </c>
      <c r="O151" s="19" t="n">
        <v>8.78</v>
      </c>
      <c r="P151" s="9" t="n">
        <f aca="false">IFERROR(O151/M151,0)</f>
        <v>2.195</v>
      </c>
      <c r="Q151" s="20" t="n">
        <v>2</v>
      </c>
      <c r="R151" s="19" t="n">
        <v>67.9</v>
      </c>
      <c r="S151" s="8" t="n">
        <f aca="false">IFERROR(O151/R151,0)</f>
        <v>0.129307805596465</v>
      </c>
      <c r="T151" s="8" t="n">
        <f aca="false">IFERROR(Q151/M151,0)</f>
        <v>0.5</v>
      </c>
    </row>
    <row r="152" customFormat="false" ht="15" hidden="false" customHeight="false" outlineLevel="0" collapsed="false">
      <c r="A152" s="17" t="s">
        <v>17</v>
      </c>
      <c r="B152" s="17" t="s">
        <v>378</v>
      </c>
      <c r="C152" s="17" t="s">
        <v>379</v>
      </c>
      <c r="D152" s="24" t="s">
        <v>34</v>
      </c>
      <c r="E152" s="17" t="s">
        <v>303</v>
      </c>
      <c r="F152" s="17" t="s">
        <v>332</v>
      </c>
      <c r="G152" s="17"/>
      <c r="H152" s="17"/>
      <c r="I152" s="17" t="s">
        <v>60</v>
      </c>
      <c r="J152" s="17" t="s">
        <v>576</v>
      </c>
      <c r="K152" s="17" t="s">
        <v>66</v>
      </c>
      <c r="L152" s="20" t="n">
        <v>2736</v>
      </c>
      <c r="M152" s="20" t="n">
        <v>18</v>
      </c>
      <c r="N152" s="25" t="n">
        <f aca="false">IFERROR(M152/L152,0)</f>
        <v>0.00657894736842105</v>
      </c>
      <c r="O152" s="19" t="n">
        <v>7.96</v>
      </c>
      <c r="P152" s="9" t="n">
        <f aca="false">IFERROR(O152/M152,0)</f>
        <v>0.442222222222222</v>
      </c>
      <c r="Q152" s="20" t="n">
        <v>2</v>
      </c>
      <c r="R152" s="19" t="n">
        <v>61.9</v>
      </c>
      <c r="S152" s="8" t="n">
        <f aca="false">IFERROR(O152/R152,0)</f>
        <v>0.12859450726979</v>
      </c>
      <c r="T152" s="8" t="n">
        <f aca="false">IFERROR(Q152/M152,0)</f>
        <v>0.111111111111111</v>
      </c>
    </row>
    <row r="153" customFormat="false" ht="15" hidden="false" customHeight="false" outlineLevel="0" collapsed="false">
      <c r="A153" s="17" t="s">
        <v>17</v>
      </c>
      <c r="B153" s="17" t="s">
        <v>610</v>
      </c>
      <c r="C153" s="17" t="s">
        <v>611</v>
      </c>
      <c r="D153" s="17" t="s">
        <v>28</v>
      </c>
      <c r="E153" s="17" t="s">
        <v>315</v>
      </c>
      <c r="F153" s="17" t="s">
        <v>28</v>
      </c>
      <c r="G153" s="17" t="s">
        <v>141</v>
      </c>
      <c r="H153" s="26" t="s">
        <v>66</v>
      </c>
      <c r="I153" s="17" t="s">
        <v>66</v>
      </c>
      <c r="J153" s="17"/>
      <c r="K153" s="17" t="s">
        <v>60</v>
      </c>
      <c r="L153" s="20" t="n">
        <v>69</v>
      </c>
      <c r="M153" s="20" t="n">
        <v>4</v>
      </c>
      <c r="N153" s="25" t="n">
        <f aca="false">IFERROR(M153/L153,0)</f>
        <v>0.0579710144927536</v>
      </c>
      <c r="O153" s="19" t="n">
        <v>7.81</v>
      </c>
      <c r="P153" s="9" t="n">
        <f aca="false">IFERROR(O153/M153,0)</f>
        <v>1.9525</v>
      </c>
      <c r="Q153" s="20" t="n">
        <v>0</v>
      </c>
      <c r="R153" s="19" t="n">
        <v>0</v>
      </c>
      <c r="S153" s="8" t="n">
        <f aca="false">IFERROR(O153/R153,0)</f>
        <v>0</v>
      </c>
      <c r="T153" s="8" t="n">
        <f aca="false">IFERROR(Q153/M153,0)</f>
        <v>0</v>
      </c>
    </row>
    <row r="154" customFormat="false" ht="15" hidden="false" customHeight="false" outlineLevel="0" collapsed="false">
      <c r="A154" s="17" t="s">
        <v>17</v>
      </c>
      <c r="B154" s="17" t="s">
        <v>612</v>
      </c>
      <c r="C154" s="17" t="s">
        <v>613</v>
      </c>
      <c r="D154" s="17" t="s">
        <v>28</v>
      </c>
      <c r="E154" s="17" t="s">
        <v>315</v>
      </c>
      <c r="F154" s="17" t="s">
        <v>28</v>
      </c>
      <c r="G154" s="17" t="s">
        <v>140</v>
      </c>
      <c r="H154" s="18" t="s">
        <v>60</v>
      </c>
      <c r="I154" s="17" t="s">
        <v>66</v>
      </c>
      <c r="J154" s="17"/>
      <c r="K154" s="17" t="s">
        <v>60</v>
      </c>
      <c r="L154" s="20" t="n">
        <v>82</v>
      </c>
      <c r="M154" s="20" t="n">
        <v>4</v>
      </c>
      <c r="N154" s="25" t="n">
        <f aca="false">IFERROR(M154/L154,0)</f>
        <v>0.0487804878048781</v>
      </c>
      <c r="O154" s="19" t="n">
        <v>7.51</v>
      </c>
      <c r="P154" s="9" t="n">
        <f aca="false">IFERROR(O154/M154,0)</f>
        <v>1.8775</v>
      </c>
      <c r="Q154" s="20" t="n">
        <v>0</v>
      </c>
      <c r="R154" s="19" t="n">
        <v>0</v>
      </c>
      <c r="S154" s="8" t="n">
        <f aca="false">IFERROR(O154/R154,0)</f>
        <v>0</v>
      </c>
      <c r="T154" s="8" t="n">
        <f aca="false">IFERROR(Q154/M154,0)</f>
        <v>0</v>
      </c>
    </row>
    <row r="155" customFormat="false" ht="15" hidden="false" customHeight="false" outlineLevel="0" collapsed="false">
      <c r="A155" s="17" t="s">
        <v>17</v>
      </c>
      <c r="B155" s="17" t="s">
        <v>614</v>
      </c>
      <c r="C155" s="17" t="s">
        <v>615</v>
      </c>
      <c r="D155" s="17" t="s">
        <v>28</v>
      </c>
      <c r="E155" s="17" t="s">
        <v>315</v>
      </c>
      <c r="F155" s="17" t="s">
        <v>28</v>
      </c>
      <c r="G155" s="17" t="s">
        <v>143</v>
      </c>
      <c r="H155" s="18" t="s">
        <v>60</v>
      </c>
      <c r="I155" s="17" t="s">
        <v>66</v>
      </c>
      <c r="J155" s="17"/>
      <c r="K155" s="17" t="s">
        <v>60</v>
      </c>
      <c r="L155" s="20" t="n">
        <v>113</v>
      </c>
      <c r="M155" s="20" t="n">
        <v>3</v>
      </c>
      <c r="N155" s="25" t="n">
        <f aca="false">IFERROR(M155/L155,0)</f>
        <v>0.0265486725663717</v>
      </c>
      <c r="O155" s="19" t="n">
        <v>7.5</v>
      </c>
      <c r="P155" s="9" t="n">
        <f aca="false">IFERROR(O155/M155,0)</f>
        <v>2.5</v>
      </c>
      <c r="Q155" s="20" t="n">
        <v>0</v>
      </c>
      <c r="R155" s="19" t="n">
        <v>0</v>
      </c>
      <c r="S155" s="8" t="n">
        <f aca="false">IFERROR(O155/R155,0)</f>
        <v>0</v>
      </c>
      <c r="T155" s="8" t="n">
        <f aca="false">IFERROR(Q155/M155,0)</f>
        <v>0</v>
      </c>
    </row>
    <row r="156" customFormat="false" ht="15" hidden="false" customHeight="false" outlineLevel="0" collapsed="false">
      <c r="A156" s="17" t="s">
        <v>17</v>
      </c>
      <c r="B156" s="17" t="s">
        <v>616</v>
      </c>
      <c r="C156" s="17" t="s">
        <v>617</v>
      </c>
      <c r="D156" s="17" t="s">
        <v>28</v>
      </c>
      <c r="E156" s="17" t="s">
        <v>315</v>
      </c>
      <c r="F156" s="17" t="s">
        <v>28</v>
      </c>
      <c r="G156" s="17" t="s">
        <v>141</v>
      </c>
      <c r="H156" s="26" t="s">
        <v>66</v>
      </c>
      <c r="I156" s="17" t="s">
        <v>66</v>
      </c>
      <c r="J156" s="17"/>
      <c r="K156" s="17" t="s">
        <v>60</v>
      </c>
      <c r="L156" s="20" t="n">
        <v>154</v>
      </c>
      <c r="M156" s="20" t="n">
        <v>4</v>
      </c>
      <c r="N156" s="25" t="n">
        <f aca="false">IFERROR(M156/L156,0)</f>
        <v>0.025974025974026</v>
      </c>
      <c r="O156" s="19" t="n">
        <v>6.88</v>
      </c>
      <c r="P156" s="9" t="n">
        <f aca="false">IFERROR(O156/M156,0)</f>
        <v>1.72</v>
      </c>
      <c r="Q156" s="20" t="n">
        <v>0</v>
      </c>
      <c r="R156" s="19" t="n">
        <v>0</v>
      </c>
      <c r="S156" s="8" t="n">
        <f aca="false">IFERROR(O156/R156,0)</f>
        <v>0</v>
      </c>
      <c r="T156" s="8" t="n">
        <f aca="false">IFERROR(Q156/M156,0)</f>
        <v>0</v>
      </c>
    </row>
    <row r="157" customFormat="false" ht="15" hidden="false" customHeight="false" outlineLevel="0" collapsed="false">
      <c r="A157" s="17" t="s">
        <v>17</v>
      </c>
      <c r="B157" s="17" t="s">
        <v>388</v>
      </c>
      <c r="C157" s="17" t="s">
        <v>389</v>
      </c>
      <c r="D157" s="17" t="s">
        <v>33</v>
      </c>
      <c r="E157" s="17" t="s">
        <v>318</v>
      </c>
      <c r="F157" s="17" t="s">
        <v>312</v>
      </c>
      <c r="G157" s="17" t="s">
        <v>390</v>
      </c>
      <c r="H157" s="26" t="s">
        <v>66</v>
      </c>
      <c r="I157" s="17" t="s">
        <v>60</v>
      </c>
      <c r="J157" s="17" t="s">
        <v>576</v>
      </c>
      <c r="K157" s="17" t="s">
        <v>66</v>
      </c>
      <c r="L157" s="20" t="n">
        <v>249</v>
      </c>
      <c r="M157" s="20" t="n">
        <v>6</v>
      </c>
      <c r="N157" s="25" t="n">
        <f aca="false">IFERROR(M157/L157,0)</f>
        <v>0.0240963855421687</v>
      </c>
      <c r="O157" s="19" t="n">
        <v>6.43</v>
      </c>
      <c r="P157" s="9" t="n">
        <f aca="false">IFERROR(O157/M157,0)</f>
        <v>1.07166666666667</v>
      </c>
      <c r="Q157" s="20" t="n">
        <v>1</v>
      </c>
      <c r="R157" s="19" t="n">
        <v>67.99</v>
      </c>
      <c r="S157" s="8" t="n">
        <f aca="false">IFERROR(O157/R157,0)</f>
        <v>0.0945727312840124</v>
      </c>
      <c r="T157" s="8" t="n">
        <f aca="false">IFERROR(Q157/M157,0)</f>
        <v>0.166666666666667</v>
      </c>
    </row>
    <row r="158" customFormat="false" ht="15" hidden="false" customHeight="false" outlineLevel="0" collapsed="false">
      <c r="A158" s="17" t="s">
        <v>17</v>
      </c>
      <c r="B158" s="17" t="s">
        <v>618</v>
      </c>
      <c r="C158" s="17" t="s">
        <v>619</v>
      </c>
      <c r="D158" s="17" t="s">
        <v>28</v>
      </c>
      <c r="E158" s="17" t="s">
        <v>315</v>
      </c>
      <c r="F158" s="17" t="s">
        <v>28</v>
      </c>
      <c r="G158" s="17" t="s">
        <v>162</v>
      </c>
      <c r="H158" s="18" t="s">
        <v>60</v>
      </c>
      <c r="I158" s="17" t="s">
        <v>66</v>
      </c>
      <c r="J158" s="17"/>
      <c r="K158" s="17" t="s">
        <v>60</v>
      </c>
      <c r="L158" s="20" t="n">
        <v>52</v>
      </c>
      <c r="M158" s="20" t="n">
        <v>3</v>
      </c>
      <c r="N158" s="25" t="n">
        <f aca="false">IFERROR(M158/L158,0)</f>
        <v>0.0576923076923077</v>
      </c>
      <c r="O158" s="19" t="n">
        <v>6.21</v>
      </c>
      <c r="P158" s="9" t="n">
        <f aca="false">IFERROR(O158/M158,0)</f>
        <v>2.07</v>
      </c>
      <c r="Q158" s="20" t="n">
        <v>0</v>
      </c>
      <c r="R158" s="19" t="n">
        <v>0</v>
      </c>
      <c r="S158" s="8" t="n">
        <f aca="false">IFERROR(O158/R158,0)</f>
        <v>0</v>
      </c>
      <c r="T158" s="8" t="n">
        <f aca="false">IFERROR(Q158/M158,0)</f>
        <v>0</v>
      </c>
    </row>
    <row r="159" customFormat="false" ht="15" hidden="false" customHeight="false" outlineLevel="0" collapsed="false">
      <c r="A159" s="17" t="s">
        <v>17</v>
      </c>
      <c r="B159" s="17" t="s">
        <v>620</v>
      </c>
      <c r="C159" s="17" t="s">
        <v>621</v>
      </c>
      <c r="D159" s="17" t="s">
        <v>28</v>
      </c>
      <c r="E159" s="17" t="s">
        <v>315</v>
      </c>
      <c r="F159" s="17" t="s">
        <v>28</v>
      </c>
      <c r="G159" s="17" t="s">
        <v>141</v>
      </c>
      <c r="H159" s="26" t="s">
        <v>66</v>
      </c>
      <c r="I159" s="17" t="s">
        <v>66</v>
      </c>
      <c r="J159" s="17"/>
      <c r="K159" s="17" t="s">
        <v>60</v>
      </c>
      <c r="L159" s="20" t="n">
        <v>256</v>
      </c>
      <c r="M159" s="20" t="n">
        <v>3</v>
      </c>
      <c r="N159" s="25" t="n">
        <f aca="false">IFERROR(M159/L159,0)</f>
        <v>0.01171875</v>
      </c>
      <c r="O159" s="19" t="n">
        <v>6.21</v>
      </c>
      <c r="P159" s="9" t="n">
        <f aca="false">IFERROR(O159/M159,0)</f>
        <v>2.07</v>
      </c>
      <c r="Q159" s="20" t="n">
        <v>0</v>
      </c>
      <c r="R159" s="19" t="n">
        <v>0</v>
      </c>
      <c r="S159" s="8" t="n">
        <f aca="false">IFERROR(O159/R159,0)</f>
        <v>0</v>
      </c>
      <c r="T159" s="8" t="n">
        <f aca="false">IFERROR(Q159/M159,0)</f>
        <v>0</v>
      </c>
    </row>
    <row r="160" customFormat="false" ht="15" hidden="false" customHeight="false" outlineLevel="0" collapsed="false">
      <c r="A160" s="17" t="s">
        <v>17</v>
      </c>
      <c r="B160" s="17" t="s">
        <v>622</v>
      </c>
      <c r="C160" s="17" t="s">
        <v>623</v>
      </c>
      <c r="D160" s="26" t="s">
        <v>32</v>
      </c>
      <c r="E160" s="17" t="s">
        <v>303</v>
      </c>
      <c r="F160" s="17" t="s">
        <v>306</v>
      </c>
      <c r="G160" s="17" t="s">
        <v>146</v>
      </c>
      <c r="H160" s="26" t="s">
        <v>66</v>
      </c>
      <c r="I160" s="17" t="s">
        <v>66</v>
      </c>
      <c r="J160" s="17"/>
      <c r="K160" s="17" t="s">
        <v>60</v>
      </c>
      <c r="L160" s="20" t="n">
        <v>8845</v>
      </c>
      <c r="M160" s="20" t="n">
        <v>11</v>
      </c>
      <c r="N160" s="25" t="n">
        <f aca="false">IFERROR(M160/L160,0)</f>
        <v>0.00124364047484455</v>
      </c>
      <c r="O160" s="19" t="n">
        <v>5.36</v>
      </c>
      <c r="P160" s="9" t="n">
        <f aca="false">IFERROR(O160/M160,0)</f>
        <v>0.487272727272727</v>
      </c>
      <c r="Q160" s="20" t="n">
        <v>1</v>
      </c>
      <c r="R160" s="19" t="n">
        <v>29.95</v>
      </c>
      <c r="S160" s="8" t="n">
        <f aca="false">IFERROR(O160/R160,0)</f>
        <v>0.178964941569282</v>
      </c>
      <c r="T160" s="8" t="n">
        <f aca="false">IFERROR(Q160/M160,0)</f>
        <v>0.0909090909090909</v>
      </c>
    </row>
    <row r="161" customFormat="false" ht="15" hidden="false" customHeight="false" outlineLevel="0" collapsed="false">
      <c r="A161" s="17" t="s">
        <v>17</v>
      </c>
      <c r="B161" s="17" t="s">
        <v>624</v>
      </c>
      <c r="C161" s="17" t="s">
        <v>625</v>
      </c>
      <c r="D161" s="17" t="s">
        <v>28</v>
      </c>
      <c r="E161" s="17" t="s">
        <v>315</v>
      </c>
      <c r="F161" s="17" t="s">
        <v>28</v>
      </c>
      <c r="G161" s="17" t="s">
        <v>147</v>
      </c>
      <c r="H161" s="26" t="s">
        <v>66</v>
      </c>
      <c r="I161" s="17" t="s">
        <v>66</v>
      </c>
      <c r="J161" s="17"/>
      <c r="K161" s="17" t="s">
        <v>60</v>
      </c>
      <c r="L161" s="20" t="n">
        <v>600</v>
      </c>
      <c r="M161" s="20" t="n">
        <v>3</v>
      </c>
      <c r="N161" s="25" t="n">
        <f aca="false">IFERROR(M161/L161,0)</f>
        <v>0.005</v>
      </c>
      <c r="O161" s="19" t="n">
        <v>5.35</v>
      </c>
      <c r="P161" s="9" t="n">
        <f aca="false">IFERROR(O161/M161,0)</f>
        <v>1.78333333333333</v>
      </c>
      <c r="Q161" s="20" t="n">
        <v>0</v>
      </c>
      <c r="R161" s="19" t="n">
        <v>0</v>
      </c>
      <c r="S161" s="8" t="n">
        <f aca="false">IFERROR(O161/R161,0)</f>
        <v>0</v>
      </c>
      <c r="T161" s="8" t="n">
        <f aca="false">IFERROR(Q161/M161,0)</f>
        <v>0</v>
      </c>
    </row>
    <row r="162" customFormat="false" ht="15" hidden="false" customHeight="false" outlineLevel="0" collapsed="false">
      <c r="A162" s="17" t="s">
        <v>17</v>
      </c>
      <c r="B162" s="17" t="s">
        <v>626</v>
      </c>
      <c r="C162" s="17" t="s">
        <v>627</v>
      </c>
      <c r="D162" s="17" t="s">
        <v>28</v>
      </c>
      <c r="E162" s="17" t="s">
        <v>315</v>
      </c>
      <c r="F162" s="17" t="s">
        <v>28</v>
      </c>
      <c r="G162" s="17" t="s">
        <v>141</v>
      </c>
      <c r="H162" s="26" t="s">
        <v>66</v>
      </c>
      <c r="I162" s="17" t="s">
        <v>66</v>
      </c>
      <c r="J162" s="17"/>
      <c r="K162" s="17" t="s">
        <v>60</v>
      </c>
      <c r="L162" s="20" t="n">
        <v>239</v>
      </c>
      <c r="M162" s="20" t="n">
        <v>2</v>
      </c>
      <c r="N162" s="25" t="n">
        <f aca="false">IFERROR(M162/L162,0)</f>
        <v>0.00836820083682008</v>
      </c>
      <c r="O162" s="19" t="n">
        <v>5.2</v>
      </c>
      <c r="P162" s="9" t="n">
        <f aca="false">IFERROR(O162/M162,0)</f>
        <v>2.6</v>
      </c>
      <c r="Q162" s="20" t="n">
        <v>1</v>
      </c>
      <c r="R162" s="19" t="n">
        <v>33.95</v>
      </c>
      <c r="S162" s="8" t="n">
        <f aca="false">IFERROR(O162/R162,0)</f>
        <v>0.153166421207658</v>
      </c>
      <c r="T162" s="8" t="n">
        <f aca="false">IFERROR(Q162/M162,0)</f>
        <v>0.5</v>
      </c>
    </row>
    <row r="163" customFormat="false" ht="15" hidden="false" customHeight="false" outlineLevel="0" collapsed="false">
      <c r="A163" s="17" t="s">
        <v>17</v>
      </c>
      <c r="B163" s="17" t="s">
        <v>628</v>
      </c>
      <c r="C163" s="17" t="s">
        <v>629</v>
      </c>
      <c r="D163" s="17" t="s">
        <v>28</v>
      </c>
      <c r="E163" s="17" t="s">
        <v>315</v>
      </c>
      <c r="F163" s="17" t="s">
        <v>28</v>
      </c>
      <c r="G163" s="17" t="s">
        <v>143</v>
      </c>
      <c r="H163" s="18" t="s">
        <v>60</v>
      </c>
      <c r="I163" s="17" t="s">
        <v>66</v>
      </c>
      <c r="J163" s="17"/>
      <c r="K163" s="17" t="s">
        <v>60</v>
      </c>
      <c r="L163" s="20" t="n">
        <v>87</v>
      </c>
      <c r="M163" s="20" t="n">
        <v>3</v>
      </c>
      <c r="N163" s="25" t="n">
        <f aca="false">IFERROR(M163/L163,0)</f>
        <v>0.0344827586206897</v>
      </c>
      <c r="O163" s="19" t="n">
        <v>5.19</v>
      </c>
      <c r="P163" s="9" t="n">
        <f aca="false">IFERROR(O163/M163,0)</f>
        <v>1.73</v>
      </c>
      <c r="Q163" s="20" t="n">
        <v>0</v>
      </c>
      <c r="R163" s="19" t="n">
        <v>0</v>
      </c>
      <c r="S163" s="8" t="n">
        <f aca="false">IFERROR(O163/R163,0)</f>
        <v>0</v>
      </c>
      <c r="T163" s="8" t="n">
        <f aca="false">IFERROR(Q163/M163,0)</f>
        <v>0</v>
      </c>
    </row>
    <row r="164" customFormat="false" ht="15" hidden="false" customHeight="false" outlineLevel="0" collapsed="false">
      <c r="A164" s="17" t="s">
        <v>17</v>
      </c>
      <c r="B164" s="17" t="s">
        <v>630</v>
      </c>
      <c r="C164" s="17" t="s">
        <v>631</v>
      </c>
      <c r="D164" s="17" t="s">
        <v>29</v>
      </c>
      <c r="E164" s="17" t="s">
        <v>315</v>
      </c>
      <c r="F164" s="17"/>
      <c r="G164" s="17" t="s">
        <v>609</v>
      </c>
      <c r="H164" s="26" t="s">
        <v>66</v>
      </c>
      <c r="I164" s="17" t="s">
        <v>66</v>
      </c>
      <c r="J164" s="17"/>
      <c r="K164" s="17" t="s">
        <v>60</v>
      </c>
      <c r="L164" s="20" t="n">
        <v>20</v>
      </c>
      <c r="M164" s="20" t="n">
        <v>3</v>
      </c>
      <c r="N164" s="25" t="n">
        <f aca="false">IFERROR(M164/L164,0)</f>
        <v>0.15</v>
      </c>
      <c r="O164" s="19" t="n">
        <v>5.09</v>
      </c>
      <c r="P164" s="9" t="n">
        <f aca="false">IFERROR(O164/M164,0)</f>
        <v>1.69666666666667</v>
      </c>
      <c r="Q164" s="20" t="n">
        <v>0</v>
      </c>
      <c r="R164" s="19" t="n">
        <v>0</v>
      </c>
      <c r="S164" s="8" t="n">
        <f aca="false">IFERROR(O164/R164,0)</f>
        <v>0</v>
      </c>
      <c r="T164" s="8" t="n">
        <f aca="false">IFERROR(Q164/M164,0)</f>
        <v>0</v>
      </c>
    </row>
    <row r="165" customFormat="false" ht="15" hidden="false" customHeight="false" outlineLevel="0" collapsed="false">
      <c r="A165" s="17" t="s">
        <v>17</v>
      </c>
      <c r="B165" s="17" t="s">
        <v>632</v>
      </c>
      <c r="C165" s="17" t="s">
        <v>633</v>
      </c>
      <c r="D165" s="17" t="s">
        <v>28</v>
      </c>
      <c r="E165" s="17" t="s">
        <v>315</v>
      </c>
      <c r="F165" s="17" t="s">
        <v>28</v>
      </c>
      <c r="G165" s="17" t="s">
        <v>143</v>
      </c>
      <c r="H165" s="18" t="s">
        <v>60</v>
      </c>
      <c r="I165" s="17" t="s">
        <v>66</v>
      </c>
      <c r="J165" s="17"/>
      <c r="K165" s="17" t="s">
        <v>60</v>
      </c>
      <c r="L165" s="20" t="n">
        <v>68</v>
      </c>
      <c r="M165" s="20" t="n">
        <v>2</v>
      </c>
      <c r="N165" s="25" t="n">
        <f aca="false">IFERROR(M165/L165,0)</f>
        <v>0.0294117647058824</v>
      </c>
      <c r="O165" s="19" t="n">
        <v>4.99</v>
      </c>
      <c r="P165" s="9" t="n">
        <f aca="false">IFERROR(O165/M165,0)</f>
        <v>2.495</v>
      </c>
      <c r="Q165" s="20" t="n">
        <v>1</v>
      </c>
      <c r="R165" s="19" t="n">
        <v>29.95</v>
      </c>
      <c r="S165" s="8" t="n">
        <f aca="false">IFERROR(O165/R165,0)</f>
        <v>0.16661101836394</v>
      </c>
      <c r="T165" s="8" t="n">
        <f aca="false">IFERROR(Q165/M165,0)</f>
        <v>0.5</v>
      </c>
    </row>
    <row r="166" customFormat="false" ht="15" hidden="false" customHeight="false" outlineLevel="0" collapsed="false">
      <c r="A166" s="17" t="s">
        <v>17</v>
      </c>
      <c r="B166" s="17" t="s">
        <v>634</v>
      </c>
      <c r="C166" s="17" t="s">
        <v>635</v>
      </c>
      <c r="D166" s="26" t="s">
        <v>32</v>
      </c>
      <c r="E166" s="17" t="s">
        <v>303</v>
      </c>
      <c r="F166" s="17" t="s">
        <v>306</v>
      </c>
      <c r="G166" s="17" t="s">
        <v>636</v>
      </c>
      <c r="H166" s="18" t="s">
        <v>60</v>
      </c>
      <c r="I166" s="17" t="s">
        <v>66</v>
      </c>
      <c r="J166" s="17"/>
      <c r="K166" s="17" t="s">
        <v>60</v>
      </c>
      <c r="L166" s="20" t="n">
        <v>3008</v>
      </c>
      <c r="M166" s="20" t="n">
        <v>8</v>
      </c>
      <c r="N166" s="25" t="n">
        <f aca="false">IFERROR(M166/L166,0)</f>
        <v>0.00265957446808511</v>
      </c>
      <c r="O166" s="19" t="n">
        <v>4.81</v>
      </c>
      <c r="P166" s="9" t="n">
        <f aca="false">IFERROR(O166/M166,0)</f>
        <v>0.60125</v>
      </c>
      <c r="Q166" s="20" t="n">
        <v>0</v>
      </c>
      <c r="R166" s="19" t="n">
        <v>0</v>
      </c>
      <c r="S166" s="8" t="n">
        <f aca="false">IFERROR(O166/R166,0)</f>
        <v>0</v>
      </c>
      <c r="T166" s="8" t="n">
        <f aca="false">IFERROR(Q166/M166,0)</f>
        <v>0</v>
      </c>
    </row>
    <row r="167" customFormat="false" ht="15" hidden="false" customHeight="false" outlineLevel="0" collapsed="false">
      <c r="A167" s="17" t="s">
        <v>17</v>
      </c>
      <c r="B167" s="17" t="s">
        <v>637</v>
      </c>
      <c r="C167" s="17" t="s">
        <v>638</v>
      </c>
      <c r="D167" s="17" t="s">
        <v>31</v>
      </c>
      <c r="E167" s="17" t="s">
        <v>311</v>
      </c>
      <c r="F167" s="17" t="s">
        <v>306</v>
      </c>
      <c r="G167" s="17" t="s">
        <v>140</v>
      </c>
      <c r="H167" s="18" t="s">
        <v>60</v>
      </c>
      <c r="I167" s="17" t="s">
        <v>66</v>
      </c>
      <c r="J167" s="17"/>
      <c r="K167" s="17" t="s">
        <v>60</v>
      </c>
      <c r="L167" s="20" t="n">
        <v>179</v>
      </c>
      <c r="M167" s="20" t="n">
        <v>5</v>
      </c>
      <c r="N167" s="25" t="n">
        <f aca="false">IFERROR(M167/L167,0)</f>
        <v>0.0279329608938547</v>
      </c>
      <c r="O167" s="19" t="n">
        <v>4.8</v>
      </c>
      <c r="P167" s="9" t="n">
        <f aca="false">IFERROR(O167/M167,0)</f>
        <v>0.96</v>
      </c>
      <c r="Q167" s="20" t="n">
        <v>1</v>
      </c>
      <c r="R167" s="19" t="n">
        <v>29.95</v>
      </c>
      <c r="S167" s="8" t="n">
        <f aca="false">IFERROR(O167/R167,0)</f>
        <v>0.160267111853088</v>
      </c>
      <c r="T167" s="8" t="n">
        <f aca="false">IFERROR(Q167/M167,0)</f>
        <v>0.2</v>
      </c>
    </row>
    <row r="168" customFormat="false" ht="15" hidden="false" customHeight="false" outlineLevel="0" collapsed="false">
      <c r="A168" s="17" t="s">
        <v>17</v>
      </c>
      <c r="B168" s="17" t="s">
        <v>639</v>
      </c>
      <c r="C168" s="17" t="s">
        <v>640</v>
      </c>
      <c r="D168" s="17" t="s">
        <v>30</v>
      </c>
      <c r="E168" s="17" t="s">
        <v>311</v>
      </c>
      <c r="F168" s="17" t="s">
        <v>312</v>
      </c>
      <c r="G168" s="17" t="s">
        <v>140</v>
      </c>
      <c r="H168" s="18" t="s">
        <v>60</v>
      </c>
      <c r="I168" s="17" t="s">
        <v>66</v>
      </c>
      <c r="J168" s="17"/>
      <c r="K168" s="17" t="s">
        <v>60</v>
      </c>
      <c r="L168" s="20" t="n">
        <v>279</v>
      </c>
      <c r="M168" s="20" t="n">
        <v>6</v>
      </c>
      <c r="N168" s="25" t="n">
        <f aca="false">IFERROR(M168/L168,0)</f>
        <v>0.021505376344086</v>
      </c>
      <c r="O168" s="19" t="n">
        <v>4.48</v>
      </c>
      <c r="P168" s="9" t="n">
        <f aca="false">IFERROR(O168/M168,0)</f>
        <v>0.746666666666667</v>
      </c>
      <c r="Q168" s="20" t="n">
        <v>2</v>
      </c>
      <c r="R168" s="19" t="n">
        <v>50.82</v>
      </c>
      <c r="S168" s="8" t="n">
        <f aca="false">IFERROR(O168/R168,0)</f>
        <v>0.0881542699724518</v>
      </c>
      <c r="T168" s="8" t="n">
        <f aca="false">IFERROR(Q168/M168,0)</f>
        <v>0.333333333333333</v>
      </c>
    </row>
    <row r="169" customFormat="false" ht="15" hidden="false" customHeight="false" outlineLevel="0" collapsed="false">
      <c r="A169" s="17" t="s">
        <v>17</v>
      </c>
      <c r="B169" s="17" t="s">
        <v>641</v>
      </c>
      <c r="C169" s="17" t="s">
        <v>642</v>
      </c>
      <c r="D169" s="17" t="s">
        <v>28</v>
      </c>
      <c r="E169" s="17" t="s">
        <v>315</v>
      </c>
      <c r="F169" s="17" t="s">
        <v>28</v>
      </c>
      <c r="G169" s="17" t="s">
        <v>166</v>
      </c>
      <c r="H169" s="26" t="s">
        <v>66</v>
      </c>
      <c r="I169" s="17" t="s">
        <v>66</v>
      </c>
      <c r="J169" s="17"/>
      <c r="K169" s="17" t="s">
        <v>60</v>
      </c>
      <c r="L169" s="20" t="n">
        <v>271</v>
      </c>
      <c r="M169" s="20" t="n">
        <v>5</v>
      </c>
      <c r="N169" s="25" t="n">
        <f aca="false">IFERROR(M169/L169,0)</f>
        <v>0.018450184501845</v>
      </c>
      <c r="O169" s="19" t="n">
        <v>4.45</v>
      </c>
      <c r="P169" s="9" t="n">
        <f aca="false">IFERROR(O169/M169,0)</f>
        <v>0.89</v>
      </c>
      <c r="Q169" s="20" t="n">
        <v>0</v>
      </c>
      <c r="R169" s="19" t="n">
        <v>0</v>
      </c>
      <c r="S169" s="8" t="n">
        <f aca="false">IFERROR(O169/R169,0)</f>
        <v>0</v>
      </c>
      <c r="T169" s="8" t="n">
        <f aca="false">IFERROR(Q169/M169,0)</f>
        <v>0</v>
      </c>
    </row>
    <row r="170" customFormat="false" ht="15" hidden="false" customHeight="false" outlineLevel="0" collapsed="false">
      <c r="A170" s="17" t="s">
        <v>17</v>
      </c>
      <c r="B170" s="17" t="s">
        <v>643</v>
      </c>
      <c r="C170" s="17" t="s">
        <v>644</v>
      </c>
      <c r="D170" s="17" t="s">
        <v>31</v>
      </c>
      <c r="E170" s="17" t="s">
        <v>311</v>
      </c>
      <c r="F170" s="17" t="s">
        <v>306</v>
      </c>
      <c r="G170" s="17" t="s">
        <v>645</v>
      </c>
      <c r="H170" s="26" t="s">
        <v>66</v>
      </c>
      <c r="I170" s="17" t="s">
        <v>66</v>
      </c>
      <c r="J170" s="17"/>
      <c r="K170" s="17" t="s">
        <v>60</v>
      </c>
      <c r="L170" s="20" t="n">
        <v>821</v>
      </c>
      <c r="M170" s="20" t="n">
        <v>6</v>
      </c>
      <c r="N170" s="25" t="n">
        <f aca="false">IFERROR(M170/L170,0)</f>
        <v>0.00730816077953715</v>
      </c>
      <c r="O170" s="19" t="n">
        <v>4.32</v>
      </c>
      <c r="P170" s="9" t="n">
        <f aca="false">IFERROR(O170/M170,0)</f>
        <v>0.72</v>
      </c>
      <c r="Q170" s="20" t="n">
        <v>0</v>
      </c>
      <c r="R170" s="19" t="n">
        <v>0</v>
      </c>
      <c r="S170" s="8" t="n">
        <f aca="false">IFERROR(O170/R170,0)</f>
        <v>0</v>
      </c>
      <c r="T170" s="8" t="n">
        <f aca="false">IFERROR(Q170/M170,0)</f>
        <v>0</v>
      </c>
    </row>
    <row r="171" customFormat="false" ht="15" hidden="false" customHeight="false" outlineLevel="0" collapsed="false">
      <c r="A171" s="17" t="s">
        <v>17</v>
      </c>
      <c r="B171" s="17" t="s">
        <v>646</v>
      </c>
      <c r="C171" s="17" t="s">
        <v>647</v>
      </c>
      <c r="D171" s="17" t="s">
        <v>28</v>
      </c>
      <c r="E171" s="17" t="s">
        <v>315</v>
      </c>
      <c r="F171" s="17" t="s">
        <v>28</v>
      </c>
      <c r="G171" s="17" t="s">
        <v>140</v>
      </c>
      <c r="H171" s="18" t="s">
        <v>60</v>
      </c>
      <c r="I171" s="17" t="s">
        <v>66</v>
      </c>
      <c r="J171" s="17"/>
      <c r="K171" s="17" t="s">
        <v>60</v>
      </c>
      <c r="L171" s="20" t="n">
        <v>37</v>
      </c>
      <c r="M171" s="20" t="n">
        <v>2</v>
      </c>
      <c r="N171" s="25" t="n">
        <f aca="false">IFERROR(M171/L171,0)</f>
        <v>0.0540540540540541</v>
      </c>
      <c r="O171" s="19" t="n">
        <v>3.7</v>
      </c>
      <c r="P171" s="9" t="n">
        <f aca="false">IFERROR(O171/M171,0)</f>
        <v>1.85</v>
      </c>
      <c r="Q171" s="20" t="n">
        <v>0</v>
      </c>
      <c r="R171" s="19" t="n">
        <v>0</v>
      </c>
      <c r="S171" s="8" t="n">
        <f aca="false">IFERROR(O171/R171,0)</f>
        <v>0</v>
      </c>
      <c r="T171" s="8" t="n">
        <f aca="false">IFERROR(Q171/M171,0)</f>
        <v>0</v>
      </c>
    </row>
    <row r="172" customFormat="false" ht="15" hidden="false" customHeight="false" outlineLevel="0" collapsed="false">
      <c r="A172" s="17" t="s">
        <v>17</v>
      </c>
      <c r="B172" s="17" t="s">
        <v>648</v>
      </c>
      <c r="C172" s="17" t="s">
        <v>649</v>
      </c>
      <c r="D172" s="17" t="s">
        <v>28</v>
      </c>
      <c r="E172" s="17" t="s">
        <v>315</v>
      </c>
      <c r="F172" s="17" t="s">
        <v>28</v>
      </c>
      <c r="G172" s="17" t="s">
        <v>140</v>
      </c>
      <c r="H172" s="18" t="s">
        <v>60</v>
      </c>
      <c r="I172" s="17" t="s">
        <v>66</v>
      </c>
      <c r="J172" s="17"/>
      <c r="K172" s="17" t="s">
        <v>60</v>
      </c>
      <c r="L172" s="20" t="n">
        <v>271</v>
      </c>
      <c r="M172" s="20" t="n">
        <v>3</v>
      </c>
      <c r="N172" s="25" t="n">
        <f aca="false">IFERROR(M172/L172,0)</f>
        <v>0.011070110701107</v>
      </c>
      <c r="O172" s="19" t="n">
        <v>3.6</v>
      </c>
      <c r="P172" s="9" t="n">
        <f aca="false">IFERROR(O172/M172,0)</f>
        <v>1.2</v>
      </c>
      <c r="Q172" s="20" t="n">
        <v>0</v>
      </c>
      <c r="R172" s="19" t="n">
        <v>0</v>
      </c>
      <c r="S172" s="8" t="n">
        <f aca="false">IFERROR(O172/R172,0)</f>
        <v>0</v>
      </c>
      <c r="T172" s="8" t="n">
        <f aca="false">IFERROR(Q172/M172,0)</f>
        <v>0</v>
      </c>
    </row>
    <row r="173" customFormat="false" ht="15" hidden="false" customHeight="false" outlineLevel="0" collapsed="false">
      <c r="A173" s="17" t="s">
        <v>17</v>
      </c>
      <c r="B173" s="17" t="s">
        <v>650</v>
      </c>
      <c r="C173" s="17" t="s">
        <v>651</v>
      </c>
      <c r="D173" s="17" t="s">
        <v>28</v>
      </c>
      <c r="E173" s="17" t="s">
        <v>315</v>
      </c>
      <c r="F173" s="17" t="s">
        <v>28</v>
      </c>
      <c r="G173" s="17" t="s">
        <v>140</v>
      </c>
      <c r="H173" s="18" t="s">
        <v>60</v>
      </c>
      <c r="I173" s="17" t="s">
        <v>66</v>
      </c>
      <c r="J173" s="17"/>
      <c r="K173" s="17" t="s">
        <v>60</v>
      </c>
      <c r="L173" s="20" t="n">
        <v>691</v>
      </c>
      <c r="M173" s="20" t="n">
        <v>2</v>
      </c>
      <c r="N173" s="25" t="n">
        <f aca="false">IFERROR(M173/L173,0)</f>
        <v>0.00289435600578871</v>
      </c>
      <c r="O173" s="19" t="n">
        <v>3.45</v>
      </c>
      <c r="P173" s="9" t="n">
        <f aca="false">IFERROR(O173/M173,0)</f>
        <v>1.725</v>
      </c>
      <c r="Q173" s="20" t="n">
        <v>0</v>
      </c>
      <c r="R173" s="19" t="n">
        <v>0</v>
      </c>
      <c r="S173" s="8" t="n">
        <f aca="false">IFERROR(O173/R173,0)</f>
        <v>0</v>
      </c>
      <c r="T173" s="8" t="n">
        <f aca="false">IFERROR(Q173/M173,0)</f>
        <v>0</v>
      </c>
    </row>
    <row r="174" customFormat="false" ht="15" hidden="false" customHeight="false" outlineLevel="0" collapsed="false">
      <c r="A174" s="17" t="s">
        <v>17</v>
      </c>
      <c r="B174" s="17" t="s">
        <v>652</v>
      </c>
      <c r="C174" s="17" t="s">
        <v>653</v>
      </c>
      <c r="D174" s="17" t="s">
        <v>30</v>
      </c>
      <c r="E174" s="17" t="s">
        <v>315</v>
      </c>
      <c r="F174" s="17" t="s">
        <v>312</v>
      </c>
      <c r="G174" s="17" t="s">
        <v>140</v>
      </c>
      <c r="H174" s="18" t="s">
        <v>60</v>
      </c>
      <c r="I174" s="17" t="s">
        <v>66</v>
      </c>
      <c r="J174" s="17"/>
      <c r="K174" s="17" t="s">
        <v>60</v>
      </c>
      <c r="L174" s="20" t="n">
        <v>193</v>
      </c>
      <c r="M174" s="20" t="n">
        <v>3</v>
      </c>
      <c r="N174" s="25" t="n">
        <f aca="false">IFERROR(M174/L174,0)</f>
        <v>0.0155440414507772</v>
      </c>
      <c r="O174" s="19" t="n">
        <v>3.39</v>
      </c>
      <c r="P174" s="9" t="n">
        <f aca="false">IFERROR(O174/M174,0)</f>
        <v>1.13</v>
      </c>
      <c r="Q174" s="20" t="n">
        <v>0</v>
      </c>
      <c r="R174" s="19" t="n">
        <v>0</v>
      </c>
      <c r="S174" s="8" t="n">
        <f aca="false">IFERROR(O174/R174,0)</f>
        <v>0</v>
      </c>
      <c r="T174" s="8" t="n">
        <f aca="false">IFERROR(Q174/M174,0)</f>
        <v>0</v>
      </c>
    </row>
    <row r="175" customFormat="false" ht="15" hidden="false" customHeight="false" outlineLevel="0" collapsed="false">
      <c r="A175" s="17" t="s">
        <v>17</v>
      </c>
      <c r="B175" s="17" t="s">
        <v>654</v>
      </c>
      <c r="C175" s="17" t="s">
        <v>655</v>
      </c>
      <c r="D175" s="17" t="s">
        <v>28</v>
      </c>
      <c r="E175" s="17" t="s">
        <v>315</v>
      </c>
      <c r="F175" s="17" t="s">
        <v>28</v>
      </c>
      <c r="G175" s="17" t="s">
        <v>140</v>
      </c>
      <c r="H175" s="18" t="s">
        <v>60</v>
      </c>
      <c r="I175" s="17" t="s">
        <v>66</v>
      </c>
      <c r="J175" s="17"/>
      <c r="K175" s="17" t="s">
        <v>60</v>
      </c>
      <c r="L175" s="20" t="n">
        <v>118</v>
      </c>
      <c r="M175" s="20" t="n">
        <v>2</v>
      </c>
      <c r="N175" s="25" t="n">
        <f aca="false">IFERROR(M175/L175,0)</f>
        <v>0.0169491525423729</v>
      </c>
      <c r="O175" s="19" t="n">
        <v>3.15</v>
      </c>
      <c r="P175" s="9" t="n">
        <f aca="false">IFERROR(O175/M175,0)</f>
        <v>1.575</v>
      </c>
      <c r="Q175" s="20" t="n">
        <v>1</v>
      </c>
      <c r="R175" s="19" t="n">
        <v>25.56</v>
      </c>
      <c r="S175" s="8" t="n">
        <f aca="false">IFERROR(O175/R175,0)</f>
        <v>0.123239436619718</v>
      </c>
      <c r="T175" s="8" t="n">
        <f aca="false">IFERROR(Q175/M175,0)</f>
        <v>0.5</v>
      </c>
    </row>
    <row r="176" customFormat="false" ht="15" hidden="false" customHeight="false" outlineLevel="0" collapsed="false">
      <c r="A176" s="17" t="s">
        <v>17</v>
      </c>
      <c r="B176" s="17" t="s">
        <v>656</v>
      </c>
      <c r="C176" s="17" t="s">
        <v>657</v>
      </c>
      <c r="D176" s="17" t="s">
        <v>31</v>
      </c>
      <c r="E176" s="17" t="s">
        <v>351</v>
      </c>
      <c r="F176" s="17" t="s">
        <v>306</v>
      </c>
      <c r="G176" s="17"/>
      <c r="H176" s="17"/>
      <c r="I176" s="17" t="s">
        <v>66</v>
      </c>
      <c r="J176" s="17"/>
      <c r="K176" s="17" t="s">
        <v>60</v>
      </c>
      <c r="L176" s="20" t="n">
        <v>64</v>
      </c>
      <c r="M176" s="20" t="n">
        <v>4</v>
      </c>
      <c r="N176" s="25" t="n">
        <f aca="false">IFERROR(M176/L176,0)</f>
        <v>0.0625</v>
      </c>
      <c r="O176" s="19" t="n">
        <v>3.15</v>
      </c>
      <c r="P176" s="9" t="n">
        <f aca="false">IFERROR(O176/M176,0)</f>
        <v>0.7875</v>
      </c>
      <c r="Q176" s="20" t="n">
        <v>1</v>
      </c>
      <c r="R176" s="19" t="n">
        <v>33.95</v>
      </c>
      <c r="S176" s="8" t="n">
        <f aca="false">IFERROR(O176/R176,0)</f>
        <v>0.0927835051546392</v>
      </c>
      <c r="T176" s="8" t="n">
        <f aca="false">IFERROR(Q176/M176,0)</f>
        <v>0.25</v>
      </c>
    </row>
    <row r="177" customFormat="false" ht="15" hidden="false" customHeight="false" outlineLevel="0" collapsed="false">
      <c r="A177" s="17" t="s">
        <v>17</v>
      </c>
      <c r="B177" s="17" t="s">
        <v>658</v>
      </c>
      <c r="C177" s="17" t="s">
        <v>659</v>
      </c>
      <c r="D177" s="17" t="s">
        <v>29</v>
      </c>
      <c r="E177" s="17" t="s">
        <v>315</v>
      </c>
      <c r="F177" s="17"/>
      <c r="G177" s="17" t="s">
        <v>660</v>
      </c>
      <c r="H177" s="18" t="s">
        <v>60</v>
      </c>
      <c r="I177" s="17" t="s">
        <v>66</v>
      </c>
      <c r="J177" s="17"/>
      <c r="K177" s="17" t="s">
        <v>60</v>
      </c>
      <c r="L177" s="20" t="n">
        <v>79</v>
      </c>
      <c r="M177" s="20" t="n">
        <v>2</v>
      </c>
      <c r="N177" s="25" t="n">
        <f aca="false">IFERROR(M177/L177,0)</f>
        <v>0.0253164556962025</v>
      </c>
      <c r="O177" s="19" t="n">
        <v>3.08</v>
      </c>
      <c r="P177" s="9" t="n">
        <f aca="false">IFERROR(O177/M177,0)</f>
        <v>1.54</v>
      </c>
      <c r="Q177" s="20" t="n">
        <v>0</v>
      </c>
      <c r="R177" s="19" t="n">
        <v>0</v>
      </c>
      <c r="S177" s="8" t="n">
        <f aca="false">IFERROR(O177/R177,0)</f>
        <v>0</v>
      </c>
      <c r="T177" s="8" t="n">
        <f aca="false">IFERROR(Q177/M177,0)</f>
        <v>0</v>
      </c>
    </row>
    <row r="178" customFormat="false" ht="15" hidden="false" customHeight="false" outlineLevel="0" collapsed="false">
      <c r="A178" s="17" t="s">
        <v>17</v>
      </c>
      <c r="B178" s="17" t="s">
        <v>414</v>
      </c>
      <c r="C178" s="17" t="s">
        <v>415</v>
      </c>
      <c r="D178" s="17" t="s">
        <v>33</v>
      </c>
      <c r="E178" s="17" t="s">
        <v>318</v>
      </c>
      <c r="F178" s="17" t="s">
        <v>312</v>
      </c>
      <c r="G178" s="17" t="s">
        <v>118</v>
      </c>
      <c r="H178" s="26" t="s">
        <v>66</v>
      </c>
      <c r="I178" s="17" t="s">
        <v>60</v>
      </c>
      <c r="J178" s="17" t="s">
        <v>576</v>
      </c>
      <c r="K178" s="17" t="s">
        <v>66</v>
      </c>
      <c r="L178" s="20" t="n">
        <v>476</v>
      </c>
      <c r="M178" s="20" t="n">
        <v>3</v>
      </c>
      <c r="N178" s="25" t="n">
        <f aca="false">IFERROR(M178/L178,0)</f>
        <v>0.00630252100840336</v>
      </c>
      <c r="O178" s="19" t="n">
        <v>2.81</v>
      </c>
      <c r="P178" s="9" t="n">
        <f aca="false">IFERROR(O178/M178,0)</f>
        <v>0.936666666666667</v>
      </c>
      <c r="Q178" s="20" t="n">
        <v>0</v>
      </c>
      <c r="R178" s="19" t="n">
        <v>0</v>
      </c>
      <c r="S178" s="8" t="n">
        <f aca="false">IFERROR(O178/R178,0)</f>
        <v>0</v>
      </c>
      <c r="T178" s="8" t="n">
        <f aca="false">IFERROR(Q178/M178,0)</f>
        <v>0</v>
      </c>
    </row>
    <row r="179" customFormat="false" ht="15" hidden="false" customHeight="false" outlineLevel="0" collapsed="false">
      <c r="A179" s="17" t="s">
        <v>17</v>
      </c>
      <c r="B179" s="17" t="s">
        <v>661</v>
      </c>
      <c r="C179" s="17" t="s">
        <v>662</v>
      </c>
      <c r="D179" s="17" t="s">
        <v>28</v>
      </c>
      <c r="E179" s="17" t="s">
        <v>315</v>
      </c>
      <c r="F179" s="17" t="s">
        <v>28</v>
      </c>
      <c r="G179" s="17" t="s">
        <v>149</v>
      </c>
      <c r="H179" s="18" t="s">
        <v>60</v>
      </c>
      <c r="I179" s="17" t="s">
        <v>66</v>
      </c>
      <c r="J179" s="17"/>
      <c r="K179" s="17" t="s">
        <v>60</v>
      </c>
      <c r="L179" s="20" t="n">
        <v>147</v>
      </c>
      <c r="M179" s="20" t="n">
        <v>2</v>
      </c>
      <c r="N179" s="25" t="n">
        <f aca="false">IFERROR(M179/L179,0)</f>
        <v>0.0136054421768707</v>
      </c>
      <c r="O179" s="19" t="n">
        <v>2.76</v>
      </c>
      <c r="P179" s="9" t="n">
        <f aca="false">IFERROR(O179/M179,0)</f>
        <v>1.38</v>
      </c>
      <c r="Q179" s="20" t="n">
        <v>0</v>
      </c>
      <c r="R179" s="19" t="n">
        <v>0</v>
      </c>
      <c r="S179" s="8" t="n">
        <f aca="false">IFERROR(O179/R179,0)</f>
        <v>0</v>
      </c>
      <c r="T179" s="8" t="n">
        <f aca="false">IFERROR(Q179/M179,0)</f>
        <v>0</v>
      </c>
    </row>
    <row r="180" customFormat="false" ht="15" hidden="false" customHeight="false" outlineLevel="0" collapsed="false">
      <c r="A180" s="17" t="s">
        <v>17</v>
      </c>
      <c r="B180" s="17" t="s">
        <v>663</v>
      </c>
      <c r="C180" s="17" t="s">
        <v>664</v>
      </c>
      <c r="D180" s="17" t="s">
        <v>28</v>
      </c>
      <c r="E180" s="17" t="s">
        <v>315</v>
      </c>
      <c r="F180" s="17" t="s">
        <v>28</v>
      </c>
      <c r="G180" s="17" t="s">
        <v>141</v>
      </c>
      <c r="H180" s="26" t="s">
        <v>66</v>
      </c>
      <c r="I180" s="17" t="s">
        <v>66</v>
      </c>
      <c r="J180" s="17"/>
      <c r="K180" s="17" t="s">
        <v>60</v>
      </c>
      <c r="L180" s="20" t="n">
        <v>126</v>
      </c>
      <c r="M180" s="20" t="n">
        <v>2</v>
      </c>
      <c r="N180" s="25" t="n">
        <f aca="false">IFERROR(M180/L180,0)</f>
        <v>0.0158730158730159</v>
      </c>
      <c r="O180" s="19" t="n">
        <v>2.7</v>
      </c>
      <c r="P180" s="9" t="n">
        <f aca="false">IFERROR(O180/M180,0)</f>
        <v>1.35</v>
      </c>
      <c r="Q180" s="20" t="n">
        <v>0</v>
      </c>
      <c r="R180" s="19" t="n">
        <v>0</v>
      </c>
      <c r="S180" s="8" t="n">
        <f aca="false">IFERROR(O180/R180,0)</f>
        <v>0</v>
      </c>
      <c r="T180" s="8" t="n">
        <f aca="false">IFERROR(Q180/M180,0)</f>
        <v>0</v>
      </c>
    </row>
    <row r="181" customFormat="false" ht="15" hidden="false" customHeight="false" outlineLevel="0" collapsed="false">
      <c r="A181" s="17" t="s">
        <v>17</v>
      </c>
      <c r="B181" s="17" t="s">
        <v>665</v>
      </c>
      <c r="C181" s="17" t="s">
        <v>666</v>
      </c>
      <c r="D181" s="17" t="s">
        <v>31</v>
      </c>
      <c r="E181" s="17" t="s">
        <v>311</v>
      </c>
      <c r="F181" s="17" t="s">
        <v>306</v>
      </c>
      <c r="G181" s="17" t="s">
        <v>140</v>
      </c>
      <c r="H181" s="18" t="s">
        <v>60</v>
      </c>
      <c r="I181" s="17" t="s">
        <v>66</v>
      </c>
      <c r="J181" s="17"/>
      <c r="K181" s="17" t="s">
        <v>60</v>
      </c>
      <c r="L181" s="20" t="n">
        <v>196</v>
      </c>
      <c r="M181" s="20" t="n">
        <v>3</v>
      </c>
      <c r="N181" s="25" t="n">
        <f aca="false">IFERROR(M181/L181,0)</f>
        <v>0.0153061224489796</v>
      </c>
      <c r="O181" s="19" t="n">
        <v>2.69</v>
      </c>
      <c r="P181" s="9" t="n">
        <f aca="false">IFERROR(O181/M181,0)</f>
        <v>0.896666666666667</v>
      </c>
      <c r="Q181" s="20" t="n">
        <v>1</v>
      </c>
      <c r="R181" s="19" t="n">
        <v>31.95</v>
      </c>
      <c r="S181" s="8" t="n">
        <f aca="false">IFERROR(O181/R181,0)</f>
        <v>0.0841940532081377</v>
      </c>
      <c r="T181" s="8" t="n">
        <f aca="false">IFERROR(Q181/M181,0)</f>
        <v>0.333333333333333</v>
      </c>
    </row>
    <row r="182" customFormat="false" ht="15" hidden="false" customHeight="false" outlineLevel="0" collapsed="false">
      <c r="A182" s="17" t="s">
        <v>17</v>
      </c>
      <c r="B182" s="17" t="s">
        <v>667</v>
      </c>
      <c r="C182" s="17" t="s">
        <v>668</v>
      </c>
      <c r="D182" s="17" t="s">
        <v>29</v>
      </c>
      <c r="E182" s="17" t="s">
        <v>315</v>
      </c>
      <c r="F182" s="17"/>
      <c r="G182" s="17" t="s">
        <v>669</v>
      </c>
      <c r="H182" s="26" t="s">
        <v>66</v>
      </c>
      <c r="I182" s="17" t="s">
        <v>66</v>
      </c>
      <c r="J182" s="17"/>
      <c r="K182" s="17" t="s">
        <v>60</v>
      </c>
      <c r="L182" s="20" t="n">
        <v>312</v>
      </c>
      <c r="M182" s="20" t="n">
        <v>2</v>
      </c>
      <c r="N182" s="25" t="n">
        <f aca="false">IFERROR(M182/L182,0)</f>
        <v>0.00641025641025641</v>
      </c>
      <c r="O182" s="19" t="n">
        <v>2.66</v>
      </c>
      <c r="P182" s="9" t="n">
        <f aca="false">IFERROR(O182/M182,0)</f>
        <v>1.33</v>
      </c>
      <c r="Q182" s="20" t="n">
        <v>0</v>
      </c>
      <c r="R182" s="19" t="n">
        <v>0</v>
      </c>
      <c r="S182" s="8" t="n">
        <f aca="false">IFERROR(O182/R182,0)</f>
        <v>0</v>
      </c>
      <c r="T182" s="8" t="n">
        <f aca="false">IFERROR(Q182/M182,0)</f>
        <v>0</v>
      </c>
    </row>
    <row r="183" customFormat="false" ht="15" hidden="false" customHeight="false" outlineLevel="0" collapsed="false">
      <c r="A183" s="17" t="s">
        <v>17</v>
      </c>
      <c r="B183" s="17" t="s">
        <v>670</v>
      </c>
      <c r="C183" s="17" t="s">
        <v>671</v>
      </c>
      <c r="D183" s="17" t="s">
        <v>28</v>
      </c>
      <c r="E183" s="17" t="s">
        <v>315</v>
      </c>
      <c r="F183" s="17" t="s">
        <v>28</v>
      </c>
      <c r="G183" s="17" t="s">
        <v>140</v>
      </c>
      <c r="H183" s="18" t="s">
        <v>60</v>
      </c>
      <c r="I183" s="17" t="s">
        <v>66</v>
      </c>
      <c r="J183" s="17"/>
      <c r="K183" s="17" t="s">
        <v>60</v>
      </c>
      <c r="L183" s="20" t="n">
        <v>307</v>
      </c>
      <c r="M183" s="20" t="n">
        <v>1</v>
      </c>
      <c r="N183" s="25" t="n">
        <f aca="false">IFERROR(M183/L183,0)</f>
        <v>0.00325732899022801</v>
      </c>
      <c r="O183" s="19" t="n">
        <v>2.58</v>
      </c>
      <c r="P183" s="9" t="n">
        <f aca="false">IFERROR(O183/M183,0)</f>
        <v>2.58</v>
      </c>
      <c r="Q183" s="20" t="n">
        <v>1</v>
      </c>
      <c r="R183" s="19" t="n">
        <v>31.95</v>
      </c>
      <c r="S183" s="8" t="n">
        <f aca="false">IFERROR(O183/R183,0)</f>
        <v>0.0807511737089202</v>
      </c>
      <c r="T183" s="8" t="n">
        <f aca="false">IFERROR(Q183/M183,0)</f>
        <v>1</v>
      </c>
    </row>
    <row r="184" customFormat="false" ht="15" hidden="false" customHeight="false" outlineLevel="0" collapsed="false">
      <c r="A184" s="17" t="s">
        <v>17</v>
      </c>
      <c r="B184" s="17" t="s">
        <v>672</v>
      </c>
      <c r="C184" s="17" t="s">
        <v>673</v>
      </c>
      <c r="D184" s="17" t="s">
        <v>29</v>
      </c>
      <c r="E184" s="17" t="s">
        <v>315</v>
      </c>
      <c r="F184" s="17"/>
      <c r="G184" s="17" t="s">
        <v>660</v>
      </c>
      <c r="H184" s="18" t="s">
        <v>60</v>
      </c>
      <c r="I184" s="17" t="s">
        <v>66</v>
      </c>
      <c r="J184" s="17"/>
      <c r="K184" s="17" t="s">
        <v>60</v>
      </c>
      <c r="L184" s="20" t="n">
        <v>59</v>
      </c>
      <c r="M184" s="20" t="n">
        <v>1</v>
      </c>
      <c r="N184" s="25" t="n">
        <f aca="false">IFERROR(M184/L184,0)</f>
        <v>0.0169491525423729</v>
      </c>
      <c r="O184" s="19" t="n">
        <v>2.41</v>
      </c>
      <c r="P184" s="9" t="n">
        <f aca="false">IFERROR(O184/M184,0)</f>
        <v>2.41</v>
      </c>
      <c r="Q184" s="20" t="n">
        <v>2</v>
      </c>
      <c r="R184" s="19" t="n">
        <v>51.12</v>
      </c>
      <c r="S184" s="8" t="n">
        <f aca="false">IFERROR(O184/R184,0)</f>
        <v>0.0471439749608764</v>
      </c>
      <c r="T184" s="8" t="n">
        <f aca="false">IFERROR(Q184/M184,0)</f>
        <v>2</v>
      </c>
    </row>
    <row r="185" customFormat="false" ht="15" hidden="false" customHeight="false" outlineLevel="0" collapsed="false">
      <c r="A185" s="17" t="s">
        <v>17</v>
      </c>
      <c r="B185" s="17" t="s">
        <v>674</v>
      </c>
      <c r="C185" s="17" t="s">
        <v>675</v>
      </c>
      <c r="D185" s="17" t="s">
        <v>28</v>
      </c>
      <c r="E185" s="17" t="s">
        <v>315</v>
      </c>
      <c r="F185" s="17" t="s">
        <v>28</v>
      </c>
      <c r="G185" s="17" t="s">
        <v>676</v>
      </c>
      <c r="H185" s="26" t="s">
        <v>66</v>
      </c>
      <c r="I185" s="17" t="s">
        <v>66</v>
      </c>
      <c r="J185" s="17"/>
      <c r="K185" s="17" t="s">
        <v>60</v>
      </c>
      <c r="L185" s="20" t="n">
        <v>45</v>
      </c>
      <c r="M185" s="20" t="n">
        <v>2</v>
      </c>
      <c r="N185" s="25" t="n">
        <f aca="false">IFERROR(M185/L185,0)</f>
        <v>0.0444444444444444</v>
      </c>
      <c r="O185" s="19" t="n">
        <v>2.3</v>
      </c>
      <c r="P185" s="9" t="n">
        <f aca="false">IFERROR(O185/M185,0)</f>
        <v>1.15</v>
      </c>
      <c r="Q185" s="20" t="n">
        <v>0</v>
      </c>
      <c r="R185" s="19" t="n">
        <v>0</v>
      </c>
      <c r="S185" s="8" t="n">
        <f aca="false">IFERROR(O185/R185,0)</f>
        <v>0</v>
      </c>
      <c r="T185" s="8" t="n">
        <f aca="false">IFERROR(Q185/M185,0)</f>
        <v>0</v>
      </c>
    </row>
    <row r="186" customFormat="false" ht="15" hidden="false" customHeight="false" outlineLevel="0" collapsed="false">
      <c r="A186" s="17" t="s">
        <v>17</v>
      </c>
      <c r="B186" s="17" t="s">
        <v>677</v>
      </c>
      <c r="C186" s="17" t="s">
        <v>678</v>
      </c>
      <c r="D186" s="24" t="s">
        <v>34</v>
      </c>
      <c r="E186" s="17" t="s">
        <v>303</v>
      </c>
      <c r="F186" s="17"/>
      <c r="G186" s="17"/>
      <c r="H186" s="17"/>
      <c r="I186" s="17" t="s">
        <v>66</v>
      </c>
      <c r="J186" s="17"/>
      <c r="K186" s="17" t="s">
        <v>60</v>
      </c>
      <c r="L186" s="20" t="n">
        <v>855</v>
      </c>
      <c r="M186" s="20" t="n">
        <v>6</v>
      </c>
      <c r="N186" s="25" t="n">
        <f aca="false">IFERROR(M186/L186,0)</f>
        <v>0.00701754385964912</v>
      </c>
      <c r="O186" s="19" t="n">
        <v>2.3</v>
      </c>
      <c r="P186" s="9" t="n">
        <f aca="false">IFERROR(O186/M186,0)</f>
        <v>0.383333333333333</v>
      </c>
      <c r="Q186" s="20" t="n">
        <v>1</v>
      </c>
      <c r="R186" s="19" t="n">
        <v>31.95</v>
      </c>
      <c r="S186" s="8" t="n">
        <f aca="false">IFERROR(O186/R186,0)</f>
        <v>0.0719874804381847</v>
      </c>
      <c r="T186" s="8" t="n">
        <f aca="false">IFERROR(Q186/M186,0)</f>
        <v>0.166666666666667</v>
      </c>
    </row>
    <row r="187" customFormat="false" ht="15" hidden="false" customHeight="false" outlineLevel="0" collapsed="false">
      <c r="A187" s="17" t="s">
        <v>17</v>
      </c>
      <c r="B187" s="17" t="s">
        <v>679</v>
      </c>
      <c r="C187" s="17" t="s">
        <v>680</v>
      </c>
      <c r="D187" s="17" t="s">
        <v>28</v>
      </c>
      <c r="E187" s="17" t="s">
        <v>315</v>
      </c>
      <c r="F187" s="17" t="s">
        <v>28</v>
      </c>
      <c r="G187" s="17" t="s">
        <v>140</v>
      </c>
      <c r="H187" s="18" t="s">
        <v>60</v>
      </c>
      <c r="I187" s="17" t="s">
        <v>66</v>
      </c>
      <c r="J187" s="17"/>
      <c r="K187" s="17" t="s">
        <v>60</v>
      </c>
      <c r="L187" s="20" t="n">
        <v>58</v>
      </c>
      <c r="M187" s="20" t="n">
        <v>1</v>
      </c>
      <c r="N187" s="25" t="n">
        <f aca="false">IFERROR(M187/L187,0)</f>
        <v>0.0172413793103448</v>
      </c>
      <c r="O187" s="19" t="n">
        <v>1.92</v>
      </c>
      <c r="P187" s="9" t="n">
        <f aca="false">IFERROR(O187/M187,0)</f>
        <v>1.92</v>
      </c>
      <c r="Q187" s="20" t="n">
        <v>0</v>
      </c>
      <c r="R187" s="19" t="n">
        <v>0</v>
      </c>
      <c r="S187" s="8" t="n">
        <f aca="false">IFERROR(O187/R187,0)</f>
        <v>0</v>
      </c>
      <c r="T187" s="8" t="n">
        <f aca="false">IFERROR(Q187/M187,0)</f>
        <v>0</v>
      </c>
    </row>
    <row r="188" customFormat="false" ht="15" hidden="false" customHeight="false" outlineLevel="0" collapsed="false">
      <c r="A188" s="17" t="s">
        <v>17</v>
      </c>
      <c r="B188" s="17" t="s">
        <v>681</v>
      </c>
      <c r="C188" s="17" t="s">
        <v>682</v>
      </c>
      <c r="D188" s="17" t="s">
        <v>33</v>
      </c>
      <c r="E188" s="17" t="s">
        <v>318</v>
      </c>
      <c r="F188" s="17" t="s">
        <v>683</v>
      </c>
      <c r="G188" s="17" t="s">
        <v>140</v>
      </c>
      <c r="H188" s="18" t="s">
        <v>60</v>
      </c>
      <c r="I188" s="17" t="s">
        <v>66</v>
      </c>
      <c r="J188" s="17"/>
      <c r="K188" s="17" t="s">
        <v>60</v>
      </c>
      <c r="L188" s="20" t="n">
        <v>397</v>
      </c>
      <c r="M188" s="20" t="n">
        <v>1</v>
      </c>
      <c r="N188" s="25" t="n">
        <f aca="false">IFERROR(M188/L188,0)</f>
        <v>0.00251889168765743</v>
      </c>
      <c r="O188" s="19" t="n">
        <v>1.9</v>
      </c>
      <c r="P188" s="9" t="n">
        <f aca="false">IFERROR(O188/M188,0)</f>
        <v>1.9</v>
      </c>
      <c r="Q188" s="20" t="n">
        <v>0</v>
      </c>
      <c r="R188" s="19" t="n">
        <v>0</v>
      </c>
      <c r="S188" s="8" t="n">
        <f aca="false">IFERROR(O188/R188,0)</f>
        <v>0</v>
      </c>
      <c r="T188" s="8" t="n">
        <f aca="false">IFERROR(Q188/M188,0)</f>
        <v>0</v>
      </c>
    </row>
    <row r="189" customFormat="false" ht="15" hidden="false" customHeight="false" outlineLevel="0" collapsed="false">
      <c r="A189" s="17" t="s">
        <v>17</v>
      </c>
      <c r="B189" s="17" t="s">
        <v>684</v>
      </c>
      <c r="C189" s="17" t="s">
        <v>685</v>
      </c>
      <c r="D189" s="17" t="s">
        <v>28</v>
      </c>
      <c r="E189" s="17" t="s">
        <v>315</v>
      </c>
      <c r="F189" s="17" t="s">
        <v>28</v>
      </c>
      <c r="G189" s="17" t="s">
        <v>140</v>
      </c>
      <c r="H189" s="18" t="s">
        <v>60</v>
      </c>
      <c r="I189" s="17" t="s">
        <v>66</v>
      </c>
      <c r="J189" s="17"/>
      <c r="K189" s="17" t="s">
        <v>60</v>
      </c>
      <c r="L189" s="20" t="n">
        <v>13</v>
      </c>
      <c r="M189" s="20" t="n">
        <v>1</v>
      </c>
      <c r="N189" s="25" t="n">
        <f aca="false">IFERROR(M189/L189,0)</f>
        <v>0.0769230769230769</v>
      </c>
      <c r="O189" s="19" t="n">
        <v>1.85</v>
      </c>
      <c r="P189" s="9" t="n">
        <f aca="false">IFERROR(O189/M189,0)</f>
        <v>1.85</v>
      </c>
      <c r="Q189" s="20" t="n">
        <v>0</v>
      </c>
      <c r="R189" s="19" t="n">
        <v>0</v>
      </c>
      <c r="S189" s="8" t="n">
        <f aca="false">IFERROR(O189/R189,0)</f>
        <v>0</v>
      </c>
      <c r="T189" s="8" t="n">
        <f aca="false">IFERROR(Q189/M189,0)</f>
        <v>0</v>
      </c>
    </row>
    <row r="190" customFormat="false" ht="15" hidden="false" customHeight="false" outlineLevel="0" collapsed="false">
      <c r="A190" s="17" t="s">
        <v>17</v>
      </c>
      <c r="B190" s="17" t="s">
        <v>686</v>
      </c>
      <c r="C190" s="17" t="s">
        <v>687</v>
      </c>
      <c r="D190" s="17" t="s">
        <v>28</v>
      </c>
      <c r="E190" s="17" t="s">
        <v>315</v>
      </c>
      <c r="F190" s="17" t="s">
        <v>28</v>
      </c>
      <c r="G190" s="17" t="s">
        <v>143</v>
      </c>
      <c r="H190" s="18" t="s">
        <v>60</v>
      </c>
      <c r="I190" s="17" t="s">
        <v>66</v>
      </c>
      <c r="J190" s="17"/>
      <c r="K190" s="17" t="s">
        <v>60</v>
      </c>
      <c r="L190" s="20" t="n">
        <v>14</v>
      </c>
      <c r="M190" s="20" t="n">
        <v>1</v>
      </c>
      <c r="N190" s="25" t="n">
        <f aca="false">IFERROR(M190/L190,0)</f>
        <v>0.0714285714285714</v>
      </c>
      <c r="O190" s="19" t="n">
        <v>1.82</v>
      </c>
      <c r="P190" s="9" t="n">
        <f aca="false">IFERROR(O190/M190,0)</f>
        <v>1.82</v>
      </c>
      <c r="Q190" s="20" t="n">
        <v>1</v>
      </c>
      <c r="R190" s="19" t="n">
        <v>29.95</v>
      </c>
      <c r="S190" s="8" t="n">
        <f aca="false">IFERROR(O190/R190,0)</f>
        <v>0.0607679465776294</v>
      </c>
      <c r="T190" s="8" t="n">
        <f aca="false">IFERROR(Q190/M190,0)</f>
        <v>1</v>
      </c>
    </row>
    <row r="191" customFormat="false" ht="15" hidden="false" customHeight="false" outlineLevel="0" collapsed="false">
      <c r="A191" s="17" t="s">
        <v>17</v>
      </c>
      <c r="B191" s="17" t="s">
        <v>688</v>
      </c>
      <c r="C191" s="17" t="s">
        <v>689</v>
      </c>
      <c r="D191" s="17" t="s">
        <v>28</v>
      </c>
      <c r="E191" s="17" t="s">
        <v>315</v>
      </c>
      <c r="F191" s="17" t="s">
        <v>28</v>
      </c>
      <c r="G191" s="17" t="s">
        <v>140</v>
      </c>
      <c r="H191" s="18" t="s">
        <v>60</v>
      </c>
      <c r="I191" s="17" t="s">
        <v>66</v>
      </c>
      <c r="J191" s="17"/>
      <c r="K191" s="17" t="s">
        <v>60</v>
      </c>
      <c r="L191" s="20" t="n">
        <v>68</v>
      </c>
      <c r="M191" s="20" t="n">
        <v>1</v>
      </c>
      <c r="N191" s="25" t="n">
        <f aca="false">IFERROR(M191/L191,0)</f>
        <v>0.0147058823529412</v>
      </c>
      <c r="O191" s="19" t="n">
        <v>1.79</v>
      </c>
      <c r="P191" s="9" t="n">
        <f aca="false">IFERROR(O191/M191,0)</f>
        <v>1.79</v>
      </c>
      <c r="Q191" s="20" t="n">
        <v>0</v>
      </c>
      <c r="R191" s="19" t="n">
        <v>0</v>
      </c>
      <c r="S191" s="8" t="n">
        <f aca="false">IFERROR(O191/R191,0)</f>
        <v>0</v>
      </c>
      <c r="T191" s="8" t="n">
        <f aca="false">IFERROR(Q191/M191,0)</f>
        <v>0</v>
      </c>
    </row>
    <row r="192" customFormat="false" ht="15" hidden="false" customHeight="false" outlineLevel="0" collapsed="false">
      <c r="A192" s="17" t="s">
        <v>17</v>
      </c>
      <c r="B192" s="17" t="s">
        <v>690</v>
      </c>
      <c r="C192" s="17" t="s">
        <v>691</v>
      </c>
      <c r="D192" s="17" t="s">
        <v>29</v>
      </c>
      <c r="E192" s="17" t="s">
        <v>315</v>
      </c>
      <c r="F192" s="17"/>
      <c r="G192" s="17" t="s">
        <v>609</v>
      </c>
      <c r="H192" s="26" t="s">
        <v>66</v>
      </c>
      <c r="I192" s="17" t="s">
        <v>66</v>
      </c>
      <c r="J192" s="17"/>
      <c r="K192" s="17" t="s">
        <v>60</v>
      </c>
      <c r="L192" s="20" t="n">
        <v>16</v>
      </c>
      <c r="M192" s="20" t="n">
        <v>1</v>
      </c>
      <c r="N192" s="25" t="n">
        <f aca="false">IFERROR(M192/L192,0)</f>
        <v>0.0625</v>
      </c>
      <c r="O192" s="19" t="n">
        <v>1.74</v>
      </c>
      <c r="P192" s="9" t="n">
        <f aca="false">IFERROR(O192/M192,0)</f>
        <v>1.74</v>
      </c>
      <c r="Q192" s="20" t="n">
        <v>0</v>
      </c>
      <c r="R192" s="19" t="n">
        <v>0</v>
      </c>
      <c r="S192" s="8" t="n">
        <f aca="false">IFERROR(O192/R192,0)</f>
        <v>0</v>
      </c>
      <c r="T192" s="8" t="n">
        <f aca="false">IFERROR(Q192/M192,0)</f>
        <v>0</v>
      </c>
    </row>
    <row r="193" customFormat="false" ht="15" hidden="false" customHeight="false" outlineLevel="0" collapsed="false">
      <c r="A193" s="17" t="s">
        <v>17</v>
      </c>
      <c r="B193" s="17" t="s">
        <v>692</v>
      </c>
      <c r="C193" s="17" t="s">
        <v>693</v>
      </c>
      <c r="D193" s="17" t="s">
        <v>28</v>
      </c>
      <c r="E193" s="17" t="s">
        <v>315</v>
      </c>
      <c r="F193" s="17" t="s">
        <v>28</v>
      </c>
      <c r="G193" s="17" t="s">
        <v>636</v>
      </c>
      <c r="H193" s="18" t="s">
        <v>60</v>
      </c>
      <c r="I193" s="17" t="s">
        <v>66</v>
      </c>
      <c r="J193" s="17"/>
      <c r="K193" s="17" t="s">
        <v>60</v>
      </c>
      <c r="L193" s="20" t="n">
        <v>164</v>
      </c>
      <c r="M193" s="20" t="n">
        <v>1</v>
      </c>
      <c r="N193" s="25" t="n">
        <f aca="false">IFERROR(M193/L193,0)</f>
        <v>0.00609756097560976</v>
      </c>
      <c r="O193" s="19" t="n">
        <v>1.68</v>
      </c>
      <c r="P193" s="9" t="n">
        <f aca="false">IFERROR(O193/M193,0)</f>
        <v>1.68</v>
      </c>
      <c r="Q193" s="20" t="n">
        <v>1</v>
      </c>
      <c r="R193" s="19" t="n">
        <v>31.95</v>
      </c>
      <c r="S193" s="8" t="n">
        <f aca="false">IFERROR(O193/R193,0)</f>
        <v>0.0525821596244131</v>
      </c>
      <c r="T193" s="8" t="n">
        <f aca="false">IFERROR(Q193/M193,0)</f>
        <v>1</v>
      </c>
    </row>
    <row r="194" customFormat="false" ht="15" hidden="false" customHeight="false" outlineLevel="0" collapsed="false">
      <c r="A194" s="17" t="s">
        <v>17</v>
      </c>
      <c r="B194" s="17" t="s">
        <v>694</v>
      </c>
      <c r="C194" s="17" t="s">
        <v>695</v>
      </c>
      <c r="D194" s="17" t="s">
        <v>28</v>
      </c>
      <c r="E194" s="17" t="s">
        <v>315</v>
      </c>
      <c r="F194" s="17" t="s">
        <v>28</v>
      </c>
      <c r="G194" s="17" t="s">
        <v>140</v>
      </c>
      <c r="H194" s="18" t="s">
        <v>60</v>
      </c>
      <c r="I194" s="17" t="s">
        <v>66</v>
      </c>
      <c r="J194" s="17"/>
      <c r="K194" s="17" t="s">
        <v>60</v>
      </c>
      <c r="L194" s="20" t="n">
        <v>71</v>
      </c>
      <c r="M194" s="20" t="n">
        <v>1</v>
      </c>
      <c r="N194" s="25" t="n">
        <f aca="false">IFERROR(M194/L194,0)</f>
        <v>0.0140845070422535</v>
      </c>
      <c r="O194" s="19" t="n">
        <v>1.6</v>
      </c>
      <c r="P194" s="9" t="n">
        <f aca="false">IFERROR(O194/M194,0)</f>
        <v>1.6</v>
      </c>
      <c r="Q194" s="20" t="n">
        <v>0</v>
      </c>
      <c r="R194" s="19" t="n">
        <v>0</v>
      </c>
      <c r="S194" s="8" t="n">
        <f aca="false">IFERROR(O194/R194,0)</f>
        <v>0</v>
      </c>
      <c r="T194" s="8" t="n">
        <f aca="false">IFERROR(Q194/M194,0)</f>
        <v>0</v>
      </c>
    </row>
    <row r="195" customFormat="false" ht="15" hidden="false" customHeight="false" outlineLevel="0" collapsed="false">
      <c r="A195" s="17" t="s">
        <v>17</v>
      </c>
      <c r="B195" s="17" t="s">
        <v>696</v>
      </c>
      <c r="C195" s="17" t="s">
        <v>697</v>
      </c>
      <c r="D195" s="17" t="s">
        <v>28</v>
      </c>
      <c r="E195" s="17" t="s">
        <v>315</v>
      </c>
      <c r="F195" s="17" t="s">
        <v>28</v>
      </c>
      <c r="G195" s="17" t="s">
        <v>149</v>
      </c>
      <c r="H195" s="18" t="s">
        <v>60</v>
      </c>
      <c r="I195" s="17" t="s">
        <v>66</v>
      </c>
      <c r="J195" s="17"/>
      <c r="K195" s="17" t="s">
        <v>60</v>
      </c>
      <c r="L195" s="20" t="n">
        <v>252</v>
      </c>
      <c r="M195" s="20" t="n">
        <v>1</v>
      </c>
      <c r="N195" s="25" t="n">
        <f aca="false">IFERROR(M195/L195,0)</f>
        <v>0.00396825396825397</v>
      </c>
      <c r="O195" s="19" t="n">
        <v>1.55</v>
      </c>
      <c r="P195" s="9" t="n">
        <f aca="false">IFERROR(O195/M195,0)</f>
        <v>1.55</v>
      </c>
      <c r="Q195" s="20" t="n">
        <v>0</v>
      </c>
      <c r="R195" s="19" t="n">
        <v>0</v>
      </c>
      <c r="S195" s="8" t="n">
        <f aca="false">IFERROR(O195/R195,0)</f>
        <v>0</v>
      </c>
      <c r="T195" s="8" t="n">
        <f aca="false">IFERROR(Q195/M195,0)</f>
        <v>0</v>
      </c>
    </row>
    <row r="196" customFormat="false" ht="15" hidden="false" customHeight="false" outlineLevel="0" collapsed="false">
      <c r="A196" s="17" t="s">
        <v>17</v>
      </c>
      <c r="B196" s="17" t="s">
        <v>698</v>
      </c>
      <c r="C196" s="17" t="s">
        <v>699</v>
      </c>
      <c r="D196" s="17" t="s">
        <v>28</v>
      </c>
      <c r="E196" s="17" t="s">
        <v>315</v>
      </c>
      <c r="F196" s="17" t="s">
        <v>28</v>
      </c>
      <c r="G196" s="17" t="s">
        <v>143</v>
      </c>
      <c r="H196" s="18" t="s">
        <v>60</v>
      </c>
      <c r="I196" s="17" t="s">
        <v>66</v>
      </c>
      <c r="J196" s="17"/>
      <c r="K196" s="17" t="s">
        <v>60</v>
      </c>
      <c r="L196" s="20" t="n">
        <v>139</v>
      </c>
      <c r="M196" s="20" t="n">
        <v>1</v>
      </c>
      <c r="N196" s="25" t="n">
        <f aca="false">IFERROR(M196/L196,0)</f>
        <v>0.00719424460431655</v>
      </c>
      <c r="O196" s="19" t="n">
        <v>1.5</v>
      </c>
      <c r="P196" s="9" t="n">
        <f aca="false">IFERROR(O196/M196,0)</f>
        <v>1.5</v>
      </c>
      <c r="Q196" s="20" t="n">
        <v>1</v>
      </c>
      <c r="R196" s="19" t="n">
        <v>23.96</v>
      </c>
      <c r="S196" s="8" t="n">
        <f aca="false">IFERROR(O196/R196,0)</f>
        <v>0.0626043405676127</v>
      </c>
      <c r="T196" s="8" t="n">
        <f aca="false">IFERROR(Q196/M196,0)</f>
        <v>1</v>
      </c>
    </row>
    <row r="197" customFormat="false" ht="15" hidden="false" customHeight="false" outlineLevel="0" collapsed="false">
      <c r="A197" s="17" t="s">
        <v>17</v>
      </c>
      <c r="B197" s="17" t="s">
        <v>700</v>
      </c>
      <c r="C197" s="17" t="s">
        <v>701</v>
      </c>
      <c r="D197" s="17" t="s">
        <v>28</v>
      </c>
      <c r="E197" s="17" t="s">
        <v>315</v>
      </c>
      <c r="F197" s="17" t="s">
        <v>28</v>
      </c>
      <c r="G197" s="17" t="s">
        <v>143</v>
      </c>
      <c r="H197" s="18" t="s">
        <v>60</v>
      </c>
      <c r="I197" s="17" t="s">
        <v>66</v>
      </c>
      <c r="J197" s="17"/>
      <c r="K197" s="17" t="s">
        <v>60</v>
      </c>
      <c r="L197" s="20" t="n">
        <v>27</v>
      </c>
      <c r="M197" s="20" t="n">
        <v>1</v>
      </c>
      <c r="N197" s="25" t="n">
        <f aca="false">IFERROR(M197/L197,0)</f>
        <v>0.037037037037037</v>
      </c>
      <c r="O197" s="19" t="n">
        <v>1.45</v>
      </c>
      <c r="P197" s="9" t="n">
        <f aca="false">IFERROR(O197/M197,0)</f>
        <v>1.45</v>
      </c>
      <c r="Q197" s="20" t="n">
        <v>0</v>
      </c>
      <c r="R197" s="19" t="n">
        <v>0</v>
      </c>
      <c r="S197" s="8" t="n">
        <f aca="false">IFERROR(O197/R197,0)</f>
        <v>0</v>
      </c>
      <c r="T197" s="8" t="n">
        <f aca="false">IFERROR(Q197/M197,0)</f>
        <v>0</v>
      </c>
    </row>
    <row r="198" customFormat="false" ht="15" hidden="false" customHeight="false" outlineLevel="0" collapsed="false">
      <c r="A198" s="17" t="s">
        <v>17</v>
      </c>
      <c r="B198" s="17" t="s">
        <v>702</v>
      </c>
      <c r="C198" s="17" t="s">
        <v>703</v>
      </c>
      <c r="D198" s="17" t="s">
        <v>33</v>
      </c>
      <c r="E198" s="17" t="s">
        <v>318</v>
      </c>
      <c r="F198" s="17" t="s">
        <v>683</v>
      </c>
      <c r="G198" s="17" t="s">
        <v>146</v>
      </c>
      <c r="H198" s="26" t="s">
        <v>66</v>
      </c>
      <c r="I198" s="17" t="s">
        <v>66</v>
      </c>
      <c r="J198" s="17"/>
      <c r="K198" s="17" t="s">
        <v>60</v>
      </c>
      <c r="L198" s="20" t="n">
        <v>245</v>
      </c>
      <c r="M198" s="20" t="n">
        <v>1</v>
      </c>
      <c r="N198" s="25" t="n">
        <f aca="false">IFERROR(M198/L198,0)</f>
        <v>0.00408163265306123</v>
      </c>
      <c r="O198" s="19" t="n">
        <v>1.33</v>
      </c>
      <c r="P198" s="9" t="n">
        <f aca="false">IFERROR(O198/M198,0)</f>
        <v>1.33</v>
      </c>
      <c r="Q198" s="20" t="n">
        <v>1</v>
      </c>
      <c r="R198" s="19" t="n">
        <v>33.95</v>
      </c>
      <c r="S198" s="8" t="n">
        <f aca="false">IFERROR(O198/R198,0)</f>
        <v>0.0391752577319588</v>
      </c>
      <c r="T198" s="8" t="n">
        <f aca="false">IFERROR(Q198/M198,0)</f>
        <v>1</v>
      </c>
    </row>
    <row r="199" customFormat="false" ht="15" hidden="false" customHeight="false" outlineLevel="0" collapsed="false">
      <c r="A199" s="17" t="s">
        <v>17</v>
      </c>
      <c r="B199" s="17" t="s">
        <v>704</v>
      </c>
      <c r="C199" s="17" t="s">
        <v>705</v>
      </c>
      <c r="D199" s="17" t="s">
        <v>29</v>
      </c>
      <c r="E199" s="17" t="s">
        <v>315</v>
      </c>
      <c r="F199" s="17"/>
      <c r="G199" s="17" t="s">
        <v>706</v>
      </c>
      <c r="H199" s="18" t="s">
        <v>60</v>
      </c>
      <c r="I199" s="17" t="s">
        <v>66</v>
      </c>
      <c r="J199" s="17"/>
      <c r="K199" s="17" t="s">
        <v>60</v>
      </c>
      <c r="L199" s="20" t="n">
        <v>41</v>
      </c>
      <c r="M199" s="20" t="n">
        <v>1</v>
      </c>
      <c r="N199" s="25" t="n">
        <f aca="false">IFERROR(M199/L199,0)</f>
        <v>0.024390243902439</v>
      </c>
      <c r="O199" s="19" t="n">
        <v>1.23</v>
      </c>
      <c r="P199" s="9" t="n">
        <f aca="false">IFERROR(O199/M199,0)</f>
        <v>1.23</v>
      </c>
      <c r="Q199" s="20" t="n">
        <v>0</v>
      </c>
      <c r="R199" s="19" t="n">
        <v>0</v>
      </c>
      <c r="S199" s="8" t="n">
        <f aca="false">IFERROR(O199/R199,0)</f>
        <v>0</v>
      </c>
      <c r="T199" s="8" t="n">
        <f aca="false">IFERROR(Q199/M199,0)</f>
        <v>0</v>
      </c>
    </row>
    <row r="200" customFormat="false" ht="15" hidden="false" customHeight="false" outlineLevel="0" collapsed="false">
      <c r="A200" s="17" t="s">
        <v>17</v>
      </c>
      <c r="B200" s="17" t="s">
        <v>707</v>
      </c>
      <c r="C200" s="17" t="s">
        <v>708</v>
      </c>
      <c r="D200" s="17" t="s">
        <v>28</v>
      </c>
      <c r="E200" s="17" t="s">
        <v>315</v>
      </c>
      <c r="F200" s="17" t="s">
        <v>28</v>
      </c>
      <c r="G200" s="17" t="s">
        <v>709</v>
      </c>
      <c r="H200" s="26" t="s">
        <v>66</v>
      </c>
      <c r="I200" s="17" t="s">
        <v>66</v>
      </c>
      <c r="J200" s="17"/>
      <c r="K200" s="17" t="s">
        <v>60</v>
      </c>
      <c r="L200" s="20" t="n">
        <v>13</v>
      </c>
      <c r="M200" s="20" t="n">
        <v>1</v>
      </c>
      <c r="N200" s="25" t="n">
        <f aca="false">IFERROR(M200/L200,0)</f>
        <v>0.0769230769230769</v>
      </c>
      <c r="O200" s="19" t="n">
        <v>1.16</v>
      </c>
      <c r="P200" s="9" t="n">
        <f aca="false">IFERROR(O200/M200,0)</f>
        <v>1.16</v>
      </c>
      <c r="Q200" s="20" t="n">
        <v>0</v>
      </c>
      <c r="R200" s="19" t="n">
        <v>0</v>
      </c>
      <c r="S200" s="8" t="n">
        <f aca="false">IFERROR(O200/R200,0)</f>
        <v>0</v>
      </c>
      <c r="T200" s="8" t="n">
        <f aca="false">IFERROR(Q200/M200,0)</f>
        <v>0</v>
      </c>
    </row>
    <row r="201" customFormat="false" ht="15" hidden="false" customHeight="false" outlineLevel="0" collapsed="false">
      <c r="A201" s="17" t="s">
        <v>17</v>
      </c>
      <c r="B201" s="17" t="s">
        <v>710</v>
      </c>
      <c r="C201" s="17" t="s">
        <v>711</v>
      </c>
      <c r="D201" s="17" t="s">
        <v>28</v>
      </c>
      <c r="E201" s="17" t="s">
        <v>315</v>
      </c>
      <c r="F201" s="17" t="s">
        <v>28</v>
      </c>
      <c r="G201" s="17" t="s">
        <v>143</v>
      </c>
      <c r="H201" s="18" t="s">
        <v>60</v>
      </c>
      <c r="I201" s="17" t="s">
        <v>66</v>
      </c>
      <c r="J201" s="17"/>
      <c r="K201" s="17" t="s">
        <v>60</v>
      </c>
      <c r="L201" s="20" t="n">
        <v>64</v>
      </c>
      <c r="M201" s="20" t="n">
        <v>1</v>
      </c>
      <c r="N201" s="25" t="n">
        <f aca="false">IFERROR(M201/L201,0)</f>
        <v>0.015625</v>
      </c>
      <c r="O201" s="19" t="n">
        <v>1.08</v>
      </c>
      <c r="P201" s="9" t="n">
        <f aca="false">IFERROR(O201/M201,0)</f>
        <v>1.08</v>
      </c>
      <c r="Q201" s="20" t="n">
        <v>0</v>
      </c>
      <c r="R201" s="19" t="n">
        <v>0</v>
      </c>
      <c r="S201" s="8" t="n">
        <f aca="false">IFERROR(O201/R201,0)</f>
        <v>0</v>
      </c>
      <c r="T201" s="8" t="n">
        <f aca="false">IFERROR(Q201/M201,0)</f>
        <v>0</v>
      </c>
    </row>
    <row r="202" customFormat="false" ht="15" hidden="false" customHeight="false" outlineLevel="0" collapsed="false">
      <c r="A202" s="17" t="s">
        <v>17</v>
      </c>
      <c r="B202" s="17" t="s">
        <v>426</v>
      </c>
      <c r="C202" s="17" t="s">
        <v>427</v>
      </c>
      <c r="D202" s="17" t="s">
        <v>33</v>
      </c>
      <c r="E202" s="17" t="s">
        <v>318</v>
      </c>
      <c r="F202" s="17" t="s">
        <v>312</v>
      </c>
      <c r="G202" s="17" t="s">
        <v>115</v>
      </c>
      <c r="H202" s="26" t="s">
        <v>66</v>
      </c>
      <c r="I202" s="17" t="s">
        <v>60</v>
      </c>
      <c r="J202" s="17" t="s">
        <v>576</v>
      </c>
      <c r="K202" s="17" t="s">
        <v>66</v>
      </c>
      <c r="L202" s="20" t="n">
        <v>485</v>
      </c>
      <c r="M202" s="20" t="n">
        <v>1</v>
      </c>
      <c r="N202" s="25" t="n">
        <f aca="false">IFERROR(M202/L202,0)</f>
        <v>0.00206185567010309</v>
      </c>
      <c r="O202" s="19" t="n">
        <v>0.99</v>
      </c>
      <c r="P202" s="9" t="n">
        <f aca="false">IFERROR(O202/M202,0)</f>
        <v>0.99</v>
      </c>
      <c r="Q202" s="20" t="n">
        <v>0</v>
      </c>
      <c r="R202" s="19" t="n">
        <v>0</v>
      </c>
      <c r="S202" s="8" t="n">
        <f aca="false">IFERROR(O202/R202,0)</f>
        <v>0</v>
      </c>
      <c r="T202" s="8" t="n">
        <f aca="false">IFERROR(Q202/M202,0)</f>
        <v>0</v>
      </c>
    </row>
    <row r="203" customFormat="false" ht="15" hidden="false" customHeight="false" outlineLevel="0" collapsed="false">
      <c r="A203" s="17" t="s">
        <v>17</v>
      </c>
      <c r="B203" s="17" t="s">
        <v>712</v>
      </c>
      <c r="C203" s="17" t="s">
        <v>713</v>
      </c>
      <c r="D203" s="17" t="s">
        <v>28</v>
      </c>
      <c r="E203" s="17" t="s">
        <v>315</v>
      </c>
      <c r="F203" s="17" t="s">
        <v>28</v>
      </c>
      <c r="G203" s="17" t="s">
        <v>140</v>
      </c>
      <c r="H203" s="18" t="s">
        <v>60</v>
      </c>
      <c r="I203" s="17" t="s">
        <v>66</v>
      </c>
      <c r="J203" s="17"/>
      <c r="K203" s="17" t="s">
        <v>60</v>
      </c>
      <c r="L203" s="20" t="n">
        <v>85</v>
      </c>
      <c r="M203" s="20" t="n">
        <v>1</v>
      </c>
      <c r="N203" s="25" t="n">
        <f aca="false">IFERROR(M203/L203,0)</f>
        <v>0.0117647058823529</v>
      </c>
      <c r="O203" s="19" t="n">
        <v>0.93</v>
      </c>
      <c r="P203" s="9" t="n">
        <f aca="false">IFERROR(O203/M203,0)</f>
        <v>0.93</v>
      </c>
      <c r="Q203" s="20" t="n">
        <v>1</v>
      </c>
      <c r="R203" s="19" t="n">
        <v>23.96</v>
      </c>
      <c r="S203" s="8" t="n">
        <f aca="false">IFERROR(O203/R203,0)</f>
        <v>0.0388146911519199</v>
      </c>
      <c r="T203" s="8" t="n">
        <f aca="false">IFERROR(Q203/M203,0)</f>
        <v>1</v>
      </c>
    </row>
    <row r="204" customFormat="false" ht="15" hidden="false" customHeight="false" outlineLevel="0" collapsed="false">
      <c r="A204" s="17" t="s">
        <v>17</v>
      </c>
      <c r="B204" s="17" t="s">
        <v>714</v>
      </c>
      <c r="C204" s="17" t="s">
        <v>715</v>
      </c>
      <c r="D204" s="17" t="s">
        <v>33</v>
      </c>
      <c r="E204" s="17" t="s">
        <v>318</v>
      </c>
      <c r="F204" s="17" t="s">
        <v>683</v>
      </c>
      <c r="G204" s="17" t="s">
        <v>140</v>
      </c>
      <c r="H204" s="18" t="s">
        <v>60</v>
      </c>
      <c r="I204" s="17" t="s">
        <v>66</v>
      </c>
      <c r="J204" s="17"/>
      <c r="K204" s="17" t="s">
        <v>60</v>
      </c>
      <c r="L204" s="20" t="n">
        <v>197</v>
      </c>
      <c r="M204" s="20" t="n">
        <v>1</v>
      </c>
      <c r="N204" s="25" t="n">
        <f aca="false">IFERROR(M204/L204,0)</f>
        <v>0.0050761421319797</v>
      </c>
      <c r="O204" s="19" t="n">
        <v>0.85</v>
      </c>
      <c r="P204" s="9" t="n">
        <f aca="false">IFERROR(O204/M204,0)</f>
        <v>0.85</v>
      </c>
      <c r="Q204" s="20" t="n">
        <v>0</v>
      </c>
      <c r="R204" s="19" t="n">
        <v>0</v>
      </c>
      <c r="S204" s="8" t="n">
        <f aca="false">IFERROR(O204/R204,0)</f>
        <v>0</v>
      </c>
      <c r="T204" s="8" t="n">
        <f aca="false">IFERROR(Q204/M204,0)</f>
        <v>0</v>
      </c>
    </row>
    <row r="205" customFormat="false" ht="15" hidden="false" customHeight="false" outlineLevel="0" collapsed="false">
      <c r="A205" s="17" t="s">
        <v>17</v>
      </c>
      <c r="B205" s="17" t="s">
        <v>716</v>
      </c>
      <c r="C205" s="17" t="s">
        <v>717</v>
      </c>
      <c r="D205" s="17" t="s">
        <v>31</v>
      </c>
      <c r="E205" s="17" t="s">
        <v>351</v>
      </c>
      <c r="F205" s="17" t="s">
        <v>306</v>
      </c>
      <c r="G205" s="17" t="s">
        <v>141</v>
      </c>
      <c r="H205" s="26" t="s">
        <v>66</v>
      </c>
      <c r="I205" s="17" t="s">
        <v>66</v>
      </c>
      <c r="J205" s="17"/>
      <c r="K205" s="17" t="s">
        <v>60</v>
      </c>
      <c r="L205" s="20" t="n">
        <v>53</v>
      </c>
      <c r="M205" s="20" t="n">
        <v>1</v>
      </c>
      <c r="N205" s="25" t="n">
        <f aca="false">IFERROR(M205/L205,0)</f>
        <v>0.0188679245283019</v>
      </c>
      <c r="O205" s="19" t="n">
        <v>0.83</v>
      </c>
      <c r="P205" s="9" t="n">
        <f aca="false">IFERROR(O205/M205,0)</f>
        <v>0.83</v>
      </c>
      <c r="Q205" s="20" t="n">
        <v>0</v>
      </c>
      <c r="R205" s="19" t="n">
        <v>0</v>
      </c>
      <c r="S205" s="8" t="n">
        <f aca="false">IFERROR(O205/R205,0)</f>
        <v>0</v>
      </c>
      <c r="T205" s="8" t="n">
        <f aca="false">IFERROR(Q205/M205,0)</f>
        <v>0</v>
      </c>
    </row>
    <row r="206" customFormat="false" ht="15" hidden="false" customHeight="false" outlineLevel="0" collapsed="false">
      <c r="A206" s="17" t="s">
        <v>17</v>
      </c>
      <c r="B206" s="17" t="s">
        <v>718</v>
      </c>
      <c r="C206" s="17" t="s">
        <v>719</v>
      </c>
      <c r="D206" s="17" t="s">
        <v>29</v>
      </c>
      <c r="E206" s="17" t="s">
        <v>351</v>
      </c>
      <c r="F206" s="17" t="s">
        <v>319</v>
      </c>
      <c r="G206" s="17" t="s">
        <v>226</v>
      </c>
      <c r="H206" s="26" t="s">
        <v>66</v>
      </c>
      <c r="I206" s="17" t="s">
        <v>66</v>
      </c>
      <c r="J206" s="17"/>
      <c r="K206" s="17" t="s">
        <v>60</v>
      </c>
      <c r="L206" s="20" t="n">
        <v>28</v>
      </c>
      <c r="M206" s="20" t="n">
        <v>1</v>
      </c>
      <c r="N206" s="25" t="n">
        <f aca="false">IFERROR(M206/L206,0)</f>
        <v>0.0357142857142857</v>
      </c>
      <c r="O206" s="19" t="n">
        <v>0.74</v>
      </c>
      <c r="P206" s="9" t="n">
        <f aca="false">IFERROR(O206/M206,0)</f>
        <v>0.74</v>
      </c>
      <c r="Q206" s="20" t="n">
        <v>0</v>
      </c>
      <c r="R206" s="19" t="n">
        <v>0</v>
      </c>
      <c r="S206" s="8" t="n">
        <f aca="false">IFERROR(O206/R206,0)</f>
        <v>0</v>
      </c>
      <c r="T206" s="8" t="n">
        <f aca="false">IFERROR(Q206/M206,0)</f>
        <v>0</v>
      </c>
    </row>
    <row r="207" customFormat="false" ht="15" hidden="false" customHeight="false" outlineLevel="0" collapsed="false">
      <c r="A207" s="17" t="s">
        <v>17</v>
      </c>
      <c r="B207" s="17" t="s">
        <v>720</v>
      </c>
      <c r="C207" s="17" t="s">
        <v>721</v>
      </c>
      <c r="D207" s="17" t="s">
        <v>31</v>
      </c>
      <c r="E207" s="17" t="s">
        <v>311</v>
      </c>
      <c r="F207" s="17" t="s">
        <v>306</v>
      </c>
      <c r="G207" s="17" t="s">
        <v>146</v>
      </c>
      <c r="H207" s="26" t="s">
        <v>66</v>
      </c>
      <c r="I207" s="17" t="s">
        <v>66</v>
      </c>
      <c r="J207" s="17"/>
      <c r="K207" s="17" t="s">
        <v>60</v>
      </c>
      <c r="L207" s="20" t="n">
        <v>39</v>
      </c>
      <c r="M207" s="20" t="n">
        <v>2</v>
      </c>
      <c r="N207" s="25" t="n">
        <f aca="false">IFERROR(M207/L207,0)</f>
        <v>0.0512820512820513</v>
      </c>
      <c r="O207" s="19" t="n">
        <v>0.36</v>
      </c>
      <c r="P207" s="9" t="n">
        <f aca="false">IFERROR(O207/M207,0)</f>
        <v>0.18</v>
      </c>
      <c r="Q207" s="20" t="n">
        <v>0</v>
      </c>
      <c r="R207" s="19" t="n">
        <v>0</v>
      </c>
      <c r="S207" s="8" t="n">
        <f aca="false">IFERROR(O207/R207,0)</f>
        <v>0</v>
      </c>
      <c r="T207" s="8" t="n">
        <f aca="false">IFERROR(Q207/M207,0)</f>
        <v>0</v>
      </c>
    </row>
    <row r="208" customFormat="false" ht="15" hidden="false" customHeight="false" outlineLevel="0" collapsed="false">
      <c r="A208" s="17" t="s">
        <v>17</v>
      </c>
      <c r="B208" s="17" t="s">
        <v>722</v>
      </c>
      <c r="C208" s="17" t="s">
        <v>723</v>
      </c>
      <c r="D208" s="17" t="s">
        <v>31</v>
      </c>
      <c r="E208" s="17" t="s">
        <v>351</v>
      </c>
      <c r="F208" s="17" t="s">
        <v>306</v>
      </c>
      <c r="G208" s="17" t="s">
        <v>146</v>
      </c>
      <c r="H208" s="26" t="s">
        <v>66</v>
      </c>
      <c r="I208" s="17" t="s">
        <v>66</v>
      </c>
      <c r="J208" s="17"/>
      <c r="K208" s="17" t="s">
        <v>60</v>
      </c>
      <c r="L208" s="20" t="n">
        <v>21</v>
      </c>
      <c r="M208" s="20" t="n">
        <v>1</v>
      </c>
      <c r="N208" s="25" t="n">
        <f aca="false">IFERROR(M208/L208,0)</f>
        <v>0.0476190476190476</v>
      </c>
      <c r="O208" s="19" t="n">
        <v>0.24</v>
      </c>
      <c r="P208" s="9" t="n">
        <f aca="false">IFERROR(O208/M208,0)</f>
        <v>0.24</v>
      </c>
      <c r="Q208" s="20" t="n">
        <v>0</v>
      </c>
      <c r="R208" s="19" t="n">
        <v>0</v>
      </c>
      <c r="S208" s="8" t="n">
        <f aca="false">IFERROR(O208/R208,0)</f>
        <v>0</v>
      </c>
      <c r="T208" s="8" t="n">
        <f aca="false">IFERROR(Q208/M208,0)</f>
        <v>0</v>
      </c>
    </row>
  </sheetData>
  <autoFilter ref="A4:T2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"/>
    <col collapsed="false" customWidth="true" hidden="false" outlineLevel="0" max="3" min="3" style="0" width="62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9" min="8" style="0" width="10"/>
    <col collapsed="false" customWidth="true" hidden="false" outlineLevel="0" max="10" min="10" style="0" width="16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4" min="13" style="0" width="8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2"/>
    <col collapsed="false" customWidth="true" hidden="false" outlineLevel="0" max="20" min="19" style="0" width="9"/>
  </cols>
  <sheetData>
    <row r="1" customFormat="false" ht="17.35" hidden="false" customHeight="false" outlineLevel="0" collapsed="false">
      <c r="A1" s="1" t="s">
        <v>724</v>
      </c>
    </row>
    <row r="2" customFormat="false" ht="15" hidden="false" customHeight="false" outlineLevel="0" collapsed="false">
      <c r="A2" s="2" t="s">
        <v>725</v>
      </c>
    </row>
    <row r="4" customFormat="false" ht="31.5" hidden="false" customHeight="true" outlineLevel="0" collapsed="false">
      <c r="A4" s="6" t="s">
        <v>5</v>
      </c>
      <c r="B4" s="6" t="s">
        <v>289</v>
      </c>
      <c r="C4" s="6" t="s">
        <v>290</v>
      </c>
      <c r="D4" s="6" t="s">
        <v>23</v>
      </c>
      <c r="E4" s="6" t="s">
        <v>291</v>
      </c>
      <c r="F4" s="6" t="s">
        <v>292</v>
      </c>
      <c r="G4" s="6" t="s">
        <v>293</v>
      </c>
      <c r="H4" s="6" t="s">
        <v>294</v>
      </c>
      <c r="I4" s="6" t="s">
        <v>295</v>
      </c>
      <c r="J4" s="6" t="s">
        <v>296</v>
      </c>
      <c r="K4" s="6" t="s">
        <v>297</v>
      </c>
      <c r="L4" s="6" t="s">
        <v>268</v>
      </c>
      <c r="M4" s="6" t="s">
        <v>269</v>
      </c>
      <c r="N4" s="6" t="s">
        <v>270</v>
      </c>
      <c r="O4" s="6" t="s">
        <v>726</v>
      </c>
      <c r="P4" s="6" t="s">
        <v>727</v>
      </c>
      <c r="Q4" s="6" t="s">
        <v>271</v>
      </c>
      <c r="R4" s="6" t="s">
        <v>728</v>
      </c>
      <c r="S4" s="6" t="s">
        <v>300</v>
      </c>
      <c r="T4" s="6" t="s">
        <v>272</v>
      </c>
    </row>
    <row r="5" customFormat="false" ht="15" hidden="false" customHeight="false" outlineLevel="0" collapsed="false">
      <c r="A5" s="17" t="s">
        <v>15</v>
      </c>
      <c r="B5" s="17" t="s">
        <v>729</v>
      </c>
      <c r="C5" s="17" t="s">
        <v>730</v>
      </c>
      <c r="D5" s="24" t="s">
        <v>34</v>
      </c>
      <c r="E5" s="17" t="s">
        <v>303</v>
      </c>
      <c r="F5" s="17"/>
      <c r="G5" s="17"/>
      <c r="H5" s="17"/>
      <c r="I5" s="17" t="s">
        <v>66</v>
      </c>
      <c r="J5" s="17"/>
      <c r="K5" s="17" t="s">
        <v>60</v>
      </c>
      <c r="L5" s="20" t="n">
        <v>59055</v>
      </c>
      <c r="M5" s="20" t="n">
        <v>216</v>
      </c>
      <c r="N5" s="25" t="n">
        <f aca="false">IFERROR(M5/L5,0)</f>
        <v>0.00365760731521463</v>
      </c>
      <c r="O5" s="27" t="n">
        <v>250.51</v>
      </c>
      <c r="P5" s="14" t="n">
        <f aca="false">IFERROR(O5/M5,0)</f>
        <v>1.15976851851852</v>
      </c>
      <c r="Q5" s="20" t="n">
        <v>19</v>
      </c>
      <c r="R5" s="27" t="n">
        <v>1596.71</v>
      </c>
      <c r="S5" s="8" t="n">
        <f aca="false">IFERROR(O5/R5,0)</f>
        <v>0.156891357854589</v>
      </c>
      <c r="T5" s="8" t="n">
        <f aca="false">IFERROR(Q5/M5,0)</f>
        <v>0.087962962962963</v>
      </c>
    </row>
    <row r="6" customFormat="false" ht="15" hidden="false" customHeight="false" outlineLevel="0" collapsed="false">
      <c r="A6" s="17" t="s">
        <v>15</v>
      </c>
      <c r="B6" s="17" t="s">
        <v>731</v>
      </c>
      <c r="C6" s="17" t="s">
        <v>732</v>
      </c>
      <c r="D6" s="26" t="s">
        <v>32</v>
      </c>
      <c r="E6" s="17" t="s">
        <v>303</v>
      </c>
      <c r="F6" s="17" t="s">
        <v>306</v>
      </c>
      <c r="G6" s="17" t="s">
        <v>733</v>
      </c>
      <c r="H6" s="26" t="s">
        <v>66</v>
      </c>
      <c r="I6" s="17" t="s">
        <v>66</v>
      </c>
      <c r="J6" s="17"/>
      <c r="K6" s="17" t="s">
        <v>60</v>
      </c>
      <c r="L6" s="20" t="n">
        <v>135024</v>
      </c>
      <c r="M6" s="20" t="n">
        <v>145</v>
      </c>
      <c r="N6" s="25" t="n">
        <f aca="false">IFERROR(M6/L6,0)</f>
        <v>0.00107388316151203</v>
      </c>
      <c r="O6" s="27" t="n">
        <v>150.16</v>
      </c>
      <c r="P6" s="14" t="n">
        <f aca="false">IFERROR(O6/M6,0)</f>
        <v>1.03558620689655</v>
      </c>
      <c r="Q6" s="20" t="n">
        <v>10</v>
      </c>
      <c r="R6" s="27" t="n">
        <v>897.13</v>
      </c>
      <c r="S6" s="8" t="n">
        <f aca="false">IFERROR(O6/R6,0)</f>
        <v>0.167378194910437</v>
      </c>
      <c r="T6" s="8" t="n">
        <f aca="false">IFERROR(Q6/M6,0)</f>
        <v>0.0689655172413793</v>
      </c>
    </row>
    <row r="7" customFormat="false" ht="15" hidden="false" customHeight="false" outlineLevel="0" collapsed="false">
      <c r="A7" s="17" t="s">
        <v>15</v>
      </c>
      <c r="B7" s="17" t="s">
        <v>734</v>
      </c>
      <c r="C7" s="17" t="s">
        <v>735</v>
      </c>
      <c r="D7" s="24" t="s">
        <v>34</v>
      </c>
      <c r="E7" s="17" t="s">
        <v>303</v>
      </c>
      <c r="F7" s="17" t="s">
        <v>332</v>
      </c>
      <c r="G7" s="17"/>
      <c r="H7" s="17"/>
      <c r="I7" s="17" t="s">
        <v>60</v>
      </c>
      <c r="J7" s="17" t="s">
        <v>736</v>
      </c>
      <c r="K7" s="17" t="s">
        <v>60</v>
      </c>
      <c r="L7" s="20" t="n">
        <v>61980</v>
      </c>
      <c r="M7" s="20" t="n">
        <v>123</v>
      </c>
      <c r="N7" s="25" t="n">
        <f aca="false">IFERROR(M7/L7,0)</f>
        <v>0.00198451113262343</v>
      </c>
      <c r="O7" s="27" t="n">
        <v>123.09</v>
      </c>
      <c r="P7" s="14" t="n">
        <f aca="false">IFERROR(O7/M7,0)</f>
        <v>1.00073170731707</v>
      </c>
      <c r="Q7" s="20" t="n">
        <v>5</v>
      </c>
      <c r="R7" s="27" t="n">
        <v>303.79</v>
      </c>
      <c r="S7" s="8" t="n">
        <f aca="false">IFERROR(O7/R7,0)</f>
        <v>0.405181210704763</v>
      </c>
      <c r="T7" s="8" t="n">
        <f aca="false">IFERROR(Q7/M7,0)</f>
        <v>0.040650406504065</v>
      </c>
    </row>
    <row r="8" customFormat="false" ht="15" hidden="false" customHeight="false" outlineLevel="0" collapsed="false">
      <c r="A8" s="17" t="s">
        <v>15</v>
      </c>
      <c r="B8" s="17" t="s">
        <v>737</v>
      </c>
      <c r="C8" s="17" t="s">
        <v>738</v>
      </c>
      <c r="D8" s="24" t="s">
        <v>34</v>
      </c>
      <c r="E8" s="17" t="s">
        <v>311</v>
      </c>
      <c r="F8" s="17"/>
      <c r="G8" s="17"/>
      <c r="H8" s="17"/>
      <c r="I8" s="17" t="s">
        <v>66</v>
      </c>
      <c r="J8" s="17"/>
      <c r="K8" s="17" t="s">
        <v>60</v>
      </c>
      <c r="L8" s="20" t="n">
        <v>5629</v>
      </c>
      <c r="M8" s="20" t="n">
        <v>61</v>
      </c>
      <c r="N8" s="25" t="n">
        <f aca="false">IFERROR(M8/L8,0)</f>
        <v>0.0108367383194173</v>
      </c>
      <c r="O8" s="27" t="n">
        <v>77.97</v>
      </c>
      <c r="P8" s="14" t="n">
        <f aca="false">IFERROR(O8/M8,0)</f>
        <v>1.27819672131148</v>
      </c>
      <c r="Q8" s="20" t="n">
        <v>5</v>
      </c>
      <c r="R8" s="27" t="n">
        <v>464.95</v>
      </c>
      <c r="S8" s="8" t="n">
        <f aca="false">IFERROR(O8/R8,0)</f>
        <v>0.167695451123777</v>
      </c>
      <c r="T8" s="8" t="n">
        <f aca="false">IFERROR(Q8/M8,0)</f>
        <v>0.0819672131147541</v>
      </c>
    </row>
    <row r="9" customFormat="false" ht="15" hidden="false" customHeight="false" outlineLevel="0" collapsed="false">
      <c r="A9" s="17" t="s">
        <v>15</v>
      </c>
      <c r="B9" s="17" t="s">
        <v>739</v>
      </c>
      <c r="C9" s="17" t="s">
        <v>740</v>
      </c>
      <c r="D9" s="17" t="s">
        <v>28</v>
      </c>
      <c r="E9" s="17" t="s">
        <v>315</v>
      </c>
      <c r="F9" s="17" t="s">
        <v>28</v>
      </c>
      <c r="G9" s="17" t="s">
        <v>194</v>
      </c>
      <c r="H9" s="26" t="s">
        <v>66</v>
      </c>
      <c r="I9" s="17" t="s">
        <v>66</v>
      </c>
      <c r="J9" s="17"/>
      <c r="K9" s="17" t="s">
        <v>60</v>
      </c>
      <c r="L9" s="20" t="n">
        <v>6970</v>
      </c>
      <c r="M9" s="20" t="n">
        <v>41</v>
      </c>
      <c r="N9" s="25" t="n">
        <f aca="false">IFERROR(M9/L9,0)</f>
        <v>0.00588235294117647</v>
      </c>
      <c r="O9" s="27" t="n">
        <v>68.1</v>
      </c>
      <c r="P9" s="14" t="n">
        <f aca="false">IFERROR(O9/M9,0)</f>
        <v>1.6609756097561</v>
      </c>
      <c r="Q9" s="20" t="n">
        <v>6</v>
      </c>
      <c r="R9" s="27" t="n">
        <v>507.94</v>
      </c>
      <c r="S9" s="8" t="n">
        <f aca="false">IFERROR(O9/R9,0)</f>
        <v>0.134070953262196</v>
      </c>
      <c r="T9" s="8" t="n">
        <f aca="false">IFERROR(Q9/M9,0)</f>
        <v>0.146341463414634</v>
      </c>
    </row>
    <row r="10" customFormat="false" ht="15" hidden="false" customHeight="false" outlineLevel="0" collapsed="false">
      <c r="A10" s="17" t="s">
        <v>15</v>
      </c>
      <c r="B10" s="17" t="s">
        <v>741</v>
      </c>
      <c r="C10" s="17" t="s">
        <v>742</v>
      </c>
      <c r="D10" s="17" t="s">
        <v>30</v>
      </c>
      <c r="E10" s="17" t="s">
        <v>315</v>
      </c>
      <c r="F10" s="17" t="s">
        <v>312</v>
      </c>
      <c r="G10" s="17" t="s">
        <v>193</v>
      </c>
      <c r="H10" s="26" t="s">
        <v>66</v>
      </c>
      <c r="I10" s="17" t="s">
        <v>66</v>
      </c>
      <c r="J10" s="17"/>
      <c r="K10" s="17" t="s">
        <v>60</v>
      </c>
      <c r="L10" s="20" t="n">
        <v>3752</v>
      </c>
      <c r="M10" s="20" t="n">
        <v>30</v>
      </c>
      <c r="N10" s="25" t="n">
        <f aca="false">IFERROR(M10/L10,0)</f>
        <v>0.00799573560767591</v>
      </c>
      <c r="O10" s="27" t="n">
        <v>62</v>
      </c>
      <c r="P10" s="14" t="n">
        <f aca="false">IFERROR(O10/M10,0)</f>
        <v>2.06666666666667</v>
      </c>
      <c r="Q10" s="20" t="n">
        <v>8</v>
      </c>
      <c r="R10" s="27" t="n">
        <v>676.67</v>
      </c>
      <c r="S10" s="8" t="n">
        <f aca="false">IFERROR(O10/R10,0)</f>
        <v>0.0916251644080571</v>
      </c>
      <c r="T10" s="8" t="n">
        <f aca="false">IFERROR(Q10/M10,0)</f>
        <v>0.266666666666667</v>
      </c>
    </row>
    <row r="11" customFormat="false" ht="15" hidden="false" customHeight="false" outlineLevel="0" collapsed="false">
      <c r="A11" s="17" t="s">
        <v>15</v>
      </c>
      <c r="B11" s="17" t="s">
        <v>743</v>
      </c>
      <c r="C11" s="17" t="s">
        <v>744</v>
      </c>
      <c r="D11" s="17" t="s">
        <v>28</v>
      </c>
      <c r="E11" s="17" t="s">
        <v>315</v>
      </c>
      <c r="F11" s="17" t="s">
        <v>28</v>
      </c>
      <c r="G11" s="17"/>
      <c r="H11" s="17"/>
      <c r="I11" s="17" t="s">
        <v>66</v>
      </c>
      <c r="J11" s="17"/>
      <c r="K11" s="17" t="s">
        <v>60</v>
      </c>
      <c r="L11" s="20" t="n">
        <v>2626</v>
      </c>
      <c r="M11" s="20" t="n">
        <v>13</v>
      </c>
      <c r="N11" s="25" t="n">
        <f aca="false">IFERROR(M11/L11,0)</f>
        <v>0.00495049504950495</v>
      </c>
      <c r="O11" s="27" t="n">
        <v>44.82</v>
      </c>
      <c r="P11" s="14" t="n">
        <f aca="false">IFERROR(O11/M11,0)</f>
        <v>3.44769230769231</v>
      </c>
      <c r="Q11" s="20" t="n">
        <v>1</v>
      </c>
      <c r="R11" s="27" t="n">
        <v>79.99</v>
      </c>
      <c r="S11" s="8" t="n">
        <f aca="false">IFERROR(O11/R11,0)</f>
        <v>0.560320040005001</v>
      </c>
      <c r="T11" s="8" t="n">
        <f aca="false">IFERROR(Q11/M11,0)</f>
        <v>0.0769230769230769</v>
      </c>
    </row>
    <row r="12" customFormat="false" ht="15" hidden="false" customHeight="false" outlineLevel="0" collapsed="false">
      <c r="A12" s="17" t="s">
        <v>15</v>
      </c>
      <c r="B12" s="17" t="s">
        <v>745</v>
      </c>
      <c r="C12" s="17" t="s">
        <v>746</v>
      </c>
      <c r="D12" s="17" t="s">
        <v>28</v>
      </c>
      <c r="E12" s="17" t="s">
        <v>315</v>
      </c>
      <c r="F12" s="17" t="s">
        <v>28</v>
      </c>
      <c r="G12" s="17" t="s">
        <v>193</v>
      </c>
      <c r="H12" s="26" t="s">
        <v>66</v>
      </c>
      <c r="I12" s="17" t="s">
        <v>66</v>
      </c>
      <c r="J12" s="17"/>
      <c r="K12" s="17" t="s">
        <v>60</v>
      </c>
      <c r="L12" s="20" t="n">
        <v>517</v>
      </c>
      <c r="M12" s="20" t="n">
        <v>8</v>
      </c>
      <c r="N12" s="25" t="n">
        <f aca="false">IFERROR(M12/L12,0)</f>
        <v>0.0154738878143133</v>
      </c>
      <c r="O12" s="27" t="n">
        <v>40.73</v>
      </c>
      <c r="P12" s="14" t="n">
        <f aca="false">IFERROR(O12/M12,0)</f>
        <v>5.09125</v>
      </c>
      <c r="Q12" s="20" t="n">
        <v>0</v>
      </c>
      <c r="R12" s="27" t="n">
        <v>0</v>
      </c>
      <c r="S12" s="8" t="n">
        <f aca="false">IFERROR(O12/R12,0)</f>
        <v>0</v>
      </c>
      <c r="T12" s="8" t="n">
        <f aca="false">IFERROR(Q12/M12,0)</f>
        <v>0</v>
      </c>
    </row>
    <row r="13" customFormat="false" ht="15" hidden="false" customHeight="false" outlineLevel="0" collapsed="false">
      <c r="A13" s="17" t="s">
        <v>15</v>
      </c>
      <c r="B13" s="17" t="s">
        <v>747</v>
      </c>
      <c r="C13" s="17" t="s">
        <v>748</v>
      </c>
      <c r="D13" s="17" t="s">
        <v>30</v>
      </c>
      <c r="E13" s="17" t="s">
        <v>311</v>
      </c>
      <c r="F13" s="17" t="s">
        <v>312</v>
      </c>
      <c r="G13" s="17" t="s">
        <v>86</v>
      </c>
      <c r="H13" s="26" t="s">
        <v>66</v>
      </c>
      <c r="I13" s="17" t="s">
        <v>66</v>
      </c>
      <c r="J13" s="17"/>
      <c r="K13" s="17" t="s">
        <v>60</v>
      </c>
      <c r="L13" s="20" t="n">
        <v>1717</v>
      </c>
      <c r="M13" s="20" t="n">
        <v>30</v>
      </c>
      <c r="N13" s="25" t="n">
        <f aca="false">IFERROR(M13/L13,0)</f>
        <v>0.017472335468841</v>
      </c>
      <c r="O13" s="27" t="n">
        <v>30.47</v>
      </c>
      <c r="P13" s="14" t="n">
        <f aca="false">IFERROR(O13/M13,0)</f>
        <v>1.01566666666667</v>
      </c>
      <c r="Q13" s="20" t="n">
        <v>0</v>
      </c>
      <c r="R13" s="27" t="n">
        <v>0</v>
      </c>
      <c r="S13" s="8" t="n">
        <f aca="false">IFERROR(O13/R13,0)</f>
        <v>0</v>
      </c>
      <c r="T13" s="8" t="n">
        <f aca="false">IFERROR(Q13/M13,0)</f>
        <v>0</v>
      </c>
    </row>
    <row r="14" customFormat="false" ht="15" hidden="false" customHeight="false" outlineLevel="0" collapsed="false">
      <c r="A14" s="17" t="s">
        <v>15</v>
      </c>
      <c r="B14" s="17" t="s">
        <v>749</v>
      </c>
      <c r="C14" s="17" t="s">
        <v>750</v>
      </c>
      <c r="D14" s="17" t="s">
        <v>28</v>
      </c>
      <c r="E14" s="17" t="s">
        <v>315</v>
      </c>
      <c r="F14" s="17" t="s">
        <v>28</v>
      </c>
      <c r="G14" s="17" t="s">
        <v>193</v>
      </c>
      <c r="H14" s="26" t="s">
        <v>66</v>
      </c>
      <c r="I14" s="17" t="s">
        <v>66</v>
      </c>
      <c r="J14" s="17"/>
      <c r="K14" s="17" t="s">
        <v>60</v>
      </c>
      <c r="L14" s="20" t="n">
        <v>1857</v>
      </c>
      <c r="M14" s="20" t="n">
        <v>10</v>
      </c>
      <c r="N14" s="25" t="n">
        <f aca="false">IFERROR(M14/L14,0)</f>
        <v>0.0053850296176629</v>
      </c>
      <c r="O14" s="27" t="n">
        <v>28.6</v>
      </c>
      <c r="P14" s="14" t="n">
        <f aca="false">IFERROR(O14/M14,0)</f>
        <v>2.86</v>
      </c>
      <c r="Q14" s="20" t="n">
        <v>2</v>
      </c>
      <c r="R14" s="27" t="n">
        <v>165.73</v>
      </c>
      <c r="S14" s="8" t="n">
        <f aca="false">IFERROR(O14/R14,0)</f>
        <v>0.172569842514934</v>
      </c>
      <c r="T14" s="8" t="n">
        <f aca="false">IFERROR(Q14/M14,0)</f>
        <v>0.2</v>
      </c>
    </row>
    <row r="15" customFormat="false" ht="15" hidden="false" customHeight="false" outlineLevel="0" collapsed="false">
      <c r="A15" s="17" t="s">
        <v>15</v>
      </c>
      <c r="B15" s="17" t="s">
        <v>751</v>
      </c>
      <c r="C15" s="17" t="s">
        <v>752</v>
      </c>
      <c r="D15" s="17" t="s">
        <v>33</v>
      </c>
      <c r="E15" s="17" t="s">
        <v>318</v>
      </c>
      <c r="F15" s="17" t="s">
        <v>28</v>
      </c>
      <c r="G15" s="17" t="s">
        <v>86</v>
      </c>
      <c r="H15" s="26" t="s">
        <v>66</v>
      </c>
      <c r="I15" s="17" t="s">
        <v>66</v>
      </c>
      <c r="J15" s="17"/>
      <c r="K15" s="17" t="s">
        <v>60</v>
      </c>
      <c r="L15" s="20" t="n">
        <v>4656</v>
      </c>
      <c r="M15" s="20" t="n">
        <v>8</v>
      </c>
      <c r="N15" s="25" t="n">
        <f aca="false">IFERROR(M15/L15,0)</f>
        <v>0.00171821305841924</v>
      </c>
      <c r="O15" s="27" t="n">
        <v>18.28</v>
      </c>
      <c r="P15" s="14" t="n">
        <f aca="false">IFERROR(O15/M15,0)</f>
        <v>2.285</v>
      </c>
      <c r="Q15" s="20" t="n">
        <v>2</v>
      </c>
      <c r="R15" s="27" t="n">
        <v>187.98</v>
      </c>
      <c r="S15" s="8" t="n">
        <f aca="false">IFERROR(O15/R15,0)</f>
        <v>0.0972443877008193</v>
      </c>
      <c r="T15" s="8" t="n">
        <f aca="false">IFERROR(Q15/M15,0)</f>
        <v>0.25</v>
      </c>
    </row>
    <row r="16" customFormat="false" ht="15" hidden="false" customHeight="false" outlineLevel="0" collapsed="false">
      <c r="A16" s="17" t="s">
        <v>15</v>
      </c>
      <c r="B16" s="17" t="s">
        <v>753</v>
      </c>
      <c r="C16" s="17" t="s">
        <v>754</v>
      </c>
      <c r="D16" s="17" t="s">
        <v>28</v>
      </c>
      <c r="E16" s="17" t="s">
        <v>315</v>
      </c>
      <c r="F16" s="17" t="s">
        <v>28</v>
      </c>
      <c r="G16" s="17" t="s">
        <v>194</v>
      </c>
      <c r="H16" s="26" t="s">
        <v>66</v>
      </c>
      <c r="I16" s="17" t="s">
        <v>66</v>
      </c>
      <c r="J16" s="17"/>
      <c r="K16" s="17" t="s">
        <v>60</v>
      </c>
      <c r="L16" s="20" t="n">
        <v>288</v>
      </c>
      <c r="M16" s="20" t="n">
        <v>8</v>
      </c>
      <c r="N16" s="25" t="n">
        <f aca="false">IFERROR(M16/L16,0)</f>
        <v>0.0277777777777778</v>
      </c>
      <c r="O16" s="27" t="n">
        <v>17.89</v>
      </c>
      <c r="P16" s="14" t="n">
        <f aca="false">IFERROR(O16/M16,0)</f>
        <v>2.23625</v>
      </c>
      <c r="Q16" s="20" t="n">
        <v>4</v>
      </c>
      <c r="R16" s="27" t="n">
        <v>360.71</v>
      </c>
      <c r="S16" s="8" t="n">
        <f aca="false">IFERROR(O16/R16,0)</f>
        <v>0.0495966288708381</v>
      </c>
      <c r="T16" s="8" t="n">
        <f aca="false">IFERROR(Q16/M16,0)</f>
        <v>0.5</v>
      </c>
    </row>
    <row r="17" customFormat="false" ht="15" hidden="false" customHeight="false" outlineLevel="0" collapsed="false">
      <c r="A17" s="17" t="s">
        <v>15</v>
      </c>
      <c r="B17" s="17" t="s">
        <v>755</v>
      </c>
      <c r="C17" s="17" t="s">
        <v>756</v>
      </c>
      <c r="D17" s="17" t="s">
        <v>28</v>
      </c>
      <c r="E17" s="17" t="s">
        <v>315</v>
      </c>
      <c r="F17" s="17" t="s">
        <v>28</v>
      </c>
      <c r="G17" s="17" t="s">
        <v>86</v>
      </c>
      <c r="H17" s="26" t="s">
        <v>66</v>
      </c>
      <c r="I17" s="17" t="s">
        <v>66</v>
      </c>
      <c r="J17" s="17"/>
      <c r="K17" s="17" t="s">
        <v>60</v>
      </c>
      <c r="L17" s="20" t="n">
        <v>379</v>
      </c>
      <c r="M17" s="20" t="n">
        <v>3</v>
      </c>
      <c r="N17" s="25" t="n">
        <f aca="false">IFERROR(M17/L17,0)</f>
        <v>0.0079155672823219</v>
      </c>
      <c r="O17" s="27" t="n">
        <v>4.88</v>
      </c>
      <c r="P17" s="14" t="n">
        <f aca="false">IFERROR(O17/M17,0)</f>
        <v>1.62666666666667</v>
      </c>
      <c r="Q17" s="20" t="n">
        <v>0</v>
      </c>
      <c r="R17" s="27" t="n">
        <v>0</v>
      </c>
      <c r="S17" s="8" t="n">
        <f aca="false">IFERROR(O17/R17,0)</f>
        <v>0</v>
      </c>
      <c r="T17" s="8" t="n">
        <f aca="false">IFERROR(Q17/M17,0)</f>
        <v>0</v>
      </c>
    </row>
    <row r="18" customFormat="false" ht="15" hidden="false" customHeight="false" outlineLevel="0" collapsed="false">
      <c r="A18" s="17" t="s">
        <v>15</v>
      </c>
      <c r="B18" s="17" t="s">
        <v>757</v>
      </c>
      <c r="C18" s="17" t="s">
        <v>758</v>
      </c>
      <c r="D18" s="17" t="s">
        <v>28</v>
      </c>
      <c r="E18" s="17" t="s">
        <v>315</v>
      </c>
      <c r="F18" s="17" t="s">
        <v>28</v>
      </c>
      <c r="G18" s="17"/>
      <c r="H18" s="17"/>
      <c r="I18" s="17" t="s">
        <v>66</v>
      </c>
      <c r="J18" s="17"/>
      <c r="K18" s="17" t="s">
        <v>60</v>
      </c>
      <c r="L18" s="20" t="n">
        <v>370</v>
      </c>
      <c r="M18" s="20" t="n">
        <v>2</v>
      </c>
      <c r="N18" s="25" t="n">
        <f aca="false">IFERROR(M18/L18,0)</f>
        <v>0.00540540540540541</v>
      </c>
      <c r="O18" s="27" t="n">
        <v>3.82</v>
      </c>
      <c r="P18" s="14" t="n">
        <f aca="false">IFERROR(O18/M18,0)</f>
        <v>1.91</v>
      </c>
      <c r="Q18" s="20" t="n">
        <v>0</v>
      </c>
      <c r="R18" s="27" t="n">
        <v>0</v>
      </c>
      <c r="S18" s="8" t="n">
        <f aca="false">IFERROR(O18/R18,0)</f>
        <v>0</v>
      </c>
      <c r="T18" s="8" t="n">
        <f aca="false">IFERROR(Q18/M18,0)</f>
        <v>0</v>
      </c>
    </row>
    <row r="19" customFormat="false" ht="15" hidden="false" customHeight="false" outlineLevel="0" collapsed="false">
      <c r="A19" s="17" t="s">
        <v>15</v>
      </c>
      <c r="B19" s="17" t="s">
        <v>759</v>
      </c>
      <c r="C19" s="17" t="s">
        <v>760</v>
      </c>
      <c r="D19" s="17" t="s">
        <v>31</v>
      </c>
      <c r="E19" s="17" t="s">
        <v>311</v>
      </c>
      <c r="F19" s="17" t="s">
        <v>306</v>
      </c>
      <c r="G19" s="17"/>
      <c r="H19" s="17"/>
      <c r="I19" s="17" t="s">
        <v>66</v>
      </c>
      <c r="J19" s="17"/>
      <c r="K19" s="17" t="s">
        <v>60</v>
      </c>
      <c r="L19" s="20" t="n">
        <v>11298</v>
      </c>
      <c r="M19" s="20" t="n">
        <v>13</v>
      </c>
      <c r="N19" s="25" t="n">
        <f aca="false">IFERROR(M19/L19,0)</f>
        <v>0.00115064613205877</v>
      </c>
      <c r="O19" s="27" t="n">
        <v>3.68</v>
      </c>
      <c r="P19" s="14" t="n">
        <f aca="false">IFERROR(O19/M19,0)</f>
        <v>0.283076923076923</v>
      </c>
      <c r="Q19" s="20" t="n">
        <v>2</v>
      </c>
      <c r="R19" s="27" t="n">
        <v>179.98</v>
      </c>
      <c r="S19" s="8" t="n">
        <f aca="false">IFERROR(O19/R19,0)</f>
        <v>0.0204467163018113</v>
      </c>
      <c r="T19" s="8" t="n">
        <f aca="false">IFERROR(Q19/M19,0)</f>
        <v>0.153846153846154</v>
      </c>
    </row>
    <row r="20" customFormat="false" ht="15" hidden="false" customHeight="false" outlineLevel="0" collapsed="false">
      <c r="A20" s="17" t="s">
        <v>15</v>
      </c>
      <c r="B20" s="17" t="s">
        <v>761</v>
      </c>
      <c r="C20" s="17" t="s">
        <v>762</v>
      </c>
      <c r="D20" s="17" t="s">
        <v>33</v>
      </c>
      <c r="E20" s="17" t="s">
        <v>318</v>
      </c>
      <c r="F20" s="17" t="s">
        <v>319</v>
      </c>
      <c r="G20" s="17" t="s">
        <v>86</v>
      </c>
      <c r="H20" s="26" t="s">
        <v>66</v>
      </c>
      <c r="I20" s="17" t="s">
        <v>66</v>
      </c>
      <c r="J20" s="17"/>
      <c r="K20" s="17" t="s">
        <v>60</v>
      </c>
      <c r="L20" s="20" t="n">
        <v>109</v>
      </c>
      <c r="M20" s="20" t="n">
        <v>2</v>
      </c>
      <c r="N20" s="25" t="n">
        <f aca="false">IFERROR(M20/L20,0)</f>
        <v>0.018348623853211</v>
      </c>
      <c r="O20" s="27" t="n">
        <v>3.61</v>
      </c>
      <c r="P20" s="14" t="n">
        <f aca="false">IFERROR(O20/M20,0)</f>
        <v>1.805</v>
      </c>
      <c r="Q20" s="20" t="n">
        <v>0</v>
      </c>
      <c r="R20" s="27" t="n">
        <v>0</v>
      </c>
      <c r="S20" s="8" t="n">
        <f aca="false">IFERROR(O20/R20,0)</f>
        <v>0</v>
      </c>
      <c r="T20" s="8" t="n">
        <f aca="false">IFERROR(Q20/M20,0)</f>
        <v>0</v>
      </c>
    </row>
    <row r="21" customFormat="false" ht="15" hidden="false" customHeight="false" outlineLevel="0" collapsed="false">
      <c r="A21" s="17" t="s">
        <v>15</v>
      </c>
      <c r="B21" s="17" t="s">
        <v>763</v>
      </c>
      <c r="C21" s="17" t="s">
        <v>764</v>
      </c>
      <c r="D21" s="17" t="s">
        <v>28</v>
      </c>
      <c r="E21" s="17" t="s">
        <v>315</v>
      </c>
      <c r="F21" s="17" t="s">
        <v>28</v>
      </c>
      <c r="G21" s="17" t="s">
        <v>193</v>
      </c>
      <c r="H21" s="26" t="s">
        <v>66</v>
      </c>
      <c r="I21" s="17" t="s">
        <v>66</v>
      </c>
      <c r="J21" s="17"/>
      <c r="K21" s="17" t="s">
        <v>60</v>
      </c>
      <c r="L21" s="20" t="n">
        <v>2150</v>
      </c>
      <c r="M21" s="20" t="n">
        <v>2</v>
      </c>
      <c r="N21" s="25" t="n">
        <f aca="false">IFERROR(M21/L21,0)</f>
        <v>0.000930232558139535</v>
      </c>
      <c r="O21" s="27" t="n">
        <v>3.6</v>
      </c>
      <c r="P21" s="14" t="n">
        <f aca="false">IFERROR(O21/M21,0)</f>
        <v>1.8</v>
      </c>
      <c r="Q21" s="20" t="n">
        <v>0</v>
      </c>
      <c r="R21" s="27" t="n">
        <v>0</v>
      </c>
      <c r="S21" s="8" t="n">
        <f aca="false">IFERROR(O21/R21,0)</f>
        <v>0</v>
      </c>
      <c r="T21" s="8" t="n">
        <f aca="false">IFERROR(Q21/M21,0)</f>
        <v>0</v>
      </c>
    </row>
    <row r="22" customFormat="false" ht="15" hidden="false" customHeight="false" outlineLevel="0" collapsed="false">
      <c r="A22" s="17" t="s">
        <v>15</v>
      </c>
      <c r="B22" s="17" t="s">
        <v>765</v>
      </c>
      <c r="C22" s="17" t="s">
        <v>766</v>
      </c>
      <c r="D22" s="24" t="s">
        <v>34</v>
      </c>
      <c r="E22" s="17" t="s">
        <v>303</v>
      </c>
      <c r="F22" s="17" t="s">
        <v>332</v>
      </c>
      <c r="G22" s="17"/>
      <c r="H22" s="17"/>
      <c r="I22" s="17" t="s">
        <v>66</v>
      </c>
      <c r="J22" s="17"/>
      <c r="K22" s="17" t="s">
        <v>60</v>
      </c>
      <c r="L22" s="20" t="n">
        <v>1619</v>
      </c>
      <c r="M22" s="20" t="n">
        <v>8</v>
      </c>
      <c r="N22" s="25" t="n">
        <f aca="false">IFERROR(M22/L22,0)</f>
        <v>0.00494132180358246</v>
      </c>
      <c r="O22" s="27" t="n">
        <v>3.38</v>
      </c>
      <c r="P22" s="14" t="n">
        <f aca="false">IFERROR(O22/M22,0)</f>
        <v>0.4225</v>
      </c>
      <c r="Q22" s="20" t="n">
        <v>0</v>
      </c>
      <c r="R22" s="27" t="n">
        <v>0</v>
      </c>
      <c r="S22" s="8" t="n">
        <f aca="false">IFERROR(O22/R22,0)</f>
        <v>0</v>
      </c>
      <c r="T22" s="8" t="n">
        <f aca="false">IFERROR(Q22/M22,0)</f>
        <v>0</v>
      </c>
    </row>
    <row r="23" customFormat="false" ht="15" hidden="false" customHeight="false" outlineLevel="0" collapsed="false">
      <c r="A23" s="17" t="s">
        <v>15</v>
      </c>
      <c r="B23" s="17" t="s">
        <v>767</v>
      </c>
      <c r="C23" s="17" t="s">
        <v>768</v>
      </c>
      <c r="D23" s="17" t="s">
        <v>28</v>
      </c>
      <c r="E23" s="17" t="s">
        <v>315</v>
      </c>
      <c r="F23" s="17" t="s">
        <v>28</v>
      </c>
      <c r="G23" s="17"/>
      <c r="H23" s="17"/>
      <c r="I23" s="17" t="s">
        <v>66</v>
      </c>
      <c r="J23" s="17"/>
      <c r="K23" s="17" t="s">
        <v>60</v>
      </c>
      <c r="L23" s="20" t="n">
        <v>45</v>
      </c>
      <c r="M23" s="20" t="n">
        <v>2</v>
      </c>
      <c r="N23" s="25" t="n">
        <f aca="false">IFERROR(M23/L23,0)</f>
        <v>0.0444444444444444</v>
      </c>
      <c r="O23" s="27" t="n">
        <v>3.28</v>
      </c>
      <c r="P23" s="14" t="n">
        <f aca="false">IFERROR(O23/M23,0)</f>
        <v>1.64</v>
      </c>
      <c r="Q23" s="20" t="n">
        <v>0</v>
      </c>
      <c r="R23" s="27" t="n">
        <v>0</v>
      </c>
      <c r="S23" s="8" t="n">
        <f aca="false">IFERROR(O23/R23,0)</f>
        <v>0</v>
      </c>
      <c r="T23" s="8" t="n">
        <f aca="false">IFERROR(Q23/M23,0)</f>
        <v>0</v>
      </c>
    </row>
    <row r="24" customFormat="false" ht="15" hidden="false" customHeight="false" outlineLevel="0" collapsed="false">
      <c r="A24" s="17" t="s">
        <v>15</v>
      </c>
      <c r="B24" s="17" t="s">
        <v>769</v>
      </c>
      <c r="C24" s="17" t="s">
        <v>770</v>
      </c>
      <c r="D24" s="17" t="s">
        <v>28</v>
      </c>
      <c r="E24" s="17" t="s">
        <v>315</v>
      </c>
      <c r="F24" s="17" t="s">
        <v>28</v>
      </c>
      <c r="G24" s="17" t="s">
        <v>194</v>
      </c>
      <c r="H24" s="26" t="s">
        <v>66</v>
      </c>
      <c r="I24" s="17" t="s">
        <v>66</v>
      </c>
      <c r="J24" s="17"/>
      <c r="K24" s="17" t="s">
        <v>60</v>
      </c>
      <c r="L24" s="20" t="n">
        <v>65</v>
      </c>
      <c r="M24" s="20" t="n">
        <v>1</v>
      </c>
      <c r="N24" s="25" t="n">
        <f aca="false">IFERROR(M24/L24,0)</f>
        <v>0.0153846153846154</v>
      </c>
      <c r="O24" s="27" t="n">
        <v>3.18</v>
      </c>
      <c r="P24" s="14" t="n">
        <f aca="false">IFERROR(O24/M24,0)</f>
        <v>3.18</v>
      </c>
      <c r="Q24" s="20" t="n">
        <v>0</v>
      </c>
      <c r="R24" s="27" t="n">
        <v>0</v>
      </c>
      <c r="S24" s="8" t="n">
        <f aca="false">IFERROR(O24/R24,0)</f>
        <v>0</v>
      </c>
      <c r="T24" s="8" t="n">
        <f aca="false">IFERROR(Q24/M24,0)</f>
        <v>0</v>
      </c>
    </row>
    <row r="25" customFormat="false" ht="15" hidden="false" customHeight="false" outlineLevel="0" collapsed="false">
      <c r="A25" s="17" t="s">
        <v>15</v>
      </c>
      <c r="B25" s="17" t="s">
        <v>771</v>
      </c>
      <c r="C25" s="17" t="s">
        <v>772</v>
      </c>
      <c r="D25" s="17" t="s">
        <v>28</v>
      </c>
      <c r="E25" s="17" t="s">
        <v>315</v>
      </c>
      <c r="F25" s="17" t="s">
        <v>28</v>
      </c>
      <c r="G25" s="17" t="s">
        <v>61</v>
      </c>
      <c r="H25" s="18" t="s">
        <v>60</v>
      </c>
      <c r="I25" s="17" t="s">
        <v>66</v>
      </c>
      <c r="J25" s="17"/>
      <c r="K25" s="17" t="s">
        <v>60</v>
      </c>
      <c r="L25" s="20" t="n">
        <v>45</v>
      </c>
      <c r="M25" s="20" t="n">
        <v>2</v>
      </c>
      <c r="N25" s="25" t="n">
        <f aca="false">IFERROR(M25/L25,0)</f>
        <v>0.0444444444444444</v>
      </c>
      <c r="O25" s="27" t="n">
        <v>3.07</v>
      </c>
      <c r="P25" s="14" t="n">
        <f aca="false">IFERROR(O25/M25,0)</f>
        <v>1.535</v>
      </c>
      <c r="Q25" s="20" t="n">
        <v>0</v>
      </c>
      <c r="R25" s="27" t="n">
        <v>0</v>
      </c>
      <c r="S25" s="8" t="n">
        <f aca="false">IFERROR(O25/R25,0)</f>
        <v>0</v>
      </c>
      <c r="T25" s="8" t="n">
        <f aca="false">IFERROR(Q25/M25,0)</f>
        <v>0</v>
      </c>
    </row>
    <row r="26" customFormat="false" ht="15" hidden="false" customHeight="false" outlineLevel="0" collapsed="false">
      <c r="A26" s="17" t="s">
        <v>15</v>
      </c>
      <c r="B26" s="17" t="s">
        <v>773</v>
      </c>
      <c r="C26" s="17" t="s">
        <v>774</v>
      </c>
      <c r="D26" s="17" t="s">
        <v>28</v>
      </c>
      <c r="E26" s="17" t="s">
        <v>315</v>
      </c>
      <c r="F26" s="17" t="s">
        <v>28</v>
      </c>
      <c r="G26" s="17" t="s">
        <v>193</v>
      </c>
      <c r="H26" s="26" t="s">
        <v>66</v>
      </c>
      <c r="I26" s="17" t="s">
        <v>66</v>
      </c>
      <c r="J26" s="17"/>
      <c r="K26" s="17" t="s">
        <v>60</v>
      </c>
      <c r="L26" s="20" t="n">
        <v>75</v>
      </c>
      <c r="M26" s="20" t="n">
        <v>2</v>
      </c>
      <c r="N26" s="25" t="n">
        <f aca="false">IFERROR(M26/L26,0)</f>
        <v>0.0266666666666667</v>
      </c>
      <c r="O26" s="27" t="n">
        <v>3.01</v>
      </c>
      <c r="P26" s="14" t="n">
        <f aca="false">IFERROR(O26/M26,0)</f>
        <v>1.505</v>
      </c>
      <c r="Q26" s="20" t="n">
        <v>1</v>
      </c>
      <c r="R26" s="27" t="n">
        <v>99.99</v>
      </c>
      <c r="S26" s="8" t="n">
        <f aca="false">IFERROR(O26/R26,0)</f>
        <v>0.0301030103010301</v>
      </c>
      <c r="T26" s="8" t="n">
        <f aca="false">IFERROR(Q26/M26,0)</f>
        <v>0.5</v>
      </c>
    </row>
    <row r="27" customFormat="false" ht="15" hidden="false" customHeight="false" outlineLevel="0" collapsed="false">
      <c r="A27" s="17" t="s">
        <v>15</v>
      </c>
      <c r="B27" s="17" t="s">
        <v>775</v>
      </c>
      <c r="C27" s="17" t="s">
        <v>776</v>
      </c>
      <c r="D27" s="24" t="s">
        <v>34</v>
      </c>
      <c r="E27" s="17" t="s">
        <v>303</v>
      </c>
      <c r="F27" s="17" t="s">
        <v>332</v>
      </c>
      <c r="G27" s="17"/>
      <c r="H27" s="17"/>
      <c r="I27" s="17" t="s">
        <v>66</v>
      </c>
      <c r="J27" s="17"/>
      <c r="K27" s="17" t="s">
        <v>60</v>
      </c>
      <c r="L27" s="20" t="n">
        <v>2208</v>
      </c>
      <c r="M27" s="20" t="n">
        <v>6</v>
      </c>
      <c r="N27" s="25" t="n">
        <f aca="false">IFERROR(M27/L27,0)</f>
        <v>0.00271739130434783</v>
      </c>
      <c r="O27" s="27" t="n">
        <v>2.66</v>
      </c>
      <c r="P27" s="14" t="n">
        <f aca="false">IFERROR(O27/M27,0)</f>
        <v>0.443333333333333</v>
      </c>
      <c r="Q27" s="20" t="n">
        <v>1</v>
      </c>
      <c r="R27" s="27" t="n">
        <v>79.99</v>
      </c>
      <c r="S27" s="8" t="n">
        <f aca="false">IFERROR(O27/R27,0)</f>
        <v>0.0332541567695962</v>
      </c>
      <c r="T27" s="8" t="n">
        <f aca="false">IFERROR(Q27/M27,0)</f>
        <v>0.166666666666667</v>
      </c>
    </row>
    <row r="28" customFormat="false" ht="15" hidden="false" customHeight="false" outlineLevel="0" collapsed="false">
      <c r="A28" s="17" t="s">
        <v>15</v>
      </c>
      <c r="B28" s="17" t="s">
        <v>777</v>
      </c>
      <c r="C28" s="17" t="s">
        <v>778</v>
      </c>
      <c r="D28" s="17" t="s">
        <v>28</v>
      </c>
      <c r="E28" s="17" t="s">
        <v>315</v>
      </c>
      <c r="F28" s="17" t="s">
        <v>28</v>
      </c>
      <c r="G28" s="17" t="s">
        <v>86</v>
      </c>
      <c r="H28" s="26" t="s">
        <v>66</v>
      </c>
      <c r="I28" s="17" t="s">
        <v>66</v>
      </c>
      <c r="J28" s="17"/>
      <c r="K28" s="17" t="s">
        <v>60</v>
      </c>
      <c r="L28" s="20" t="n">
        <v>561</v>
      </c>
      <c r="M28" s="20" t="n">
        <v>2</v>
      </c>
      <c r="N28" s="25" t="n">
        <f aca="false">IFERROR(M28/L28,0)</f>
        <v>0.0035650623885918</v>
      </c>
      <c r="O28" s="27" t="n">
        <v>2.39</v>
      </c>
      <c r="P28" s="14" t="n">
        <f aca="false">IFERROR(O28/M28,0)</f>
        <v>1.195</v>
      </c>
      <c r="Q28" s="20" t="n">
        <v>0</v>
      </c>
      <c r="R28" s="27" t="n">
        <v>0</v>
      </c>
      <c r="S28" s="8" t="n">
        <f aca="false">IFERROR(O28/R28,0)</f>
        <v>0</v>
      </c>
      <c r="T28" s="8" t="n">
        <f aca="false">IFERROR(Q28/M28,0)</f>
        <v>0</v>
      </c>
    </row>
    <row r="29" customFormat="false" ht="15" hidden="false" customHeight="false" outlineLevel="0" collapsed="false">
      <c r="A29" s="17" t="s">
        <v>15</v>
      </c>
      <c r="B29" s="17" t="s">
        <v>779</v>
      </c>
      <c r="C29" s="17" t="s">
        <v>780</v>
      </c>
      <c r="D29" s="17" t="s">
        <v>33</v>
      </c>
      <c r="E29" s="17" t="s">
        <v>318</v>
      </c>
      <c r="F29" s="17" t="s">
        <v>683</v>
      </c>
      <c r="G29" s="17"/>
      <c r="H29" s="17"/>
      <c r="I29" s="17" t="s">
        <v>60</v>
      </c>
      <c r="J29" s="17" t="s">
        <v>16</v>
      </c>
      <c r="K29" s="17" t="s">
        <v>60</v>
      </c>
      <c r="L29" s="20" t="n">
        <v>55</v>
      </c>
      <c r="M29" s="20" t="n">
        <v>1</v>
      </c>
      <c r="N29" s="25" t="n">
        <f aca="false">IFERROR(M29/L29,0)</f>
        <v>0.0181818181818182</v>
      </c>
      <c r="O29" s="27" t="n">
        <v>2.23</v>
      </c>
      <c r="P29" s="14" t="n">
        <f aca="false">IFERROR(O29/M29,0)</f>
        <v>2.23</v>
      </c>
      <c r="Q29" s="20" t="n">
        <v>0</v>
      </c>
      <c r="R29" s="27" t="n">
        <v>0</v>
      </c>
      <c r="S29" s="8" t="n">
        <f aca="false">IFERROR(O29/R29,0)</f>
        <v>0</v>
      </c>
      <c r="T29" s="8" t="n">
        <f aca="false">IFERROR(Q29/M29,0)</f>
        <v>0</v>
      </c>
    </row>
    <row r="30" customFormat="false" ht="15" hidden="false" customHeight="false" outlineLevel="0" collapsed="false">
      <c r="A30" s="17" t="s">
        <v>15</v>
      </c>
      <c r="B30" s="17" t="s">
        <v>781</v>
      </c>
      <c r="C30" s="17" t="s">
        <v>782</v>
      </c>
      <c r="D30" s="17" t="s">
        <v>28</v>
      </c>
      <c r="E30" s="17" t="s">
        <v>315</v>
      </c>
      <c r="F30" s="17" t="s">
        <v>28</v>
      </c>
      <c r="G30" s="17"/>
      <c r="H30" s="17"/>
      <c r="I30" s="17" t="s">
        <v>66</v>
      </c>
      <c r="J30" s="17"/>
      <c r="K30" s="17" t="s">
        <v>60</v>
      </c>
      <c r="L30" s="20" t="n">
        <v>367</v>
      </c>
      <c r="M30" s="20" t="n">
        <v>1</v>
      </c>
      <c r="N30" s="25" t="n">
        <f aca="false">IFERROR(M30/L30,0)</f>
        <v>0.00272479564032698</v>
      </c>
      <c r="O30" s="27" t="n">
        <v>1.91</v>
      </c>
      <c r="P30" s="14" t="n">
        <f aca="false">IFERROR(O30/M30,0)</f>
        <v>1.91</v>
      </c>
      <c r="Q30" s="20" t="n">
        <v>0</v>
      </c>
      <c r="R30" s="27" t="n">
        <v>0</v>
      </c>
      <c r="S30" s="8" t="n">
        <f aca="false">IFERROR(O30/R30,0)</f>
        <v>0</v>
      </c>
      <c r="T30" s="8" t="n">
        <f aca="false">IFERROR(Q30/M30,0)</f>
        <v>0</v>
      </c>
    </row>
    <row r="31" customFormat="false" ht="15" hidden="false" customHeight="false" outlineLevel="0" collapsed="false">
      <c r="A31" s="17" t="s">
        <v>15</v>
      </c>
      <c r="B31" s="17" t="s">
        <v>783</v>
      </c>
      <c r="C31" s="17" t="s">
        <v>784</v>
      </c>
      <c r="D31" s="17" t="s">
        <v>28</v>
      </c>
      <c r="E31" s="17" t="s">
        <v>315</v>
      </c>
      <c r="F31" s="17" t="s">
        <v>28</v>
      </c>
      <c r="G31" s="17" t="s">
        <v>86</v>
      </c>
      <c r="H31" s="26" t="s">
        <v>66</v>
      </c>
      <c r="I31" s="17" t="s">
        <v>66</v>
      </c>
      <c r="J31" s="17"/>
      <c r="K31" s="17" t="s">
        <v>60</v>
      </c>
      <c r="L31" s="20" t="n">
        <v>24</v>
      </c>
      <c r="M31" s="20" t="n">
        <v>1</v>
      </c>
      <c r="N31" s="25" t="n">
        <f aca="false">IFERROR(M31/L31,0)</f>
        <v>0.0416666666666667</v>
      </c>
      <c r="O31" s="27" t="n">
        <v>1.91</v>
      </c>
      <c r="P31" s="14" t="n">
        <f aca="false">IFERROR(O31/M31,0)</f>
        <v>1.91</v>
      </c>
      <c r="Q31" s="20" t="n">
        <v>0</v>
      </c>
      <c r="R31" s="27" t="n">
        <v>0</v>
      </c>
      <c r="S31" s="8" t="n">
        <f aca="false">IFERROR(O31/R31,0)</f>
        <v>0</v>
      </c>
      <c r="T31" s="8" t="n">
        <f aca="false">IFERROR(Q31/M31,0)</f>
        <v>0</v>
      </c>
    </row>
    <row r="32" customFormat="false" ht="15" hidden="false" customHeight="false" outlineLevel="0" collapsed="false">
      <c r="A32" s="17" t="s">
        <v>15</v>
      </c>
      <c r="B32" s="17" t="s">
        <v>785</v>
      </c>
      <c r="C32" s="17" t="s">
        <v>786</v>
      </c>
      <c r="D32" s="17" t="s">
        <v>28</v>
      </c>
      <c r="E32" s="17" t="s">
        <v>315</v>
      </c>
      <c r="F32" s="17" t="s">
        <v>28</v>
      </c>
      <c r="G32" s="17" t="s">
        <v>86</v>
      </c>
      <c r="H32" s="26" t="s">
        <v>66</v>
      </c>
      <c r="I32" s="17" t="s">
        <v>66</v>
      </c>
      <c r="J32" s="17"/>
      <c r="K32" s="17" t="s">
        <v>60</v>
      </c>
      <c r="L32" s="20" t="n">
        <v>69</v>
      </c>
      <c r="M32" s="20" t="n">
        <v>1</v>
      </c>
      <c r="N32" s="25" t="n">
        <f aca="false">IFERROR(M32/L32,0)</f>
        <v>0.0144927536231884</v>
      </c>
      <c r="O32" s="27" t="n">
        <v>1.84</v>
      </c>
      <c r="P32" s="14" t="n">
        <f aca="false">IFERROR(O32/M32,0)</f>
        <v>1.84</v>
      </c>
      <c r="Q32" s="20" t="n">
        <v>0</v>
      </c>
      <c r="R32" s="27" t="n">
        <v>0</v>
      </c>
      <c r="S32" s="8" t="n">
        <f aca="false">IFERROR(O32/R32,0)</f>
        <v>0</v>
      </c>
      <c r="T32" s="8" t="n">
        <f aca="false">IFERROR(Q32/M32,0)</f>
        <v>0</v>
      </c>
    </row>
    <row r="33" customFormat="false" ht="15" hidden="false" customHeight="false" outlineLevel="0" collapsed="false">
      <c r="A33" s="17" t="s">
        <v>15</v>
      </c>
      <c r="B33" s="17" t="s">
        <v>787</v>
      </c>
      <c r="C33" s="17" t="s">
        <v>788</v>
      </c>
      <c r="D33" s="17" t="s">
        <v>28</v>
      </c>
      <c r="E33" s="17" t="s">
        <v>315</v>
      </c>
      <c r="F33" s="17" t="s">
        <v>28</v>
      </c>
      <c r="G33" s="17" t="s">
        <v>193</v>
      </c>
      <c r="H33" s="26" t="s">
        <v>66</v>
      </c>
      <c r="I33" s="17" t="s">
        <v>66</v>
      </c>
      <c r="J33" s="17"/>
      <c r="K33" s="17" t="s">
        <v>60</v>
      </c>
      <c r="L33" s="20" t="n">
        <v>1621</v>
      </c>
      <c r="M33" s="20" t="n">
        <v>1</v>
      </c>
      <c r="N33" s="25" t="n">
        <f aca="false">IFERROR(M33/L33,0)</f>
        <v>0.000616903146206046</v>
      </c>
      <c r="O33" s="27" t="n">
        <v>1.73</v>
      </c>
      <c r="P33" s="14" t="n">
        <f aca="false">IFERROR(O33/M33,0)</f>
        <v>1.73</v>
      </c>
      <c r="Q33" s="20" t="n">
        <v>1</v>
      </c>
      <c r="R33" s="27" t="n">
        <v>99.99</v>
      </c>
      <c r="S33" s="8" t="n">
        <f aca="false">IFERROR(O33/R33,0)</f>
        <v>0.0173017301730173</v>
      </c>
      <c r="T33" s="8" t="n">
        <f aca="false">IFERROR(Q33/M33,0)</f>
        <v>1</v>
      </c>
    </row>
    <row r="34" customFormat="false" ht="15" hidden="false" customHeight="false" outlineLevel="0" collapsed="false">
      <c r="A34" s="17" t="s">
        <v>15</v>
      </c>
      <c r="B34" s="17" t="s">
        <v>789</v>
      </c>
      <c r="C34" s="17" t="s">
        <v>790</v>
      </c>
      <c r="D34" s="17" t="s">
        <v>29</v>
      </c>
      <c r="E34" s="17" t="s">
        <v>315</v>
      </c>
      <c r="F34" s="17" t="s">
        <v>319</v>
      </c>
      <c r="G34" s="17" t="s">
        <v>57</v>
      </c>
      <c r="H34" s="18" t="s">
        <v>60</v>
      </c>
      <c r="I34" s="17" t="s">
        <v>66</v>
      </c>
      <c r="J34" s="17"/>
      <c r="K34" s="17" t="s">
        <v>60</v>
      </c>
      <c r="L34" s="20" t="n">
        <v>164</v>
      </c>
      <c r="M34" s="20" t="n">
        <v>1</v>
      </c>
      <c r="N34" s="25" t="n">
        <f aca="false">IFERROR(M34/L34,0)</f>
        <v>0.00609756097560976</v>
      </c>
      <c r="O34" s="27" t="n">
        <v>1.54</v>
      </c>
      <c r="P34" s="14" t="n">
        <f aca="false">IFERROR(O34/M34,0)</f>
        <v>1.54</v>
      </c>
      <c r="Q34" s="20" t="n">
        <v>0</v>
      </c>
      <c r="R34" s="27" t="n">
        <v>0</v>
      </c>
      <c r="S34" s="8" t="n">
        <f aca="false">IFERROR(O34/R34,0)</f>
        <v>0</v>
      </c>
      <c r="T34" s="8" t="n">
        <f aca="false">IFERROR(Q34/M34,0)</f>
        <v>0</v>
      </c>
    </row>
    <row r="35" customFormat="false" ht="15" hidden="false" customHeight="false" outlineLevel="0" collapsed="false">
      <c r="A35" s="17" t="s">
        <v>15</v>
      </c>
      <c r="B35" s="17" t="s">
        <v>791</v>
      </c>
      <c r="C35" s="17" t="s">
        <v>792</v>
      </c>
      <c r="D35" s="17" t="s">
        <v>28</v>
      </c>
      <c r="E35" s="17" t="s">
        <v>315</v>
      </c>
      <c r="F35" s="17" t="s">
        <v>28</v>
      </c>
      <c r="G35" s="17" t="s">
        <v>63</v>
      </c>
      <c r="H35" s="26" t="s">
        <v>66</v>
      </c>
      <c r="I35" s="17" t="s">
        <v>66</v>
      </c>
      <c r="J35" s="17"/>
      <c r="K35" s="17" t="s">
        <v>60</v>
      </c>
      <c r="L35" s="20" t="n">
        <v>41</v>
      </c>
      <c r="M35" s="20" t="n">
        <v>1</v>
      </c>
      <c r="N35" s="25" t="n">
        <f aca="false">IFERROR(M35/L35,0)</f>
        <v>0.024390243902439</v>
      </c>
      <c r="O35" s="27" t="n">
        <v>1.45</v>
      </c>
      <c r="P35" s="14" t="n">
        <f aca="false">IFERROR(O35/M35,0)</f>
        <v>1.45</v>
      </c>
      <c r="Q35" s="20" t="n">
        <v>0</v>
      </c>
      <c r="R35" s="27" t="n">
        <v>0</v>
      </c>
      <c r="S35" s="8" t="n">
        <f aca="false">IFERROR(O35/R35,0)</f>
        <v>0</v>
      </c>
      <c r="T35" s="8" t="n">
        <f aca="false">IFERROR(Q35/M35,0)</f>
        <v>0</v>
      </c>
    </row>
    <row r="36" customFormat="false" ht="15" hidden="false" customHeight="false" outlineLevel="0" collapsed="false">
      <c r="A36" s="17" t="s">
        <v>15</v>
      </c>
      <c r="B36" s="17" t="s">
        <v>793</v>
      </c>
      <c r="C36" s="17" t="s">
        <v>794</v>
      </c>
      <c r="D36" s="17" t="s">
        <v>28</v>
      </c>
      <c r="E36" s="17" t="s">
        <v>315</v>
      </c>
      <c r="F36" s="17" t="s">
        <v>28</v>
      </c>
      <c r="G36" s="17" t="s">
        <v>86</v>
      </c>
      <c r="H36" s="26" t="s">
        <v>66</v>
      </c>
      <c r="I36" s="17" t="s">
        <v>66</v>
      </c>
      <c r="J36" s="17"/>
      <c r="K36" s="17" t="s">
        <v>60</v>
      </c>
      <c r="L36" s="20" t="n">
        <v>9</v>
      </c>
      <c r="M36" s="20" t="n">
        <v>1</v>
      </c>
      <c r="N36" s="25" t="n">
        <f aca="false">IFERROR(M36/L36,0)</f>
        <v>0.111111111111111</v>
      </c>
      <c r="O36" s="27" t="n">
        <v>1.41</v>
      </c>
      <c r="P36" s="14" t="n">
        <f aca="false">IFERROR(O36/M36,0)</f>
        <v>1.41</v>
      </c>
      <c r="Q36" s="20" t="n">
        <v>0</v>
      </c>
      <c r="R36" s="27" t="n">
        <v>0</v>
      </c>
      <c r="S36" s="8" t="n">
        <f aca="false">IFERROR(O36/R36,0)</f>
        <v>0</v>
      </c>
      <c r="T36" s="8" t="n">
        <f aca="false">IFERROR(Q36/M36,0)</f>
        <v>0</v>
      </c>
    </row>
    <row r="37" customFormat="false" ht="15" hidden="false" customHeight="false" outlineLevel="0" collapsed="false">
      <c r="A37" s="17" t="s">
        <v>15</v>
      </c>
      <c r="B37" s="17" t="s">
        <v>795</v>
      </c>
      <c r="C37" s="17" t="s">
        <v>796</v>
      </c>
      <c r="D37" s="17" t="s">
        <v>28</v>
      </c>
      <c r="E37" s="17" t="s">
        <v>315</v>
      </c>
      <c r="F37" s="17" t="s">
        <v>28</v>
      </c>
      <c r="G37" s="17"/>
      <c r="H37" s="17"/>
      <c r="I37" s="17" t="s">
        <v>66</v>
      </c>
      <c r="J37" s="17"/>
      <c r="K37" s="17" t="s">
        <v>60</v>
      </c>
      <c r="L37" s="20" t="n">
        <v>267</v>
      </c>
      <c r="M37" s="20" t="n">
        <v>1</v>
      </c>
      <c r="N37" s="25" t="n">
        <f aca="false">IFERROR(M37/L37,0)</f>
        <v>0.00374531835205993</v>
      </c>
      <c r="O37" s="27" t="n">
        <v>1.37</v>
      </c>
      <c r="P37" s="14" t="n">
        <f aca="false">IFERROR(O37/M37,0)</f>
        <v>1.37</v>
      </c>
      <c r="Q37" s="20" t="n">
        <v>0</v>
      </c>
      <c r="R37" s="27" t="n">
        <v>0</v>
      </c>
      <c r="S37" s="8" t="n">
        <f aca="false">IFERROR(O37/R37,0)</f>
        <v>0</v>
      </c>
      <c r="T37" s="8" t="n">
        <f aca="false">IFERROR(Q37/M37,0)</f>
        <v>0</v>
      </c>
    </row>
    <row r="38" customFormat="false" ht="15" hidden="false" customHeight="false" outlineLevel="0" collapsed="false">
      <c r="A38" s="17" t="s">
        <v>15</v>
      </c>
      <c r="B38" s="17" t="s">
        <v>797</v>
      </c>
      <c r="C38" s="17" t="s">
        <v>798</v>
      </c>
      <c r="D38" s="17" t="s">
        <v>28</v>
      </c>
      <c r="E38" s="17" t="s">
        <v>315</v>
      </c>
      <c r="F38" s="17" t="s">
        <v>28</v>
      </c>
      <c r="G38" s="17"/>
      <c r="H38" s="17"/>
      <c r="I38" s="17" t="s">
        <v>66</v>
      </c>
      <c r="J38" s="17"/>
      <c r="K38" s="17" t="s">
        <v>60</v>
      </c>
      <c r="L38" s="20" t="n">
        <v>23</v>
      </c>
      <c r="M38" s="20" t="n">
        <v>3</v>
      </c>
      <c r="N38" s="25" t="n">
        <f aca="false">IFERROR(M38/L38,0)</f>
        <v>0.130434782608696</v>
      </c>
      <c r="O38" s="27" t="n">
        <v>1.36</v>
      </c>
      <c r="P38" s="14" t="n">
        <f aca="false">IFERROR(O38/M38,0)</f>
        <v>0.453333333333333</v>
      </c>
      <c r="Q38" s="20" t="n">
        <v>0</v>
      </c>
      <c r="R38" s="27" t="n">
        <v>0</v>
      </c>
      <c r="S38" s="8" t="n">
        <f aca="false">IFERROR(O38/R38,0)</f>
        <v>0</v>
      </c>
      <c r="T38" s="8" t="n">
        <f aca="false">IFERROR(Q38/M38,0)</f>
        <v>0</v>
      </c>
    </row>
    <row r="39" customFormat="false" ht="15" hidden="false" customHeight="false" outlineLevel="0" collapsed="false">
      <c r="A39" s="17" t="s">
        <v>15</v>
      </c>
      <c r="B39" s="17" t="s">
        <v>799</v>
      </c>
      <c r="C39" s="17" t="s">
        <v>800</v>
      </c>
      <c r="D39" s="17" t="s">
        <v>28</v>
      </c>
      <c r="E39" s="17" t="s">
        <v>315</v>
      </c>
      <c r="F39" s="17" t="s">
        <v>28</v>
      </c>
      <c r="G39" s="17" t="s">
        <v>193</v>
      </c>
      <c r="H39" s="26" t="s">
        <v>66</v>
      </c>
      <c r="I39" s="17" t="s">
        <v>66</v>
      </c>
      <c r="J39" s="17"/>
      <c r="K39" s="17" t="s">
        <v>60</v>
      </c>
      <c r="L39" s="20" t="n">
        <v>207</v>
      </c>
      <c r="M39" s="20" t="n">
        <v>1</v>
      </c>
      <c r="N39" s="25" t="n">
        <f aca="false">IFERROR(M39/L39,0)</f>
        <v>0.00483091787439614</v>
      </c>
      <c r="O39" s="27" t="n">
        <v>1.3</v>
      </c>
      <c r="P39" s="14" t="n">
        <f aca="false">IFERROR(O39/M39,0)</f>
        <v>1.3</v>
      </c>
      <c r="Q39" s="20" t="n">
        <v>0</v>
      </c>
      <c r="R39" s="27" t="n">
        <v>0</v>
      </c>
      <c r="S39" s="8" t="n">
        <f aca="false">IFERROR(O39/R39,0)</f>
        <v>0</v>
      </c>
      <c r="T39" s="8" t="n">
        <f aca="false">IFERROR(Q39/M39,0)</f>
        <v>0</v>
      </c>
    </row>
    <row r="40" customFormat="false" ht="15" hidden="false" customHeight="false" outlineLevel="0" collapsed="false">
      <c r="A40" s="17" t="s">
        <v>15</v>
      </c>
      <c r="B40" s="17" t="s">
        <v>801</v>
      </c>
      <c r="C40" s="17" t="s">
        <v>802</v>
      </c>
      <c r="D40" s="24" t="s">
        <v>34</v>
      </c>
      <c r="E40" s="17" t="s">
        <v>303</v>
      </c>
      <c r="F40" s="17" t="s">
        <v>332</v>
      </c>
      <c r="G40" s="17"/>
      <c r="H40" s="17"/>
      <c r="I40" s="17" t="s">
        <v>66</v>
      </c>
      <c r="J40" s="17"/>
      <c r="K40" s="17" t="s">
        <v>60</v>
      </c>
      <c r="L40" s="20" t="n">
        <v>656</v>
      </c>
      <c r="M40" s="20" t="n">
        <v>3</v>
      </c>
      <c r="N40" s="25" t="n">
        <f aca="false">IFERROR(M40/L40,0)</f>
        <v>0.00457317073170732</v>
      </c>
      <c r="O40" s="27" t="n">
        <v>1.21</v>
      </c>
      <c r="P40" s="14" t="n">
        <f aca="false">IFERROR(O40/M40,0)</f>
        <v>0.403333333333333</v>
      </c>
      <c r="Q40" s="20" t="n">
        <v>0</v>
      </c>
      <c r="R40" s="27" t="n">
        <v>0</v>
      </c>
      <c r="S40" s="8" t="n">
        <f aca="false">IFERROR(O40/R40,0)</f>
        <v>0</v>
      </c>
      <c r="T40" s="8" t="n">
        <f aca="false">IFERROR(Q40/M40,0)</f>
        <v>0</v>
      </c>
    </row>
    <row r="41" customFormat="false" ht="15" hidden="false" customHeight="false" outlineLevel="0" collapsed="false">
      <c r="A41" s="17" t="s">
        <v>15</v>
      </c>
      <c r="B41" s="17" t="s">
        <v>803</v>
      </c>
      <c r="C41" s="17" t="s">
        <v>804</v>
      </c>
      <c r="D41" s="17" t="s">
        <v>31</v>
      </c>
      <c r="E41" s="17" t="s">
        <v>311</v>
      </c>
      <c r="F41" s="17"/>
      <c r="G41" s="17" t="s">
        <v>206</v>
      </c>
      <c r="H41" s="18" t="s">
        <v>60</v>
      </c>
      <c r="I41" s="17" t="s">
        <v>66</v>
      </c>
      <c r="J41" s="17"/>
      <c r="K41" s="17" t="s">
        <v>60</v>
      </c>
      <c r="L41" s="20" t="n">
        <v>37</v>
      </c>
      <c r="M41" s="20" t="n">
        <v>1</v>
      </c>
      <c r="N41" s="25" t="n">
        <f aca="false">IFERROR(M41/L41,0)</f>
        <v>0.027027027027027</v>
      </c>
      <c r="O41" s="27" t="n">
        <v>1.09</v>
      </c>
      <c r="P41" s="14" t="n">
        <f aca="false">IFERROR(O41/M41,0)</f>
        <v>1.09</v>
      </c>
      <c r="Q41" s="20" t="n">
        <v>1</v>
      </c>
      <c r="R41" s="27" t="n">
        <v>79.99</v>
      </c>
      <c r="S41" s="8" t="n">
        <f aca="false">IFERROR(O41/R41,0)</f>
        <v>0.0136267033379172</v>
      </c>
      <c r="T41" s="8" t="n">
        <f aca="false">IFERROR(Q41/M41,0)</f>
        <v>1</v>
      </c>
    </row>
    <row r="42" customFormat="false" ht="15" hidden="false" customHeight="false" outlineLevel="0" collapsed="false">
      <c r="A42" s="17" t="s">
        <v>15</v>
      </c>
      <c r="B42" s="17" t="s">
        <v>805</v>
      </c>
      <c r="C42" s="17" t="s">
        <v>806</v>
      </c>
      <c r="D42" s="17" t="s">
        <v>28</v>
      </c>
      <c r="E42" s="17" t="s">
        <v>311</v>
      </c>
      <c r="F42" s="17" t="s">
        <v>28</v>
      </c>
      <c r="G42" s="17" t="s">
        <v>86</v>
      </c>
      <c r="H42" s="26" t="s">
        <v>66</v>
      </c>
      <c r="I42" s="17" t="s">
        <v>66</v>
      </c>
      <c r="J42" s="17"/>
      <c r="K42" s="17" t="s">
        <v>60</v>
      </c>
      <c r="L42" s="20" t="n">
        <v>502</v>
      </c>
      <c r="M42" s="20" t="n">
        <v>1</v>
      </c>
      <c r="N42" s="25" t="n">
        <f aca="false">IFERROR(M42/L42,0)</f>
        <v>0.00199203187250996</v>
      </c>
      <c r="O42" s="27" t="n">
        <v>0.48</v>
      </c>
      <c r="P42" s="14" t="n">
        <f aca="false">IFERROR(O42/M42,0)</f>
        <v>0.48</v>
      </c>
      <c r="Q42" s="20" t="n">
        <v>0</v>
      </c>
      <c r="R42" s="27" t="n">
        <v>0</v>
      </c>
      <c r="S42" s="8" t="n">
        <f aca="false">IFERROR(O42/R42,0)</f>
        <v>0</v>
      </c>
      <c r="T42" s="8" t="n">
        <f aca="false">IFERROR(Q42/M42,0)</f>
        <v>0</v>
      </c>
    </row>
    <row r="43" customFormat="false" ht="15" hidden="false" customHeight="false" outlineLevel="0" collapsed="false">
      <c r="A43" s="17" t="s">
        <v>15</v>
      </c>
      <c r="B43" s="17" t="s">
        <v>807</v>
      </c>
      <c r="C43" s="17" t="s">
        <v>808</v>
      </c>
      <c r="D43" s="24" t="s">
        <v>34</v>
      </c>
      <c r="E43" s="17" t="s">
        <v>303</v>
      </c>
      <c r="F43" s="17" t="s">
        <v>332</v>
      </c>
      <c r="G43" s="17"/>
      <c r="H43" s="17"/>
      <c r="I43" s="17" t="s">
        <v>66</v>
      </c>
      <c r="J43" s="17"/>
      <c r="K43" s="17" t="s">
        <v>60</v>
      </c>
      <c r="L43" s="20" t="n">
        <v>303</v>
      </c>
      <c r="M43" s="20" t="n">
        <v>2</v>
      </c>
      <c r="N43" s="25" t="n">
        <f aca="false">IFERROR(M43/L43,0)</f>
        <v>0.0066006600660066</v>
      </c>
      <c r="O43" s="27" t="n">
        <v>0.45</v>
      </c>
      <c r="P43" s="14" t="n">
        <f aca="false">IFERROR(O43/M43,0)</f>
        <v>0.225</v>
      </c>
      <c r="Q43" s="20" t="n">
        <v>0</v>
      </c>
      <c r="R43" s="27" t="n">
        <v>0</v>
      </c>
      <c r="S43" s="8" t="n">
        <f aca="false">IFERROR(O43/R43,0)</f>
        <v>0</v>
      </c>
      <c r="T43" s="8" t="n">
        <f aca="false">IFERROR(Q43/M43,0)</f>
        <v>0</v>
      </c>
    </row>
    <row r="44" customFormat="false" ht="15" hidden="false" customHeight="false" outlineLevel="0" collapsed="false">
      <c r="A44" s="17" t="s">
        <v>15</v>
      </c>
      <c r="B44" s="17" t="s">
        <v>809</v>
      </c>
      <c r="C44" s="17" t="s">
        <v>810</v>
      </c>
      <c r="D44" s="24" t="s">
        <v>34</v>
      </c>
      <c r="E44" s="17" t="s">
        <v>303</v>
      </c>
      <c r="F44" s="17" t="s">
        <v>332</v>
      </c>
      <c r="G44" s="17"/>
      <c r="H44" s="17"/>
      <c r="I44" s="17" t="s">
        <v>66</v>
      </c>
      <c r="J44" s="17"/>
      <c r="K44" s="17" t="s">
        <v>60</v>
      </c>
      <c r="L44" s="20" t="n">
        <v>440</v>
      </c>
      <c r="M44" s="20" t="n">
        <v>1</v>
      </c>
      <c r="N44" s="25" t="n">
        <f aca="false">IFERROR(M44/L44,0)</f>
        <v>0.00227272727272727</v>
      </c>
      <c r="O44" s="27" t="n">
        <v>0.32</v>
      </c>
      <c r="P44" s="14" t="n">
        <f aca="false">IFERROR(O44/M44,0)</f>
        <v>0.32</v>
      </c>
      <c r="Q44" s="20" t="n">
        <v>0</v>
      </c>
      <c r="R44" s="27" t="n">
        <v>0</v>
      </c>
      <c r="S44" s="8" t="n">
        <f aca="false">IFERROR(O44/R44,0)</f>
        <v>0</v>
      </c>
      <c r="T44" s="8" t="n">
        <f aca="false">IFERROR(Q44/M44,0)</f>
        <v>0</v>
      </c>
    </row>
    <row r="45" customFormat="false" ht="15" hidden="false" customHeight="false" outlineLevel="0" collapsed="false">
      <c r="A45" s="17" t="s">
        <v>15</v>
      </c>
      <c r="B45" s="17" t="s">
        <v>811</v>
      </c>
      <c r="C45" s="17" t="s">
        <v>812</v>
      </c>
      <c r="D45" s="26" t="s">
        <v>32</v>
      </c>
      <c r="E45" s="17" t="s">
        <v>303</v>
      </c>
      <c r="F45" s="17" t="s">
        <v>306</v>
      </c>
      <c r="G45" s="17" t="s">
        <v>86</v>
      </c>
      <c r="H45" s="26" t="s">
        <v>66</v>
      </c>
      <c r="I45" s="17" t="s">
        <v>66</v>
      </c>
      <c r="J45" s="17"/>
      <c r="K45" s="17" t="s">
        <v>60</v>
      </c>
      <c r="L45" s="20" t="n">
        <v>247</v>
      </c>
      <c r="M45" s="20" t="n">
        <v>1</v>
      </c>
      <c r="N45" s="25" t="n">
        <f aca="false">IFERROR(M45/L45,0)</f>
        <v>0.00404858299595142</v>
      </c>
      <c r="O45" s="27" t="n">
        <v>0.07</v>
      </c>
      <c r="P45" s="14" t="n">
        <f aca="false">IFERROR(O45/M45,0)</f>
        <v>0.07</v>
      </c>
      <c r="Q45" s="20" t="n">
        <v>1</v>
      </c>
      <c r="R45" s="27" t="n">
        <v>80.74</v>
      </c>
      <c r="S45" s="8" t="n">
        <f aca="false">IFERROR(O45/R45,0)</f>
        <v>0.000866980431013129</v>
      </c>
      <c r="T45" s="8" t="n">
        <f aca="false">IFERROR(Q45/M45,0)</f>
        <v>1</v>
      </c>
    </row>
    <row r="46" customFormat="false" ht="15" hidden="false" customHeight="false" outlineLevel="0" collapsed="false">
      <c r="A46" s="17" t="s">
        <v>16</v>
      </c>
      <c r="B46" s="17" t="s">
        <v>813</v>
      </c>
      <c r="C46" s="17" t="s">
        <v>814</v>
      </c>
      <c r="D46" s="17" t="s">
        <v>28</v>
      </c>
      <c r="E46" s="17" t="s">
        <v>315</v>
      </c>
      <c r="F46" s="17" t="s">
        <v>28</v>
      </c>
      <c r="G46" s="17" t="s">
        <v>118</v>
      </c>
      <c r="H46" s="18" t="s">
        <v>60</v>
      </c>
      <c r="I46" s="17" t="s">
        <v>66</v>
      </c>
      <c r="J46" s="17"/>
      <c r="K46" s="17" t="s">
        <v>60</v>
      </c>
      <c r="L46" s="20" t="n">
        <v>1068</v>
      </c>
      <c r="M46" s="20" t="n">
        <v>47</v>
      </c>
      <c r="N46" s="25" t="n">
        <f aca="false">IFERROR(M46/L46,0)</f>
        <v>0.0440074906367041</v>
      </c>
      <c r="O46" s="27" t="n">
        <v>188.15</v>
      </c>
      <c r="P46" s="14" t="n">
        <f aca="false">IFERROR(O46/M46,0)</f>
        <v>4.0031914893617</v>
      </c>
      <c r="Q46" s="20" t="n">
        <v>6</v>
      </c>
      <c r="R46" s="27" t="n">
        <v>533.94</v>
      </c>
      <c r="S46" s="8" t="n">
        <f aca="false">IFERROR(O46/R46,0)</f>
        <v>0.352380417275349</v>
      </c>
      <c r="T46" s="8" t="n">
        <f aca="false">IFERROR(Q46/M46,0)</f>
        <v>0.127659574468085</v>
      </c>
    </row>
    <row r="47" customFormat="false" ht="15" hidden="false" customHeight="false" outlineLevel="0" collapsed="false">
      <c r="A47" s="17" t="s">
        <v>16</v>
      </c>
      <c r="B47" s="17" t="s">
        <v>815</v>
      </c>
      <c r="C47" s="17" t="s">
        <v>816</v>
      </c>
      <c r="D47" s="24" t="s">
        <v>34</v>
      </c>
      <c r="E47" s="17" t="s">
        <v>311</v>
      </c>
      <c r="F47" s="17"/>
      <c r="G47" s="17"/>
      <c r="H47" s="17"/>
      <c r="I47" s="17" t="s">
        <v>66</v>
      </c>
      <c r="J47" s="17"/>
      <c r="K47" s="17" t="s">
        <v>60</v>
      </c>
      <c r="L47" s="20" t="n">
        <v>7289</v>
      </c>
      <c r="M47" s="20" t="n">
        <v>37</v>
      </c>
      <c r="N47" s="25" t="n">
        <f aca="false">IFERROR(M47/L47,0)</f>
        <v>0.0050761421319797</v>
      </c>
      <c r="O47" s="27" t="n">
        <v>44.13</v>
      </c>
      <c r="P47" s="14" t="n">
        <f aca="false">IFERROR(O47/M47,0)</f>
        <v>1.1927027027027</v>
      </c>
      <c r="Q47" s="20" t="n">
        <v>3</v>
      </c>
      <c r="R47" s="27" t="n">
        <v>253.72</v>
      </c>
      <c r="S47" s="8" t="n">
        <f aca="false">IFERROR(O47/R47,0)</f>
        <v>0.173931893425824</v>
      </c>
      <c r="T47" s="8" t="n">
        <f aca="false">IFERROR(Q47/M47,0)</f>
        <v>0.0810810810810811</v>
      </c>
    </row>
    <row r="48" customFormat="false" ht="15" hidden="false" customHeight="false" outlineLevel="0" collapsed="false">
      <c r="A48" s="17" t="s">
        <v>16</v>
      </c>
      <c r="B48" s="17" t="s">
        <v>817</v>
      </c>
      <c r="C48" s="17" t="s">
        <v>818</v>
      </c>
      <c r="D48" s="17" t="s">
        <v>28</v>
      </c>
      <c r="E48" s="17" t="s">
        <v>315</v>
      </c>
      <c r="F48" s="17" t="s">
        <v>28</v>
      </c>
      <c r="G48" s="17" t="s">
        <v>116</v>
      </c>
      <c r="H48" s="26" t="s">
        <v>66</v>
      </c>
      <c r="I48" s="17" t="s">
        <v>66</v>
      </c>
      <c r="J48" s="17"/>
      <c r="K48" s="17" t="s">
        <v>60</v>
      </c>
      <c r="L48" s="20" t="n">
        <v>116</v>
      </c>
      <c r="M48" s="20" t="n">
        <v>69</v>
      </c>
      <c r="N48" s="25" t="n">
        <f aca="false">IFERROR(M48/L48,0)</f>
        <v>0.594827586206897</v>
      </c>
      <c r="O48" s="27" t="n">
        <v>37.72</v>
      </c>
      <c r="P48" s="14" t="n">
        <f aca="false">IFERROR(O48/M48,0)</f>
        <v>0.546666666666667</v>
      </c>
      <c r="Q48" s="20" t="n">
        <v>1</v>
      </c>
      <c r="R48" s="27" t="n">
        <v>80.74</v>
      </c>
      <c r="S48" s="8" t="n">
        <f aca="false">IFERROR(O48/R48,0)</f>
        <v>0.467178597968789</v>
      </c>
      <c r="T48" s="8" t="n">
        <f aca="false">IFERROR(Q48/M48,0)</f>
        <v>0.0144927536231884</v>
      </c>
    </row>
    <row r="49" customFormat="false" ht="15" hidden="false" customHeight="false" outlineLevel="0" collapsed="false">
      <c r="A49" s="17" t="s">
        <v>16</v>
      </c>
      <c r="B49" s="17" t="s">
        <v>819</v>
      </c>
      <c r="C49" s="17" t="s">
        <v>820</v>
      </c>
      <c r="D49" s="24" t="s">
        <v>34</v>
      </c>
      <c r="E49" s="17" t="s">
        <v>303</v>
      </c>
      <c r="F49" s="17"/>
      <c r="G49" s="17"/>
      <c r="H49" s="17"/>
      <c r="I49" s="17" t="s">
        <v>66</v>
      </c>
      <c r="J49" s="17"/>
      <c r="K49" s="17" t="s">
        <v>60</v>
      </c>
      <c r="L49" s="20" t="n">
        <v>5473</v>
      </c>
      <c r="M49" s="20" t="n">
        <v>26</v>
      </c>
      <c r="N49" s="25" t="n">
        <f aca="false">IFERROR(M49/L49,0)</f>
        <v>0.00475059382422803</v>
      </c>
      <c r="O49" s="27" t="n">
        <v>30.22</v>
      </c>
      <c r="P49" s="14" t="n">
        <f aca="false">IFERROR(O49/M49,0)</f>
        <v>1.16230769230769</v>
      </c>
      <c r="Q49" s="20" t="n">
        <v>1</v>
      </c>
      <c r="R49" s="27" t="n">
        <v>84.99</v>
      </c>
      <c r="S49" s="8" t="n">
        <f aca="false">IFERROR(O49/R49,0)</f>
        <v>0.355571243675727</v>
      </c>
      <c r="T49" s="8" t="n">
        <f aca="false">IFERROR(Q49/M49,0)</f>
        <v>0.0384615384615385</v>
      </c>
    </row>
    <row r="50" customFormat="false" ht="15" hidden="false" customHeight="false" outlineLevel="0" collapsed="false">
      <c r="A50" s="17" t="s">
        <v>16</v>
      </c>
      <c r="B50" s="17" t="s">
        <v>821</v>
      </c>
      <c r="C50" s="17" t="s">
        <v>822</v>
      </c>
      <c r="D50" s="17" t="s">
        <v>28</v>
      </c>
      <c r="E50" s="17" t="s">
        <v>315</v>
      </c>
      <c r="F50" s="17" t="s">
        <v>28</v>
      </c>
      <c r="G50" s="17" t="s">
        <v>210</v>
      </c>
      <c r="H50" s="26" t="s">
        <v>66</v>
      </c>
      <c r="I50" s="17" t="s">
        <v>66</v>
      </c>
      <c r="J50" s="17"/>
      <c r="K50" s="17" t="s">
        <v>60</v>
      </c>
      <c r="L50" s="20" t="n">
        <v>6785</v>
      </c>
      <c r="M50" s="20" t="n">
        <v>14</v>
      </c>
      <c r="N50" s="25" t="n">
        <f aca="false">IFERROR(M50/L50,0)</f>
        <v>0.00206337509211496</v>
      </c>
      <c r="O50" s="27" t="n">
        <v>27.51</v>
      </c>
      <c r="P50" s="14" t="n">
        <f aca="false">IFERROR(O50/M50,0)</f>
        <v>1.965</v>
      </c>
      <c r="Q50" s="20" t="n">
        <v>1</v>
      </c>
      <c r="R50" s="27" t="n">
        <v>85.49</v>
      </c>
      <c r="S50" s="8" t="n">
        <f aca="false">IFERROR(O50/R50,0)</f>
        <v>0.321792022458767</v>
      </c>
      <c r="T50" s="8" t="n">
        <f aca="false">IFERROR(Q50/M50,0)</f>
        <v>0.0714285714285714</v>
      </c>
    </row>
    <row r="51" customFormat="false" ht="15" hidden="false" customHeight="false" outlineLevel="0" collapsed="false">
      <c r="A51" s="17" t="s">
        <v>16</v>
      </c>
      <c r="B51" s="17" t="s">
        <v>823</v>
      </c>
      <c r="C51" s="17" t="s">
        <v>824</v>
      </c>
      <c r="D51" s="17" t="s">
        <v>31</v>
      </c>
      <c r="E51" s="17" t="s">
        <v>311</v>
      </c>
      <c r="F51" s="17" t="s">
        <v>306</v>
      </c>
      <c r="G51" s="17" t="s">
        <v>825</v>
      </c>
      <c r="H51" s="26" t="s">
        <v>66</v>
      </c>
      <c r="I51" s="17" t="s">
        <v>66</v>
      </c>
      <c r="J51" s="17"/>
      <c r="K51" s="17" t="s">
        <v>60</v>
      </c>
      <c r="L51" s="20" t="n">
        <v>3338</v>
      </c>
      <c r="M51" s="20" t="n">
        <v>10</v>
      </c>
      <c r="N51" s="25" t="n">
        <f aca="false">IFERROR(M51/L51,0)</f>
        <v>0.00299580587177951</v>
      </c>
      <c r="O51" s="27" t="n">
        <v>26.68</v>
      </c>
      <c r="P51" s="14" t="n">
        <f aca="false">IFERROR(O51/M51,0)</f>
        <v>2.668</v>
      </c>
      <c r="Q51" s="20" t="n">
        <v>0</v>
      </c>
      <c r="R51" s="27" t="n">
        <v>0</v>
      </c>
      <c r="S51" s="8" t="n">
        <f aca="false">IFERROR(O51/R51,0)</f>
        <v>0</v>
      </c>
      <c r="T51" s="8" t="n">
        <f aca="false">IFERROR(Q51/M51,0)</f>
        <v>0</v>
      </c>
    </row>
    <row r="52" customFormat="false" ht="15" hidden="false" customHeight="false" outlineLevel="0" collapsed="false">
      <c r="A52" s="17" t="s">
        <v>16</v>
      </c>
      <c r="B52" s="17" t="s">
        <v>826</v>
      </c>
      <c r="C52" s="17" t="s">
        <v>827</v>
      </c>
      <c r="D52" s="17" t="s">
        <v>31</v>
      </c>
      <c r="E52" s="17" t="s">
        <v>828</v>
      </c>
      <c r="F52" s="17" t="s">
        <v>306</v>
      </c>
      <c r="G52" s="17" t="s">
        <v>118</v>
      </c>
      <c r="H52" s="18" t="s">
        <v>60</v>
      </c>
      <c r="I52" s="17" t="s">
        <v>66</v>
      </c>
      <c r="J52" s="17"/>
      <c r="K52" s="17" t="s">
        <v>60</v>
      </c>
      <c r="L52" s="20" t="n">
        <v>4160</v>
      </c>
      <c r="M52" s="20" t="n">
        <v>24</v>
      </c>
      <c r="N52" s="25" t="n">
        <f aca="false">IFERROR(M52/L52,0)</f>
        <v>0.00576923076923077</v>
      </c>
      <c r="O52" s="27" t="n">
        <v>25.27</v>
      </c>
      <c r="P52" s="14" t="n">
        <f aca="false">IFERROR(O52/M52,0)</f>
        <v>1.05291666666667</v>
      </c>
      <c r="Q52" s="20" t="n">
        <v>2</v>
      </c>
      <c r="R52" s="27" t="n">
        <v>164.98</v>
      </c>
      <c r="S52" s="8" t="n">
        <f aca="false">IFERROR(O52/R52,0)</f>
        <v>0.153170081221966</v>
      </c>
      <c r="T52" s="8" t="n">
        <f aca="false">IFERROR(Q52/M52,0)</f>
        <v>0.0833333333333333</v>
      </c>
    </row>
    <row r="53" customFormat="false" ht="15" hidden="false" customHeight="false" outlineLevel="0" collapsed="false">
      <c r="A53" s="17" t="s">
        <v>16</v>
      </c>
      <c r="B53" s="17" t="s">
        <v>829</v>
      </c>
      <c r="C53" s="17" t="s">
        <v>830</v>
      </c>
      <c r="D53" s="17" t="s">
        <v>30</v>
      </c>
      <c r="E53" s="17" t="s">
        <v>315</v>
      </c>
      <c r="F53" s="17" t="s">
        <v>312</v>
      </c>
      <c r="G53" s="17" t="s">
        <v>116</v>
      </c>
      <c r="H53" s="26" t="s">
        <v>66</v>
      </c>
      <c r="I53" s="17" t="s">
        <v>66</v>
      </c>
      <c r="J53" s="17"/>
      <c r="K53" s="17" t="s">
        <v>60</v>
      </c>
      <c r="L53" s="20" t="n">
        <v>3152</v>
      </c>
      <c r="M53" s="20" t="n">
        <v>17</v>
      </c>
      <c r="N53" s="25" t="n">
        <f aca="false">IFERROR(M53/L53,0)</f>
        <v>0.00539340101522843</v>
      </c>
      <c r="O53" s="27" t="n">
        <v>24.94</v>
      </c>
      <c r="P53" s="14" t="n">
        <f aca="false">IFERROR(O53/M53,0)</f>
        <v>1.46705882352941</v>
      </c>
      <c r="Q53" s="20" t="n">
        <v>2</v>
      </c>
      <c r="R53" s="27" t="n">
        <v>169.98</v>
      </c>
      <c r="S53" s="8" t="n">
        <f aca="false">IFERROR(O53/R53,0)</f>
        <v>0.146723143899282</v>
      </c>
      <c r="T53" s="8" t="n">
        <f aca="false">IFERROR(Q53/M53,0)</f>
        <v>0.117647058823529</v>
      </c>
    </row>
    <row r="54" customFormat="false" ht="15" hidden="false" customHeight="false" outlineLevel="0" collapsed="false">
      <c r="A54" s="17" t="s">
        <v>16</v>
      </c>
      <c r="B54" s="17" t="s">
        <v>831</v>
      </c>
      <c r="C54" s="17" t="s">
        <v>832</v>
      </c>
      <c r="D54" s="17" t="s">
        <v>30</v>
      </c>
      <c r="E54" s="17" t="s">
        <v>315</v>
      </c>
      <c r="F54" s="17" t="s">
        <v>312</v>
      </c>
      <c r="G54" s="17"/>
      <c r="H54" s="17"/>
      <c r="I54" s="17" t="s">
        <v>66</v>
      </c>
      <c r="J54" s="17"/>
      <c r="K54" s="17" t="s">
        <v>60</v>
      </c>
      <c r="L54" s="20" t="n">
        <v>2071</v>
      </c>
      <c r="M54" s="20" t="n">
        <v>9</v>
      </c>
      <c r="N54" s="25" t="n">
        <f aca="false">IFERROR(M54/L54,0)</f>
        <v>0.00434572670207629</v>
      </c>
      <c r="O54" s="27" t="n">
        <v>22.76</v>
      </c>
      <c r="P54" s="14" t="n">
        <f aca="false">IFERROR(O54/M54,0)</f>
        <v>2.52888888888889</v>
      </c>
      <c r="Q54" s="20" t="n">
        <v>1</v>
      </c>
      <c r="R54" s="27" t="n">
        <v>80.74</v>
      </c>
      <c r="S54" s="8" t="n">
        <f aca="false">IFERROR(O54/R54,0)</f>
        <v>0.281892494426554</v>
      </c>
      <c r="T54" s="8" t="n">
        <f aca="false">IFERROR(Q54/M54,0)</f>
        <v>0.111111111111111</v>
      </c>
    </row>
    <row r="55" customFormat="false" ht="15" hidden="false" customHeight="false" outlineLevel="0" collapsed="false">
      <c r="A55" s="17" t="s">
        <v>16</v>
      </c>
      <c r="B55" s="17" t="s">
        <v>833</v>
      </c>
      <c r="C55" s="17" t="s">
        <v>834</v>
      </c>
      <c r="D55" s="17" t="s">
        <v>29</v>
      </c>
      <c r="E55" s="17" t="s">
        <v>315</v>
      </c>
      <c r="F55" s="17" t="s">
        <v>319</v>
      </c>
      <c r="G55" s="17" t="s">
        <v>118</v>
      </c>
      <c r="H55" s="18" t="s">
        <v>60</v>
      </c>
      <c r="I55" s="17" t="s">
        <v>66</v>
      </c>
      <c r="J55" s="17"/>
      <c r="K55" s="17" t="s">
        <v>60</v>
      </c>
      <c r="L55" s="20" t="n">
        <v>2440</v>
      </c>
      <c r="M55" s="20" t="n">
        <v>10</v>
      </c>
      <c r="N55" s="25" t="n">
        <f aca="false">IFERROR(M55/L55,0)</f>
        <v>0.00409836065573771</v>
      </c>
      <c r="O55" s="27" t="n">
        <v>17.75</v>
      </c>
      <c r="P55" s="14" t="n">
        <f aca="false">IFERROR(O55/M55,0)</f>
        <v>1.775</v>
      </c>
      <c r="Q55" s="20" t="n">
        <v>1</v>
      </c>
      <c r="R55" s="27" t="n">
        <v>80.74</v>
      </c>
      <c r="S55" s="8" t="n">
        <f aca="false">IFERROR(O55/R55,0)</f>
        <v>0.219841466435472</v>
      </c>
      <c r="T55" s="8" t="n">
        <f aca="false">IFERROR(Q55/M55,0)</f>
        <v>0.1</v>
      </c>
    </row>
    <row r="56" customFormat="false" ht="15" hidden="false" customHeight="false" outlineLevel="0" collapsed="false">
      <c r="A56" s="17" t="s">
        <v>16</v>
      </c>
      <c r="B56" s="17" t="s">
        <v>835</v>
      </c>
      <c r="C56" s="17" t="s">
        <v>836</v>
      </c>
      <c r="D56" s="17" t="s">
        <v>31</v>
      </c>
      <c r="E56" s="17" t="s">
        <v>828</v>
      </c>
      <c r="F56" s="17" t="s">
        <v>306</v>
      </c>
      <c r="G56" s="17" t="s">
        <v>825</v>
      </c>
      <c r="H56" s="26" t="s">
        <v>66</v>
      </c>
      <c r="I56" s="17" t="s">
        <v>66</v>
      </c>
      <c r="J56" s="17"/>
      <c r="K56" s="17" t="s">
        <v>60</v>
      </c>
      <c r="L56" s="20" t="n">
        <v>1911</v>
      </c>
      <c r="M56" s="20" t="n">
        <v>11</v>
      </c>
      <c r="N56" s="25" t="n">
        <f aca="false">IFERROR(M56/L56,0)</f>
        <v>0.00575614861329147</v>
      </c>
      <c r="O56" s="27" t="n">
        <v>10.15</v>
      </c>
      <c r="P56" s="14" t="n">
        <f aca="false">IFERROR(O56/M56,0)</f>
        <v>0.922727272727273</v>
      </c>
      <c r="Q56" s="20" t="n">
        <v>1</v>
      </c>
      <c r="R56" s="27" t="n">
        <v>84.99</v>
      </c>
      <c r="S56" s="8" t="n">
        <f aca="false">IFERROR(O56/R56,0)</f>
        <v>0.119425814801741</v>
      </c>
      <c r="T56" s="8" t="n">
        <f aca="false">IFERROR(Q56/M56,0)</f>
        <v>0.0909090909090909</v>
      </c>
    </row>
    <row r="57" customFormat="false" ht="15" hidden="false" customHeight="false" outlineLevel="0" collapsed="false">
      <c r="A57" s="17" t="s">
        <v>16</v>
      </c>
      <c r="B57" s="17" t="s">
        <v>837</v>
      </c>
      <c r="C57" s="17" t="s">
        <v>838</v>
      </c>
      <c r="D57" s="17" t="s">
        <v>29</v>
      </c>
      <c r="E57" s="17" t="s">
        <v>315</v>
      </c>
      <c r="F57" s="17" t="s">
        <v>319</v>
      </c>
      <c r="G57" s="17" t="s">
        <v>210</v>
      </c>
      <c r="H57" s="26" t="s">
        <v>66</v>
      </c>
      <c r="I57" s="17" t="s">
        <v>66</v>
      </c>
      <c r="J57" s="17"/>
      <c r="K57" s="17" t="s">
        <v>60</v>
      </c>
      <c r="L57" s="20" t="n">
        <v>931</v>
      </c>
      <c r="M57" s="20" t="n">
        <v>3</v>
      </c>
      <c r="N57" s="25" t="n">
        <f aca="false">IFERROR(M57/L57,0)</f>
        <v>0.00322234156820623</v>
      </c>
      <c r="O57" s="27" t="n">
        <v>9.45</v>
      </c>
      <c r="P57" s="14" t="n">
        <f aca="false">IFERROR(O57/M57,0)</f>
        <v>3.15</v>
      </c>
      <c r="Q57" s="20" t="n">
        <v>1</v>
      </c>
      <c r="R57" s="27" t="n">
        <v>84.99</v>
      </c>
      <c r="S57" s="8" t="n">
        <f aca="false">IFERROR(O57/R57,0)</f>
        <v>0.111189551711966</v>
      </c>
      <c r="T57" s="8" t="n">
        <f aca="false">IFERROR(Q57/M57,0)</f>
        <v>0.333333333333333</v>
      </c>
    </row>
    <row r="58" customFormat="false" ht="15" hidden="false" customHeight="false" outlineLevel="0" collapsed="false">
      <c r="A58" s="17" t="s">
        <v>16</v>
      </c>
      <c r="B58" s="17" t="s">
        <v>839</v>
      </c>
      <c r="C58" s="17" t="s">
        <v>840</v>
      </c>
      <c r="D58" s="17" t="s">
        <v>28</v>
      </c>
      <c r="E58" s="17" t="s">
        <v>315</v>
      </c>
      <c r="F58" s="17" t="s">
        <v>28</v>
      </c>
      <c r="G58" s="17" t="s">
        <v>116</v>
      </c>
      <c r="H58" s="26" t="s">
        <v>66</v>
      </c>
      <c r="I58" s="17" t="s">
        <v>66</v>
      </c>
      <c r="J58" s="17"/>
      <c r="K58" s="17" t="s">
        <v>60</v>
      </c>
      <c r="L58" s="20" t="n">
        <v>18</v>
      </c>
      <c r="M58" s="20" t="n">
        <v>16</v>
      </c>
      <c r="N58" s="25" t="n">
        <f aca="false">IFERROR(M58/L58,0)</f>
        <v>0.888888888888889</v>
      </c>
      <c r="O58" s="27" t="n">
        <v>9.2</v>
      </c>
      <c r="P58" s="14" t="n">
        <f aca="false">IFERROR(O58/M58,0)</f>
        <v>0.575</v>
      </c>
      <c r="Q58" s="20" t="n">
        <v>0</v>
      </c>
      <c r="R58" s="27" t="n">
        <v>0</v>
      </c>
      <c r="S58" s="8" t="n">
        <f aca="false">IFERROR(O58/R58,0)</f>
        <v>0</v>
      </c>
      <c r="T58" s="8" t="n">
        <f aca="false">IFERROR(Q58/M58,0)</f>
        <v>0</v>
      </c>
    </row>
    <row r="59" customFormat="false" ht="15" hidden="false" customHeight="false" outlineLevel="0" collapsed="false">
      <c r="A59" s="17" t="s">
        <v>16</v>
      </c>
      <c r="B59" s="17" t="s">
        <v>841</v>
      </c>
      <c r="C59" s="17" t="s">
        <v>842</v>
      </c>
      <c r="D59" s="17" t="s">
        <v>28</v>
      </c>
      <c r="E59" s="17" t="s">
        <v>315</v>
      </c>
      <c r="F59" s="17" t="s">
        <v>28</v>
      </c>
      <c r="G59" s="17" t="s">
        <v>116</v>
      </c>
      <c r="H59" s="26" t="s">
        <v>66</v>
      </c>
      <c r="I59" s="17" t="s">
        <v>66</v>
      </c>
      <c r="J59" s="17"/>
      <c r="K59" s="17" t="s">
        <v>60</v>
      </c>
      <c r="L59" s="20" t="n">
        <v>25</v>
      </c>
      <c r="M59" s="20" t="n">
        <v>17</v>
      </c>
      <c r="N59" s="25" t="n">
        <f aca="false">IFERROR(M59/L59,0)</f>
        <v>0.68</v>
      </c>
      <c r="O59" s="27" t="n">
        <v>9.2</v>
      </c>
      <c r="P59" s="14" t="n">
        <f aca="false">IFERROR(O59/M59,0)</f>
        <v>0.541176470588235</v>
      </c>
      <c r="Q59" s="20" t="n">
        <v>0</v>
      </c>
      <c r="R59" s="27" t="n">
        <v>0</v>
      </c>
      <c r="S59" s="8" t="n">
        <f aca="false">IFERROR(O59/R59,0)</f>
        <v>0</v>
      </c>
      <c r="T59" s="8" t="n">
        <f aca="false">IFERROR(Q59/M59,0)</f>
        <v>0</v>
      </c>
    </row>
    <row r="60" customFormat="false" ht="15" hidden="false" customHeight="false" outlineLevel="0" collapsed="false">
      <c r="A60" s="17" t="s">
        <v>16</v>
      </c>
      <c r="B60" s="17" t="s">
        <v>843</v>
      </c>
      <c r="C60" s="17" t="s">
        <v>844</v>
      </c>
      <c r="D60" s="17" t="s">
        <v>28</v>
      </c>
      <c r="E60" s="17" t="s">
        <v>315</v>
      </c>
      <c r="F60" s="17" t="s">
        <v>28</v>
      </c>
      <c r="G60" s="17" t="s">
        <v>116</v>
      </c>
      <c r="H60" s="26" t="s">
        <v>66</v>
      </c>
      <c r="I60" s="17" t="s">
        <v>66</v>
      </c>
      <c r="J60" s="17"/>
      <c r="K60" s="17" t="s">
        <v>60</v>
      </c>
      <c r="L60" s="20" t="n">
        <v>48</v>
      </c>
      <c r="M60" s="20" t="n">
        <v>17</v>
      </c>
      <c r="N60" s="25" t="n">
        <f aca="false">IFERROR(M60/L60,0)</f>
        <v>0.354166666666667</v>
      </c>
      <c r="O60" s="27" t="n">
        <v>8.97</v>
      </c>
      <c r="P60" s="14" t="n">
        <f aca="false">IFERROR(O60/M60,0)</f>
        <v>0.52764705882353</v>
      </c>
      <c r="Q60" s="20" t="n">
        <v>0</v>
      </c>
      <c r="R60" s="27" t="n">
        <v>0</v>
      </c>
      <c r="S60" s="8" t="n">
        <f aca="false">IFERROR(O60/R60,0)</f>
        <v>0</v>
      </c>
      <c r="T60" s="8" t="n">
        <f aca="false">IFERROR(Q60/M60,0)</f>
        <v>0</v>
      </c>
    </row>
    <row r="61" customFormat="false" ht="15" hidden="false" customHeight="false" outlineLevel="0" collapsed="false">
      <c r="A61" s="17" t="s">
        <v>16</v>
      </c>
      <c r="B61" s="17" t="s">
        <v>845</v>
      </c>
      <c r="C61" s="17" t="s">
        <v>846</v>
      </c>
      <c r="D61" s="17" t="s">
        <v>28</v>
      </c>
      <c r="E61" s="17" t="s">
        <v>315</v>
      </c>
      <c r="F61" s="17" t="s">
        <v>28</v>
      </c>
      <c r="G61" s="17" t="s">
        <v>825</v>
      </c>
      <c r="H61" s="26" t="s">
        <v>66</v>
      </c>
      <c r="I61" s="17" t="s">
        <v>66</v>
      </c>
      <c r="J61" s="17"/>
      <c r="K61" s="17" t="s">
        <v>60</v>
      </c>
      <c r="L61" s="20" t="n">
        <v>732</v>
      </c>
      <c r="M61" s="20" t="n">
        <v>3</v>
      </c>
      <c r="N61" s="25" t="n">
        <f aca="false">IFERROR(M61/L61,0)</f>
        <v>0.00409836065573771</v>
      </c>
      <c r="O61" s="27" t="n">
        <v>8.83</v>
      </c>
      <c r="P61" s="14" t="n">
        <f aca="false">IFERROR(O61/M61,0)</f>
        <v>2.94333333333333</v>
      </c>
      <c r="Q61" s="20" t="n">
        <v>2</v>
      </c>
      <c r="R61" s="27" t="n">
        <v>175.98</v>
      </c>
      <c r="S61" s="8" t="n">
        <f aca="false">IFERROR(O61/R61,0)</f>
        <v>0.050176156381407</v>
      </c>
      <c r="T61" s="8" t="n">
        <f aca="false">IFERROR(Q61/M61,0)</f>
        <v>0.666666666666667</v>
      </c>
    </row>
    <row r="62" customFormat="false" ht="15" hidden="false" customHeight="false" outlineLevel="0" collapsed="false">
      <c r="A62" s="17" t="s">
        <v>16</v>
      </c>
      <c r="B62" s="17" t="s">
        <v>847</v>
      </c>
      <c r="C62" s="17" t="s">
        <v>848</v>
      </c>
      <c r="D62" s="17" t="s">
        <v>29</v>
      </c>
      <c r="E62" s="17" t="s">
        <v>315</v>
      </c>
      <c r="F62" s="17" t="s">
        <v>319</v>
      </c>
      <c r="G62" s="17" t="s">
        <v>118</v>
      </c>
      <c r="H62" s="18" t="s">
        <v>60</v>
      </c>
      <c r="I62" s="17" t="s">
        <v>66</v>
      </c>
      <c r="J62" s="17"/>
      <c r="K62" s="17" t="s">
        <v>60</v>
      </c>
      <c r="L62" s="20" t="n">
        <v>699</v>
      </c>
      <c r="M62" s="20" t="n">
        <v>3</v>
      </c>
      <c r="N62" s="25" t="n">
        <f aca="false">IFERROR(M62/L62,0)</f>
        <v>0.00429184549356223</v>
      </c>
      <c r="O62" s="27" t="n">
        <v>8.42</v>
      </c>
      <c r="P62" s="14" t="n">
        <f aca="false">IFERROR(O62/M62,0)</f>
        <v>2.80666666666667</v>
      </c>
      <c r="Q62" s="20" t="n">
        <v>0</v>
      </c>
      <c r="R62" s="27" t="n">
        <v>0</v>
      </c>
      <c r="S62" s="8" t="n">
        <f aca="false">IFERROR(O62/R62,0)</f>
        <v>0</v>
      </c>
      <c r="T62" s="8" t="n">
        <f aca="false">IFERROR(Q62/M62,0)</f>
        <v>0</v>
      </c>
    </row>
    <row r="63" customFormat="false" ht="15" hidden="false" customHeight="false" outlineLevel="0" collapsed="false">
      <c r="A63" s="17" t="s">
        <v>16</v>
      </c>
      <c r="B63" s="17" t="s">
        <v>849</v>
      </c>
      <c r="C63" s="17" t="s">
        <v>850</v>
      </c>
      <c r="D63" s="17" t="s">
        <v>28</v>
      </c>
      <c r="E63" s="17" t="s">
        <v>315</v>
      </c>
      <c r="F63" s="17" t="s">
        <v>28</v>
      </c>
      <c r="G63" s="17"/>
      <c r="H63" s="17"/>
      <c r="I63" s="17" t="s">
        <v>66</v>
      </c>
      <c r="J63" s="17"/>
      <c r="K63" s="17" t="s">
        <v>60</v>
      </c>
      <c r="L63" s="20" t="n">
        <v>833</v>
      </c>
      <c r="M63" s="20" t="n">
        <v>3</v>
      </c>
      <c r="N63" s="25" t="n">
        <f aca="false">IFERROR(M63/L63,0)</f>
        <v>0.00360144057623049</v>
      </c>
      <c r="O63" s="27" t="n">
        <v>7.43</v>
      </c>
      <c r="P63" s="14" t="n">
        <f aca="false">IFERROR(O63/M63,0)</f>
        <v>2.47666666666667</v>
      </c>
      <c r="Q63" s="20" t="n">
        <v>1</v>
      </c>
      <c r="R63" s="27" t="n">
        <v>85.49</v>
      </c>
      <c r="S63" s="8" t="n">
        <f aca="false">IFERROR(O63/R63,0)</f>
        <v>0.0869107497952977</v>
      </c>
      <c r="T63" s="8" t="n">
        <f aca="false">IFERROR(Q63/M63,0)</f>
        <v>0.333333333333333</v>
      </c>
    </row>
    <row r="64" customFormat="false" ht="15" hidden="false" customHeight="false" outlineLevel="0" collapsed="false">
      <c r="A64" s="17" t="s">
        <v>16</v>
      </c>
      <c r="B64" s="17" t="s">
        <v>851</v>
      </c>
      <c r="C64" s="17" t="s">
        <v>852</v>
      </c>
      <c r="D64" s="24" t="s">
        <v>34</v>
      </c>
      <c r="E64" s="17" t="s">
        <v>303</v>
      </c>
      <c r="F64" s="17" t="s">
        <v>332</v>
      </c>
      <c r="G64" s="17"/>
      <c r="H64" s="17"/>
      <c r="I64" s="17" t="s">
        <v>66</v>
      </c>
      <c r="J64" s="17"/>
      <c r="K64" s="17" t="s">
        <v>60</v>
      </c>
      <c r="L64" s="20" t="n">
        <v>2634</v>
      </c>
      <c r="M64" s="20" t="n">
        <v>16</v>
      </c>
      <c r="N64" s="25" t="n">
        <f aca="false">IFERROR(M64/L64,0)</f>
        <v>0.00607441154138193</v>
      </c>
      <c r="O64" s="27" t="n">
        <v>6.85</v>
      </c>
      <c r="P64" s="14" t="n">
        <f aca="false">IFERROR(O64/M64,0)</f>
        <v>0.428125</v>
      </c>
      <c r="Q64" s="20" t="n">
        <v>1</v>
      </c>
      <c r="R64" s="27" t="n">
        <v>99.99</v>
      </c>
      <c r="S64" s="8" t="n">
        <f aca="false">IFERROR(O64/R64,0)</f>
        <v>0.0685068506850685</v>
      </c>
      <c r="T64" s="8" t="n">
        <f aca="false">IFERROR(Q64/M64,0)</f>
        <v>0.0625</v>
      </c>
    </row>
    <row r="65" customFormat="false" ht="15" hidden="false" customHeight="false" outlineLevel="0" collapsed="false">
      <c r="A65" s="17" t="s">
        <v>16</v>
      </c>
      <c r="B65" s="17" t="s">
        <v>853</v>
      </c>
      <c r="C65" s="17" t="s">
        <v>854</v>
      </c>
      <c r="D65" s="17" t="s">
        <v>29</v>
      </c>
      <c r="E65" s="17" t="s">
        <v>315</v>
      </c>
      <c r="F65" s="17" t="s">
        <v>319</v>
      </c>
      <c r="G65" s="17" t="s">
        <v>210</v>
      </c>
      <c r="H65" s="26" t="s">
        <v>66</v>
      </c>
      <c r="I65" s="17" t="s">
        <v>66</v>
      </c>
      <c r="J65" s="17"/>
      <c r="K65" s="17" t="s">
        <v>60</v>
      </c>
      <c r="L65" s="20" t="n">
        <v>1621</v>
      </c>
      <c r="M65" s="20" t="n">
        <v>4</v>
      </c>
      <c r="N65" s="25" t="n">
        <f aca="false">IFERROR(M65/L65,0)</f>
        <v>0.00246761258482418</v>
      </c>
      <c r="O65" s="27" t="n">
        <v>6.68</v>
      </c>
      <c r="P65" s="14" t="n">
        <f aca="false">IFERROR(O65/M65,0)</f>
        <v>1.67</v>
      </c>
      <c r="Q65" s="20" t="n">
        <v>1</v>
      </c>
      <c r="R65" s="27" t="n">
        <v>80.74</v>
      </c>
      <c r="S65" s="8" t="n">
        <f aca="false">IFERROR(O65/R65,0)</f>
        <v>0.08273470398811</v>
      </c>
      <c r="T65" s="8" t="n">
        <f aca="false">IFERROR(Q65/M65,0)</f>
        <v>0.25</v>
      </c>
    </row>
    <row r="66" customFormat="false" ht="15" hidden="false" customHeight="false" outlineLevel="0" collapsed="false">
      <c r="A66" s="17" t="s">
        <v>16</v>
      </c>
      <c r="B66" s="17" t="s">
        <v>855</v>
      </c>
      <c r="C66" s="17" t="s">
        <v>856</v>
      </c>
      <c r="D66" s="17" t="s">
        <v>28</v>
      </c>
      <c r="E66" s="17" t="s">
        <v>315</v>
      </c>
      <c r="F66" s="17" t="s">
        <v>28</v>
      </c>
      <c r="G66" s="17" t="s">
        <v>118</v>
      </c>
      <c r="H66" s="18" t="s">
        <v>60</v>
      </c>
      <c r="I66" s="17" t="s">
        <v>66</v>
      </c>
      <c r="J66" s="17"/>
      <c r="K66" s="17" t="s">
        <v>60</v>
      </c>
      <c r="L66" s="20" t="n">
        <v>1104</v>
      </c>
      <c r="M66" s="20" t="n">
        <v>2</v>
      </c>
      <c r="N66" s="25" t="n">
        <f aca="false">IFERROR(M66/L66,0)</f>
        <v>0.00181159420289855</v>
      </c>
      <c r="O66" s="27" t="n">
        <v>6</v>
      </c>
      <c r="P66" s="14" t="n">
        <f aca="false">IFERROR(O66/M66,0)</f>
        <v>3</v>
      </c>
      <c r="Q66" s="20" t="n">
        <v>0</v>
      </c>
      <c r="R66" s="27" t="n">
        <v>0</v>
      </c>
      <c r="S66" s="8" t="n">
        <f aca="false">IFERROR(O66/R66,0)</f>
        <v>0</v>
      </c>
      <c r="T66" s="8" t="n">
        <f aca="false">IFERROR(Q66/M66,0)</f>
        <v>0</v>
      </c>
    </row>
    <row r="67" customFormat="false" ht="15" hidden="false" customHeight="false" outlineLevel="0" collapsed="false">
      <c r="A67" s="17" t="s">
        <v>16</v>
      </c>
      <c r="B67" s="17" t="s">
        <v>857</v>
      </c>
      <c r="C67" s="17" t="s">
        <v>858</v>
      </c>
      <c r="D67" s="17" t="s">
        <v>28</v>
      </c>
      <c r="E67" s="17" t="s">
        <v>315</v>
      </c>
      <c r="F67" s="17" t="s">
        <v>28</v>
      </c>
      <c r="G67" s="17" t="s">
        <v>210</v>
      </c>
      <c r="H67" s="26" t="s">
        <v>66</v>
      </c>
      <c r="I67" s="17" t="s">
        <v>66</v>
      </c>
      <c r="J67" s="17"/>
      <c r="K67" s="17" t="s">
        <v>60</v>
      </c>
      <c r="L67" s="20" t="n">
        <v>90</v>
      </c>
      <c r="M67" s="20" t="n">
        <v>3</v>
      </c>
      <c r="N67" s="25" t="n">
        <f aca="false">IFERROR(M67/L67,0)</f>
        <v>0.0333333333333333</v>
      </c>
      <c r="O67" s="27" t="n">
        <v>4.99</v>
      </c>
      <c r="P67" s="14" t="n">
        <f aca="false">IFERROR(O67/M67,0)</f>
        <v>1.66333333333333</v>
      </c>
      <c r="Q67" s="20" t="n">
        <v>1</v>
      </c>
      <c r="R67" s="27" t="n">
        <v>79.99</v>
      </c>
      <c r="S67" s="8" t="n">
        <f aca="false">IFERROR(O67/R67,0)</f>
        <v>0.0623827978497312</v>
      </c>
      <c r="T67" s="8" t="n">
        <f aca="false">IFERROR(Q67/M67,0)</f>
        <v>0.333333333333333</v>
      </c>
    </row>
    <row r="68" customFormat="false" ht="15" hidden="false" customHeight="false" outlineLevel="0" collapsed="false">
      <c r="A68" s="17" t="s">
        <v>16</v>
      </c>
      <c r="B68" s="17" t="s">
        <v>859</v>
      </c>
      <c r="C68" s="17" t="s">
        <v>860</v>
      </c>
      <c r="D68" s="17" t="s">
        <v>29</v>
      </c>
      <c r="E68" s="17" t="s">
        <v>315</v>
      </c>
      <c r="F68" s="17" t="s">
        <v>319</v>
      </c>
      <c r="G68" s="17" t="s">
        <v>210</v>
      </c>
      <c r="H68" s="26" t="s">
        <v>66</v>
      </c>
      <c r="I68" s="17" t="s">
        <v>66</v>
      </c>
      <c r="J68" s="17"/>
      <c r="K68" s="17" t="s">
        <v>60</v>
      </c>
      <c r="L68" s="20" t="n">
        <v>318</v>
      </c>
      <c r="M68" s="20" t="n">
        <v>3</v>
      </c>
      <c r="N68" s="25" t="n">
        <f aca="false">IFERROR(M68/L68,0)</f>
        <v>0.00943396226415094</v>
      </c>
      <c r="O68" s="27" t="n">
        <v>4.77</v>
      </c>
      <c r="P68" s="14" t="n">
        <f aca="false">IFERROR(O68/M68,0)</f>
        <v>1.59</v>
      </c>
      <c r="Q68" s="20" t="n">
        <v>1</v>
      </c>
      <c r="R68" s="27" t="n">
        <v>84.99</v>
      </c>
      <c r="S68" s="8" t="n">
        <f aca="false">IFERROR(O68/R68,0)</f>
        <v>0.0561242499117543</v>
      </c>
      <c r="T68" s="8" t="n">
        <f aca="false">IFERROR(Q68/M68,0)</f>
        <v>0.333333333333333</v>
      </c>
    </row>
    <row r="69" customFormat="false" ht="15" hidden="false" customHeight="false" outlineLevel="0" collapsed="false">
      <c r="A69" s="17" t="s">
        <v>16</v>
      </c>
      <c r="B69" s="17" t="s">
        <v>861</v>
      </c>
      <c r="C69" s="17" t="s">
        <v>862</v>
      </c>
      <c r="D69" s="17" t="s">
        <v>28</v>
      </c>
      <c r="E69" s="17" t="s">
        <v>315</v>
      </c>
      <c r="F69" s="17" t="s">
        <v>28</v>
      </c>
      <c r="G69" s="17" t="s">
        <v>210</v>
      </c>
      <c r="H69" s="26" t="s">
        <v>66</v>
      </c>
      <c r="I69" s="17" t="s">
        <v>66</v>
      </c>
      <c r="J69" s="17"/>
      <c r="K69" s="17" t="s">
        <v>60</v>
      </c>
      <c r="L69" s="20" t="n">
        <v>436</v>
      </c>
      <c r="M69" s="20" t="n">
        <v>3</v>
      </c>
      <c r="N69" s="25" t="n">
        <f aca="false">IFERROR(M69/L69,0)</f>
        <v>0.00688073394495413</v>
      </c>
      <c r="O69" s="27" t="n">
        <v>4.39</v>
      </c>
      <c r="P69" s="14" t="n">
        <f aca="false">IFERROR(O69/M69,0)</f>
        <v>1.46333333333333</v>
      </c>
      <c r="Q69" s="20" t="n">
        <v>0</v>
      </c>
      <c r="R69" s="27" t="n">
        <v>0</v>
      </c>
      <c r="S69" s="8" t="n">
        <f aca="false">IFERROR(O69/R69,0)</f>
        <v>0</v>
      </c>
      <c r="T69" s="8" t="n">
        <f aca="false">IFERROR(Q69/M69,0)</f>
        <v>0</v>
      </c>
    </row>
    <row r="70" customFormat="false" ht="15" hidden="false" customHeight="false" outlineLevel="0" collapsed="false">
      <c r="A70" s="17" t="s">
        <v>16</v>
      </c>
      <c r="B70" s="17" t="s">
        <v>863</v>
      </c>
      <c r="C70" s="17" t="s">
        <v>864</v>
      </c>
      <c r="D70" s="17" t="s">
        <v>30</v>
      </c>
      <c r="E70" s="17" t="s">
        <v>315</v>
      </c>
      <c r="F70" s="17" t="s">
        <v>312</v>
      </c>
      <c r="G70" s="17"/>
      <c r="H70" s="17"/>
      <c r="I70" s="17" t="s">
        <v>66</v>
      </c>
      <c r="J70" s="17"/>
      <c r="K70" s="17" t="s">
        <v>60</v>
      </c>
      <c r="L70" s="20" t="n">
        <v>54</v>
      </c>
      <c r="M70" s="20" t="n">
        <v>1</v>
      </c>
      <c r="N70" s="25" t="n">
        <f aca="false">IFERROR(M70/L70,0)</f>
        <v>0.0185185185185185</v>
      </c>
      <c r="O70" s="27" t="n">
        <v>4</v>
      </c>
      <c r="P70" s="14" t="n">
        <f aca="false">IFERROR(O70/M70,0)</f>
        <v>4</v>
      </c>
      <c r="Q70" s="20" t="n">
        <v>0</v>
      </c>
      <c r="R70" s="27" t="n">
        <v>0</v>
      </c>
      <c r="S70" s="8" t="n">
        <f aca="false">IFERROR(O70/R70,0)</f>
        <v>0</v>
      </c>
      <c r="T70" s="8" t="n">
        <f aca="false">IFERROR(Q70/M70,0)</f>
        <v>0</v>
      </c>
    </row>
    <row r="71" customFormat="false" ht="15" hidden="false" customHeight="false" outlineLevel="0" collapsed="false">
      <c r="A71" s="17" t="s">
        <v>16</v>
      </c>
      <c r="B71" s="17" t="s">
        <v>865</v>
      </c>
      <c r="C71" s="17" t="s">
        <v>866</v>
      </c>
      <c r="D71" s="17" t="s">
        <v>28</v>
      </c>
      <c r="E71" s="17" t="s">
        <v>315</v>
      </c>
      <c r="F71" s="17" t="s">
        <v>28</v>
      </c>
      <c r="G71" s="17" t="s">
        <v>210</v>
      </c>
      <c r="H71" s="26" t="s">
        <v>66</v>
      </c>
      <c r="I71" s="17" t="s">
        <v>66</v>
      </c>
      <c r="J71" s="17"/>
      <c r="K71" s="17" t="s">
        <v>60</v>
      </c>
      <c r="L71" s="20" t="n">
        <v>2701</v>
      </c>
      <c r="M71" s="20" t="n">
        <v>1</v>
      </c>
      <c r="N71" s="25" t="n">
        <f aca="false">IFERROR(M71/L71,0)</f>
        <v>0.000370233246945576</v>
      </c>
      <c r="O71" s="27" t="n">
        <v>3</v>
      </c>
      <c r="P71" s="14" t="n">
        <f aca="false">IFERROR(O71/M71,0)</f>
        <v>3</v>
      </c>
      <c r="Q71" s="20" t="n">
        <v>0</v>
      </c>
      <c r="R71" s="27" t="n">
        <v>0</v>
      </c>
      <c r="S71" s="8" t="n">
        <f aca="false">IFERROR(O71/R71,0)</f>
        <v>0</v>
      </c>
      <c r="T71" s="8" t="n">
        <f aca="false">IFERROR(Q71/M71,0)</f>
        <v>0</v>
      </c>
    </row>
    <row r="72" customFormat="false" ht="15" hidden="false" customHeight="false" outlineLevel="0" collapsed="false">
      <c r="A72" s="17" t="s">
        <v>16</v>
      </c>
      <c r="B72" s="17" t="s">
        <v>867</v>
      </c>
      <c r="C72" s="17" t="s">
        <v>868</v>
      </c>
      <c r="D72" s="17" t="s">
        <v>31</v>
      </c>
      <c r="E72" s="17" t="s">
        <v>311</v>
      </c>
      <c r="F72" s="17" t="s">
        <v>306</v>
      </c>
      <c r="G72" s="17" t="s">
        <v>125</v>
      </c>
      <c r="H72" s="26" t="s">
        <v>66</v>
      </c>
      <c r="I72" s="17" t="s">
        <v>66</v>
      </c>
      <c r="J72" s="17"/>
      <c r="K72" s="17" t="s">
        <v>60</v>
      </c>
      <c r="L72" s="20" t="n">
        <v>6733</v>
      </c>
      <c r="M72" s="20" t="n">
        <v>4</v>
      </c>
      <c r="N72" s="25" t="n">
        <f aca="false">IFERROR(M72/L72,0)</f>
        <v>0.000594088816278034</v>
      </c>
      <c r="O72" s="27" t="n">
        <v>2.54</v>
      </c>
      <c r="P72" s="14" t="n">
        <f aca="false">IFERROR(O72/M72,0)</f>
        <v>0.635</v>
      </c>
      <c r="Q72" s="20" t="n">
        <v>0</v>
      </c>
      <c r="R72" s="27" t="n">
        <v>0</v>
      </c>
      <c r="S72" s="8" t="n">
        <f aca="false">IFERROR(O72/R72,0)</f>
        <v>0</v>
      </c>
      <c r="T72" s="8" t="n">
        <f aca="false">IFERROR(Q72/M72,0)</f>
        <v>0</v>
      </c>
    </row>
    <row r="73" customFormat="false" ht="15" hidden="false" customHeight="false" outlineLevel="0" collapsed="false">
      <c r="A73" s="17" t="s">
        <v>16</v>
      </c>
      <c r="B73" s="17" t="s">
        <v>779</v>
      </c>
      <c r="C73" s="17" t="s">
        <v>780</v>
      </c>
      <c r="D73" s="17" t="s">
        <v>33</v>
      </c>
      <c r="E73" s="17" t="s">
        <v>318</v>
      </c>
      <c r="F73" s="17" t="s">
        <v>683</v>
      </c>
      <c r="G73" s="17"/>
      <c r="H73" s="17"/>
      <c r="I73" s="17" t="s">
        <v>60</v>
      </c>
      <c r="J73" s="17" t="s">
        <v>15</v>
      </c>
      <c r="K73" s="17" t="s">
        <v>66</v>
      </c>
      <c r="L73" s="20" t="n">
        <v>55</v>
      </c>
      <c r="M73" s="20" t="n">
        <v>1</v>
      </c>
      <c r="N73" s="25" t="n">
        <f aca="false">IFERROR(M73/L73,0)</f>
        <v>0.0181818181818182</v>
      </c>
      <c r="O73" s="27" t="n">
        <v>2.23</v>
      </c>
      <c r="P73" s="14" t="n">
        <f aca="false">IFERROR(O73/M73,0)</f>
        <v>2.23</v>
      </c>
      <c r="Q73" s="20" t="n">
        <v>0</v>
      </c>
      <c r="R73" s="27" t="n">
        <v>0</v>
      </c>
      <c r="S73" s="8" t="n">
        <f aca="false">IFERROR(O73/R73,0)</f>
        <v>0</v>
      </c>
      <c r="T73" s="8" t="n">
        <f aca="false">IFERROR(Q73/M73,0)</f>
        <v>0</v>
      </c>
    </row>
    <row r="74" customFormat="false" ht="15" hidden="false" customHeight="false" outlineLevel="0" collapsed="false">
      <c r="A74" s="17" t="s">
        <v>16</v>
      </c>
      <c r="B74" s="17" t="s">
        <v>869</v>
      </c>
      <c r="C74" s="17" t="s">
        <v>870</v>
      </c>
      <c r="D74" s="24" t="s">
        <v>34</v>
      </c>
      <c r="E74" s="17" t="s">
        <v>303</v>
      </c>
      <c r="F74" s="17" t="s">
        <v>332</v>
      </c>
      <c r="G74" s="17"/>
      <c r="H74" s="17"/>
      <c r="I74" s="17" t="s">
        <v>66</v>
      </c>
      <c r="J74" s="17"/>
      <c r="K74" s="17" t="s">
        <v>60</v>
      </c>
      <c r="L74" s="20" t="n">
        <v>2250</v>
      </c>
      <c r="M74" s="20" t="n">
        <v>4</v>
      </c>
      <c r="N74" s="25" t="n">
        <f aca="false">IFERROR(M74/L74,0)</f>
        <v>0.00177777777777778</v>
      </c>
      <c r="O74" s="27" t="n">
        <v>1.89</v>
      </c>
      <c r="P74" s="14" t="n">
        <f aca="false">IFERROR(O74/M74,0)</f>
        <v>0.4725</v>
      </c>
      <c r="Q74" s="20" t="n">
        <v>0</v>
      </c>
      <c r="R74" s="27" t="n">
        <v>0</v>
      </c>
      <c r="S74" s="8" t="n">
        <f aca="false">IFERROR(O74/R74,0)</f>
        <v>0</v>
      </c>
      <c r="T74" s="8" t="n">
        <f aca="false">IFERROR(Q74/M74,0)</f>
        <v>0</v>
      </c>
    </row>
    <row r="75" customFormat="false" ht="15" hidden="false" customHeight="false" outlineLevel="0" collapsed="false">
      <c r="A75" s="17" t="s">
        <v>16</v>
      </c>
      <c r="B75" s="17" t="s">
        <v>871</v>
      </c>
      <c r="C75" s="17" t="s">
        <v>872</v>
      </c>
      <c r="D75" s="17" t="s">
        <v>29</v>
      </c>
      <c r="E75" s="17" t="s">
        <v>315</v>
      </c>
      <c r="F75" s="17" t="s">
        <v>319</v>
      </c>
      <c r="G75" s="17" t="s">
        <v>211</v>
      </c>
      <c r="H75" s="18" t="s">
        <v>60</v>
      </c>
      <c r="I75" s="17" t="s">
        <v>66</v>
      </c>
      <c r="J75" s="17"/>
      <c r="K75" s="17" t="s">
        <v>60</v>
      </c>
      <c r="L75" s="20" t="n">
        <v>966</v>
      </c>
      <c r="M75" s="20" t="n">
        <v>2</v>
      </c>
      <c r="N75" s="25" t="n">
        <f aca="false">IFERROR(M75/L75,0)</f>
        <v>0.0020703933747412</v>
      </c>
      <c r="O75" s="27" t="n">
        <v>1.82</v>
      </c>
      <c r="P75" s="14" t="n">
        <f aca="false">IFERROR(O75/M75,0)</f>
        <v>0.91</v>
      </c>
      <c r="Q75" s="20" t="n">
        <v>0</v>
      </c>
      <c r="R75" s="27" t="n">
        <v>0</v>
      </c>
      <c r="S75" s="8" t="n">
        <f aca="false">IFERROR(O75/R75,0)</f>
        <v>0</v>
      </c>
      <c r="T75" s="8" t="n">
        <f aca="false">IFERROR(Q75/M75,0)</f>
        <v>0</v>
      </c>
    </row>
    <row r="76" customFormat="false" ht="15" hidden="false" customHeight="false" outlineLevel="0" collapsed="false">
      <c r="A76" s="17" t="s">
        <v>16</v>
      </c>
      <c r="B76" s="17" t="s">
        <v>873</v>
      </c>
      <c r="C76" s="17" t="s">
        <v>874</v>
      </c>
      <c r="D76" s="17" t="s">
        <v>28</v>
      </c>
      <c r="E76" s="17" t="s">
        <v>315</v>
      </c>
      <c r="F76" s="17" t="s">
        <v>28</v>
      </c>
      <c r="G76" s="17"/>
      <c r="H76" s="17"/>
      <c r="I76" s="17" t="s">
        <v>66</v>
      </c>
      <c r="J76" s="17"/>
      <c r="K76" s="17" t="s">
        <v>60</v>
      </c>
      <c r="L76" s="20" t="n">
        <v>3</v>
      </c>
      <c r="M76" s="20" t="n">
        <v>2</v>
      </c>
      <c r="N76" s="25" t="n">
        <f aca="false">IFERROR(M76/L76,0)</f>
        <v>0.666666666666667</v>
      </c>
      <c r="O76" s="27" t="n">
        <v>1.68</v>
      </c>
      <c r="P76" s="14" t="n">
        <f aca="false">IFERROR(O76/M76,0)</f>
        <v>0.84</v>
      </c>
      <c r="Q76" s="20" t="n">
        <v>0</v>
      </c>
      <c r="R76" s="27" t="n">
        <v>0</v>
      </c>
      <c r="S76" s="8" t="n">
        <f aca="false">IFERROR(O76/R76,0)</f>
        <v>0</v>
      </c>
      <c r="T76" s="8" t="n">
        <f aca="false">IFERROR(Q76/M76,0)</f>
        <v>0</v>
      </c>
    </row>
    <row r="77" customFormat="false" ht="15" hidden="false" customHeight="false" outlineLevel="0" collapsed="false">
      <c r="A77" s="17" t="s">
        <v>16</v>
      </c>
      <c r="B77" s="17" t="s">
        <v>875</v>
      </c>
      <c r="C77" s="17" t="s">
        <v>876</v>
      </c>
      <c r="D77" s="17" t="s">
        <v>29</v>
      </c>
      <c r="E77" s="17" t="s">
        <v>315</v>
      </c>
      <c r="F77" s="17" t="s">
        <v>319</v>
      </c>
      <c r="G77" s="17" t="s">
        <v>210</v>
      </c>
      <c r="H77" s="26" t="s">
        <v>66</v>
      </c>
      <c r="I77" s="17" t="s">
        <v>66</v>
      </c>
      <c r="J77" s="17"/>
      <c r="K77" s="17" t="s">
        <v>60</v>
      </c>
      <c r="L77" s="20" t="n">
        <v>216</v>
      </c>
      <c r="M77" s="20" t="n">
        <v>1</v>
      </c>
      <c r="N77" s="25" t="n">
        <f aca="false">IFERROR(M77/L77,0)</f>
        <v>0.00462962962962963</v>
      </c>
      <c r="O77" s="27" t="n">
        <v>1.67</v>
      </c>
      <c r="P77" s="14" t="n">
        <f aca="false">IFERROR(O77/M77,0)</f>
        <v>1.67</v>
      </c>
      <c r="Q77" s="20" t="n">
        <v>0</v>
      </c>
      <c r="R77" s="27" t="n">
        <v>0</v>
      </c>
      <c r="S77" s="8" t="n">
        <f aca="false">IFERROR(O77/R77,0)</f>
        <v>0</v>
      </c>
      <c r="T77" s="8" t="n">
        <f aca="false">IFERROR(Q77/M77,0)</f>
        <v>0</v>
      </c>
    </row>
    <row r="78" customFormat="false" ht="15" hidden="false" customHeight="false" outlineLevel="0" collapsed="false">
      <c r="A78" s="17" t="s">
        <v>16</v>
      </c>
      <c r="B78" s="17" t="s">
        <v>877</v>
      </c>
      <c r="C78" s="17" t="s">
        <v>878</v>
      </c>
      <c r="D78" s="17" t="s">
        <v>29</v>
      </c>
      <c r="E78" s="17" t="s">
        <v>315</v>
      </c>
      <c r="F78" s="17" t="s">
        <v>319</v>
      </c>
      <c r="G78" s="17" t="s">
        <v>210</v>
      </c>
      <c r="H78" s="26" t="s">
        <v>66</v>
      </c>
      <c r="I78" s="17" t="s">
        <v>66</v>
      </c>
      <c r="J78" s="17"/>
      <c r="K78" s="17" t="s">
        <v>60</v>
      </c>
      <c r="L78" s="20" t="n">
        <v>1217</v>
      </c>
      <c r="M78" s="20" t="n">
        <v>1</v>
      </c>
      <c r="N78" s="25" t="n">
        <f aca="false">IFERROR(M78/L78,0)</f>
        <v>0.000821692686935086</v>
      </c>
      <c r="O78" s="27" t="n">
        <v>1.67</v>
      </c>
      <c r="P78" s="14" t="n">
        <f aca="false">IFERROR(O78/M78,0)</f>
        <v>1.67</v>
      </c>
      <c r="Q78" s="20" t="n">
        <v>0</v>
      </c>
      <c r="R78" s="27" t="n">
        <v>0</v>
      </c>
      <c r="S78" s="8" t="n">
        <f aca="false">IFERROR(O78/R78,0)</f>
        <v>0</v>
      </c>
      <c r="T78" s="8" t="n">
        <f aca="false">IFERROR(Q78/M78,0)</f>
        <v>0</v>
      </c>
    </row>
    <row r="79" customFormat="false" ht="15" hidden="false" customHeight="false" outlineLevel="0" collapsed="false">
      <c r="A79" s="17" t="s">
        <v>16</v>
      </c>
      <c r="B79" s="17" t="s">
        <v>879</v>
      </c>
      <c r="C79" s="17" t="s">
        <v>880</v>
      </c>
      <c r="D79" s="17" t="s">
        <v>29</v>
      </c>
      <c r="E79" s="17" t="s">
        <v>315</v>
      </c>
      <c r="F79" s="17" t="s">
        <v>319</v>
      </c>
      <c r="G79" s="17" t="s">
        <v>210</v>
      </c>
      <c r="H79" s="26" t="s">
        <v>66</v>
      </c>
      <c r="I79" s="17" t="s">
        <v>66</v>
      </c>
      <c r="J79" s="17"/>
      <c r="K79" s="17" t="s">
        <v>60</v>
      </c>
      <c r="L79" s="20" t="n">
        <v>442</v>
      </c>
      <c r="M79" s="20" t="n">
        <v>2</v>
      </c>
      <c r="N79" s="25" t="n">
        <f aca="false">IFERROR(M79/L79,0)</f>
        <v>0.00452488687782806</v>
      </c>
      <c r="O79" s="27" t="n">
        <v>1.39</v>
      </c>
      <c r="P79" s="14" t="n">
        <f aca="false">IFERROR(O79/M79,0)</f>
        <v>0.695</v>
      </c>
      <c r="Q79" s="20" t="n">
        <v>0</v>
      </c>
      <c r="R79" s="27" t="n">
        <v>0</v>
      </c>
      <c r="S79" s="8" t="n">
        <f aca="false">IFERROR(O79/R79,0)</f>
        <v>0</v>
      </c>
      <c r="T79" s="8" t="n">
        <f aca="false">IFERROR(Q79/M79,0)</f>
        <v>0</v>
      </c>
    </row>
    <row r="80" customFormat="false" ht="15" hidden="false" customHeight="false" outlineLevel="0" collapsed="false">
      <c r="A80" s="17" t="s">
        <v>16</v>
      </c>
      <c r="B80" s="17" t="s">
        <v>881</v>
      </c>
      <c r="C80" s="17" t="s">
        <v>882</v>
      </c>
      <c r="D80" s="17" t="s">
        <v>29</v>
      </c>
      <c r="E80" s="17" t="s">
        <v>315</v>
      </c>
      <c r="F80" s="17" t="s">
        <v>319</v>
      </c>
      <c r="G80" s="17" t="s">
        <v>118</v>
      </c>
      <c r="H80" s="18" t="s">
        <v>60</v>
      </c>
      <c r="I80" s="17" t="s">
        <v>66</v>
      </c>
      <c r="J80" s="17"/>
      <c r="K80" s="17" t="s">
        <v>60</v>
      </c>
      <c r="L80" s="20" t="n">
        <v>8</v>
      </c>
      <c r="M80" s="20" t="n">
        <v>1</v>
      </c>
      <c r="N80" s="25" t="n">
        <f aca="false">IFERROR(M80/L80,0)</f>
        <v>0.125</v>
      </c>
      <c r="O80" s="27" t="n">
        <v>1.18</v>
      </c>
      <c r="P80" s="14" t="n">
        <f aca="false">IFERROR(O80/M80,0)</f>
        <v>1.18</v>
      </c>
      <c r="Q80" s="20" t="n">
        <v>1</v>
      </c>
      <c r="R80" s="27" t="n">
        <v>84.99</v>
      </c>
      <c r="S80" s="8" t="n">
        <f aca="false">IFERROR(O80/R80,0)</f>
        <v>0.0138839863513355</v>
      </c>
      <c r="T80" s="8" t="n">
        <f aca="false">IFERROR(Q80/M80,0)</f>
        <v>1</v>
      </c>
    </row>
    <row r="81" customFormat="false" ht="15" hidden="false" customHeight="false" outlineLevel="0" collapsed="false">
      <c r="A81" s="17" t="s">
        <v>16</v>
      </c>
      <c r="B81" s="17" t="s">
        <v>883</v>
      </c>
      <c r="C81" s="17" t="s">
        <v>884</v>
      </c>
      <c r="D81" s="17" t="s">
        <v>28</v>
      </c>
      <c r="E81" s="17" t="s">
        <v>315</v>
      </c>
      <c r="F81" s="17" t="s">
        <v>28</v>
      </c>
      <c r="G81" s="17" t="s">
        <v>118</v>
      </c>
      <c r="H81" s="18" t="s">
        <v>60</v>
      </c>
      <c r="I81" s="17" t="s">
        <v>66</v>
      </c>
      <c r="J81" s="17"/>
      <c r="K81" s="17" t="s">
        <v>60</v>
      </c>
      <c r="L81" s="20" t="n">
        <v>49</v>
      </c>
      <c r="M81" s="20" t="n">
        <v>1</v>
      </c>
      <c r="N81" s="25" t="n">
        <f aca="false">IFERROR(M81/L81,0)</f>
        <v>0.0204081632653061</v>
      </c>
      <c r="O81" s="27" t="n">
        <v>0.95</v>
      </c>
      <c r="P81" s="14" t="n">
        <f aca="false">IFERROR(O81/M81,0)</f>
        <v>0.95</v>
      </c>
      <c r="Q81" s="20" t="n">
        <v>0</v>
      </c>
      <c r="R81" s="27" t="n">
        <v>0</v>
      </c>
      <c r="S81" s="8" t="n">
        <f aca="false">IFERROR(O81/R81,0)</f>
        <v>0</v>
      </c>
      <c r="T81" s="8" t="n">
        <f aca="false">IFERROR(Q81/M81,0)</f>
        <v>0</v>
      </c>
    </row>
    <row r="82" customFormat="false" ht="15" hidden="false" customHeight="false" outlineLevel="0" collapsed="false">
      <c r="A82" s="17" t="s">
        <v>16</v>
      </c>
      <c r="B82" s="17" t="s">
        <v>885</v>
      </c>
      <c r="C82" s="17" t="s">
        <v>886</v>
      </c>
      <c r="D82" s="17" t="s">
        <v>33</v>
      </c>
      <c r="E82" s="17" t="s">
        <v>318</v>
      </c>
      <c r="F82" s="17" t="s">
        <v>312</v>
      </c>
      <c r="G82" s="17" t="s">
        <v>121</v>
      </c>
      <c r="H82" s="26" t="s">
        <v>66</v>
      </c>
      <c r="I82" s="17" t="s">
        <v>66</v>
      </c>
      <c r="J82" s="17"/>
      <c r="K82" s="17" t="s">
        <v>60</v>
      </c>
      <c r="L82" s="20" t="n">
        <v>183</v>
      </c>
      <c r="M82" s="20" t="n">
        <v>1</v>
      </c>
      <c r="N82" s="25" t="n">
        <f aca="false">IFERROR(M82/L82,0)</f>
        <v>0.00546448087431694</v>
      </c>
      <c r="O82" s="27" t="n">
        <v>0.4</v>
      </c>
      <c r="P82" s="14" t="n">
        <f aca="false">IFERROR(O82/M82,0)</f>
        <v>0.4</v>
      </c>
      <c r="Q82" s="20" t="n">
        <v>0</v>
      </c>
      <c r="R82" s="27" t="n">
        <v>0</v>
      </c>
      <c r="S82" s="8" t="n">
        <f aca="false">IFERROR(O82/R82,0)</f>
        <v>0</v>
      </c>
      <c r="T82" s="8" t="n">
        <f aca="false">IFERROR(Q82/M82,0)</f>
        <v>0</v>
      </c>
    </row>
    <row r="83" customFormat="false" ht="15" hidden="false" customHeight="false" outlineLevel="0" collapsed="false">
      <c r="A83" s="17" t="s">
        <v>16</v>
      </c>
      <c r="B83" s="17" t="s">
        <v>887</v>
      </c>
      <c r="C83" s="17" t="s">
        <v>888</v>
      </c>
      <c r="D83" s="17" t="s">
        <v>28</v>
      </c>
      <c r="E83" s="17" t="s">
        <v>315</v>
      </c>
      <c r="F83" s="17" t="s">
        <v>28</v>
      </c>
      <c r="G83" s="17" t="s">
        <v>210</v>
      </c>
      <c r="H83" s="26" t="s">
        <v>66</v>
      </c>
      <c r="I83" s="17" t="s">
        <v>66</v>
      </c>
      <c r="J83" s="17"/>
      <c r="K83" s="17" t="s">
        <v>60</v>
      </c>
      <c r="L83" s="20" t="n">
        <v>68</v>
      </c>
      <c r="M83" s="20" t="n">
        <v>1</v>
      </c>
      <c r="N83" s="25" t="n">
        <f aca="false">IFERROR(M83/L83,0)</f>
        <v>0.0147058823529412</v>
      </c>
      <c r="O83" s="27" t="n">
        <v>0.4</v>
      </c>
      <c r="P83" s="14" t="n">
        <f aca="false">IFERROR(O83/M83,0)</f>
        <v>0.4</v>
      </c>
      <c r="Q83" s="20" t="n">
        <v>0</v>
      </c>
      <c r="R83" s="27" t="n">
        <v>0</v>
      </c>
      <c r="S83" s="8" t="n">
        <f aca="false">IFERROR(O83/R83,0)</f>
        <v>0</v>
      </c>
      <c r="T83" s="8" t="n">
        <f aca="false">IFERROR(Q83/M83,0)</f>
        <v>0</v>
      </c>
    </row>
    <row r="84" customFormat="false" ht="15" hidden="false" customHeight="false" outlineLevel="0" collapsed="false">
      <c r="A84" s="17" t="s">
        <v>16</v>
      </c>
      <c r="B84" s="17" t="s">
        <v>889</v>
      </c>
      <c r="C84" s="17" t="s">
        <v>890</v>
      </c>
      <c r="D84" s="17" t="s">
        <v>28</v>
      </c>
      <c r="E84" s="17" t="s">
        <v>311</v>
      </c>
      <c r="F84" s="17" t="s">
        <v>28</v>
      </c>
      <c r="G84" s="17" t="s">
        <v>210</v>
      </c>
      <c r="H84" s="26" t="s">
        <v>66</v>
      </c>
      <c r="I84" s="17" t="s">
        <v>66</v>
      </c>
      <c r="J84" s="17"/>
      <c r="K84" s="17" t="s">
        <v>60</v>
      </c>
      <c r="L84" s="20" t="n">
        <v>237</v>
      </c>
      <c r="M84" s="20" t="n">
        <v>1</v>
      </c>
      <c r="N84" s="25" t="n">
        <f aca="false">IFERROR(M84/L84,0)</f>
        <v>0.00421940928270042</v>
      </c>
      <c r="O84" s="27" t="n">
        <v>0.3</v>
      </c>
      <c r="P84" s="14" t="n">
        <f aca="false">IFERROR(O84/M84,0)</f>
        <v>0.3</v>
      </c>
      <c r="Q84" s="20" t="n">
        <v>0</v>
      </c>
      <c r="R84" s="27" t="n">
        <v>0</v>
      </c>
      <c r="S84" s="8" t="n">
        <f aca="false">IFERROR(O84/R84,0)</f>
        <v>0</v>
      </c>
      <c r="T84" s="8" t="n">
        <f aca="false">IFERROR(Q84/M84,0)</f>
        <v>0</v>
      </c>
    </row>
    <row r="85" customFormat="false" ht="15" hidden="false" customHeight="false" outlineLevel="0" collapsed="false">
      <c r="A85" s="17" t="s">
        <v>17</v>
      </c>
      <c r="B85" s="17" t="s">
        <v>734</v>
      </c>
      <c r="C85" s="17" t="s">
        <v>735</v>
      </c>
      <c r="D85" s="24" t="s">
        <v>34</v>
      </c>
      <c r="E85" s="17" t="s">
        <v>303</v>
      </c>
      <c r="F85" s="17" t="s">
        <v>332</v>
      </c>
      <c r="G85" s="17"/>
      <c r="H85" s="17"/>
      <c r="I85" s="17" t="s">
        <v>60</v>
      </c>
      <c r="J85" s="17" t="s">
        <v>891</v>
      </c>
      <c r="K85" s="17" t="s">
        <v>66</v>
      </c>
      <c r="L85" s="20" t="n">
        <v>61980</v>
      </c>
      <c r="M85" s="20" t="n">
        <v>123</v>
      </c>
      <c r="N85" s="25" t="n">
        <f aca="false">IFERROR(M85/L85,0)</f>
        <v>0.00198451113262343</v>
      </c>
      <c r="O85" s="27" t="n">
        <v>123.09</v>
      </c>
      <c r="P85" s="14" t="n">
        <f aca="false">IFERROR(O85/M85,0)</f>
        <v>1.00073170731707</v>
      </c>
      <c r="Q85" s="20" t="n">
        <v>5</v>
      </c>
      <c r="R85" s="27" t="n">
        <v>303.79</v>
      </c>
      <c r="S85" s="8" t="n">
        <f aca="false">IFERROR(O85/R85,0)</f>
        <v>0.405181210704763</v>
      </c>
      <c r="T85" s="8" t="n">
        <f aca="false">IFERROR(Q85/M85,0)</f>
        <v>0.040650406504065</v>
      </c>
    </row>
    <row r="86" customFormat="false" ht="15" hidden="false" customHeight="false" outlineLevel="0" collapsed="false">
      <c r="A86" s="17" t="s">
        <v>17</v>
      </c>
      <c r="B86" s="17" t="s">
        <v>892</v>
      </c>
      <c r="C86" s="17" t="s">
        <v>893</v>
      </c>
      <c r="D86" s="24" t="s">
        <v>34</v>
      </c>
      <c r="E86" s="17" t="s">
        <v>303</v>
      </c>
      <c r="F86" s="17" t="s">
        <v>332</v>
      </c>
      <c r="G86" s="17"/>
      <c r="H86" s="17"/>
      <c r="I86" s="17" t="s">
        <v>60</v>
      </c>
      <c r="J86" s="17" t="s">
        <v>21</v>
      </c>
      <c r="K86" s="17" t="s">
        <v>60</v>
      </c>
      <c r="L86" s="20" t="n">
        <v>38286</v>
      </c>
      <c r="M86" s="20" t="n">
        <v>105</v>
      </c>
      <c r="N86" s="25" t="n">
        <f aca="false">IFERROR(M86/L86,0)</f>
        <v>0.0027425168468892</v>
      </c>
      <c r="O86" s="27" t="n">
        <v>100.9</v>
      </c>
      <c r="P86" s="14" t="n">
        <f aca="false">IFERROR(O86/M86,0)</f>
        <v>0.960952380952381</v>
      </c>
      <c r="Q86" s="20" t="n">
        <v>10</v>
      </c>
      <c r="R86" s="27" t="n">
        <v>435.99</v>
      </c>
      <c r="S86" s="8" t="n">
        <f aca="false">IFERROR(O86/R86,0)</f>
        <v>0.231427326314824</v>
      </c>
      <c r="T86" s="8" t="n">
        <f aca="false">IFERROR(Q86/M86,0)</f>
        <v>0.0952380952380952</v>
      </c>
    </row>
    <row r="87" customFormat="false" ht="15" hidden="false" customHeight="false" outlineLevel="0" collapsed="false">
      <c r="A87" s="17" t="s">
        <v>17</v>
      </c>
      <c r="B87" s="17" t="s">
        <v>894</v>
      </c>
      <c r="C87" s="17" t="s">
        <v>895</v>
      </c>
      <c r="D87" s="26" t="s">
        <v>32</v>
      </c>
      <c r="E87" s="17" t="s">
        <v>303</v>
      </c>
      <c r="F87" s="17" t="s">
        <v>306</v>
      </c>
      <c r="G87" s="17" t="s">
        <v>216</v>
      </c>
      <c r="H87" s="26" t="s">
        <v>66</v>
      </c>
      <c r="I87" s="17" t="s">
        <v>66</v>
      </c>
      <c r="J87" s="17"/>
      <c r="K87" s="17" t="s">
        <v>60</v>
      </c>
      <c r="L87" s="20" t="n">
        <v>27721</v>
      </c>
      <c r="M87" s="20" t="n">
        <v>51</v>
      </c>
      <c r="N87" s="25" t="n">
        <f aca="false">IFERROR(M87/L87,0)</f>
        <v>0.0018397604704015</v>
      </c>
      <c r="O87" s="27" t="n">
        <v>73.31</v>
      </c>
      <c r="P87" s="14" t="n">
        <f aca="false">IFERROR(O87/M87,0)</f>
        <v>1.43745098039216</v>
      </c>
      <c r="Q87" s="20" t="n">
        <v>1</v>
      </c>
      <c r="R87" s="27" t="n">
        <v>40.79</v>
      </c>
      <c r="S87" s="8" t="n">
        <f aca="false">IFERROR(O87/R87,0)</f>
        <v>1.79725422897769</v>
      </c>
      <c r="T87" s="8" t="n">
        <f aca="false">IFERROR(Q87/M87,0)</f>
        <v>0.0196078431372549</v>
      </c>
    </row>
    <row r="88" customFormat="false" ht="15" hidden="false" customHeight="false" outlineLevel="0" collapsed="false">
      <c r="A88" s="17" t="s">
        <v>17</v>
      </c>
      <c r="B88" s="17" t="s">
        <v>896</v>
      </c>
      <c r="C88" s="17" t="s">
        <v>897</v>
      </c>
      <c r="D88" s="17" t="s">
        <v>31</v>
      </c>
      <c r="E88" s="17" t="s">
        <v>311</v>
      </c>
      <c r="F88" s="17" t="s">
        <v>306</v>
      </c>
      <c r="G88" s="17"/>
      <c r="H88" s="17"/>
      <c r="I88" s="17" t="s">
        <v>66</v>
      </c>
      <c r="J88" s="17"/>
      <c r="K88" s="17" t="s">
        <v>60</v>
      </c>
      <c r="L88" s="20" t="n">
        <v>56005</v>
      </c>
      <c r="M88" s="20" t="n">
        <v>101</v>
      </c>
      <c r="N88" s="25" t="n">
        <f aca="false">IFERROR(M88/L88,0)</f>
        <v>0.00180341040978484</v>
      </c>
      <c r="O88" s="27" t="n">
        <v>54.14</v>
      </c>
      <c r="P88" s="14" t="n">
        <f aca="false">IFERROR(O88/M88,0)</f>
        <v>0.536039603960396</v>
      </c>
      <c r="Q88" s="20" t="n">
        <v>10</v>
      </c>
      <c r="R88" s="27" t="n">
        <v>508.22</v>
      </c>
      <c r="S88" s="8" t="n">
        <f aca="false">IFERROR(O88/R88,0)</f>
        <v>0.106528668686789</v>
      </c>
      <c r="T88" s="8" t="n">
        <f aca="false">IFERROR(Q88/M88,0)</f>
        <v>0.099009900990099</v>
      </c>
    </row>
    <row r="89" customFormat="false" ht="15" hidden="false" customHeight="false" outlineLevel="0" collapsed="false">
      <c r="A89" s="17" t="s">
        <v>17</v>
      </c>
      <c r="B89" s="17" t="s">
        <v>898</v>
      </c>
      <c r="C89" s="17" t="s">
        <v>899</v>
      </c>
      <c r="D89" s="17" t="s">
        <v>28</v>
      </c>
      <c r="E89" s="17" t="s">
        <v>315</v>
      </c>
      <c r="F89" s="17" t="s">
        <v>28</v>
      </c>
      <c r="G89" s="17" t="s">
        <v>146</v>
      </c>
      <c r="H89" s="26" t="s">
        <v>66</v>
      </c>
      <c r="I89" s="17" t="s">
        <v>66</v>
      </c>
      <c r="J89" s="17"/>
      <c r="K89" s="17" t="s">
        <v>60</v>
      </c>
      <c r="L89" s="20" t="n">
        <v>1241</v>
      </c>
      <c r="M89" s="20" t="n">
        <v>12</v>
      </c>
      <c r="N89" s="25" t="n">
        <f aca="false">IFERROR(M89/L89,0)</f>
        <v>0.0096696212731668</v>
      </c>
      <c r="O89" s="27" t="n">
        <v>38.93</v>
      </c>
      <c r="P89" s="14" t="n">
        <f aca="false">IFERROR(O89/M89,0)</f>
        <v>3.24416666666667</v>
      </c>
      <c r="Q89" s="20" t="n">
        <v>0</v>
      </c>
      <c r="R89" s="27" t="n">
        <v>0</v>
      </c>
      <c r="S89" s="8" t="n">
        <f aca="false">IFERROR(O89/R89,0)</f>
        <v>0</v>
      </c>
      <c r="T89" s="8" t="n">
        <f aca="false">IFERROR(Q89/M89,0)</f>
        <v>0</v>
      </c>
    </row>
    <row r="90" customFormat="false" ht="15" hidden="false" customHeight="false" outlineLevel="0" collapsed="false">
      <c r="A90" s="17" t="s">
        <v>17</v>
      </c>
      <c r="B90" s="17" t="s">
        <v>900</v>
      </c>
      <c r="C90" s="17" t="s">
        <v>901</v>
      </c>
      <c r="D90" s="26" t="s">
        <v>32</v>
      </c>
      <c r="E90" s="17" t="s">
        <v>303</v>
      </c>
      <c r="F90" s="17" t="s">
        <v>306</v>
      </c>
      <c r="G90" s="17" t="s">
        <v>224</v>
      </c>
      <c r="H90" s="26" t="s">
        <v>66</v>
      </c>
      <c r="I90" s="17" t="s">
        <v>66</v>
      </c>
      <c r="J90" s="17"/>
      <c r="K90" s="17" t="s">
        <v>60</v>
      </c>
      <c r="L90" s="20" t="n">
        <v>11952</v>
      </c>
      <c r="M90" s="20" t="n">
        <v>58</v>
      </c>
      <c r="N90" s="25" t="n">
        <f aca="false">IFERROR(M90/L90,0)</f>
        <v>0.00485274431057564</v>
      </c>
      <c r="O90" s="27" t="n">
        <v>33.59</v>
      </c>
      <c r="P90" s="14" t="n">
        <f aca="false">IFERROR(O90/M90,0)</f>
        <v>0.579137931034483</v>
      </c>
      <c r="Q90" s="20" t="n">
        <v>8</v>
      </c>
      <c r="R90" s="27" t="n">
        <v>310.82</v>
      </c>
      <c r="S90" s="8" t="n">
        <f aca="false">IFERROR(O90/R90,0)</f>
        <v>0.108068978830191</v>
      </c>
      <c r="T90" s="8" t="n">
        <f aca="false">IFERROR(Q90/M90,0)</f>
        <v>0.137931034482759</v>
      </c>
    </row>
    <row r="91" customFormat="false" ht="15" hidden="false" customHeight="false" outlineLevel="0" collapsed="false">
      <c r="A91" s="17" t="s">
        <v>17</v>
      </c>
      <c r="B91" s="17" t="s">
        <v>902</v>
      </c>
      <c r="C91" s="17" t="s">
        <v>903</v>
      </c>
      <c r="D91" s="17" t="s">
        <v>28</v>
      </c>
      <c r="E91" s="17" t="s">
        <v>315</v>
      </c>
      <c r="F91" s="17" t="s">
        <v>28</v>
      </c>
      <c r="G91" s="17" t="s">
        <v>146</v>
      </c>
      <c r="H91" s="26" t="s">
        <v>66</v>
      </c>
      <c r="I91" s="17" t="s">
        <v>66</v>
      </c>
      <c r="J91" s="17"/>
      <c r="K91" s="17" t="s">
        <v>60</v>
      </c>
      <c r="L91" s="20" t="n">
        <v>801</v>
      </c>
      <c r="M91" s="20" t="n">
        <v>29</v>
      </c>
      <c r="N91" s="25" t="n">
        <f aca="false">IFERROR(M91/L91,0)</f>
        <v>0.0362047440699126</v>
      </c>
      <c r="O91" s="27" t="n">
        <v>18.93</v>
      </c>
      <c r="P91" s="14" t="n">
        <f aca="false">IFERROR(O91/M91,0)</f>
        <v>0.652758620689655</v>
      </c>
      <c r="Q91" s="20" t="n">
        <v>3</v>
      </c>
      <c r="R91" s="27" t="n">
        <v>139.17</v>
      </c>
      <c r="S91" s="8" t="n">
        <f aca="false">IFERROR(O91/R91,0)</f>
        <v>0.136020694115111</v>
      </c>
      <c r="T91" s="8" t="n">
        <f aca="false">IFERROR(Q91/M91,0)</f>
        <v>0.103448275862069</v>
      </c>
    </row>
    <row r="92" customFormat="false" ht="15" hidden="false" customHeight="false" outlineLevel="0" collapsed="false">
      <c r="A92" s="17" t="s">
        <v>17</v>
      </c>
      <c r="B92" s="17" t="s">
        <v>904</v>
      </c>
      <c r="C92" s="17" t="s">
        <v>905</v>
      </c>
      <c r="D92" s="17" t="s">
        <v>31</v>
      </c>
      <c r="E92" s="17" t="s">
        <v>311</v>
      </c>
      <c r="F92" s="17" t="s">
        <v>306</v>
      </c>
      <c r="G92" s="17" t="s">
        <v>146</v>
      </c>
      <c r="H92" s="26" t="s">
        <v>66</v>
      </c>
      <c r="I92" s="17" t="s">
        <v>66</v>
      </c>
      <c r="J92" s="17"/>
      <c r="K92" s="17" t="s">
        <v>60</v>
      </c>
      <c r="L92" s="20" t="n">
        <v>853</v>
      </c>
      <c r="M92" s="20" t="n">
        <v>19</v>
      </c>
      <c r="N92" s="25" t="n">
        <f aca="false">IFERROR(M92/L92,0)</f>
        <v>0.022274325908558</v>
      </c>
      <c r="O92" s="27" t="n">
        <v>18.66</v>
      </c>
      <c r="P92" s="14" t="n">
        <f aca="false">IFERROR(O92/M92,0)</f>
        <v>0.982105263157895</v>
      </c>
      <c r="Q92" s="20" t="n">
        <v>1</v>
      </c>
      <c r="R92" s="27" t="n">
        <v>42.23</v>
      </c>
      <c r="S92" s="8" t="n">
        <f aca="false">IFERROR(O92/R92,0)</f>
        <v>0.441865972057779</v>
      </c>
      <c r="T92" s="8" t="n">
        <f aca="false">IFERROR(Q92/M92,0)</f>
        <v>0.0526315789473684</v>
      </c>
    </row>
    <row r="93" customFormat="false" ht="15" hidden="false" customHeight="false" outlineLevel="0" collapsed="false">
      <c r="A93" s="17" t="s">
        <v>17</v>
      </c>
      <c r="B93" s="17" t="s">
        <v>906</v>
      </c>
      <c r="C93" s="17" t="s">
        <v>907</v>
      </c>
      <c r="D93" s="17" t="s">
        <v>30</v>
      </c>
      <c r="E93" s="17" t="s">
        <v>311</v>
      </c>
      <c r="F93" s="17" t="s">
        <v>312</v>
      </c>
      <c r="G93" s="17" t="s">
        <v>146</v>
      </c>
      <c r="H93" s="26" t="s">
        <v>66</v>
      </c>
      <c r="I93" s="17" t="s">
        <v>66</v>
      </c>
      <c r="J93" s="17"/>
      <c r="K93" s="17" t="s">
        <v>60</v>
      </c>
      <c r="L93" s="20" t="n">
        <v>5927</v>
      </c>
      <c r="M93" s="20" t="n">
        <v>10</v>
      </c>
      <c r="N93" s="25" t="n">
        <f aca="false">IFERROR(M93/L93,0)</f>
        <v>0.00168719419605197</v>
      </c>
      <c r="O93" s="27" t="n">
        <v>16.89</v>
      </c>
      <c r="P93" s="14" t="n">
        <f aca="false">IFERROR(O93/M93,0)</f>
        <v>1.689</v>
      </c>
      <c r="Q93" s="20" t="n">
        <v>1</v>
      </c>
      <c r="R93" s="27" t="n">
        <v>42.23</v>
      </c>
      <c r="S93" s="8" t="n">
        <f aca="false">IFERROR(O93/R93,0)</f>
        <v>0.399952640303102</v>
      </c>
      <c r="T93" s="8" t="n">
        <f aca="false">IFERROR(Q93/M93,0)</f>
        <v>0.1</v>
      </c>
    </row>
    <row r="94" customFormat="false" ht="15" hidden="false" customHeight="false" outlineLevel="0" collapsed="false">
      <c r="A94" s="17" t="s">
        <v>17</v>
      </c>
      <c r="B94" s="17" t="s">
        <v>908</v>
      </c>
      <c r="C94" s="17" t="s">
        <v>909</v>
      </c>
      <c r="D94" s="17" t="s">
        <v>33</v>
      </c>
      <c r="E94" s="17" t="s">
        <v>318</v>
      </c>
      <c r="F94" s="17" t="s">
        <v>683</v>
      </c>
      <c r="G94" s="17" t="s">
        <v>146</v>
      </c>
      <c r="H94" s="26" t="s">
        <v>66</v>
      </c>
      <c r="I94" s="17" t="s">
        <v>66</v>
      </c>
      <c r="J94" s="17"/>
      <c r="K94" s="17" t="s">
        <v>60</v>
      </c>
      <c r="L94" s="20" t="n">
        <v>510</v>
      </c>
      <c r="M94" s="20" t="n">
        <v>12</v>
      </c>
      <c r="N94" s="25" t="n">
        <f aca="false">IFERROR(M94/L94,0)</f>
        <v>0.0235294117647059</v>
      </c>
      <c r="O94" s="27" t="n">
        <v>11.41</v>
      </c>
      <c r="P94" s="14" t="n">
        <f aca="false">IFERROR(O94/M94,0)</f>
        <v>0.950833333333333</v>
      </c>
      <c r="Q94" s="20" t="n">
        <v>0</v>
      </c>
      <c r="R94" s="27" t="n">
        <v>0</v>
      </c>
      <c r="S94" s="8" t="n">
        <f aca="false">IFERROR(O94/R94,0)</f>
        <v>0</v>
      </c>
      <c r="T94" s="8" t="n">
        <f aca="false">IFERROR(Q94/M94,0)</f>
        <v>0</v>
      </c>
    </row>
    <row r="95" customFormat="false" ht="15" hidden="false" customHeight="false" outlineLevel="0" collapsed="false">
      <c r="A95" s="17" t="s">
        <v>17</v>
      </c>
      <c r="B95" s="17" t="s">
        <v>910</v>
      </c>
      <c r="C95" s="17" t="s">
        <v>911</v>
      </c>
      <c r="D95" s="26" t="s">
        <v>32</v>
      </c>
      <c r="E95" s="17" t="s">
        <v>303</v>
      </c>
      <c r="F95" s="17" t="s">
        <v>306</v>
      </c>
      <c r="G95" s="17" t="s">
        <v>146</v>
      </c>
      <c r="H95" s="26" t="s">
        <v>66</v>
      </c>
      <c r="I95" s="17" t="s">
        <v>66</v>
      </c>
      <c r="J95" s="17"/>
      <c r="K95" s="17" t="s">
        <v>60</v>
      </c>
      <c r="L95" s="20" t="n">
        <v>858</v>
      </c>
      <c r="M95" s="20" t="n">
        <v>12</v>
      </c>
      <c r="N95" s="25" t="n">
        <f aca="false">IFERROR(M95/L95,0)</f>
        <v>0.013986013986014</v>
      </c>
      <c r="O95" s="27" t="n">
        <v>9.79</v>
      </c>
      <c r="P95" s="14" t="n">
        <f aca="false">IFERROR(O95/M95,0)</f>
        <v>0.815833333333333</v>
      </c>
      <c r="Q95" s="20" t="n">
        <v>1</v>
      </c>
      <c r="R95" s="27" t="n">
        <v>46.63</v>
      </c>
      <c r="S95" s="8" t="n">
        <f aca="false">IFERROR(O95/R95,0)</f>
        <v>0.209950675530774</v>
      </c>
      <c r="T95" s="8" t="n">
        <f aca="false">IFERROR(Q95/M95,0)</f>
        <v>0.0833333333333333</v>
      </c>
    </row>
    <row r="96" customFormat="false" ht="15" hidden="false" customHeight="false" outlineLevel="0" collapsed="false">
      <c r="A96" s="17" t="s">
        <v>17</v>
      </c>
      <c r="B96" s="17" t="s">
        <v>912</v>
      </c>
      <c r="C96" s="17" t="s">
        <v>913</v>
      </c>
      <c r="D96" s="17" t="s">
        <v>29</v>
      </c>
      <c r="E96" s="17" t="s">
        <v>315</v>
      </c>
      <c r="F96" s="17"/>
      <c r="G96" s="17" t="s">
        <v>914</v>
      </c>
      <c r="H96" s="18" t="s">
        <v>60</v>
      </c>
      <c r="I96" s="17" t="s">
        <v>66</v>
      </c>
      <c r="J96" s="17"/>
      <c r="K96" s="17" t="s">
        <v>60</v>
      </c>
      <c r="L96" s="20" t="n">
        <v>169</v>
      </c>
      <c r="M96" s="20" t="n">
        <v>5</v>
      </c>
      <c r="N96" s="25" t="n">
        <f aca="false">IFERROR(M96/L96,0)</f>
        <v>0.029585798816568</v>
      </c>
      <c r="O96" s="27" t="n">
        <v>6.86</v>
      </c>
      <c r="P96" s="14" t="n">
        <f aca="false">IFERROR(O96/M96,0)</f>
        <v>1.372</v>
      </c>
      <c r="Q96" s="20" t="n">
        <v>0</v>
      </c>
      <c r="R96" s="27" t="n">
        <v>0</v>
      </c>
      <c r="S96" s="8" t="n">
        <f aca="false">IFERROR(O96/R96,0)</f>
        <v>0</v>
      </c>
      <c r="T96" s="8" t="n">
        <f aca="false">IFERROR(Q96/M96,0)</f>
        <v>0</v>
      </c>
    </row>
    <row r="97" customFormat="false" ht="15" hidden="false" customHeight="false" outlineLevel="0" collapsed="false">
      <c r="A97" s="17" t="s">
        <v>17</v>
      </c>
      <c r="B97" s="17" t="s">
        <v>915</v>
      </c>
      <c r="C97" s="17" t="s">
        <v>916</v>
      </c>
      <c r="D97" s="17" t="s">
        <v>28</v>
      </c>
      <c r="E97" s="17" t="s">
        <v>315</v>
      </c>
      <c r="F97" s="17" t="s">
        <v>28</v>
      </c>
      <c r="G97" s="17" t="s">
        <v>220</v>
      </c>
      <c r="H97" s="26" t="s">
        <v>66</v>
      </c>
      <c r="I97" s="17" t="s">
        <v>66</v>
      </c>
      <c r="J97" s="17"/>
      <c r="K97" s="17" t="s">
        <v>60</v>
      </c>
      <c r="L97" s="20" t="n">
        <v>210</v>
      </c>
      <c r="M97" s="20" t="n">
        <v>2</v>
      </c>
      <c r="N97" s="25" t="n">
        <f aca="false">IFERROR(M97/L97,0)</f>
        <v>0.00952380952380953</v>
      </c>
      <c r="O97" s="27" t="n">
        <v>6.57</v>
      </c>
      <c r="P97" s="14" t="n">
        <f aca="false">IFERROR(O97/M97,0)</f>
        <v>3.285</v>
      </c>
      <c r="Q97" s="20" t="n">
        <v>0</v>
      </c>
      <c r="R97" s="27" t="n">
        <v>0</v>
      </c>
      <c r="S97" s="8" t="n">
        <f aca="false">IFERROR(O97/R97,0)</f>
        <v>0</v>
      </c>
      <c r="T97" s="8" t="n">
        <f aca="false">IFERROR(Q97/M97,0)</f>
        <v>0</v>
      </c>
    </row>
    <row r="98" customFormat="false" ht="15" hidden="false" customHeight="false" outlineLevel="0" collapsed="false">
      <c r="A98" s="17" t="s">
        <v>17</v>
      </c>
      <c r="B98" s="17" t="s">
        <v>917</v>
      </c>
      <c r="C98" s="17" t="s">
        <v>918</v>
      </c>
      <c r="D98" s="17" t="s">
        <v>29</v>
      </c>
      <c r="E98" s="17" t="s">
        <v>315</v>
      </c>
      <c r="F98" s="17"/>
      <c r="G98" s="17" t="s">
        <v>919</v>
      </c>
      <c r="H98" s="26" t="s">
        <v>66</v>
      </c>
      <c r="I98" s="17" t="s">
        <v>66</v>
      </c>
      <c r="J98" s="17"/>
      <c r="K98" s="17" t="s">
        <v>60</v>
      </c>
      <c r="L98" s="20" t="n">
        <v>1378</v>
      </c>
      <c r="M98" s="20" t="n">
        <v>4</v>
      </c>
      <c r="N98" s="25" t="n">
        <f aca="false">IFERROR(M98/L98,0)</f>
        <v>0.00290275761973875</v>
      </c>
      <c r="O98" s="27" t="n">
        <v>6.52</v>
      </c>
      <c r="P98" s="14" t="n">
        <f aca="false">IFERROR(O98/M98,0)</f>
        <v>1.63</v>
      </c>
      <c r="Q98" s="20" t="n">
        <v>0</v>
      </c>
      <c r="R98" s="27" t="n">
        <v>0</v>
      </c>
      <c r="S98" s="8" t="n">
        <f aca="false">IFERROR(O98/R98,0)</f>
        <v>0</v>
      </c>
      <c r="T98" s="8" t="n">
        <f aca="false">IFERROR(Q98/M98,0)</f>
        <v>0</v>
      </c>
    </row>
    <row r="99" customFormat="false" ht="15" hidden="false" customHeight="false" outlineLevel="0" collapsed="false">
      <c r="A99" s="17" t="s">
        <v>17</v>
      </c>
      <c r="B99" s="17" t="s">
        <v>920</v>
      </c>
      <c r="C99" s="17" t="s">
        <v>921</v>
      </c>
      <c r="D99" s="17" t="s">
        <v>28</v>
      </c>
      <c r="E99" s="17" t="s">
        <v>315</v>
      </c>
      <c r="F99" s="17" t="s">
        <v>28</v>
      </c>
      <c r="G99" s="17" t="s">
        <v>922</v>
      </c>
      <c r="H99" s="26" t="s">
        <v>66</v>
      </c>
      <c r="I99" s="17" t="s">
        <v>66</v>
      </c>
      <c r="J99" s="17"/>
      <c r="K99" s="17" t="s">
        <v>60</v>
      </c>
      <c r="L99" s="20" t="n">
        <v>164</v>
      </c>
      <c r="M99" s="20" t="n">
        <v>2</v>
      </c>
      <c r="N99" s="25" t="n">
        <f aca="false">IFERROR(M99/L99,0)</f>
        <v>0.0121951219512195</v>
      </c>
      <c r="O99" s="27" t="n">
        <v>6</v>
      </c>
      <c r="P99" s="14" t="n">
        <f aca="false">IFERROR(O99/M99,0)</f>
        <v>3</v>
      </c>
      <c r="Q99" s="20" t="n">
        <v>0</v>
      </c>
      <c r="R99" s="27" t="n">
        <v>0</v>
      </c>
      <c r="S99" s="8" t="n">
        <f aca="false">IFERROR(O99/R99,0)</f>
        <v>0</v>
      </c>
      <c r="T99" s="8" t="n">
        <f aca="false">IFERROR(Q99/M99,0)</f>
        <v>0</v>
      </c>
    </row>
    <row r="100" customFormat="false" ht="15" hidden="false" customHeight="false" outlineLevel="0" collapsed="false">
      <c r="A100" s="17" t="s">
        <v>17</v>
      </c>
      <c r="B100" s="17" t="s">
        <v>923</v>
      </c>
      <c r="C100" s="17" t="s">
        <v>924</v>
      </c>
      <c r="D100" s="17" t="s">
        <v>29</v>
      </c>
      <c r="E100" s="17" t="s">
        <v>315</v>
      </c>
      <c r="F100" s="17"/>
      <c r="G100" s="17" t="s">
        <v>914</v>
      </c>
      <c r="H100" s="18" t="s">
        <v>60</v>
      </c>
      <c r="I100" s="17" t="s">
        <v>66</v>
      </c>
      <c r="J100" s="17"/>
      <c r="K100" s="17" t="s">
        <v>60</v>
      </c>
      <c r="L100" s="20" t="n">
        <v>144</v>
      </c>
      <c r="M100" s="20" t="n">
        <v>5</v>
      </c>
      <c r="N100" s="25" t="n">
        <f aca="false">IFERROR(M100/L100,0)</f>
        <v>0.0347222222222222</v>
      </c>
      <c r="O100" s="27" t="n">
        <v>5.61</v>
      </c>
      <c r="P100" s="14" t="n">
        <f aca="false">IFERROR(O100/M100,0)</f>
        <v>1.122</v>
      </c>
      <c r="Q100" s="20" t="n">
        <v>1</v>
      </c>
      <c r="R100" s="27" t="n">
        <v>35.19</v>
      </c>
      <c r="S100" s="8" t="n">
        <f aca="false">IFERROR(O100/R100,0)</f>
        <v>0.159420289855072</v>
      </c>
      <c r="T100" s="8" t="n">
        <f aca="false">IFERROR(Q100/M100,0)</f>
        <v>0.2</v>
      </c>
    </row>
    <row r="101" customFormat="false" ht="15" hidden="false" customHeight="false" outlineLevel="0" collapsed="false">
      <c r="A101" s="17" t="s">
        <v>17</v>
      </c>
      <c r="B101" s="17" t="s">
        <v>925</v>
      </c>
      <c r="C101" s="17" t="s">
        <v>926</v>
      </c>
      <c r="D101" s="17" t="s">
        <v>31</v>
      </c>
      <c r="E101" s="17" t="s">
        <v>351</v>
      </c>
      <c r="F101" s="17" t="s">
        <v>306</v>
      </c>
      <c r="G101" s="17" t="s">
        <v>146</v>
      </c>
      <c r="H101" s="26" t="s">
        <v>66</v>
      </c>
      <c r="I101" s="17" t="s">
        <v>66</v>
      </c>
      <c r="J101" s="17"/>
      <c r="K101" s="17" t="s">
        <v>60</v>
      </c>
      <c r="L101" s="20" t="n">
        <v>558</v>
      </c>
      <c r="M101" s="20" t="n">
        <v>5</v>
      </c>
      <c r="N101" s="25" t="n">
        <f aca="false">IFERROR(M101/L101,0)</f>
        <v>0.00896057347670251</v>
      </c>
      <c r="O101" s="27" t="n">
        <v>4.91</v>
      </c>
      <c r="P101" s="14" t="n">
        <f aca="false">IFERROR(O101/M101,0)</f>
        <v>0.982</v>
      </c>
      <c r="Q101" s="20" t="n">
        <v>1</v>
      </c>
      <c r="R101" s="27" t="n">
        <v>44.99</v>
      </c>
      <c r="S101" s="8" t="n">
        <f aca="false">IFERROR(O101/R101,0)</f>
        <v>0.109135363414092</v>
      </c>
      <c r="T101" s="8" t="n">
        <f aca="false">IFERROR(Q101/M101,0)</f>
        <v>0.2</v>
      </c>
    </row>
    <row r="102" customFormat="false" ht="15" hidden="false" customHeight="false" outlineLevel="0" collapsed="false">
      <c r="A102" s="17" t="s">
        <v>17</v>
      </c>
      <c r="B102" s="17" t="s">
        <v>927</v>
      </c>
      <c r="C102" s="17" t="s">
        <v>928</v>
      </c>
      <c r="D102" s="24" t="s">
        <v>34</v>
      </c>
      <c r="E102" s="17" t="s">
        <v>303</v>
      </c>
      <c r="F102" s="17" t="s">
        <v>332</v>
      </c>
      <c r="G102" s="17"/>
      <c r="H102" s="17"/>
      <c r="I102" s="17" t="s">
        <v>60</v>
      </c>
      <c r="J102" s="17" t="s">
        <v>21</v>
      </c>
      <c r="K102" s="17" t="s">
        <v>60</v>
      </c>
      <c r="L102" s="20" t="n">
        <v>2339</v>
      </c>
      <c r="M102" s="20" t="n">
        <v>10</v>
      </c>
      <c r="N102" s="25" t="n">
        <f aca="false">IFERROR(M102/L102,0)</f>
        <v>0.00427533133817871</v>
      </c>
      <c r="O102" s="27" t="n">
        <v>4.44</v>
      </c>
      <c r="P102" s="14" t="n">
        <f aca="false">IFERROR(O102/M102,0)</f>
        <v>0.444</v>
      </c>
      <c r="Q102" s="20" t="n">
        <v>0</v>
      </c>
      <c r="R102" s="27" t="n">
        <v>0</v>
      </c>
      <c r="S102" s="8" t="n">
        <f aca="false">IFERROR(O102/R102,0)</f>
        <v>0</v>
      </c>
      <c r="T102" s="8" t="n">
        <f aca="false">IFERROR(Q102/M102,0)</f>
        <v>0</v>
      </c>
    </row>
    <row r="103" customFormat="false" ht="15" hidden="false" customHeight="false" outlineLevel="0" collapsed="false">
      <c r="A103" s="17" t="s">
        <v>17</v>
      </c>
      <c r="B103" s="17" t="s">
        <v>929</v>
      </c>
      <c r="C103" s="17" t="s">
        <v>930</v>
      </c>
      <c r="D103" s="17" t="s">
        <v>28</v>
      </c>
      <c r="E103" s="17" t="s">
        <v>315</v>
      </c>
      <c r="F103" s="17" t="s">
        <v>28</v>
      </c>
      <c r="G103" s="17" t="s">
        <v>146</v>
      </c>
      <c r="H103" s="26" t="s">
        <v>66</v>
      </c>
      <c r="I103" s="17" t="s">
        <v>66</v>
      </c>
      <c r="J103" s="17"/>
      <c r="K103" s="17" t="s">
        <v>60</v>
      </c>
      <c r="L103" s="20" t="n">
        <v>115</v>
      </c>
      <c r="M103" s="20" t="n">
        <v>4</v>
      </c>
      <c r="N103" s="25" t="n">
        <f aca="false">IFERROR(M103/L103,0)</f>
        <v>0.0347826086956522</v>
      </c>
      <c r="O103" s="27" t="n">
        <v>4.32</v>
      </c>
      <c r="P103" s="14" t="n">
        <f aca="false">IFERROR(O103/M103,0)</f>
        <v>1.08</v>
      </c>
      <c r="Q103" s="20" t="n">
        <v>0</v>
      </c>
      <c r="R103" s="27" t="n">
        <v>0</v>
      </c>
      <c r="S103" s="8" t="n">
        <f aca="false">IFERROR(O103/R103,0)</f>
        <v>0</v>
      </c>
      <c r="T103" s="8" t="n">
        <f aca="false">IFERROR(Q103/M103,0)</f>
        <v>0</v>
      </c>
    </row>
    <row r="104" customFormat="false" ht="15" hidden="false" customHeight="false" outlineLevel="0" collapsed="false">
      <c r="A104" s="17" t="s">
        <v>17</v>
      </c>
      <c r="B104" s="17" t="s">
        <v>931</v>
      </c>
      <c r="C104" s="17" t="s">
        <v>932</v>
      </c>
      <c r="D104" s="17" t="s">
        <v>28</v>
      </c>
      <c r="E104" s="17" t="s">
        <v>315</v>
      </c>
      <c r="F104" s="17" t="s">
        <v>28</v>
      </c>
      <c r="G104" s="17" t="s">
        <v>162</v>
      </c>
      <c r="H104" s="18" t="s">
        <v>60</v>
      </c>
      <c r="I104" s="17" t="s">
        <v>66</v>
      </c>
      <c r="J104" s="17"/>
      <c r="K104" s="17" t="s">
        <v>60</v>
      </c>
      <c r="L104" s="20" t="n">
        <v>567</v>
      </c>
      <c r="M104" s="20" t="n">
        <v>2</v>
      </c>
      <c r="N104" s="25" t="n">
        <f aca="false">IFERROR(M104/L104,0)</f>
        <v>0.00352733686067019</v>
      </c>
      <c r="O104" s="27" t="n">
        <v>4.24</v>
      </c>
      <c r="P104" s="14" t="n">
        <f aca="false">IFERROR(O104/M104,0)</f>
        <v>2.12</v>
      </c>
      <c r="Q104" s="20" t="n">
        <v>0</v>
      </c>
      <c r="R104" s="27" t="n">
        <v>0</v>
      </c>
      <c r="S104" s="8" t="n">
        <f aca="false">IFERROR(O104/R104,0)</f>
        <v>0</v>
      </c>
      <c r="T104" s="8" t="n">
        <f aca="false">IFERROR(Q104/M104,0)</f>
        <v>0</v>
      </c>
    </row>
    <row r="105" customFormat="false" ht="15" hidden="false" customHeight="false" outlineLevel="0" collapsed="false">
      <c r="A105" s="17" t="s">
        <v>17</v>
      </c>
      <c r="B105" s="17" t="s">
        <v>933</v>
      </c>
      <c r="C105" s="17" t="s">
        <v>934</v>
      </c>
      <c r="D105" s="17" t="s">
        <v>28</v>
      </c>
      <c r="E105" s="17" t="s">
        <v>315</v>
      </c>
      <c r="F105" s="17" t="s">
        <v>28</v>
      </c>
      <c r="G105" s="17"/>
      <c r="H105" s="17"/>
      <c r="I105" s="17" t="s">
        <v>66</v>
      </c>
      <c r="J105" s="17"/>
      <c r="K105" s="17" t="s">
        <v>60</v>
      </c>
      <c r="L105" s="20" t="n">
        <v>267</v>
      </c>
      <c r="M105" s="20" t="n">
        <v>2</v>
      </c>
      <c r="N105" s="25" t="n">
        <f aca="false">IFERROR(M105/L105,0)</f>
        <v>0.00749063670411985</v>
      </c>
      <c r="O105" s="27" t="n">
        <v>3.55</v>
      </c>
      <c r="P105" s="14" t="n">
        <f aca="false">IFERROR(O105/M105,0)</f>
        <v>1.775</v>
      </c>
      <c r="Q105" s="20" t="n">
        <v>0</v>
      </c>
      <c r="R105" s="27" t="n">
        <v>0</v>
      </c>
      <c r="S105" s="8" t="n">
        <f aca="false">IFERROR(O105/R105,0)</f>
        <v>0</v>
      </c>
      <c r="T105" s="8" t="n">
        <f aca="false">IFERROR(Q105/M105,0)</f>
        <v>0</v>
      </c>
    </row>
    <row r="106" customFormat="false" ht="15" hidden="false" customHeight="false" outlineLevel="0" collapsed="false">
      <c r="A106" s="17" t="s">
        <v>17</v>
      </c>
      <c r="B106" s="17" t="s">
        <v>935</v>
      </c>
      <c r="C106" s="17" t="s">
        <v>936</v>
      </c>
      <c r="D106" s="17" t="s">
        <v>28</v>
      </c>
      <c r="E106" s="17" t="s">
        <v>315</v>
      </c>
      <c r="F106" s="17" t="s">
        <v>28</v>
      </c>
      <c r="G106" s="17" t="s">
        <v>169</v>
      </c>
      <c r="H106" s="26" t="s">
        <v>66</v>
      </c>
      <c r="I106" s="17" t="s">
        <v>66</v>
      </c>
      <c r="J106" s="17"/>
      <c r="K106" s="17" t="s">
        <v>60</v>
      </c>
      <c r="L106" s="20" t="n">
        <v>226</v>
      </c>
      <c r="M106" s="20" t="n">
        <v>3</v>
      </c>
      <c r="N106" s="25" t="n">
        <f aca="false">IFERROR(M106/L106,0)</f>
        <v>0.0132743362831858</v>
      </c>
      <c r="O106" s="27" t="n">
        <v>3.28</v>
      </c>
      <c r="P106" s="14" t="n">
        <f aca="false">IFERROR(O106/M106,0)</f>
        <v>1.09333333333333</v>
      </c>
      <c r="Q106" s="20" t="n">
        <v>1</v>
      </c>
      <c r="R106" s="27" t="n">
        <v>40.79</v>
      </c>
      <c r="S106" s="8" t="n">
        <f aca="false">IFERROR(O106/R106,0)</f>
        <v>0.0804118656533464</v>
      </c>
      <c r="T106" s="8" t="n">
        <f aca="false">IFERROR(Q106/M106,0)</f>
        <v>0.333333333333333</v>
      </c>
    </row>
    <row r="107" customFormat="false" ht="15" hidden="false" customHeight="false" outlineLevel="0" collapsed="false">
      <c r="A107" s="17" t="s">
        <v>17</v>
      </c>
      <c r="B107" s="17" t="s">
        <v>937</v>
      </c>
      <c r="C107" s="17" t="s">
        <v>938</v>
      </c>
      <c r="D107" s="17" t="s">
        <v>28</v>
      </c>
      <c r="E107" s="17" t="s">
        <v>315</v>
      </c>
      <c r="F107" s="17" t="s">
        <v>28</v>
      </c>
      <c r="G107" s="17" t="s">
        <v>146</v>
      </c>
      <c r="H107" s="26" t="s">
        <v>66</v>
      </c>
      <c r="I107" s="17" t="s">
        <v>66</v>
      </c>
      <c r="J107" s="17"/>
      <c r="K107" s="17" t="s">
        <v>60</v>
      </c>
      <c r="L107" s="20" t="n">
        <v>182</v>
      </c>
      <c r="M107" s="20" t="n">
        <v>2</v>
      </c>
      <c r="N107" s="25" t="n">
        <f aca="false">IFERROR(M107/L107,0)</f>
        <v>0.010989010989011</v>
      </c>
      <c r="O107" s="27" t="n">
        <v>3.26</v>
      </c>
      <c r="P107" s="14" t="n">
        <f aca="false">IFERROR(O107/M107,0)</f>
        <v>1.63</v>
      </c>
      <c r="Q107" s="20" t="n">
        <v>1</v>
      </c>
      <c r="R107" s="27" t="n">
        <v>47.99</v>
      </c>
      <c r="S107" s="8" t="n">
        <f aca="false">IFERROR(O107/R107,0)</f>
        <v>0.0679308189206085</v>
      </c>
      <c r="T107" s="8" t="n">
        <f aca="false">IFERROR(Q107/M107,0)</f>
        <v>0.5</v>
      </c>
    </row>
    <row r="108" customFormat="false" ht="15" hidden="false" customHeight="false" outlineLevel="0" collapsed="false">
      <c r="A108" s="17" t="s">
        <v>17</v>
      </c>
      <c r="B108" s="17" t="s">
        <v>939</v>
      </c>
      <c r="C108" s="17" t="s">
        <v>940</v>
      </c>
      <c r="D108" s="17" t="s">
        <v>28</v>
      </c>
      <c r="E108" s="17" t="s">
        <v>315</v>
      </c>
      <c r="F108" s="17" t="s">
        <v>28</v>
      </c>
      <c r="G108" s="17" t="s">
        <v>169</v>
      </c>
      <c r="H108" s="26" t="s">
        <v>66</v>
      </c>
      <c r="I108" s="17" t="s">
        <v>66</v>
      </c>
      <c r="J108" s="17"/>
      <c r="K108" s="17" t="s">
        <v>60</v>
      </c>
      <c r="L108" s="20" t="n">
        <v>4</v>
      </c>
      <c r="M108" s="20" t="n">
        <v>2</v>
      </c>
      <c r="N108" s="25" t="n">
        <f aca="false">IFERROR(M108/L108,0)</f>
        <v>0.5</v>
      </c>
      <c r="O108" s="27" t="n">
        <v>2.88</v>
      </c>
      <c r="P108" s="14" t="n">
        <f aca="false">IFERROR(O108/M108,0)</f>
        <v>1.44</v>
      </c>
      <c r="Q108" s="20" t="n">
        <v>0</v>
      </c>
      <c r="R108" s="27" t="n">
        <v>0</v>
      </c>
      <c r="S108" s="8" t="n">
        <f aca="false">IFERROR(O108/R108,0)</f>
        <v>0</v>
      </c>
      <c r="T108" s="8" t="n">
        <f aca="false">IFERROR(Q108/M108,0)</f>
        <v>0</v>
      </c>
    </row>
    <row r="109" customFormat="false" ht="15" hidden="false" customHeight="false" outlineLevel="0" collapsed="false">
      <c r="A109" s="17" t="s">
        <v>17</v>
      </c>
      <c r="B109" s="17" t="s">
        <v>941</v>
      </c>
      <c r="C109" s="17" t="s">
        <v>942</v>
      </c>
      <c r="D109" s="24" t="s">
        <v>34</v>
      </c>
      <c r="E109" s="17" t="s">
        <v>303</v>
      </c>
      <c r="F109" s="17"/>
      <c r="G109" s="17"/>
      <c r="H109" s="17"/>
      <c r="I109" s="17" t="s">
        <v>66</v>
      </c>
      <c r="J109" s="17"/>
      <c r="K109" s="17" t="s">
        <v>60</v>
      </c>
      <c r="L109" s="20" t="n">
        <v>362</v>
      </c>
      <c r="M109" s="20" t="n">
        <v>4</v>
      </c>
      <c r="N109" s="25" t="n">
        <f aca="false">IFERROR(M109/L109,0)</f>
        <v>0.0110497237569061</v>
      </c>
      <c r="O109" s="27" t="n">
        <v>2.49</v>
      </c>
      <c r="P109" s="14" t="n">
        <f aca="false">IFERROR(O109/M109,0)</f>
        <v>0.6225</v>
      </c>
      <c r="Q109" s="20" t="n">
        <v>1</v>
      </c>
      <c r="R109" s="27" t="n">
        <v>45.59</v>
      </c>
      <c r="S109" s="8" t="n">
        <f aca="false">IFERROR(O109/R109,0)</f>
        <v>0.0546172406229436</v>
      </c>
      <c r="T109" s="8" t="n">
        <f aca="false">IFERROR(Q109/M109,0)</f>
        <v>0.25</v>
      </c>
    </row>
    <row r="110" customFormat="false" ht="15" hidden="false" customHeight="false" outlineLevel="0" collapsed="false">
      <c r="A110" s="17" t="s">
        <v>17</v>
      </c>
      <c r="B110" s="17" t="s">
        <v>943</v>
      </c>
      <c r="C110" s="17" t="s">
        <v>944</v>
      </c>
      <c r="D110" s="17" t="s">
        <v>28</v>
      </c>
      <c r="E110" s="17" t="s">
        <v>315</v>
      </c>
      <c r="F110" s="17" t="s">
        <v>28</v>
      </c>
      <c r="G110" s="17" t="s">
        <v>146</v>
      </c>
      <c r="H110" s="26" t="s">
        <v>66</v>
      </c>
      <c r="I110" s="17" t="s">
        <v>66</v>
      </c>
      <c r="J110" s="17"/>
      <c r="K110" s="17" t="s">
        <v>60</v>
      </c>
      <c r="L110" s="20" t="n">
        <v>108</v>
      </c>
      <c r="M110" s="20" t="n">
        <v>1</v>
      </c>
      <c r="N110" s="25" t="n">
        <f aca="false">IFERROR(M110/L110,0)</f>
        <v>0.00925925925925926</v>
      </c>
      <c r="O110" s="27" t="n">
        <v>2.41</v>
      </c>
      <c r="P110" s="14" t="n">
        <f aca="false">IFERROR(O110/M110,0)</f>
        <v>2.41</v>
      </c>
      <c r="Q110" s="20" t="n">
        <v>0</v>
      </c>
      <c r="R110" s="27" t="n">
        <v>0</v>
      </c>
      <c r="S110" s="8" t="n">
        <f aca="false">IFERROR(O110/R110,0)</f>
        <v>0</v>
      </c>
      <c r="T110" s="8" t="n">
        <f aca="false">IFERROR(Q110/M110,0)</f>
        <v>0</v>
      </c>
    </row>
    <row r="111" customFormat="false" ht="15" hidden="false" customHeight="false" outlineLevel="0" collapsed="false">
      <c r="A111" s="17" t="s">
        <v>17</v>
      </c>
      <c r="B111" s="17" t="s">
        <v>945</v>
      </c>
      <c r="C111" s="17" t="s">
        <v>946</v>
      </c>
      <c r="D111" s="17" t="s">
        <v>28</v>
      </c>
      <c r="E111" s="17" t="s">
        <v>315</v>
      </c>
      <c r="F111" s="17" t="s">
        <v>28</v>
      </c>
      <c r="G111" s="17" t="s">
        <v>162</v>
      </c>
      <c r="H111" s="18" t="s">
        <v>60</v>
      </c>
      <c r="I111" s="17" t="s">
        <v>66</v>
      </c>
      <c r="J111" s="17"/>
      <c r="K111" s="17" t="s">
        <v>60</v>
      </c>
      <c r="L111" s="20" t="n">
        <v>201</v>
      </c>
      <c r="M111" s="20" t="n">
        <v>1</v>
      </c>
      <c r="N111" s="25" t="n">
        <f aca="false">IFERROR(M111/L111,0)</f>
        <v>0.00497512437810945</v>
      </c>
      <c r="O111" s="27" t="n">
        <v>2.36</v>
      </c>
      <c r="P111" s="14" t="n">
        <f aca="false">IFERROR(O111/M111,0)</f>
        <v>2.36</v>
      </c>
      <c r="Q111" s="20" t="n">
        <v>0</v>
      </c>
      <c r="R111" s="27" t="n">
        <v>0</v>
      </c>
      <c r="S111" s="8" t="n">
        <f aca="false">IFERROR(O111/R111,0)</f>
        <v>0</v>
      </c>
      <c r="T111" s="8" t="n">
        <f aca="false">IFERROR(Q111/M111,0)</f>
        <v>0</v>
      </c>
    </row>
    <row r="112" customFormat="false" ht="15" hidden="false" customHeight="false" outlineLevel="0" collapsed="false">
      <c r="A112" s="17" t="s">
        <v>17</v>
      </c>
      <c r="B112" s="17" t="s">
        <v>947</v>
      </c>
      <c r="C112" s="17" t="s">
        <v>948</v>
      </c>
      <c r="D112" s="17" t="s">
        <v>28</v>
      </c>
      <c r="E112" s="17" t="s">
        <v>315</v>
      </c>
      <c r="F112" s="17" t="s">
        <v>28</v>
      </c>
      <c r="G112" s="17" t="s">
        <v>141</v>
      </c>
      <c r="H112" s="26" t="s">
        <v>66</v>
      </c>
      <c r="I112" s="17" t="s">
        <v>66</v>
      </c>
      <c r="J112" s="17"/>
      <c r="K112" s="17" t="s">
        <v>60</v>
      </c>
      <c r="L112" s="20" t="n">
        <v>16</v>
      </c>
      <c r="M112" s="20" t="n">
        <v>2</v>
      </c>
      <c r="N112" s="25" t="n">
        <f aca="false">IFERROR(M112/L112,0)</f>
        <v>0.125</v>
      </c>
      <c r="O112" s="27" t="n">
        <v>2.16</v>
      </c>
      <c r="P112" s="14" t="n">
        <f aca="false">IFERROR(O112/M112,0)</f>
        <v>1.08</v>
      </c>
      <c r="Q112" s="20" t="n">
        <v>0</v>
      </c>
      <c r="R112" s="27" t="n">
        <v>0</v>
      </c>
      <c r="S112" s="8" t="n">
        <f aca="false">IFERROR(O112/R112,0)</f>
        <v>0</v>
      </c>
      <c r="T112" s="8" t="n">
        <f aca="false">IFERROR(Q112/M112,0)</f>
        <v>0</v>
      </c>
    </row>
    <row r="113" customFormat="false" ht="15" hidden="false" customHeight="false" outlineLevel="0" collapsed="false">
      <c r="A113" s="17" t="s">
        <v>17</v>
      </c>
      <c r="B113" s="17" t="s">
        <v>949</v>
      </c>
      <c r="C113" s="17" t="s">
        <v>950</v>
      </c>
      <c r="D113" s="17" t="s">
        <v>28</v>
      </c>
      <c r="E113" s="17" t="s">
        <v>315</v>
      </c>
      <c r="F113" s="17" t="s">
        <v>28</v>
      </c>
      <c r="G113" s="17" t="s">
        <v>146</v>
      </c>
      <c r="H113" s="26" t="s">
        <v>66</v>
      </c>
      <c r="I113" s="17" t="s">
        <v>66</v>
      </c>
      <c r="J113" s="17"/>
      <c r="K113" s="17" t="s">
        <v>60</v>
      </c>
      <c r="L113" s="20" t="n">
        <v>17</v>
      </c>
      <c r="M113" s="20" t="n">
        <v>1</v>
      </c>
      <c r="N113" s="25" t="n">
        <f aca="false">IFERROR(M113/L113,0)</f>
        <v>0.0588235294117647</v>
      </c>
      <c r="O113" s="27" t="n">
        <v>2.1</v>
      </c>
      <c r="P113" s="14" t="n">
        <f aca="false">IFERROR(O113/M113,0)</f>
        <v>2.1</v>
      </c>
      <c r="Q113" s="20" t="n">
        <v>0</v>
      </c>
      <c r="R113" s="27" t="n">
        <v>0</v>
      </c>
      <c r="S113" s="8" t="n">
        <f aca="false">IFERROR(O113/R113,0)</f>
        <v>0</v>
      </c>
      <c r="T113" s="8" t="n">
        <f aca="false">IFERROR(Q113/M113,0)</f>
        <v>0</v>
      </c>
    </row>
    <row r="114" customFormat="false" ht="15" hidden="false" customHeight="false" outlineLevel="0" collapsed="false">
      <c r="A114" s="17" t="s">
        <v>17</v>
      </c>
      <c r="B114" s="17" t="s">
        <v>951</v>
      </c>
      <c r="C114" s="17" t="s">
        <v>952</v>
      </c>
      <c r="D114" s="17" t="s">
        <v>28</v>
      </c>
      <c r="E114" s="17" t="s">
        <v>315</v>
      </c>
      <c r="F114" s="17" t="s">
        <v>28</v>
      </c>
      <c r="G114" s="17" t="s">
        <v>220</v>
      </c>
      <c r="H114" s="26" t="s">
        <v>66</v>
      </c>
      <c r="I114" s="17" t="s">
        <v>66</v>
      </c>
      <c r="J114" s="17"/>
      <c r="K114" s="17" t="s">
        <v>60</v>
      </c>
      <c r="L114" s="20" t="n">
        <v>147</v>
      </c>
      <c r="M114" s="20" t="n">
        <v>1</v>
      </c>
      <c r="N114" s="25" t="n">
        <f aca="false">IFERROR(M114/L114,0)</f>
        <v>0.00680272108843537</v>
      </c>
      <c r="O114" s="27" t="n">
        <v>2.02</v>
      </c>
      <c r="P114" s="14" t="n">
        <f aca="false">IFERROR(O114/M114,0)</f>
        <v>2.02</v>
      </c>
      <c r="Q114" s="20" t="n">
        <v>0</v>
      </c>
      <c r="R114" s="27" t="n">
        <v>0</v>
      </c>
      <c r="S114" s="8" t="n">
        <f aca="false">IFERROR(O114/R114,0)</f>
        <v>0</v>
      </c>
      <c r="T114" s="8" t="n">
        <f aca="false">IFERROR(Q114/M114,0)</f>
        <v>0</v>
      </c>
    </row>
    <row r="115" customFormat="false" ht="15" hidden="false" customHeight="false" outlineLevel="0" collapsed="false">
      <c r="A115" s="17" t="s">
        <v>17</v>
      </c>
      <c r="B115" s="17" t="s">
        <v>953</v>
      </c>
      <c r="C115" s="17" t="s">
        <v>954</v>
      </c>
      <c r="D115" s="17" t="s">
        <v>28</v>
      </c>
      <c r="E115" s="17" t="s">
        <v>315</v>
      </c>
      <c r="F115" s="17" t="s">
        <v>28</v>
      </c>
      <c r="G115" s="17" t="s">
        <v>146</v>
      </c>
      <c r="H115" s="26" t="s">
        <v>66</v>
      </c>
      <c r="I115" s="17" t="s">
        <v>66</v>
      </c>
      <c r="J115" s="17"/>
      <c r="K115" s="17" t="s">
        <v>60</v>
      </c>
      <c r="L115" s="20" t="n">
        <v>6</v>
      </c>
      <c r="M115" s="20" t="n">
        <v>1</v>
      </c>
      <c r="N115" s="25" t="n">
        <f aca="false">IFERROR(M115/L115,0)</f>
        <v>0.166666666666667</v>
      </c>
      <c r="O115" s="27" t="n">
        <v>1.95</v>
      </c>
      <c r="P115" s="14" t="n">
        <f aca="false">IFERROR(O115/M115,0)</f>
        <v>1.95</v>
      </c>
      <c r="Q115" s="20" t="n">
        <v>0</v>
      </c>
      <c r="R115" s="27" t="n">
        <v>0</v>
      </c>
      <c r="S115" s="8" t="n">
        <f aca="false">IFERROR(O115/R115,0)</f>
        <v>0</v>
      </c>
      <c r="T115" s="8" t="n">
        <f aca="false">IFERROR(Q115/M115,0)</f>
        <v>0</v>
      </c>
    </row>
    <row r="116" customFormat="false" ht="15" hidden="false" customHeight="false" outlineLevel="0" collapsed="false">
      <c r="A116" s="17" t="s">
        <v>17</v>
      </c>
      <c r="B116" s="17" t="s">
        <v>955</v>
      </c>
      <c r="C116" s="17" t="s">
        <v>956</v>
      </c>
      <c r="D116" s="24" t="s">
        <v>34</v>
      </c>
      <c r="E116" s="17" t="s">
        <v>311</v>
      </c>
      <c r="F116" s="17"/>
      <c r="G116" s="17"/>
      <c r="H116" s="17"/>
      <c r="I116" s="17" t="s">
        <v>66</v>
      </c>
      <c r="J116" s="17"/>
      <c r="K116" s="17" t="s">
        <v>60</v>
      </c>
      <c r="L116" s="20" t="n">
        <v>250</v>
      </c>
      <c r="M116" s="20" t="n">
        <v>3</v>
      </c>
      <c r="N116" s="25" t="n">
        <f aca="false">IFERROR(M116/L116,0)</f>
        <v>0.012</v>
      </c>
      <c r="O116" s="27" t="n">
        <v>1.93</v>
      </c>
      <c r="P116" s="14" t="n">
        <f aca="false">IFERROR(O116/M116,0)</f>
        <v>0.643333333333333</v>
      </c>
      <c r="Q116" s="20" t="n">
        <v>0</v>
      </c>
      <c r="R116" s="27" t="n">
        <v>0</v>
      </c>
      <c r="S116" s="8" t="n">
        <f aca="false">IFERROR(O116/R116,0)</f>
        <v>0</v>
      </c>
      <c r="T116" s="8" t="n">
        <f aca="false">IFERROR(Q116/M116,0)</f>
        <v>0</v>
      </c>
    </row>
    <row r="117" customFormat="false" ht="15" hidden="false" customHeight="false" outlineLevel="0" collapsed="false">
      <c r="A117" s="17" t="s">
        <v>17</v>
      </c>
      <c r="B117" s="17" t="s">
        <v>957</v>
      </c>
      <c r="C117" s="17" t="s">
        <v>958</v>
      </c>
      <c r="D117" s="17" t="s">
        <v>28</v>
      </c>
      <c r="E117" s="17" t="s">
        <v>315</v>
      </c>
      <c r="F117" s="17" t="s">
        <v>28</v>
      </c>
      <c r="G117" s="17" t="s">
        <v>146</v>
      </c>
      <c r="H117" s="26" t="s">
        <v>66</v>
      </c>
      <c r="I117" s="17" t="s">
        <v>66</v>
      </c>
      <c r="J117" s="17"/>
      <c r="K117" s="17" t="s">
        <v>60</v>
      </c>
      <c r="L117" s="20" t="n">
        <v>25</v>
      </c>
      <c r="M117" s="20" t="n">
        <v>1</v>
      </c>
      <c r="N117" s="25" t="n">
        <f aca="false">IFERROR(M117/L117,0)</f>
        <v>0.04</v>
      </c>
      <c r="O117" s="27" t="n">
        <v>1.63</v>
      </c>
      <c r="P117" s="14" t="n">
        <f aca="false">IFERROR(O117/M117,0)</f>
        <v>1.63</v>
      </c>
      <c r="Q117" s="20" t="n">
        <v>0</v>
      </c>
      <c r="R117" s="27" t="n">
        <v>0</v>
      </c>
      <c r="S117" s="8" t="n">
        <f aca="false">IFERROR(O117/R117,0)</f>
        <v>0</v>
      </c>
      <c r="T117" s="8" t="n">
        <f aca="false">IFERROR(Q117/M117,0)</f>
        <v>0</v>
      </c>
    </row>
    <row r="118" customFormat="false" ht="15" hidden="false" customHeight="false" outlineLevel="0" collapsed="false">
      <c r="A118" s="17" t="s">
        <v>17</v>
      </c>
      <c r="B118" s="17" t="s">
        <v>959</v>
      </c>
      <c r="C118" s="17" t="s">
        <v>960</v>
      </c>
      <c r="D118" s="17" t="s">
        <v>29</v>
      </c>
      <c r="E118" s="17" t="s">
        <v>315</v>
      </c>
      <c r="F118" s="17"/>
      <c r="G118" s="17" t="s">
        <v>919</v>
      </c>
      <c r="H118" s="26" t="s">
        <v>66</v>
      </c>
      <c r="I118" s="17" t="s">
        <v>66</v>
      </c>
      <c r="J118" s="17"/>
      <c r="K118" s="17" t="s">
        <v>60</v>
      </c>
      <c r="L118" s="20" t="n">
        <v>610</v>
      </c>
      <c r="M118" s="20" t="n">
        <v>1</v>
      </c>
      <c r="N118" s="25" t="n">
        <f aca="false">IFERROR(M118/L118,0)</f>
        <v>0.00163934426229508</v>
      </c>
      <c r="O118" s="27" t="n">
        <v>1.55</v>
      </c>
      <c r="P118" s="14" t="n">
        <f aca="false">IFERROR(O118/M118,0)</f>
        <v>1.55</v>
      </c>
      <c r="Q118" s="20" t="n">
        <v>1</v>
      </c>
      <c r="R118" s="27" t="n">
        <v>42.23</v>
      </c>
      <c r="S118" s="8" t="n">
        <f aca="false">IFERROR(O118/R118,0)</f>
        <v>0.0367037650959034</v>
      </c>
      <c r="T118" s="8" t="n">
        <f aca="false">IFERROR(Q118/M118,0)</f>
        <v>1</v>
      </c>
    </row>
    <row r="119" customFormat="false" ht="15" hidden="false" customHeight="false" outlineLevel="0" collapsed="false">
      <c r="A119" s="17" t="s">
        <v>17</v>
      </c>
      <c r="B119" s="17" t="s">
        <v>961</v>
      </c>
      <c r="C119" s="17" t="s">
        <v>962</v>
      </c>
      <c r="D119" s="17" t="s">
        <v>29</v>
      </c>
      <c r="E119" s="17" t="s">
        <v>315</v>
      </c>
      <c r="F119" s="17"/>
      <c r="G119" s="17" t="s">
        <v>706</v>
      </c>
      <c r="H119" s="18" t="s">
        <v>60</v>
      </c>
      <c r="I119" s="17" t="s">
        <v>66</v>
      </c>
      <c r="J119" s="17"/>
      <c r="K119" s="17" t="s">
        <v>60</v>
      </c>
      <c r="L119" s="20" t="n">
        <v>17</v>
      </c>
      <c r="M119" s="20" t="n">
        <v>1</v>
      </c>
      <c r="N119" s="25" t="n">
        <f aca="false">IFERROR(M119/L119,0)</f>
        <v>0.0588235294117647</v>
      </c>
      <c r="O119" s="27" t="n">
        <v>1.3</v>
      </c>
      <c r="P119" s="14" t="n">
        <f aca="false">IFERROR(O119/M119,0)</f>
        <v>1.3</v>
      </c>
      <c r="Q119" s="20" t="n">
        <v>0</v>
      </c>
      <c r="R119" s="27" t="n">
        <v>0</v>
      </c>
      <c r="S119" s="8" t="n">
        <f aca="false">IFERROR(O119/R119,0)</f>
        <v>0</v>
      </c>
      <c r="T119" s="8" t="n">
        <f aca="false">IFERROR(Q119/M119,0)</f>
        <v>0</v>
      </c>
    </row>
    <row r="120" customFormat="false" ht="15" hidden="false" customHeight="false" outlineLevel="0" collapsed="false">
      <c r="A120" s="17" t="s">
        <v>17</v>
      </c>
      <c r="B120" s="17" t="s">
        <v>963</v>
      </c>
      <c r="C120" s="17" t="s">
        <v>964</v>
      </c>
      <c r="D120" s="26" t="s">
        <v>32</v>
      </c>
      <c r="E120" s="17" t="s">
        <v>303</v>
      </c>
      <c r="F120" s="17" t="s">
        <v>306</v>
      </c>
      <c r="G120" s="17" t="s">
        <v>146</v>
      </c>
      <c r="H120" s="26" t="s">
        <v>66</v>
      </c>
      <c r="I120" s="17" t="s">
        <v>66</v>
      </c>
      <c r="J120" s="17"/>
      <c r="K120" s="17" t="s">
        <v>60</v>
      </c>
      <c r="L120" s="20" t="n">
        <v>92</v>
      </c>
      <c r="M120" s="20" t="n">
        <v>1</v>
      </c>
      <c r="N120" s="25" t="n">
        <f aca="false">IFERROR(M120/L120,0)</f>
        <v>0.0108695652173913</v>
      </c>
      <c r="O120" s="27" t="n">
        <v>1.21</v>
      </c>
      <c r="P120" s="14" t="n">
        <f aca="false">IFERROR(O120/M120,0)</f>
        <v>1.21</v>
      </c>
      <c r="Q120" s="20" t="n">
        <v>0</v>
      </c>
      <c r="R120" s="27" t="n">
        <v>0</v>
      </c>
      <c r="S120" s="8" t="n">
        <f aca="false">IFERROR(O120/R120,0)</f>
        <v>0</v>
      </c>
      <c r="T120" s="8" t="n">
        <f aca="false">IFERROR(Q120/M120,0)</f>
        <v>0</v>
      </c>
    </row>
    <row r="121" customFormat="false" ht="15" hidden="false" customHeight="false" outlineLevel="0" collapsed="false">
      <c r="A121" s="17" t="s">
        <v>17</v>
      </c>
      <c r="B121" s="17" t="s">
        <v>965</v>
      </c>
      <c r="C121" s="17" t="s">
        <v>966</v>
      </c>
      <c r="D121" s="17" t="s">
        <v>29</v>
      </c>
      <c r="E121" s="17" t="s">
        <v>315</v>
      </c>
      <c r="F121" s="17" t="s">
        <v>319</v>
      </c>
      <c r="G121" s="17" t="s">
        <v>143</v>
      </c>
      <c r="H121" s="18" t="s">
        <v>60</v>
      </c>
      <c r="I121" s="17" t="s">
        <v>66</v>
      </c>
      <c r="J121" s="17"/>
      <c r="K121" s="17" t="s">
        <v>60</v>
      </c>
      <c r="L121" s="20" t="n">
        <v>6</v>
      </c>
      <c r="M121" s="20" t="n">
        <v>6</v>
      </c>
      <c r="N121" s="25" t="n">
        <f aca="false">IFERROR(M121/L121,0)</f>
        <v>1</v>
      </c>
      <c r="O121" s="27" t="n">
        <v>1.14</v>
      </c>
      <c r="P121" s="14" t="n">
        <f aca="false">IFERROR(O121/M121,0)</f>
        <v>0.19</v>
      </c>
      <c r="Q121" s="20" t="n">
        <v>0</v>
      </c>
      <c r="R121" s="27" t="n">
        <v>0</v>
      </c>
      <c r="S121" s="8" t="n">
        <f aca="false">IFERROR(O121/R121,0)</f>
        <v>0</v>
      </c>
      <c r="T121" s="8" t="n">
        <f aca="false">IFERROR(Q121/M121,0)</f>
        <v>0</v>
      </c>
    </row>
    <row r="122" customFormat="false" ht="15" hidden="false" customHeight="false" outlineLevel="0" collapsed="false">
      <c r="A122" s="17" t="s">
        <v>17</v>
      </c>
      <c r="B122" s="17" t="s">
        <v>967</v>
      </c>
      <c r="C122" s="17" t="s">
        <v>968</v>
      </c>
      <c r="D122" s="17" t="s">
        <v>28</v>
      </c>
      <c r="E122" s="17" t="s">
        <v>315</v>
      </c>
      <c r="F122" s="17" t="s">
        <v>28</v>
      </c>
      <c r="G122" s="17" t="s">
        <v>162</v>
      </c>
      <c r="H122" s="18" t="s">
        <v>60</v>
      </c>
      <c r="I122" s="17" t="s">
        <v>66</v>
      </c>
      <c r="J122" s="17"/>
      <c r="K122" s="17" t="s">
        <v>60</v>
      </c>
      <c r="L122" s="20" t="n">
        <v>11</v>
      </c>
      <c r="M122" s="20" t="n">
        <v>1</v>
      </c>
      <c r="N122" s="25" t="n">
        <f aca="false">IFERROR(M122/L122,0)</f>
        <v>0.0909090909090909</v>
      </c>
      <c r="O122" s="27" t="n">
        <v>0.81</v>
      </c>
      <c r="P122" s="14" t="n">
        <f aca="false">IFERROR(O122/M122,0)</f>
        <v>0.81</v>
      </c>
      <c r="Q122" s="20" t="n">
        <v>0</v>
      </c>
      <c r="R122" s="27" t="n">
        <v>0</v>
      </c>
      <c r="S122" s="8" t="n">
        <f aca="false">IFERROR(O122/R122,0)</f>
        <v>0</v>
      </c>
      <c r="T122" s="8" t="n">
        <f aca="false">IFERROR(Q122/M122,0)</f>
        <v>0</v>
      </c>
    </row>
    <row r="123" customFormat="false" ht="15" hidden="false" customHeight="false" outlineLevel="0" collapsed="false">
      <c r="A123" s="17" t="s">
        <v>17</v>
      </c>
      <c r="B123" s="17" t="s">
        <v>969</v>
      </c>
      <c r="C123" s="17" t="s">
        <v>970</v>
      </c>
      <c r="D123" s="17" t="s">
        <v>28</v>
      </c>
      <c r="E123" s="17" t="s">
        <v>315</v>
      </c>
      <c r="F123" s="17" t="s">
        <v>28</v>
      </c>
      <c r="G123" s="17" t="s">
        <v>140</v>
      </c>
      <c r="H123" s="18" t="s">
        <v>60</v>
      </c>
      <c r="I123" s="17" t="s">
        <v>66</v>
      </c>
      <c r="J123" s="17"/>
      <c r="K123" s="17" t="s">
        <v>60</v>
      </c>
      <c r="L123" s="20" t="n">
        <v>11</v>
      </c>
      <c r="M123" s="20" t="n">
        <v>1</v>
      </c>
      <c r="N123" s="25" t="n">
        <f aca="false">IFERROR(M123/L123,0)</f>
        <v>0.0909090909090909</v>
      </c>
      <c r="O123" s="27" t="n">
        <v>0.7</v>
      </c>
      <c r="P123" s="14" t="n">
        <f aca="false">IFERROR(O123/M123,0)</f>
        <v>0.7</v>
      </c>
      <c r="Q123" s="20" t="n">
        <v>0</v>
      </c>
      <c r="R123" s="27" t="n">
        <v>0</v>
      </c>
      <c r="S123" s="8" t="n">
        <f aca="false">IFERROR(O123/R123,0)</f>
        <v>0</v>
      </c>
      <c r="T123" s="8" t="n">
        <f aca="false">IFERROR(Q123/M123,0)</f>
        <v>0</v>
      </c>
    </row>
    <row r="124" customFormat="false" ht="15" hidden="false" customHeight="false" outlineLevel="0" collapsed="false">
      <c r="A124" s="17" t="s">
        <v>17</v>
      </c>
      <c r="B124" s="17" t="s">
        <v>971</v>
      </c>
      <c r="C124" s="17" t="s">
        <v>972</v>
      </c>
      <c r="D124" s="24" t="s">
        <v>34</v>
      </c>
      <c r="E124" s="17" t="s">
        <v>303</v>
      </c>
      <c r="F124" s="17" t="s">
        <v>332</v>
      </c>
      <c r="G124" s="17"/>
      <c r="H124" s="17"/>
      <c r="I124" s="17" t="s">
        <v>66</v>
      </c>
      <c r="J124" s="17"/>
      <c r="K124" s="17" t="s">
        <v>60</v>
      </c>
      <c r="L124" s="20" t="n">
        <v>1800</v>
      </c>
      <c r="M124" s="20" t="n">
        <v>2</v>
      </c>
      <c r="N124" s="25" t="n">
        <f aca="false">IFERROR(M124/L124,0)</f>
        <v>0.00111111111111111</v>
      </c>
      <c r="O124" s="27" t="n">
        <v>0.54</v>
      </c>
      <c r="P124" s="14" t="n">
        <f aca="false">IFERROR(O124/M124,0)</f>
        <v>0.27</v>
      </c>
      <c r="Q124" s="20" t="n">
        <v>0</v>
      </c>
      <c r="R124" s="27" t="n">
        <v>0</v>
      </c>
      <c r="S124" s="8" t="n">
        <f aca="false">IFERROR(O124/R124,0)</f>
        <v>0</v>
      </c>
      <c r="T124" s="8" t="n">
        <f aca="false">IFERROR(Q124/M124,0)</f>
        <v>0</v>
      </c>
    </row>
    <row r="125" customFormat="false" ht="15" hidden="false" customHeight="false" outlineLevel="0" collapsed="false">
      <c r="A125" s="17" t="s">
        <v>17</v>
      </c>
      <c r="B125" s="17" t="s">
        <v>973</v>
      </c>
      <c r="C125" s="17" t="s">
        <v>974</v>
      </c>
      <c r="D125" s="24" t="s">
        <v>34</v>
      </c>
      <c r="E125" s="17" t="s">
        <v>303</v>
      </c>
      <c r="F125" s="17" t="s">
        <v>332</v>
      </c>
      <c r="G125" s="17"/>
      <c r="H125" s="17"/>
      <c r="I125" s="17" t="s">
        <v>66</v>
      </c>
      <c r="J125" s="17"/>
      <c r="K125" s="17" t="s">
        <v>60</v>
      </c>
      <c r="L125" s="20" t="n">
        <v>22</v>
      </c>
      <c r="M125" s="20" t="n">
        <v>1</v>
      </c>
      <c r="N125" s="25" t="n">
        <f aca="false">IFERROR(M125/L125,0)</f>
        <v>0.0454545454545455</v>
      </c>
      <c r="O125" s="27" t="n">
        <v>0.15</v>
      </c>
      <c r="P125" s="14" t="n">
        <f aca="false">IFERROR(O125/M125,0)</f>
        <v>0.15</v>
      </c>
      <c r="Q125" s="20" t="n">
        <v>0</v>
      </c>
      <c r="R125" s="27" t="n">
        <v>0</v>
      </c>
      <c r="S125" s="8" t="n">
        <f aca="false">IFERROR(O125/R125,0)</f>
        <v>0</v>
      </c>
      <c r="T125" s="8" t="n">
        <f aca="false">IFERROR(Q125/M125,0)</f>
        <v>0</v>
      </c>
    </row>
    <row r="126" customFormat="false" ht="15" hidden="false" customHeight="false" outlineLevel="0" collapsed="false">
      <c r="A126" s="17" t="s">
        <v>21</v>
      </c>
      <c r="B126" s="17" t="s">
        <v>734</v>
      </c>
      <c r="C126" s="17" t="s">
        <v>735</v>
      </c>
      <c r="D126" s="24" t="s">
        <v>34</v>
      </c>
      <c r="E126" s="17" t="s">
        <v>303</v>
      </c>
      <c r="F126" s="17" t="s">
        <v>332</v>
      </c>
      <c r="G126" s="17"/>
      <c r="H126" s="17"/>
      <c r="I126" s="17" t="s">
        <v>60</v>
      </c>
      <c r="J126" s="17" t="s">
        <v>449</v>
      </c>
      <c r="K126" s="17" t="s">
        <v>66</v>
      </c>
      <c r="L126" s="20" t="n">
        <v>61980</v>
      </c>
      <c r="M126" s="20" t="n">
        <v>123</v>
      </c>
      <c r="N126" s="25" t="n">
        <f aca="false">IFERROR(M126/L126,0)</f>
        <v>0.00198451113262343</v>
      </c>
      <c r="O126" s="27" t="n">
        <v>123.09</v>
      </c>
      <c r="P126" s="14" t="n">
        <f aca="false">IFERROR(O126/M126,0)</f>
        <v>1.00073170731707</v>
      </c>
      <c r="Q126" s="20" t="n">
        <v>5</v>
      </c>
      <c r="R126" s="27" t="n">
        <v>303.79</v>
      </c>
      <c r="S126" s="8" t="n">
        <f aca="false">IFERROR(O126/R126,0)</f>
        <v>0.405181210704763</v>
      </c>
      <c r="T126" s="8" t="n">
        <f aca="false">IFERROR(Q126/M126,0)</f>
        <v>0.040650406504065</v>
      </c>
    </row>
    <row r="127" customFormat="false" ht="15" hidden="false" customHeight="false" outlineLevel="0" collapsed="false">
      <c r="A127" s="17" t="s">
        <v>21</v>
      </c>
      <c r="B127" s="17" t="s">
        <v>892</v>
      </c>
      <c r="C127" s="17" t="s">
        <v>893</v>
      </c>
      <c r="D127" s="24" t="s">
        <v>34</v>
      </c>
      <c r="E127" s="17" t="s">
        <v>303</v>
      </c>
      <c r="F127" s="17" t="s">
        <v>332</v>
      </c>
      <c r="G127" s="17"/>
      <c r="H127" s="17"/>
      <c r="I127" s="17" t="s">
        <v>60</v>
      </c>
      <c r="J127" s="17" t="s">
        <v>17</v>
      </c>
      <c r="K127" s="17" t="s">
        <v>66</v>
      </c>
      <c r="L127" s="20" t="n">
        <v>38286</v>
      </c>
      <c r="M127" s="20" t="n">
        <v>105</v>
      </c>
      <c r="N127" s="25" t="n">
        <f aca="false">IFERROR(M127/L127,0)</f>
        <v>0.0027425168468892</v>
      </c>
      <c r="O127" s="27" t="n">
        <v>100.9</v>
      </c>
      <c r="P127" s="14" t="n">
        <f aca="false">IFERROR(O127/M127,0)</f>
        <v>0.960952380952381</v>
      </c>
      <c r="Q127" s="20" t="n">
        <v>10</v>
      </c>
      <c r="R127" s="27" t="n">
        <v>435.99</v>
      </c>
      <c r="S127" s="8" t="n">
        <f aca="false">IFERROR(O127/R127,0)</f>
        <v>0.231427326314824</v>
      </c>
      <c r="T127" s="8" t="n">
        <f aca="false">IFERROR(Q127/M127,0)</f>
        <v>0.0952380952380952</v>
      </c>
    </row>
    <row r="128" customFormat="false" ht="15" hidden="false" customHeight="false" outlineLevel="0" collapsed="false">
      <c r="A128" s="17" t="s">
        <v>21</v>
      </c>
      <c r="B128" s="17" t="s">
        <v>975</v>
      </c>
      <c r="C128" s="17" t="s">
        <v>976</v>
      </c>
      <c r="D128" s="17" t="s">
        <v>28</v>
      </c>
      <c r="E128" s="17" t="s">
        <v>315</v>
      </c>
      <c r="F128" s="17" t="s">
        <v>28</v>
      </c>
      <c r="G128" s="17" t="s">
        <v>237</v>
      </c>
      <c r="H128" s="18" t="s">
        <v>60</v>
      </c>
      <c r="I128" s="17" t="s">
        <v>66</v>
      </c>
      <c r="J128" s="17"/>
      <c r="K128" s="17" t="s">
        <v>60</v>
      </c>
      <c r="L128" s="20" t="n">
        <v>2016</v>
      </c>
      <c r="M128" s="20" t="n">
        <v>13</v>
      </c>
      <c r="N128" s="25" t="n">
        <f aca="false">IFERROR(M128/L128,0)</f>
        <v>0.0064484126984127</v>
      </c>
      <c r="O128" s="27" t="n">
        <v>40.03</v>
      </c>
      <c r="P128" s="14" t="n">
        <f aca="false">IFERROR(O128/M128,0)</f>
        <v>3.07923076923077</v>
      </c>
      <c r="Q128" s="20" t="n">
        <v>4</v>
      </c>
      <c r="R128" s="27" t="n">
        <v>170.68</v>
      </c>
      <c r="S128" s="8" t="n">
        <f aca="false">IFERROR(O128/R128,0)</f>
        <v>0.234532458401687</v>
      </c>
      <c r="T128" s="8" t="n">
        <f aca="false">IFERROR(Q128/M128,0)</f>
        <v>0.307692307692308</v>
      </c>
    </row>
    <row r="129" customFormat="false" ht="15" hidden="false" customHeight="false" outlineLevel="0" collapsed="false">
      <c r="A129" s="17" t="s">
        <v>21</v>
      </c>
      <c r="B129" s="17" t="s">
        <v>977</v>
      </c>
      <c r="C129" s="17" t="s">
        <v>978</v>
      </c>
      <c r="D129" s="17" t="s">
        <v>31</v>
      </c>
      <c r="E129" s="17" t="s">
        <v>311</v>
      </c>
      <c r="F129" s="17"/>
      <c r="G129" s="17" t="s">
        <v>237</v>
      </c>
      <c r="H129" s="18" t="s">
        <v>60</v>
      </c>
      <c r="I129" s="17" t="s">
        <v>66</v>
      </c>
      <c r="J129" s="17"/>
      <c r="K129" s="17" t="s">
        <v>60</v>
      </c>
      <c r="L129" s="20" t="n">
        <v>536</v>
      </c>
      <c r="M129" s="20" t="n">
        <v>13</v>
      </c>
      <c r="N129" s="25" t="n">
        <f aca="false">IFERROR(M129/L129,0)</f>
        <v>0.0242537313432836</v>
      </c>
      <c r="O129" s="27" t="n">
        <v>21.14</v>
      </c>
      <c r="P129" s="14" t="n">
        <f aca="false">IFERROR(O129/M129,0)</f>
        <v>1.62615384615385</v>
      </c>
      <c r="Q129" s="20" t="n">
        <v>3</v>
      </c>
      <c r="R129" s="27" t="n">
        <v>125.97</v>
      </c>
      <c r="S129" s="8" t="n">
        <f aca="false">IFERROR(O129/R129,0)</f>
        <v>0.167817734381202</v>
      </c>
      <c r="T129" s="8" t="n">
        <f aca="false">IFERROR(Q129/M129,0)</f>
        <v>0.230769230769231</v>
      </c>
    </row>
    <row r="130" customFormat="false" ht="15" hidden="false" customHeight="false" outlineLevel="0" collapsed="false">
      <c r="A130" s="17" t="s">
        <v>21</v>
      </c>
      <c r="B130" s="17" t="s">
        <v>979</v>
      </c>
      <c r="C130" s="17" t="s">
        <v>980</v>
      </c>
      <c r="D130" s="24" t="s">
        <v>34</v>
      </c>
      <c r="E130" s="17" t="s">
        <v>303</v>
      </c>
      <c r="F130" s="17"/>
      <c r="G130" s="17"/>
      <c r="H130" s="17"/>
      <c r="I130" s="17" t="s">
        <v>66</v>
      </c>
      <c r="J130" s="17"/>
      <c r="K130" s="17" t="s">
        <v>60</v>
      </c>
      <c r="L130" s="20" t="n">
        <v>5101</v>
      </c>
      <c r="M130" s="20" t="n">
        <v>33</v>
      </c>
      <c r="N130" s="25" t="n">
        <f aca="false">IFERROR(M130/L130,0)</f>
        <v>0.00646931974122721</v>
      </c>
      <c r="O130" s="27" t="n">
        <v>18.13</v>
      </c>
      <c r="P130" s="14" t="n">
        <f aca="false">IFERROR(O130/M130,0)</f>
        <v>0.549393939393939</v>
      </c>
      <c r="Q130" s="20" t="n">
        <v>3</v>
      </c>
      <c r="R130" s="27" t="n">
        <v>126.69</v>
      </c>
      <c r="S130" s="8" t="n">
        <f aca="false">IFERROR(O130/R130,0)</f>
        <v>0.143105217459942</v>
      </c>
      <c r="T130" s="8" t="n">
        <f aca="false">IFERROR(Q130/M130,0)</f>
        <v>0.0909090909090909</v>
      </c>
    </row>
    <row r="131" customFormat="false" ht="15" hidden="false" customHeight="false" outlineLevel="0" collapsed="false">
      <c r="A131" s="17" t="s">
        <v>21</v>
      </c>
      <c r="B131" s="17" t="s">
        <v>981</v>
      </c>
      <c r="C131" s="17" t="s">
        <v>982</v>
      </c>
      <c r="D131" s="24" t="s">
        <v>34</v>
      </c>
      <c r="E131" s="17" t="s">
        <v>311</v>
      </c>
      <c r="F131" s="17"/>
      <c r="G131" s="17"/>
      <c r="H131" s="17"/>
      <c r="I131" s="17" t="s">
        <v>66</v>
      </c>
      <c r="J131" s="17"/>
      <c r="K131" s="17" t="s">
        <v>60</v>
      </c>
      <c r="L131" s="20" t="n">
        <v>1932</v>
      </c>
      <c r="M131" s="20" t="n">
        <v>29</v>
      </c>
      <c r="N131" s="25" t="n">
        <f aca="false">IFERROR(M131/L131,0)</f>
        <v>0.0150103519668737</v>
      </c>
      <c r="O131" s="27" t="n">
        <v>16.02</v>
      </c>
      <c r="P131" s="14" t="n">
        <f aca="false">IFERROR(O131/M131,0)</f>
        <v>0.552413793103448</v>
      </c>
      <c r="Q131" s="20" t="n">
        <v>5</v>
      </c>
      <c r="R131" s="27" t="n">
        <v>208.99</v>
      </c>
      <c r="S131" s="8" t="n">
        <f aca="false">IFERROR(O131/R131,0)</f>
        <v>0.0766543853772908</v>
      </c>
      <c r="T131" s="8" t="n">
        <f aca="false">IFERROR(Q131/M131,0)</f>
        <v>0.172413793103448</v>
      </c>
    </row>
    <row r="132" customFormat="false" ht="15" hidden="false" customHeight="false" outlineLevel="0" collapsed="false">
      <c r="A132" s="17" t="s">
        <v>21</v>
      </c>
      <c r="B132" s="17" t="s">
        <v>983</v>
      </c>
      <c r="C132" s="17" t="s">
        <v>984</v>
      </c>
      <c r="D132" s="17" t="s">
        <v>29</v>
      </c>
      <c r="E132" s="17" t="s">
        <v>315</v>
      </c>
      <c r="F132" s="17" t="s">
        <v>319</v>
      </c>
      <c r="G132" s="17" t="s">
        <v>238</v>
      </c>
      <c r="H132" s="26" t="s">
        <v>66</v>
      </c>
      <c r="I132" s="17" t="s">
        <v>66</v>
      </c>
      <c r="J132" s="17"/>
      <c r="K132" s="17" t="s">
        <v>60</v>
      </c>
      <c r="L132" s="20" t="n">
        <v>641</v>
      </c>
      <c r="M132" s="20" t="n">
        <v>16</v>
      </c>
      <c r="N132" s="25" t="n">
        <f aca="false">IFERROR(M132/L132,0)</f>
        <v>0.0249609984399376</v>
      </c>
      <c r="O132" s="27" t="n">
        <v>14.84</v>
      </c>
      <c r="P132" s="14" t="n">
        <f aca="false">IFERROR(O132/M132,0)</f>
        <v>0.9275</v>
      </c>
      <c r="Q132" s="20" t="n">
        <v>2</v>
      </c>
      <c r="R132" s="27" t="n">
        <v>93.98</v>
      </c>
      <c r="S132" s="8" t="n">
        <f aca="false">IFERROR(O132/R132,0)</f>
        <v>0.157905937433496</v>
      </c>
      <c r="T132" s="8" t="n">
        <f aca="false">IFERROR(Q132/M132,0)</f>
        <v>0.125</v>
      </c>
    </row>
    <row r="133" customFormat="false" ht="15" hidden="false" customHeight="false" outlineLevel="0" collapsed="false">
      <c r="A133" s="17" t="s">
        <v>21</v>
      </c>
      <c r="B133" s="17" t="s">
        <v>985</v>
      </c>
      <c r="C133" s="17" t="s">
        <v>986</v>
      </c>
      <c r="D133" s="17" t="s">
        <v>31</v>
      </c>
      <c r="E133" s="17" t="s">
        <v>311</v>
      </c>
      <c r="F133" s="17"/>
      <c r="G133" s="17" t="s">
        <v>237</v>
      </c>
      <c r="H133" s="18" t="s">
        <v>60</v>
      </c>
      <c r="I133" s="17" t="s">
        <v>66</v>
      </c>
      <c r="J133" s="17"/>
      <c r="K133" s="17" t="s">
        <v>60</v>
      </c>
      <c r="L133" s="20" t="n">
        <v>496</v>
      </c>
      <c r="M133" s="20" t="n">
        <v>9</v>
      </c>
      <c r="N133" s="25" t="n">
        <f aca="false">IFERROR(M133/L133,0)</f>
        <v>0.0181451612903226</v>
      </c>
      <c r="O133" s="27" t="n">
        <v>14.77</v>
      </c>
      <c r="P133" s="14" t="n">
        <f aca="false">IFERROR(O133/M133,0)</f>
        <v>1.64111111111111</v>
      </c>
      <c r="Q133" s="20" t="n">
        <v>1</v>
      </c>
      <c r="R133" s="27" t="n">
        <v>40.79</v>
      </c>
      <c r="S133" s="8" t="n">
        <f aca="false">IFERROR(O133/R133,0)</f>
        <v>0.362098553567051</v>
      </c>
      <c r="T133" s="8" t="n">
        <f aca="false">IFERROR(Q133/M133,0)</f>
        <v>0.111111111111111</v>
      </c>
    </row>
    <row r="134" customFormat="false" ht="15" hidden="false" customHeight="false" outlineLevel="0" collapsed="false">
      <c r="A134" s="17" t="s">
        <v>21</v>
      </c>
      <c r="B134" s="17" t="s">
        <v>987</v>
      </c>
      <c r="C134" s="17" t="s">
        <v>988</v>
      </c>
      <c r="D134" s="24" t="s">
        <v>34</v>
      </c>
      <c r="E134" s="17" t="s">
        <v>303</v>
      </c>
      <c r="F134" s="17" t="s">
        <v>332</v>
      </c>
      <c r="G134" s="17"/>
      <c r="H134" s="17"/>
      <c r="I134" s="17" t="s">
        <v>66</v>
      </c>
      <c r="J134" s="17"/>
      <c r="K134" s="17" t="s">
        <v>60</v>
      </c>
      <c r="L134" s="20" t="n">
        <v>9007</v>
      </c>
      <c r="M134" s="20" t="n">
        <v>8</v>
      </c>
      <c r="N134" s="25" t="n">
        <f aca="false">IFERROR(M134/L134,0)</f>
        <v>0.000888198068169202</v>
      </c>
      <c r="O134" s="27" t="n">
        <v>12.19</v>
      </c>
      <c r="P134" s="14" t="n">
        <f aca="false">IFERROR(O134/M134,0)</f>
        <v>1.52375</v>
      </c>
      <c r="Q134" s="20" t="n">
        <v>0</v>
      </c>
      <c r="R134" s="27" t="n">
        <v>0</v>
      </c>
      <c r="S134" s="8" t="n">
        <f aca="false">IFERROR(O134/R134,0)</f>
        <v>0</v>
      </c>
      <c r="T134" s="8" t="n">
        <f aca="false">IFERROR(Q134/M134,0)</f>
        <v>0</v>
      </c>
    </row>
    <row r="135" customFormat="false" ht="15" hidden="false" customHeight="false" outlineLevel="0" collapsed="false">
      <c r="A135" s="17" t="s">
        <v>21</v>
      </c>
      <c r="B135" s="17" t="s">
        <v>989</v>
      </c>
      <c r="C135" s="17" t="s">
        <v>990</v>
      </c>
      <c r="D135" s="17" t="s">
        <v>29</v>
      </c>
      <c r="E135" s="17" t="s">
        <v>315</v>
      </c>
      <c r="F135" s="17" t="s">
        <v>319</v>
      </c>
      <c r="G135" s="17" t="s">
        <v>238</v>
      </c>
      <c r="H135" s="26" t="s">
        <v>66</v>
      </c>
      <c r="I135" s="17" t="s">
        <v>66</v>
      </c>
      <c r="J135" s="17"/>
      <c r="K135" s="17" t="s">
        <v>60</v>
      </c>
      <c r="L135" s="20" t="n">
        <v>321</v>
      </c>
      <c r="M135" s="20" t="n">
        <v>12</v>
      </c>
      <c r="N135" s="25" t="n">
        <f aca="false">IFERROR(M135/L135,0)</f>
        <v>0.0373831775700935</v>
      </c>
      <c r="O135" s="27" t="n">
        <v>10.36</v>
      </c>
      <c r="P135" s="14" t="n">
        <f aca="false">IFERROR(O135/M135,0)</f>
        <v>0.863333333333333</v>
      </c>
      <c r="Q135" s="20" t="n">
        <v>2</v>
      </c>
      <c r="R135" s="27" t="n">
        <v>86.78</v>
      </c>
      <c r="S135" s="8" t="n">
        <f aca="false">IFERROR(O135/R135,0)</f>
        <v>0.11938234616271</v>
      </c>
      <c r="T135" s="8" t="n">
        <f aca="false">IFERROR(Q135/M135,0)</f>
        <v>0.166666666666667</v>
      </c>
    </row>
    <row r="136" customFormat="false" ht="15" hidden="false" customHeight="false" outlineLevel="0" collapsed="false">
      <c r="A136" s="17" t="s">
        <v>21</v>
      </c>
      <c r="B136" s="17" t="s">
        <v>991</v>
      </c>
      <c r="C136" s="17" t="s">
        <v>992</v>
      </c>
      <c r="D136" s="17" t="s">
        <v>29</v>
      </c>
      <c r="E136" s="17" t="s">
        <v>315</v>
      </c>
      <c r="F136" s="17" t="s">
        <v>319</v>
      </c>
      <c r="G136" s="17" t="s">
        <v>242</v>
      </c>
      <c r="H136" s="26" t="s">
        <v>66</v>
      </c>
      <c r="I136" s="17" t="s">
        <v>66</v>
      </c>
      <c r="J136" s="17"/>
      <c r="K136" s="17" t="s">
        <v>60</v>
      </c>
      <c r="L136" s="20" t="n">
        <v>714</v>
      </c>
      <c r="M136" s="20" t="n">
        <v>6</v>
      </c>
      <c r="N136" s="25" t="n">
        <f aca="false">IFERROR(M136/L136,0)</f>
        <v>0.00840336134453782</v>
      </c>
      <c r="O136" s="27" t="n">
        <v>10.11</v>
      </c>
      <c r="P136" s="14" t="n">
        <f aca="false">IFERROR(O136/M136,0)</f>
        <v>1.685</v>
      </c>
      <c r="Q136" s="20" t="n">
        <v>0</v>
      </c>
      <c r="R136" s="27" t="n">
        <v>0</v>
      </c>
      <c r="S136" s="8" t="n">
        <f aca="false">IFERROR(O136/R136,0)</f>
        <v>0</v>
      </c>
      <c r="T136" s="8" t="n">
        <f aca="false">IFERROR(Q136/M136,0)</f>
        <v>0</v>
      </c>
    </row>
    <row r="137" customFormat="false" ht="15" hidden="false" customHeight="false" outlineLevel="0" collapsed="false">
      <c r="A137" s="17" t="s">
        <v>21</v>
      </c>
      <c r="B137" s="17" t="s">
        <v>927</v>
      </c>
      <c r="C137" s="17" t="s">
        <v>928</v>
      </c>
      <c r="D137" s="24" t="s">
        <v>34</v>
      </c>
      <c r="E137" s="17" t="s">
        <v>303</v>
      </c>
      <c r="F137" s="17" t="s">
        <v>332</v>
      </c>
      <c r="G137" s="17"/>
      <c r="H137" s="17"/>
      <c r="I137" s="17" t="s">
        <v>60</v>
      </c>
      <c r="J137" s="17" t="s">
        <v>17</v>
      </c>
      <c r="K137" s="17" t="s">
        <v>66</v>
      </c>
      <c r="L137" s="20" t="n">
        <v>2339</v>
      </c>
      <c r="M137" s="20" t="n">
        <v>10</v>
      </c>
      <c r="N137" s="25" t="n">
        <f aca="false">IFERROR(M137/L137,0)</f>
        <v>0.00427533133817871</v>
      </c>
      <c r="O137" s="27" t="n">
        <v>4.44</v>
      </c>
      <c r="P137" s="14" t="n">
        <f aca="false">IFERROR(O137/M137,0)</f>
        <v>0.444</v>
      </c>
      <c r="Q137" s="20" t="n">
        <v>0</v>
      </c>
      <c r="R137" s="27" t="n">
        <v>0</v>
      </c>
      <c r="S137" s="8" t="n">
        <f aca="false">IFERROR(O137/R137,0)</f>
        <v>0</v>
      </c>
      <c r="T137" s="8" t="n">
        <f aca="false">IFERROR(Q137/M137,0)</f>
        <v>0</v>
      </c>
    </row>
    <row r="138" customFormat="false" ht="15" hidden="false" customHeight="false" outlineLevel="0" collapsed="false">
      <c r="A138" s="17" t="s">
        <v>21</v>
      </c>
      <c r="B138" s="17" t="s">
        <v>993</v>
      </c>
      <c r="C138" s="17" t="s">
        <v>994</v>
      </c>
      <c r="D138" s="17" t="s">
        <v>28</v>
      </c>
      <c r="E138" s="17" t="s">
        <v>315</v>
      </c>
      <c r="F138" s="17" t="s">
        <v>28</v>
      </c>
      <c r="G138" s="17" t="s">
        <v>237</v>
      </c>
      <c r="H138" s="18" t="s">
        <v>60</v>
      </c>
      <c r="I138" s="17" t="s">
        <v>66</v>
      </c>
      <c r="J138" s="17"/>
      <c r="K138" s="17" t="s">
        <v>60</v>
      </c>
      <c r="L138" s="20" t="n">
        <v>368</v>
      </c>
      <c r="M138" s="20" t="n">
        <v>2</v>
      </c>
      <c r="N138" s="25" t="n">
        <f aca="false">IFERROR(M138/L138,0)</f>
        <v>0.00543478260869565</v>
      </c>
      <c r="O138" s="27" t="n">
        <v>3.68</v>
      </c>
      <c r="P138" s="14" t="n">
        <f aca="false">IFERROR(O138/M138,0)</f>
        <v>1.84</v>
      </c>
      <c r="Q138" s="20" t="n">
        <v>0</v>
      </c>
      <c r="R138" s="27" t="n">
        <v>0</v>
      </c>
      <c r="S138" s="8" t="n">
        <f aca="false">IFERROR(O138/R138,0)</f>
        <v>0</v>
      </c>
      <c r="T138" s="8" t="n">
        <f aca="false">IFERROR(Q138/M138,0)</f>
        <v>0</v>
      </c>
    </row>
    <row r="139" customFormat="false" ht="15" hidden="false" customHeight="false" outlineLevel="0" collapsed="false">
      <c r="A139" s="17" t="s">
        <v>21</v>
      </c>
      <c r="B139" s="17" t="s">
        <v>995</v>
      </c>
      <c r="C139" s="17" t="s">
        <v>996</v>
      </c>
      <c r="D139" s="17" t="s">
        <v>29</v>
      </c>
      <c r="E139" s="17" t="s">
        <v>315</v>
      </c>
      <c r="F139" s="17"/>
      <c r="G139" s="17" t="s">
        <v>997</v>
      </c>
      <c r="H139" s="18" t="s">
        <v>60</v>
      </c>
      <c r="I139" s="17" t="s">
        <v>66</v>
      </c>
      <c r="J139" s="17"/>
      <c r="K139" s="17" t="s">
        <v>60</v>
      </c>
      <c r="L139" s="20" t="n">
        <v>536</v>
      </c>
      <c r="M139" s="20" t="n">
        <v>2</v>
      </c>
      <c r="N139" s="25" t="n">
        <f aca="false">IFERROR(M139/L139,0)</f>
        <v>0.00373134328358209</v>
      </c>
      <c r="O139" s="27" t="n">
        <v>3.36</v>
      </c>
      <c r="P139" s="14" t="n">
        <f aca="false">IFERROR(O139/M139,0)</f>
        <v>1.68</v>
      </c>
      <c r="Q139" s="20" t="n">
        <v>0</v>
      </c>
      <c r="R139" s="27" t="n">
        <v>0</v>
      </c>
      <c r="S139" s="8" t="n">
        <f aca="false">IFERROR(O139/R139,0)</f>
        <v>0</v>
      </c>
      <c r="T139" s="8" t="n">
        <f aca="false">IFERROR(Q139/M139,0)</f>
        <v>0</v>
      </c>
    </row>
    <row r="140" customFormat="false" ht="15" hidden="false" customHeight="false" outlineLevel="0" collapsed="false">
      <c r="A140" s="17" t="s">
        <v>21</v>
      </c>
      <c r="B140" s="17" t="s">
        <v>998</v>
      </c>
      <c r="C140" s="17" t="s">
        <v>999</v>
      </c>
      <c r="D140" s="17" t="s">
        <v>28</v>
      </c>
      <c r="E140" s="17" t="s">
        <v>311</v>
      </c>
      <c r="F140" s="17" t="s">
        <v>28</v>
      </c>
      <c r="G140" s="17"/>
      <c r="H140" s="17"/>
      <c r="I140" s="17" t="s">
        <v>66</v>
      </c>
      <c r="J140" s="17"/>
      <c r="K140" s="17" t="s">
        <v>60</v>
      </c>
      <c r="L140" s="20" t="n">
        <v>56</v>
      </c>
      <c r="M140" s="20" t="n">
        <v>4</v>
      </c>
      <c r="N140" s="25" t="n">
        <f aca="false">IFERROR(M140/L140,0)</f>
        <v>0.0714285714285714</v>
      </c>
      <c r="O140" s="27" t="n">
        <v>3.07</v>
      </c>
      <c r="P140" s="14" t="n">
        <f aca="false">IFERROR(O140/M140,0)</f>
        <v>0.7675</v>
      </c>
      <c r="Q140" s="20" t="n">
        <v>1</v>
      </c>
      <c r="R140" s="27" t="n">
        <v>43.99</v>
      </c>
      <c r="S140" s="8" t="n">
        <f aca="false">IFERROR(O140/R140,0)</f>
        <v>0.0697885883155262</v>
      </c>
      <c r="T140" s="8" t="n">
        <f aca="false">IFERROR(Q140/M140,0)</f>
        <v>0.25</v>
      </c>
    </row>
    <row r="141" customFormat="false" ht="15" hidden="false" customHeight="false" outlineLevel="0" collapsed="false">
      <c r="A141" s="17" t="s">
        <v>21</v>
      </c>
      <c r="B141" s="17" t="s">
        <v>1000</v>
      </c>
      <c r="C141" s="17" t="s">
        <v>1001</v>
      </c>
      <c r="D141" s="17" t="s">
        <v>29</v>
      </c>
      <c r="E141" s="17" t="s">
        <v>315</v>
      </c>
      <c r="F141" s="17" t="s">
        <v>319</v>
      </c>
      <c r="G141" s="17" t="s">
        <v>238</v>
      </c>
      <c r="H141" s="26" t="s">
        <v>66</v>
      </c>
      <c r="I141" s="17" t="s">
        <v>66</v>
      </c>
      <c r="J141" s="17"/>
      <c r="K141" s="17" t="s">
        <v>60</v>
      </c>
      <c r="L141" s="20" t="n">
        <v>97</v>
      </c>
      <c r="M141" s="20" t="n">
        <v>2</v>
      </c>
      <c r="N141" s="25" t="n">
        <f aca="false">IFERROR(M141/L141,0)</f>
        <v>0.0206185567010309</v>
      </c>
      <c r="O141" s="27" t="n">
        <v>2.94</v>
      </c>
      <c r="P141" s="14" t="n">
        <f aca="false">IFERROR(O141/M141,0)</f>
        <v>1.47</v>
      </c>
      <c r="Q141" s="20" t="n">
        <v>0</v>
      </c>
      <c r="R141" s="27" t="n">
        <v>0</v>
      </c>
      <c r="S141" s="8" t="n">
        <f aca="false">IFERROR(O141/R141,0)</f>
        <v>0</v>
      </c>
      <c r="T141" s="8" t="n">
        <f aca="false">IFERROR(Q141/M141,0)</f>
        <v>0</v>
      </c>
    </row>
    <row r="142" customFormat="false" ht="15" hidden="false" customHeight="false" outlineLevel="0" collapsed="false">
      <c r="A142" s="17" t="s">
        <v>21</v>
      </c>
      <c r="B142" s="17" t="s">
        <v>1002</v>
      </c>
      <c r="C142" s="17" t="s">
        <v>1003</v>
      </c>
      <c r="D142" s="17" t="s">
        <v>28</v>
      </c>
      <c r="E142" s="17" t="s">
        <v>315</v>
      </c>
      <c r="F142" s="17" t="s">
        <v>28</v>
      </c>
      <c r="G142" s="17" t="s">
        <v>238</v>
      </c>
      <c r="H142" s="26" t="s">
        <v>66</v>
      </c>
      <c r="I142" s="17" t="s">
        <v>66</v>
      </c>
      <c r="J142" s="17"/>
      <c r="K142" s="17" t="s">
        <v>60</v>
      </c>
      <c r="L142" s="20" t="n">
        <v>21</v>
      </c>
      <c r="M142" s="20" t="n">
        <v>1</v>
      </c>
      <c r="N142" s="25" t="n">
        <f aca="false">IFERROR(M142/L142,0)</f>
        <v>0.0476190476190476</v>
      </c>
      <c r="O142" s="27" t="n">
        <v>2.58</v>
      </c>
      <c r="P142" s="14" t="n">
        <f aca="false">IFERROR(O142/M142,0)</f>
        <v>2.58</v>
      </c>
      <c r="Q142" s="20" t="n">
        <v>0</v>
      </c>
      <c r="R142" s="27" t="n">
        <v>0</v>
      </c>
      <c r="S142" s="8" t="n">
        <f aca="false">IFERROR(O142/R142,0)</f>
        <v>0</v>
      </c>
      <c r="T142" s="8" t="n">
        <f aca="false">IFERROR(Q142/M142,0)</f>
        <v>0</v>
      </c>
    </row>
    <row r="143" customFormat="false" ht="15" hidden="false" customHeight="false" outlineLevel="0" collapsed="false">
      <c r="A143" s="17" t="s">
        <v>21</v>
      </c>
      <c r="B143" s="17" t="s">
        <v>1004</v>
      </c>
      <c r="C143" s="17" t="s">
        <v>1005</v>
      </c>
      <c r="D143" s="17" t="s">
        <v>28</v>
      </c>
      <c r="E143" s="17" t="s">
        <v>315</v>
      </c>
      <c r="F143" s="17" t="s">
        <v>28</v>
      </c>
      <c r="G143" s="17" t="s">
        <v>238</v>
      </c>
      <c r="H143" s="26" t="s">
        <v>66</v>
      </c>
      <c r="I143" s="17" t="s">
        <v>66</v>
      </c>
      <c r="J143" s="17"/>
      <c r="K143" s="17" t="s">
        <v>60</v>
      </c>
      <c r="L143" s="20" t="n">
        <v>52</v>
      </c>
      <c r="M143" s="20" t="n">
        <v>1</v>
      </c>
      <c r="N143" s="25" t="n">
        <f aca="false">IFERROR(M143/L143,0)</f>
        <v>0.0192307692307692</v>
      </c>
      <c r="O143" s="27" t="n">
        <v>2.08</v>
      </c>
      <c r="P143" s="14" t="n">
        <f aca="false">IFERROR(O143/M143,0)</f>
        <v>2.08</v>
      </c>
      <c r="Q143" s="20" t="n">
        <v>1</v>
      </c>
      <c r="R143" s="27" t="n">
        <v>43.99</v>
      </c>
      <c r="S143" s="8" t="n">
        <f aca="false">IFERROR(O143/R143,0)</f>
        <v>0.0472834735167083</v>
      </c>
      <c r="T143" s="8" t="n">
        <f aca="false">IFERROR(Q143/M143,0)</f>
        <v>1</v>
      </c>
    </row>
    <row r="144" customFormat="false" ht="15" hidden="false" customHeight="false" outlineLevel="0" collapsed="false">
      <c r="A144" s="17" t="s">
        <v>21</v>
      </c>
      <c r="B144" s="17" t="s">
        <v>1006</v>
      </c>
      <c r="C144" s="17" t="s">
        <v>1007</v>
      </c>
      <c r="D144" s="17" t="s">
        <v>28</v>
      </c>
      <c r="E144" s="17" t="s">
        <v>311</v>
      </c>
      <c r="F144" s="17" t="s">
        <v>28</v>
      </c>
      <c r="G144" s="17"/>
      <c r="H144" s="17"/>
      <c r="I144" s="17" t="s">
        <v>66</v>
      </c>
      <c r="J144" s="17"/>
      <c r="K144" s="17" t="s">
        <v>60</v>
      </c>
      <c r="L144" s="20" t="n">
        <v>182</v>
      </c>
      <c r="M144" s="20" t="n">
        <v>2</v>
      </c>
      <c r="N144" s="25" t="n">
        <f aca="false">IFERROR(M144/L144,0)</f>
        <v>0.010989010989011</v>
      </c>
      <c r="O144" s="27" t="n">
        <v>1.99</v>
      </c>
      <c r="P144" s="14" t="n">
        <f aca="false">IFERROR(O144/M144,0)</f>
        <v>0.995</v>
      </c>
      <c r="Q144" s="20" t="n">
        <v>0</v>
      </c>
      <c r="R144" s="27" t="n">
        <v>0</v>
      </c>
      <c r="S144" s="8" t="n">
        <f aca="false">IFERROR(O144/R144,0)</f>
        <v>0</v>
      </c>
      <c r="T144" s="8" t="n">
        <f aca="false">IFERROR(Q144/M144,0)</f>
        <v>0</v>
      </c>
    </row>
    <row r="145" customFormat="false" ht="15" hidden="false" customHeight="false" outlineLevel="0" collapsed="false">
      <c r="A145" s="17" t="s">
        <v>21</v>
      </c>
      <c r="B145" s="17" t="s">
        <v>1008</v>
      </c>
      <c r="C145" s="17" t="s">
        <v>1009</v>
      </c>
      <c r="D145" s="24" t="s">
        <v>34</v>
      </c>
      <c r="E145" s="17" t="s">
        <v>303</v>
      </c>
      <c r="F145" s="17" t="s">
        <v>332</v>
      </c>
      <c r="G145" s="17"/>
      <c r="H145" s="17"/>
      <c r="I145" s="17" t="s">
        <v>66</v>
      </c>
      <c r="J145" s="17"/>
      <c r="K145" s="17" t="s">
        <v>60</v>
      </c>
      <c r="L145" s="20" t="n">
        <v>175</v>
      </c>
      <c r="M145" s="20" t="n">
        <v>5</v>
      </c>
      <c r="N145" s="25" t="n">
        <f aca="false">IFERROR(M145/L145,0)</f>
        <v>0.0285714285714286</v>
      </c>
      <c r="O145" s="27" t="n">
        <v>1.8</v>
      </c>
      <c r="P145" s="14" t="n">
        <f aca="false">IFERROR(O145/M145,0)</f>
        <v>0.36</v>
      </c>
      <c r="Q145" s="20" t="n">
        <v>1</v>
      </c>
      <c r="R145" s="27" t="n">
        <v>42.23</v>
      </c>
      <c r="S145" s="8" t="n">
        <f aca="false">IFERROR(O145/R145,0)</f>
        <v>0.0426237272081459</v>
      </c>
      <c r="T145" s="8" t="n">
        <f aca="false">IFERROR(Q145/M145,0)</f>
        <v>0.2</v>
      </c>
    </row>
    <row r="146" customFormat="false" ht="15" hidden="false" customHeight="false" outlineLevel="0" collapsed="false">
      <c r="A146" s="17" t="s">
        <v>21</v>
      </c>
      <c r="B146" s="17" t="s">
        <v>1010</v>
      </c>
      <c r="C146" s="17" t="s">
        <v>1011</v>
      </c>
      <c r="D146" s="17" t="s">
        <v>29</v>
      </c>
      <c r="E146" s="17" t="s">
        <v>315</v>
      </c>
      <c r="F146" s="17" t="s">
        <v>319</v>
      </c>
      <c r="G146" s="17" t="s">
        <v>238</v>
      </c>
      <c r="H146" s="26" t="s">
        <v>66</v>
      </c>
      <c r="I146" s="17" t="s">
        <v>66</v>
      </c>
      <c r="J146" s="17"/>
      <c r="K146" s="17" t="s">
        <v>60</v>
      </c>
      <c r="L146" s="20" t="n">
        <v>18</v>
      </c>
      <c r="M146" s="20" t="n">
        <v>1</v>
      </c>
      <c r="N146" s="25" t="n">
        <f aca="false">IFERROR(M146/L146,0)</f>
        <v>0.0555555555555556</v>
      </c>
      <c r="O146" s="27" t="n">
        <v>1.68</v>
      </c>
      <c r="P146" s="14" t="n">
        <f aca="false">IFERROR(O146/M146,0)</f>
        <v>1.68</v>
      </c>
      <c r="Q146" s="20" t="n">
        <v>0</v>
      </c>
      <c r="R146" s="27" t="n">
        <v>0</v>
      </c>
      <c r="S146" s="8" t="n">
        <f aca="false">IFERROR(O146/R146,0)</f>
        <v>0</v>
      </c>
      <c r="T146" s="8" t="n">
        <f aca="false">IFERROR(Q146/M146,0)</f>
        <v>0</v>
      </c>
    </row>
    <row r="147" customFormat="false" ht="15" hidden="false" customHeight="false" outlineLevel="0" collapsed="false">
      <c r="A147" s="17" t="s">
        <v>21</v>
      </c>
      <c r="B147" s="17" t="s">
        <v>1012</v>
      </c>
      <c r="C147" s="17" t="s">
        <v>1013</v>
      </c>
      <c r="D147" s="17" t="s">
        <v>28</v>
      </c>
      <c r="E147" s="17" t="s">
        <v>315</v>
      </c>
      <c r="F147" s="17" t="s">
        <v>28</v>
      </c>
      <c r="G147" s="17" t="s">
        <v>237</v>
      </c>
      <c r="H147" s="18" t="s">
        <v>60</v>
      </c>
      <c r="I147" s="17" t="s">
        <v>66</v>
      </c>
      <c r="J147" s="17"/>
      <c r="K147" s="17" t="s">
        <v>60</v>
      </c>
      <c r="L147" s="20" t="n">
        <v>104</v>
      </c>
      <c r="M147" s="20" t="n">
        <v>1</v>
      </c>
      <c r="N147" s="25" t="n">
        <f aca="false">IFERROR(M147/L147,0)</f>
        <v>0.00961538461538462</v>
      </c>
      <c r="O147" s="27" t="n">
        <v>1.49</v>
      </c>
      <c r="P147" s="14" t="n">
        <f aca="false">IFERROR(O147/M147,0)</f>
        <v>1.49</v>
      </c>
      <c r="Q147" s="20" t="n">
        <v>0</v>
      </c>
      <c r="R147" s="27" t="n">
        <v>0</v>
      </c>
      <c r="S147" s="8" t="n">
        <f aca="false">IFERROR(O147/R147,0)</f>
        <v>0</v>
      </c>
      <c r="T147" s="8" t="n">
        <f aca="false">IFERROR(Q147/M147,0)</f>
        <v>0</v>
      </c>
    </row>
    <row r="148" customFormat="false" ht="15" hidden="false" customHeight="false" outlineLevel="0" collapsed="false">
      <c r="A148" s="17" t="s">
        <v>21</v>
      </c>
      <c r="B148" s="17" t="s">
        <v>1014</v>
      </c>
      <c r="C148" s="17" t="s">
        <v>1015</v>
      </c>
      <c r="D148" s="17" t="s">
        <v>28</v>
      </c>
      <c r="E148" s="17" t="s">
        <v>315</v>
      </c>
      <c r="F148" s="17" t="s">
        <v>28</v>
      </c>
      <c r="G148" s="17" t="s">
        <v>238</v>
      </c>
      <c r="H148" s="26" t="s">
        <v>66</v>
      </c>
      <c r="I148" s="17" t="s">
        <v>66</v>
      </c>
      <c r="J148" s="17"/>
      <c r="K148" s="17" t="s">
        <v>60</v>
      </c>
      <c r="L148" s="20" t="n">
        <v>749</v>
      </c>
      <c r="M148" s="20" t="n">
        <v>1</v>
      </c>
      <c r="N148" s="25" t="n">
        <f aca="false">IFERROR(M148/L148,0)</f>
        <v>0.00133511348464619</v>
      </c>
      <c r="O148" s="27" t="n">
        <v>1.3</v>
      </c>
      <c r="P148" s="14" t="n">
        <f aca="false">IFERROR(O148/M148,0)</f>
        <v>1.3</v>
      </c>
      <c r="Q148" s="20" t="n">
        <v>0</v>
      </c>
      <c r="R148" s="27" t="n">
        <v>0</v>
      </c>
      <c r="S148" s="8" t="n">
        <f aca="false">IFERROR(O148/R148,0)</f>
        <v>0</v>
      </c>
      <c r="T148" s="8" t="n">
        <f aca="false">IFERROR(Q148/M148,0)</f>
        <v>0</v>
      </c>
    </row>
    <row r="149" customFormat="false" ht="15" hidden="false" customHeight="false" outlineLevel="0" collapsed="false">
      <c r="A149" s="17" t="s">
        <v>21</v>
      </c>
      <c r="B149" s="17" t="s">
        <v>1016</v>
      </c>
      <c r="C149" s="17" t="s">
        <v>1017</v>
      </c>
      <c r="D149" s="17" t="s">
        <v>29</v>
      </c>
      <c r="E149" s="17" t="s">
        <v>315</v>
      </c>
      <c r="F149" s="17"/>
      <c r="G149" s="17" t="s">
        <v>997</v>
      </c>
      <c r="H149" s="18" t="s">
        <v>60</v>
      </c>
      <c r="I149" s="17" t="s">
        <v>66</v>
      </c>
      <c r="J149" s="17"/>
      <c r="K149" s="17" t="s">
        <v>60</v>
      </c>
      <c r="L149" s="20" t="n">
        <v>13</v>
      </c>
      <c r="M149" s="20" t="n">
        <v>1</v>
      </c>
      <c r="N149" s="25" t="n">
        <f aca="false">IFERROR(M149/L149,0)</f>
        <v>0.0769230769230769</v>
      </c>
      <c r="O149" s="27" t="n">
        <v>1.27</v>
      </c>
      <c r="P149" s="14" t="n">
        <f aca="false">IFERROR(O149/M149,0)</f>
        <v>1.27</v>
      </c>
      <c r="Q149" s="20" t="n">
        <v>0</v>
      </c>
      <c r="R149" s="27" t="n">
        <v>0</v>
      </c>
      <c r="S149" s="8" t="n">
        <f aca="false">IFERROR(O149/R149,0)</f>
        <v>0</v>
      </c>
      <c r="T149" s="8" t="n">
        <f aca="false">IFERROR(Q149/M149,0)</f>
        <v>0</v>
      </c>
    </row>
    <row r="150" customFormat="false" ht="15" hidden="false" customHeight="false" outlineLevel="0" collapsed="false">
      <c r="A150" s="17" t="s">
        <v>21</v>
      </c>
      <c r="B150" s="17" t="s">
        <v>1018</v>
      </c>
      <c r="C150" s="17" t="s">
        <v>1019</v>
      </c>
      <c r="D150" s="17" t="s">
        <v>28</v>
      </c>
      <c r="E150" s="17" t="s">
        <v>315</v>
      </c>
      <c r="F150" s="17" t="s">
        <v>28</v>
      </c>
      <c r="G150" s="17" t="s">
        <v>238</v>
      </c>
      <c r="H150" s="26" t="s">
        <v>66</v>
      </c>
      <c r="I150" s="17" t="s">
        <v>66</v>
      </c>
      <c r="J150" s="17"/>
      <c r="K150" s="17" t="s">
        <v>60</v>
      </c>
      <c r="L150" s="20" t="n">
        <v>60</v>
      </c>
      <c r="M150" s="20" t="n">
        <v>1</v>
      </c>
      <c r="N150" s="25" t="n">
        <f aca="false">IFERROR(M150/L150,0)</f>
        <v>0.0166666666666667</v>
      </c>
      <c r="O150" s="27" t="n">
        <v>1.05</v>
      </c>
      <c r="P150" s="14" t="n">
        <f aca="false">IFERROR(O150/M150,0)</f>
        <v>1.05</v>
      </c>
      <c r="Q150" s="20" t="n">
        <v>0</v>
      </c>
      <c r="R150" s="27" t="n">
        <v>0</v>
      </c>
      <c r="S150" s="8" t="n">
        <f aca="false">IFERROR(O150/R150,0)</f>
        <v>0</v>
      </c>
      <c r="T150" s="8" t="n">
        <f aca="false">IFERROR(Q150/M150,0)</f>
        <v>0</v>
      </c>
    </row>
    <row r="151" customFormat="false" ht="15" hidden="false" customHeight="false" outlineLevel="0" collapsed="false">
      <c r="A151" s="17" t="s">
        <v>21</v>
      </c>
      <c r="B151" s="17" t="s">
        <v>1020</v>
      </c>
      <c r="C151" s="17" t="s">
        <v>1021</v>
      </c>
      <c r="D151" s="24" t="s">
        <v>34</v>
      </c>
      <c r="E151" s="17" t="s">
        <v>303</v>
      </c>
      <c r="F151" s="17" t="s">
        <v>332</v>
      </c>
      <c r="G151" s="17"/>
      <c r="H151" s="17"/>
      <c r="I151" s="17" t="s">
        <v>66</v>
      </c>
      <c r="J151" s="17"/>
      <c r="K151" s="17" t="s">
        <v>60</v>
      </c>
      <c r="L151" s="20" t="n">
        <v>823</v>
      </c>
      <c r="M151" s="20" t="n">
        <v>3</v>
      </c>
      <c r="N151" s="25" t="n">
        <f aca="false">IFERROR(M151/L151,0)</f>
        <v>0.00364520048602673</v>
      </c>
      <c r="O151" s="27" t="n">
        <v>1.04</v>
      </c>
      <c r="P151" s="14" t="n">
        <f aca="false">IFERROR(O151/M151,0)</f>
        <v>0.346666666666667</v>
      </c>
      <c r="Q151" s="20" t="n">
        <v>2</v>
      </c>
      <c r="R151" s="27" t="n">
        <v>86.22</v>
      </c>
      <c r="S151" s="8" t="n">
        <f aca="false">IFERROR(O151/R151,0)</f>
        <v>0.0120621665506843</v>
      </c>
      <c r="T151" s="8" t="n">
        <f aca="false">IFERROR(Q151/M151,0)</f>
        <v>0.666666666666667</v>
      </c>
    </row>
    <row r="152" customFormat="false" ht="15" hidden="false" customHeight="false" outlineLevel="0" collapsed="false">
      <c r="A152" s="17" t="s">
        <v>21</v>
      </c>
      <c r="B152" s="17" t="s">
        <v>1022</v>
      </c>
      <c r="C152" s="17" t="s">
        <v>1023</v>
      </c>
      <c r="D152" s="17" t="s">
        <v>33</v>
      </c>
      <c r="E152" s="17" t="s">
        <v>318</v>
      </c>
      <c r="F152" s="17" t="s">
        <v>312</v>
      </c>
      <c r="G152" s="17" t="s">
        <v>1024</v>
      </c>
      <c r="H152" s="26" t="s">
        <v>66</v>
      </c>
      <c r="I152" s="17" t="s">
        <v>66</v>
      </c>
      <c r="J152" s="17"/>
      <c r="K152" s="17" t="s">
        <v>60</v>
      </c>
      <c r="L152" s="20" t="n">
        <v>125</v>
      </c>
      <c r="M152" s="20" t="n">
        <v>1</v>
      </c>
      <c r="N152" s="25" t="n">
        <f aca="false">IFERROR(M152/L152,0)</f>
        <v>0.008</v>
      </c>
      <c r="O152" s="27" t="n">
        <v>0.8</v>
      </c>
      <c r="P152" s="14" t="n">
        <f aca="false">IFERROR(O152/M152,0)</f>
        <v>0.8</v>
      </c>
      <c r="Q152" s="20" t="n">
        <v>0</v>
      </c>
      <c r="R152" s="27" t="n">
        <v>0</v>
      </c>
      <c r="S152" s="8" t="n">
        <f aca="false">IFERROR(O152/R152,0)</f>
        <v>0</v>
      </c>
      <c r="T152" s="8" t="n">
        <f aca="false">IFERROR(Q152/M152,0)</f>
        <v>0</v>
      </c>
    </row>
    <row r="153" customFormat="false" ht="15" hidden="false" customHeight="false" outlineLevel="0" collapsed="false">
      <c r="A153" s="17" t="s">
        <v>21</v>
      </c>
      <c r="B153" s="17" t="s">
        <v>1025</v>
      </c>
      <c r="C153" s="17" t="s">
        <v>1026</v>
      </c>
      <c r="D153" s="17" t="s">
        <v>28</v>
      </c>
      <c r="E153" s="17" t="s">
        <v>315</v>
      </c>
      <c r="F153" s="17" t="s">
        <v>28</v>
      </c>
      <c r="G153" s="17" t="s">
        <v>250</v>
      </c>
      <c r="H153" s="18" t="s">
        <v>60</v>
      </c>
      <c r="I153" s="17" t="s">
        <v>66</v>
      </c>
      <c r="J153" s="17"/>
      <c r="K153" s="17" t="s">
        <v>60</v>
      </c>
      <c r="L153" s="20" t="n">
        <v>2</v>
      </c>
      <c r="M153" s="20" t="n">
        <v>2</v>
      </c>
      <c r="N153" s="25" t="n">
        <f aca="false">IFERROR(M153/L153,0)</f>
        <v>1</v>
      </c>
      <c r="O153" s="27" t="n">
        <v>0.5</v>
      </c>
      <c r="P153" s="14" t="n">
        <f aca="false">IFERROR(O153/M153,0)</f>
        <v>0.25</v>
      </c>
      <c r="Q153" s="20" t="n">
        <v>0</v>
      </c>
      <c r="R153" s="27" t="n">
        <v>0</v>
      </c>
      <c r="S153" s="8" t="n">
        <f aca="false">IFERROR(O153/R153,0)</f>
        <v>0</v>
      </c>
      <c r="T153" s="8" t="n">
        <f aca="false">IFERROR(Q153/M153,0)</f>
        <v>0</v>
      </c>
    </row>
    <row r="154" customFormat="false" ht="15" hidden="false" customHeight="false" outlineLevel="0" collapsed="false">
      <c r="A154" s="17" t="s">
        <v>21</v>
      </c>
      <c r="B154" s="17" t="s">
        <v>1027</v>
      </c>
      <c r="C154" s="17" t="s">
        <v>1028</v>
      </c>
      <c r="D154" s="24" t="s">
        <v>34</v>
      </c>
      <c r="E154" s="17" t="s">
        <v>303</v>
      </c>
      <c r="F154" s="17" t="s">
        <v>332</v>
      </c>
      <c r="G154" s="17"/>
      <c r="H154" s="17"/>
      <c r="I154" s="17" t="s">
        <v>66</v>
      </c>
      <c r="J154" s="17"/>
      <c r="K154" s="17" t="s">
        <v>60</v>
      </c>
      <c r="L154" s="20" t="n">
        <v>173</v>
      </c>
      <c r="M154" s="20" t="n">
        <v>1</v>
      </c>
      <c r="N154" s="25" t="n">
        <f aca="false">IFERROR(M154/L154,0)</f>
        <v>0.00578034682080925</v>
      </c>
      <c r="O154" s="27" t="n">
        <v>0.36</v>
      </c>
      <c r="P154" s="14" t="n">
        <f aca="false">IFERROR(O154/M154,0)</f>
        <v>0.36</v>
      </c>
      <c r="Q154" s="20" t="n">
        <v>0</v>
      </c>
      <c r="R154" s="27" t="n">
        <v>0</v>
      </c>
      <c r="S154" s="8" t="n">
        <f aca="false">IFERROR(O154/R154,0)</f>
        <v>0</v>
      </c>
      <c r="T154" s="8" t="n">
        <f aca="false">IFERROR(Q154/M154,0)</f>
        <v>0</v>
      </c>
    </row>
    <row r="155" customFormat="false" ht="15" hidden="false" customHeight="false" outlineLevel="0" collapsed="false">
      <c r="A155" s="17" t="s">
        <v>21</v>
      </c>
      <c r="B155" s="17" t="s">
        <v>1029</v>
      </c>
      <c r="C155" s="17" t="s">
        <v>1030</v>
      </c>
      <c r="D155" s="24" t="s">
        <v>34</v>
      </c>
      <c r="E155" s="17" t="s">
        <v>303</v>
      </c>
      <c r="F155" s="17" t="s">
        <v>332</v>
      </c>
      <c r="G155" s="17"/>
      <c r="H155" s="17"/>
      <c r="I155" s="17" t="s">
        <v>66</v>
      </c>
      <c r="J155" s="17"/>
      <c r="K155" s="17" t="s">
        <v>60</v>
      </c>
      <c r="L155" s="20" t="n">
        <v>628</v>
      </c>
      <c r="M155" s="20" t="n">
        <v>1</v>
      </c>
      <c r="N155" s="25" t="n">
        <f aca="false">IFERROR(M155/L155,0)</f>
        <v>0.00159235668789809</v>
      </c>
      <c r="O155" s="27" t="n">
        <v>0.03</v>
      </c>
      <c r="P155" s="14" t="n">
        <f aca="false">IFERROR(O155/M155,0)</f>
        <v>0.03</v>
      </c>
      <c r="Q155" s="20" t="n">
        <v>0</v>
      </c>
      <c r="R155" s="27" t="n">
        <v>0</v>
      </c>
      <c r="S155" s="8" t="n">
        <f aca="false">IFERROR(O155/R155,0)</f>
        <v>0</v>
      </c>
      <c r="T155" s="8" t="n">
        <f aca="false">IFERROR(Q155/M155,0)</f>
        <v>0</v>
      </c>
    </row>
  </sheetData>
  <autoFilter ref="A4:T1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66"/>
    <col collapsed="false" customWidth="true" hidden="false" outlineLevel="0" max="4" min="4" style="0" width="24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1031</v>
      </c>
    </row>
    <row r="2" customFormat="false" ht="15" hidden="false" customHeight="false" outlineLevel="0" collapsed="false">
      <c r="A2" s="2" t="s">
        <v>1032</v>
      </c>
    </row>
    <row r="4" customFormat="false" ht="31.5" hidden="false" customHeight="true" outlineLevel="0" collapsed="false">
      <c r="A4" s="6" t="s">
        <v>1033</v>
      </c>
      <c r="B4" s="6" t="s">
        <v>1034</v>
      </c>
      <c r="C4" s="6" t="s">
        <v>1035</v>
      </c>
      <c r="D4" s="6" t="s">
        <v>1036</v>
      </c>
      <c r="E4" s="6" t="s">
        <v>1037</v>
      </c>
      <c r="F4" s="6" t="s">
        <v>1038</v>
      </c>
      <c r="G4" s="6" t="s">
        <v>300</v>
      </c>
      <c r="H4" s="6" t="s">
        <v>1039</v>
      </c>
    </row>
    <row r="5" customFormat="false" ht="15" hidden="false" customHeight="false" outlineLevel="0" collapsed="false">
      <c r="A5" s="3" t="s">
        <v>72</v>
      </c>
      <c r="B5" s="19" t="n">
        <v>78.62</v>
      </c>
      <c r="C5" s="17" t="s">
        <v>305</v>
      </c>
      <c r="D5" s="26" t="s">
        <v>1040</v>
      </c>
      <c r="E5" s="19" t="n">
        <v>333.83</v>
      </c>
      <c r="F5" s="19" t="n">
        <v>3.97</v>
      </c>
      <c r="G5" s="28" t="n">
        <v>0.5277</v>
      </c>
      <c r="H5" s="17" t="s">
        <v>1041</v>
      </c>
    </row>
    <row r="6" customFormat="false" ht="15" hidden="false" customHeight="false" outlineLevel="0" collapsed="false">
      <c r="A6" s="3" t="s">
        <v>116</v>
      </c>
      <c r="B6" s="19" t="n">
        <v>244.49</v>
      </c>
      <c r="C6" s="17" t="s">
        <v>435</v>
      </c>
      <c r="D6" s="24" t="s">
        <v>34</v>
      </c>
      <c r="E6" s="19" t="n">
        <v>252.66</v>
      </c>
      <c r="F6" s="19" t="n">
        <v>1.33</v>
      </c>
      <c r="G6" s="28" t="n">
        <v>0.1781</v>
      </c>
      <c r="H6" s="17" t="s">
        <v>1042</v>
      </c>
    </row>
    <row r="7" customFormat="false" ht="15" hidden="false" customHeight="false" outlineLevel="0" collapsed="false">
      <c r="A7" s="17"/>
      <c r="B7" s="19"/>
      <c r="C7" s="17" t="s">
        <v>440</v>
      </c>
      <c r="D7" s="26" t="s">
        <v>1040</v>
      </c>
      <c r="E7" s="19" t="n">
        <v>93.08</v>
      </c>
      <c r="F7" s="19" t="n">
        <v>4.65</v>
      </c>
      <c r="G7" s="28" t="n">
        <v>1.4603</v>
      </c>
      <c r="H7" s="17" t="s">
        <v>1043</v>
      </c>
    </row>
    <row r="8" customFormat="false" ht="15" hidden="false" customHeight="false" outlineLevel="0" collapsed="false">
      <c r="A8" s="17"/>
      <c r="B8" s="19"/>
      <c r="C8" s="17" t="s">
        <v>442</v>
      </c>
      <c r="D8" s="17" t="s">
        <v>28</v>
      </c>
      <c r="E8" s="19" t="n">
        <v>79.08</v>
      </c>
      <c r="F8" s="19" t="n">
        <v>3.3</v>
      </c>
      <c r="G8" s="28" t="n">
        <v>0.413</v>
      </c>
      <c r="H8" s="17" t="s">
        <v>1044</v>
      </c>
    </row>
    <row r="9" customFormat="false" ht="15" hidden="false" customHeight="false" outlineLevel="0" collapsed="false">
      <c r="A9" s="17"/>
      <c r="B9" s="19"/>
      <c r="C9" s="17" t="s">
        <v>506</v>
      </c>
      <c r="D9" s="26" t="s">
        <v>1040</v>
      </c>
      <c r="E9" s="19" t="n">
        <v>6.65</v>
      </c>
      <c r="F9" s="19" t="n">
        <v>1.11</v>
      </c>
      <c r="G9" s="28" t="n">
        <v>0</v>
      </c>
      <c r="H9" s="17"/>
    </row>
    <row r="10" customFormat="false" ht="15" hidden="false" customHeight="false" outlineLevel="0" collapsed="false">
      <c r="A10" s="17"/>
      <c r="B10" s="19"/>
      <c r="C10" s="17" t="s">
        <v>509</v>
      </c>
      <c r="D10" s="17" t="s">
        <v>1045</v>
      </c>
      <c r="E10" s="19" t="n">
        <v>6.52</v>
      </c>
      <c r="F10" s="19" t="n">
        <v>3.26</v>
      </c>
      <c r="G10" s="28" t="n">
        <v>0.0493</v>
      </c>
      <c r="H10" s="17" t="s">
        <v>1046</v>
      </c>
    </row>
    <row r="11" customFormat="false" ht="15" hidden="false" customHeight="false" outlineLevel="0" collapsed="false">
      <c r="A11" s="3" t="s">
        <v>63</v>
      </c>
      <c r="B11" s="19" t="n">
        <v>99.72</v>
      </c>
      <c r="C11" s="17" t="s">
        <v>302</v>
      </c>
      <c r="D11" s="24" t="s">
        <v>34</v>
      </c>
      <c r="E11" s="19" t="n">
        <v>501.26</v>
      </c>
      <c r="F11" s="19" t="n">
        <v>1.33</v>
      </c>
      <c r="G11" s="28" t="n">
        <v>0.352</v>
      </c>
      <c r="H11" s="17" t="s">
        <v>1042</v>
      </c>
    </row>
    <row r="12" customFormat="false" ht="15" hidden="false" customHeight="false" outlineLevel="0" collapsed="false">
      <c r="A12" s="17"/>
      <c r="B12" s="19"/>
      <c r="C12" s="17" t="s">
        <v>435</v>
      </c>
      <c r="D12" s="24" t="s">
        <v>34</v>
      </c>
      <c r="E12" s="19" t="n">
        <v>252.66</v>
      </c>
      <c r="F12" s="19" t="n">
        <v>1.33</v>
      </c>
      <c r="G12" s="28" t="n">
        <v>0.1781</v>
      </c>
      <c r="H12" s="17" t="s">
        <v>1047</v>
      </c>
    </row>
    <row r="13" customFormat="false" ht="15" hidden="false" customHeight="false" outlineLevel="0" collapsed="false">
      <c r="A13" s="17"/>
      <c r="B13" s="19"/>
      <c r="C13" s="17" t="s">
        <v>444</v>
      </c>
      <c r="D13" s="24" t="s">
        <v>34</v>
      </c>
      <c r="E13" s="19" t="n">
        <v>70.16</v>
      </c>
      <c r="F13" s="19" t="n">
        <v>1.4</v>
      </c>
      <c r="G13" s="28" t="n">
        <v>0.3625</v>
      </c>
      <c r="H13" s="17"/>
    </row>
    <row r="14" customFormat="false" ht="15" hidden="false" customHeight="false" outlineLevel="0" collapsed="false">
      <c r="A14" s="17"/>
      <c r="B14" s="19"/>
      <c r="C14" s="17" t="s">
        <v>331</v>
      </c>
      <c r="D14" s="24" t="s">
        <v>34</v>
      </c>
      <c r="E14" s="19" t="n">
        <v>37.87</v>
      </c>
      <c r="F14" s="19" t="n">
        <v>2.52</v>
      </c>
      <c r="G14" s="28" t="n">
        <v>0</v>
      </c>
      <c r="H14" s="17" t="s">
        <v>1048</v>
      </c>
    </row>
    <row r="15" customFormat="false" ht="15" hidden="false" customHeight="false" outlineLevel="0" collapsed="false">
      <c r="A15" s="17"/>
      <c r="B15" s="19"/>
      <c r="C15" s="17" t="s">
        <v>356</v>
      </c>
      <c r="D15" s="17" t="s">
        <v>28</v>
      </c>
      <c r="E15" s="19" t="n">
        <v>8.03</v>
      </c>
      <c r="F15" s="19" t="n">
        <v>4.02</v>
      </c>
      <c r="G15" s="28" t="n">
        <v>0.1452</v>
      </c>
      <c r="H15" s="17" t="s">
        <v>1049</v>
      </c>
    </row>
    <row r="16" customFormat="false" ht="15" hidden="false" customHeight="false" outlineLevel="0" collapsed="false">
      <c r="A16" s="3" t="s">
        <v>68</v>
      </c>
      <c r="B16" s="19" t="n">
        <v>85.44</v>
      </c>
      <c r="C16" s="17" t="s">
        <v>302</v>
      </c>
      <c r="D16" s="24" t="s">
        <v>34</v>
      </c>
      <c r="E16" s="19" t="n">
        <v>501.26</v>
      </c>
      <c r="F16" s="19" t="n">
        <v>1.33</v>
      </c>
      <c r="G16" s="28" t="n">
        <v>0.352</v>
      </c>
      <c r="H16" s="17" t="s">
        <v>1042</v>
      </c>
    </row>
    <row r="17" customFormat="false" ht="15" hidden="false" customHeight="false" outlineLevel="0" collapsed="false">
      <c r="A17" s="17"/>
      <c r="B17" s="19"/>
      <c r="C17" s="17" t="s">
        <v>338</v>
      </c>
      <c r="D17" s="24" t="s">
        <v>34</v>
      </c>
      <c r="E17" s="19" t="n">
        <v>15.9</v>
      </c>
      <c r="F17" s="19" t="n">
        <v>1.06</v>
      </c>
      <c r="G17" s="28" t="n">
        <v>0.1988</v>
      </c>
      <c r="H17" s="17"/>
    </row>
    <row r="18" customFormat="false" ht="15" hidden="false" customHeight="false" outlineLevel="0" collapsed="false">
      <c r="A18" s="3" t="s">
        <v>78</v>
      </c>
      <c r="B18" s="19" t="n">
        <v>69.9</v>
      </c>
      <c r="C18" s="17" t="s">
        <v>302</v>
      </c>
      <c r="D18" s="24" t="s">
        <v>34</v>
      </c>
      <c r="E18" s="19" t="n">
        <v>501.26</v>
      </c>
      <c r="F18" s="19" t="n">
        <v>1.33</v>
      </c>
      <c r="G18" s="28" t="n">
        <v>0.352</v>
      </c>
      <c r="H18" s="17"/>
    </row>
    <row r="19" customFormat="false" ht="15" hidden="false" customHeight="false" outlineLevel="0" collapsed="false">
      <c r="A19" s="17"/>
      <c r="B19" s="19"/>
      <c r="C19" s="17" t="s">
        <v>435</v>
      </c>
      <c r="D19" s="24" t="s">
        <v>34</v>
      </c>
      <c r="E19" s="19" t="n">
        <v>252.66</v>
      </c>
      <c r="F19" s="19" t="n">
        <v>1.33</v>
      </c>
      <c r="G19" s="28" t="n">
        <v>0.1781</v>
      </c>
      <c r="H19" s="17"/>
    </row>
    <row r="20" customFormat="false" ht="15" hidden="false" customHeight="false" outlineLevel="0" collapsed="false">
      <c r="A20" s="17"/>
      <c r="B20" s="19"/>
      <c r="C20" s="17" t="s">
        <v>326</v>
      </c>
      <c r="D20" s="17" t="s">
        <v>1050</v>
      </c>
      <c r="E20" s="19" t="n">
        <v>34.47</v>
      </c>
      <c r="F20" s="19" t="n">
        <v>0.78</v>
      </c>
      <c r="G20" s="28" t="n">
        <v>0.0826</v>
      </c>
      <c r="H20" s="17"/>
    </row>
    <row r="21" customFormat="false" ht="15" hidden="false" customHeight="false" outlineLevel="0" collapsed="false">
      <c r="A21" s="17"/>
      <c r="B21" s="19"/>
      <c r="C21" s="17" t="s">
        <v>363</v>
      </c>
      <c r="D21" s="24" t="s">
        <v>34</v>
      </c>
      <c r="E21" s="19" t="n">
        <v>8.53</v>
      </c>
      <c r="F21" s="19" t="n">
        <v>0.85</v>
      </c>
      <c r="G21" s="28" t="n">
        <v>0</v>
      </c>
      <c r="H21" s="17" t="s">
        <v>1048</v>
      </c>
    </row>
    <row r="22" customFormat="false" ht="15" hidden="false" customHeight="false" outlineLevel="0" collapsed="false">
      <c r="A22" s="17"/>
      <c r="B22" s="19"/>
      <c r="C22" s="17" t="s">
        <v>385</v>
      </c>
      <c r="D22" s="17" t="s">
        <v>1045</v>
      </c>
      <c r="E22" s="19" t="n">
        <v>5.74</v>
      </c>
      <c r="F22" s="19" t="n">
        <v>1.44</v>
      </c>
      <c r="G22" s="28" t="n">
        <v>0</v>
      </c>
      <c r="H22" s="17" t="s">
        <v>1051</v>
      </c>
    </row>
    <row r="23" customFormat="false" ht="15" hidden="false" customHeight="false" outlineLevel="0" collapsed="false">
      <c r="A23" s="3" t="s">
        <v>80</v>
      </c>
      <c r="B23" s="19" t="n">
        <v>62.82</v>
      </c>
      <c r="C23" s="17" t="s">
        <v>305</v>
      </c>
      <c r="D23" s="26" t="s">
        <v>1040</v>
      </c>
      <c r="E23" s="19" t="n">
        <v>333.83</v>
      </c>
      <c r="F23" s="19" t="n">
        <v>3.97</v>
      </c>
      <c r="G23" s="28" t="n">
        <v>0.5277</v>
      </c>
      <c r="H23" s="17" t="s">
        <v>1052</v>
      </c>
    </row>
    <row r="24" customFormat="false" ht="15" hidden="false" customHeight="false" outlineLevel="0" collapsed="false">
      <c r="A24" s="17"/>
      <c r="B24" s="19"/>
      <c r="C24" s="17" t="s">
        <v>435</v>
      </c>
      <c r="D24" s="24" t="s">
        <v>34</v>
      </c>
      <c r="E24" s="19" t="n">
        <v>252.66</v>
      </c>
      <c r="F24" s="19" t="n">
        <v>1.33</v>
      </c>
      <c r="G24" s="28" t="n">
        <v>0.1781</v>
      </c>
      <c r="H24" s="17"/>
    </row>
    <row r="25" customFormat="false" ht="15" hidden="false" customHeight="false" outlineLevel="0" collapsed="false">
      <c r="A25" s="17"/>
      <c r="B25" s="19"/>
      <c r="C25" s="17" t="s">
        <v>361</v>
      </c>
      <c r="D25" s="17" t="s">
        <v>28</v>
      </c>
      <c r="E25" s="19" t="n">
        <v>13.35</v>
      </c>
      <c r="F25" s="19" t="n">
        <v>6.68</v>
      </c>
      <c r="G25" s="28" t="n">
        <v>0.289</v>
      </c>
      <c r="H25" s="17" t="s">
        <v>1053</v>
      </c>
    </row>
    <row r="26" customFormat="false" ht="15" hidden="false" customHeight="false" outlineLevel="0" collapsed="false">
      <c r="A26" s="17"/>
      <c r="B26" s="19"/>
      <c r="C26" s="17" t="s">
        <v>369</v>
      </c>
      <c r="D26" s="17" t="s">
        <v>28</v>
      </c>
      <c r="E26" s="19" t="n">
        <v>10.12</v>
      </c>
      <c r="F26" s="19" t="n">
        <v>10.12</v>
      </c>
      <c r="G26" s="28" t="n">
        <v>0</v>
      </c>
      <c r="H26" s="17" t="s">
        <v>1054</v>
      </c>
    </row>
    <row r="27" customFormat="false" ht="15" hidden="false" customHeight="false" outlineLevel="0" collapsed="false">
      <c r="A27" s="17"/>
      <c r="B27" s="19"/>
      <c r="C27" s="17" t="s">
        <v>373</v>
      </c>
      <c r="D27" s="17" t="s">
        <v>28</v>
      </c>
      <c r="E27" s="19" t="n">
        <v>9.55</v>
      </c>
      <c r="F27" s="19" t="n">
        <v>4.78</v>
      </c>
      <c r="G27" s="28" t="n">
        <v>0</v>
      </c>
      <c r="H27" s="17" t="s">
        <v>1055</v>
      </c>
    </row>
    <row r="28" customFormat="false" ht="15" hidden="false" customHeight="false" outlineLevel="0" collapsed="false">
      <c r="A28" s="17"/>
      <c r="B28" s="19"/>
      <c r="C28" s="17" t="s">
        <v>383</v>
      </c>
      <c r="D28" s="17" t="s">
        <v>28</v>
      </c>
      <c r="E28" s="19" t="n">
        <v>7.13</v>
      </c>
      <c r="F28" s="19" t="n">
        <v>7.13</v>
      </c>
      <c r="G28" s="28" t="n">
        <v>0</v>
      </c>
      <c r="H28" s="17" t="s">
        <v>1056</v>
      </c>
    </row>
    <row r="29" customFormat="false" ht="15" hidden="false" customHeight="false" outlineLevel="0" collapsed="false">
      <c r="A29" s="3" t="s">
        <v>141</v>
      </c>
      <c r="B29" s="19" t="n">
        <v>126.2</v>
      </c>
      <c r="C29" s="17" t="s">
        <v>573</v>
      </c>
      <c r="D29" s="24" t="s">
        <v>34</v>
      </c>
      <c r="E29" s="19" t="n">
        <v>151.25</v>
      </c>
      <c r="F29" s="19" t="n">
        <v>1.21</v>
      </c>
      <c r="G29" s="28" t="n">
        <v>0.3427</v>
      </c>
      <c r="H29" s="17" t="s">
        <v>1057</v>
      </c>
    </row>
    <row r="30" customFormat="false" ht="15" hidden="false" customHeight="false" outlineLevel="0" collapsed="false">
      <c r="A30" s="17"/>
      <c r="B30" s="19"/>
      <c r="C30" s="17" t="s">
        <v>580</v>
      </c>
      <c r="D30" s="17" t="s">
        <v>28</v>
      </c>
      <c r="E30" s="19" t="n">
        <v>27.7</v>
      </c>
      <c r="F30" s="19" t="n">
        <v>3.96</v>
      </c>
      <c r="G30" s="28" t="n">
        <v>0.8159</v>
      </c>
      <c r="H30" s="17" t="s">
        <v>1058</v>
      </c>
    </row>
    <row r="31" customFormat="false" ht="15" hidden="false" customHeight="false" outlineLevel="0" collapsed="false">
      <c r="A31" s="17"/>
      <c r="B31" s="19"/>
      <c r="C31" s="17" t="s">
        <v>582</v>
      </c>
      <c r="D31" s="17" t="s">
        <v>28</v>
      </c>
      <c r="E31" s="19" t="n">
        <v>24.72</v>
      </c>
      <c r="F31" s="19" t="n">
        <v>2.47</v>
      </c>
      <c r="G31" s="28" t="n">
        <v>0.3641</v>
      </c>
      <c r="H31" s="17"/>
    </row>
    <row r="32" customFormat="false" ht="15" hidden="false" customHeight="false" outlineLevel="0" collapsed="false">
      <c r="A32" s="17"/>
      <c r="B32" s="19"/>
      <c r="C32" s="17" t="s">
        <v>608</v>
      </c>
      <c r="D32" s="17" t="s">
        <v>29</v>
      </c>
      <c r="E32" s="19" t="n">
        <v>8.78</v>
      </c>
      <c r="F32" s="19" t="n">
        <v>2.2</v>
      </c>
      <c r="G32" s="28" t="n">
        <v>0.1293</v>
      </c>
      <c r="H32" s="17"/>
    </row>
    <row r="33" customFormat="false" ht="15" hidden="false" customHeight="false" outlineLevel="0" collapsed="false">
      <c r="A33" s="17"/>
      <c r="B33" s="19"/>
      <c r="C33" s="17" t="s">
        <v>611</v>
      </c>
      <c r="D33" s="17" t="s">
        <v>28</v>
      </c>
      <c r="E33" s="19" t="n">
        <v>7.81</v>
      </c>
      <c r="F33" s="19" t="n">
        <v>1.95</v>
      </c>
      <c r="G33" s="28" t="n">
        <v>0</v>
      </c>
      <c r="H33" s="17"/>
    </row>
    <row r="34" customFormat="false" ht="15" hidden="false" customHeight="false" outlineLevel="0" collapsed="false">
      <c r="A34" s="17"/>
      <c r="B34" s="19"/>
      <c r="C34" s="17" t="s">
        <v>1059</v>
      </c>
      <c r="D34" s="17" t="s">
        <v>1060</v>
      </c>
      <c r="E34" s="19" t="n">
        <v>20.73</v>
      </c>
      <c r="F34" s="19"/>
      <c r="G34" s="28"/>
      <c r="H34" s="17" t="s">
        <v>1061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"/>
    <col collapsed="false" customWidth="true" hidden="false" outlineLevel="0" max="3" min="3" style="0" width="46"/>
    <col collapsed="false" customWidth="true" hidden="false" outlineLevel="0" max="4" min="4" style="0" width="48"/>
    <col collapsed="false" customWidth="true" hidden="false" outlineLevel="0" max="5" min="5" style="0" width="46"/>
    <col collapsed="false" customWidth="true" hidden="false" outlineLevel="0" max="6" min="6" style="0" width="50"/>
    <col collapsed="false" customWidth="true" hidden="false" outlineLevel="0" max="8" min="7" style="0" width="12"/>
  </cols>
  <sheetData>
    <row r="1" customFormat="false" ht="17.35" hidden="false" customHeight="false" outlineLevel="0" collapsed="false">
      <c r="A1" s="1" t="s">
        <v>1062</v>
      </c>
    </row>
    <row r="3" customFormat="false" ht="31.5" hidden="false" customHeight="true" outlineLevel="0" collapsed="false">
      <c r="A3" s="6" t="s">
        <v>1063</v>
      </c>
      <c r="B3" s="6" t="s">
        <v>1064</v>
      </c>
      <c r="C3" s="6" t="s">
        <v>1065</v>
      </c>
      <c r="D3" s="6" t="s">
        <v>1066</v>
      </c>
      <c r="E3" s="6" t="s">
        <v>1067</v>
      </c>
      <c r="F3" s="6" t="s">
        <v>1068</v>
      </c>
      <c r="G3" s="6" t="s">
        <v>1069</v>
      </c>
      <c r="H3" s="6" t="s">
        <v>1070</v>
      </c>
    </row>
    <row r="4" customFormat="false" ht="57.75" hidden="false" customHeight="true" outlineLevel="0" collapsed="false">
      <c r="A4" s="23" t="n">
        <v>1</v>
      </c>
      <c r="B4" s="23" t="s">
        <v>1071</v>
      </c>
      <c r="C4" s="23" t="s">
        <v>1072</v>
      </c>
      <c r="D4" s="23" t="s">
        <v>1073</v>
      </c>
      <c r="E4" s="23" t="s">
        <v>1074</v>
      </c>
      <c r="F4" s="23" t="s">
        <v>1075</v>
      </c>
      <c r="G4" s="29"/>
      <c r="H4" s="29" t="s">
        <v>1076</v>
      </c>
    </row>
    <row r="5" customFormat="false" ht="57.75" hidden="false" customHeight="true" outlineLevel="0" collapsed="false">
      <c r="A5" s="23" t="n">
        <v>2</v>
      </c>
      <c r="B5" s="23" t="s">
        <v>1071</v>
      </c>
      <c r="C5" s="23" t="s">
        <v>1077</v>
      </c>
      <c r="D5" s="23" t="s">
        <v>1078</v>
      </c>
      <c r="E5" s="23" t="s">
        <v>1079</v>
      </c>
      <c r="F5" s="23" t="s">
        <v>1080</v>
      </c>
      <c r="G5" s="29"/>
      <c r="H5" s="29" t="s">
        <v>1076</v>
      </c>
    </row>
    <row r="6" customFormat="false" ht="57.75" hidden="false" customHeight="true" outlineLevel="0" collapsed="false">
      <c r="A6" s="23" t="n">
        <v>3</v>
      </c>
      <c r="B6" s="23" t="s">
        <v>1071</v>
      </c>
      <c r="C6" s="23" t="s">
        <v>1081</v>
      </c>
      <c r="D6" s="23" t="s">
        <v>1082</v>
      </c>
      <c r="E6" s="23" t="s">
        <v>1083</v>
      </c>
      <c r="F6" s="23" t="s">
        <v>1084</v>
      </c>
      <c r="G6" s="29"/>
      <c r="H6" s="29" t="s">
        <v>1076</v>
      </c>
    </row>
    <row r="7" customFormat="false" ht="57.75" hidden="false" customHeight="true" outlineLevel="0" collapsed="false">
      <c r="A7" s="23" t="n">
        <v>4</v>
      </c>
      <c r="B7" s="23" t="s">
        <v>1071</v>
      </c>
      <c r="C7" s="23" t="s">
        <v>1085</v>
      </c>
      <c r="D7" s="23" t="s">
        <v>1086</v>
      </c>
      <c r="E7" s="23" t="s">
        <v>1087</v>
      </c>
      <c r="F7" s="23" t="s">
        <v>1088</v>
      </c>
      <c r="G7" s="29"/>
      <c r="H7" s="29" t="s">
        <v>1076</v>
      </c>
    </row>
    <row r="8" customFormat="false" ht="57.75" hidden="false" customHeight="true" outlineLevel="0" collapsed="false">
      <c r="A8" s="23" t="n">
        <v>5</v>
      </c>
      <c r="B8" s="23" t="s">
        <v>1071</v>
      </c>
      <c r="C8" s="23" t="s">
        <v>1089</v>
      </c>
      <c r="D8" s="23" t="s">
        <v>1090</v>
      </c>
      <c r="E8" s="23" t="s">
        <v>1091</v>
      </c>
      <c r="F8" s="23" t="s">
        <v>1092</v>
      </c>
      <c r="G8" s="29"/>
      <c r="H8" s="29" t="s">
        <v>1076</v>
      </c>
    </row>
    <row r="9" customFormat="false" ht="57.75" hidden="false" customHeight="true" outlineLevel="0" collapsed="false">
      <c r="A9" s="23" t="n">
        <v>6</v>
      </c>
      <c r="B9" s="23" t="s">
        <v>1093</v>
      </c>
      <c r="C9" s="23" t="s">
        <v>1094</v>
      </c>
      <c r="D9" s="23" t="s">
        <v>1095</v>
      </c>
      <c r="E9" s="23" t="s">
        <v>1096</v>
      </c>
      <c r="F9" s="23" t="s">
        <v>1097</v>
      </c>
      <c r="G9" s="29"/>
      <c r="H9" s="29" t="s">
        <v>1076</v>
      </c>
    </row>
    <row r="10" customFormat="false" ht="57.75" hidden="false" customHeight="true" outlineLevel="0" collapsed="false">
      <c r="A10" s="23" t="n">
        <v>7</v>
      </c>
      <c r="B10" s="23" t="s">
        <v>1093</v>
      </c>
      <c r="C10" s="23" t="s">
        <v>1098</v>
      </c>
      <c r="D10" s="23" t="s">
        <v>1099</v>
      </c>
      <c r="E10" s="23" t="s">
        <v>1096</v>
      </c>
      <c r="F10" s="23" t="s">
        <v>1100</v>
      </c>
      <c r="G10" s="29"/>
      <c r="H10" s="29" t="s">
        <v>1076</v>
      </c>
    </row>
    <row r="11" customFormat="false" ht="57.75" hidden="false" customHeight="true" outlineLevel="0" collapsed="false">
      <c r="A11" s="23" t="n">
        <v>8</v>
      </c>
      <c r="B11" s="23" t="s">
        <v>1093</v>
      </c>
      <c r="C11" s="23" t="s">
        <v>1101</v>
      </c>
      <c r="D11" s="23" t="s">
        <v>1102</v>
      </c>
      <c r="E11" s="23" t="s">
        <v>1103</v>
      </c>
      <c r="F11" s="23" t="s">
        <v>1104</v>
      </c>
      <c r="G11" s="29"/>
      <c r="H11" s="29" t="s">
        <v>1076</v>
      </c>
    </row>
    <row r="12" customFormat="false" ht="57.75" hidden="false" customHeight="true" outlineLevel="0" collapsed="false">
      <c r="A12" s="23" t="n">
        <v>9</v>
      </c>
      <c r="B12" s="23" t="s">
        <v>1093</v>
      </c>
      <c r="C12" s="23" t="s">
        <v>1105</v>
      </c>
      <c r="D12" s="23" t="s">
        <v>1106</v>
      </c>
      <c r="E12" s="23" t="s">
        <v>1107</v>
      </c>
      <c r="F12" s="23" t="s">
        <v>1108</v>
      </c>
      <c r="G12" s="29"/>
      <c r="H12" s="29" t="s">
        <v>1076</v>
      </c>
    </row>
    <row r="13" customFormat="false" ht="57.75" hidden="false" customHeight="true" outlineLevel="0" collapsed="false">
      <c r="A13" s="23" t="n">
        <v>10</v>
      </c>
      <c r="B13" s="23" t="s">
        <v>1071</v>
      </c>
      <c r="C13" s="23" t="s">
        <v>1109</v>
      </c>
      <c r="D13" s="23" t="s">
        <v>570</v>
      </c>
      <c r="E13" s="23" t="s">
        <v>1110</v>
      </c>
      <c r="F13" s="23" t="s">
        <v>1111</v>
      </c>
      <c r="G13" s="29"/>
      <c r="H13" s="29" t="s">
        <v>1076</v>
      </c>
    </row>
    <row r="15" customFormat="false" ht="15" hidden="false" customHeight="false" outlineLevel="0" collapsed="false">
      <c r="A15" s="2" t="s">
        <v>1112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30" t="s">
        <v>1113</v>
      </c>
    </row>
    <row r="2" customFormat="false" ht="15" hidden="false" customHeight="false" outlineLevel="0" collapsed="false">
      <c r="A2" s="31" t="s">
        <v>1114</v>
      </c>
    </row>
    <row r="3" customFormat="false" ht="23.85" hidden="false" customHeight="false" outlineLevel="0" collapsed="false">
      <c r="A3" s="31" t="s">
        <v>1115</v>
      </c>
    </row>
    <row r="4" customFormat="false" ht="15" hidden="false" customHeight="false" outlineLevel="0" collapsed="false">
      <c r="A4" s="31" t="s">
        <v>1116</v>
      </c>
    </row>
    <row r="5" customFormat="false" ht="23.85" hidden="false" customHeight="false" outlineLevel="0" collapsed="false">
      <c r="A5" s="31" t="s">
        <v>1117</v>
      </c>
    </row>
    <row r="6" customFormat="false" ht="23.85" hidden="false" customHeight="false" outlineLevel="0" collapsed="false">
      <c r="A6" s="31" t="s">
        <v>1118</v>
      </c>
    </row>
    <row r="7" customFormat="false" ht="23.85" hidden="false" customHeight="false" outlineLevel="0" collapsed="false">
      <c r="A7" s="31" t="s">
        <v>1119</v>
      </c>
    </row>
    <row r="8" customFormat="false" ht="35.05" hidden="false" customHeight="false" outlineLevel="0" collapsed="false">
      <c r="A8" s="31" t="s">
        <v>1120</v>
      </c>
    </row>
    <row r="9" customFormat="false" ht="23.85" hidden="false" customHeight="false" outlineLevel="0" collapsed="false">
      <c r="A9" s="31" t="s">
        <v>1121</v>
      </c>
    </row>
    <row r="10" customFormat="false" ht="23.85" hidden="false" customHeight="false" outlineLevel="0" collapsed="false">
      <c r="A10" s="31" t="s">
        <v>1122</v>
      </c>
    </row>
    <row r="11" customFormat="false" ht="15" hidden="false" customHeight="false" outlineLevel="0" collapsed="false">
      <c r="A11" s="31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0"/>
    <col collapsed="false" customWidth="true" hidden="false" outlineLevel="0" max="5" min="5" style="0" width="62"/>
    <col collapsed="false" customWidth="true" hidden="false" outlineLevel="0" max="6" min="6" style="0" width="30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4" min="13" style="0" width="8"/>
  </cols>
  <sheetData>
    <row r="1" customFormat="false" ht="17.35" hidden="false" customHeight="false" outlineLevel="0" collapsed="false">
      <c r="A1" s="1" t="s">
        <v>1124</v>
      </c>
    </row>
    <row r="2" customFormat="false" ht="15" hidden="false" customHeight="false" outlineLevel="0" collapsed="false">
      <c r="A2" s="2" t="s">
        <v>1125</v>
      </c>
    </row>
    <row r="4" customFormat="false" ht="31.5" hidden="false" customHeight="true" outlineLevel="0" collapsed="false">
      <c r="A4" s="6" t="s">
        <v>5</v>
      </c>
      <c r="B4" s="6" t="s">
        <v>48</v>
      </c>
      <c r="C4" s="6" t="s">
        <v>50</v>
      </c>
      <c r="D4" s="6" t="s">
        <v>1126</v>
      </c>
      <c r="E4" s="6" t="s">
        <v>290</v>
      </c>
      <c r="F4" s="6" t="s">
        <v>1127</v>
      </c>
      <c r="G4" s="6" t="s">
        <v>291</v>
      </c>
      <c r="H4" s="6" t="s">
        <v>1128</v>
      </c>
      <c r="I4" s="6" t="s">
        <v>268</v>
      </c>
      <c r="J4" s="6" t="s">
        <v>269</v>
      </c>
      <c r="K4" s="6" t="s">
        <v>270</v>
      </c>
      <c r="L4" s="6" t="s">
        <v>273</v>
      </c>
      <c r="M4" s="6" t="s">
        <v>271</v>
      </c>
      <c r="N4" s="6" t="s">
        <v>272</v>
      </c>
    </row>
    <row r="5" customFormat="false" ht="15" hidden="false" customHeight="false" outlineLevel="0" collapsed="false">
      <c r="A5" s="17" t="s">
        <v>15</v>
      </c>
      <c r="B5" s="17" t="s">
        <v>98</v>
      </c>
      <c r="C5" s="17" t="s">
        <v>60</v>
      </c>
      <c r="D5" s="17" t="s">
        <v>66</v>
      </c>
      <c r="E5" s="17" t="s">
        <v>411</v>
      </c>
      <c r="F5" s="17" t="s">
        <v>206</v>
      </c>
      <c r="G5" s="17" t="s">
        <v>311</v>
      </c>
      <c r="H5" s="17" t="s">
        <v>1129</v>
      </c>
      <c r="I5" s="20" t="n">
        <v>23037</v>
      </c>
      <c r="J5" s="20" t="n">
        <v>152</v>
      </c>
      <c r="K5" s="25" t="n">
        <f aca="false">IFERROR(J5/I5,0)</f>
        <v>0.00659808134739767</v>
      </c>
      <c r="L5" s="19" t="n">
        <v>312.63</v>
      </c>
      <c r="M5" s="20" t="n">
        <v>11</v>
      </c>
      <c r="N5" s="8" t="n">
        <f aca="false">IFERROR(M5/J5,0)</f>
        <v>0.0723684210526316</v>
      </c>
    </row>
    <row r="6" customFormat="false" ht="15" hidden="false" customHeight="false" outlineLevel="0" collapsed="false">
      <c r="A6" s="17" t="s">
        <v>15</v>
      </c>
      <c r="B6" s="17" t="s">
        <v>98</v>
      </c>
      <c r="C6" s="17" t="s">
        <v>60</v>
      </c>
      <c r="D6" s="17" t="s">
        <v>66</v>
      </c>
      <c r="E6" s="17" t="s">
        <v>1130</v>
      </c>
      <c r="F6" s="17" t="s">
        <v>206</v>
      </c>
      <c r="G6" s="17" t="s">
        <v>315</v>
      </c>
      <c r="H6" s="17" t="s">
        <v>1131</v>
      </c>
      <c r="I6" s="20" t="n">
        <v>8392</v>
      </c>
      <c r="J6" s="20" t="n">
        <v>14</v>
      </c>
      <c r="K6" s="25" t="n">
        <f aca="false">IFERROR(J6/I6,0)</f>
        <v>0.00166825548141087</v>
      </c>
      <c r="L6" s="19" t="n">
        <v>45.54</v>
      </c>
      <c r="M6" s="20" t="n">
        <v>0</v>
      </c>
      <c r="N6" s="8" t="n">
        <f aca="false">IFERROR(M6/J6,0)</f>
        <v>0</v>
      </c>
    </row>
    <row r="7" customFormat="false" ht="15" hidden="false" customHeight="false" outlineLevel="0" collapsed="false">
      <c r="A7" s="17" t="s">
        <v>15</v>
      </c>
      <c r="B7" s="17" t="s">
        <v>98</v>
      </c>
      <c r="C7" s="17" t="s">
        <v>60</v>
      </c>
      <c r="D7" s="17" t="s">
        <v>66</v>
      </c>
      <c r="E7" s="17" t="s">
        <v>1132</v>
      </c>
      <c r="F7" s="17" t="s">
        <v>206</v>
      </c>
      <c r="G7" s="17" t="s">
        <v>315</v>
      </c>
      <c r="H7" s="17" t="s">
        <v>1133</v>
      </c>
      <c r="I7" s="20" t="n">
        <v>2601</v>
      </c>
      <c r="J7" s="20" t="n">
        <v>17</v>
      </c>
      <c r="K7" s="25" t="n">
        <f aca="false">IFERROR(J7/I7,0)</f>
        <v>0.0065359477124183</v>
      </c>
      <c r="L7" s="19" t="n">
        <v>103.33</v>
      </c>
      <c r="M7" s="20" t="n">
        <v>0</v>
      </c>
      <c r="N7" s="8" t="n">
        <f aca="false">IFERROR(M7/J7,0)</f>
        <v>0</v>
      </c>
    </row>
    <row r="8" customFormat="false" ht="15" hidden="false" customHeight="false" outlineLevel="0" collapsed="false">
      <c r="A8" s="17" t="s">
        <v>15</v>
      </c>
      <c r="B8" s="17" t="s">
        <v>98</v>
      </c>
      <c r="C8" s="17" t="s">
        <v>60</v>
      </c>
      <c r="D8" s="17" t="s">
        <v>66</v>
      </c>
      <c r="E8" s="17" t="s">
        <v>1134</v>
      </c>
      <c r="F8" s="17" t="s">
        <v>206</v>
      </c>
      <c r="G8" s="17" t="s">
        <v>315</v>
      </c>
      <c r="H8" s="17" t="s">
        <v>1135</v>
      </c>
      <c r="I8" s="20" t="n">
        <v>768</v>
      </c>
      <c r="J8" s="20" t="n">
        <v>2</v>
      </c>
      <c r="K8" s="25" t="n">
        <f aca="false">IFERROR(J8/I8,0)</f>
        <v>0.00260416666666667</v>
      </c>
      <c r="L8" s="19" t="n">
        <v>5.44</v>
      </c>
      <c r="M8" s="20" t="n">
        <v>0</v>
      </c>
      <c r="N8" s="8" t="n">
        <f aca="false">IFERROR(M8/J8,0)</f>
        <v>0</v>
      </c>
    </row>
    <row r="9" customFormat="false" ht="15" hidden="false" customHeight="false" outlineLevel="0" collapsed="false">
      <c r="A9" s="17" t="s">
        <v>15</v>
      </c>
      <c r="B9" s="17" t="s">
        <v>98</v>
      </c>
      <c r="C9" s="17" t="s">
        <v>60</v>
      </c>
      <c r="D9" s="17" t="s">
        <v>66</v>
      </c>
      <c r="E9" s="17" t="s">
        <v>1136</v>
      </c>
      <c r="F9" s="17" t="s">
        <v>206</v>
      </c>
      <c r="G9" s="17" t="s">
        <v>315</v>
      </c>
      <c r="H9" s="17" t="s">
        <v>1129</v>
      </c>
      <c r="I9" s="20" t="n">
        <v>225</v>
      </c>
      <c r="J9" s="20" t="n">
        <v>8</v>
      </c>
      <c r="K9" s="25" t="n">
        <f aca="false">IFERROR(J9/I9,0)</f>
        <v>0.0355555555555556</v>
      </c>
      <c r="L9" s="19" t="n">
        <v>31.36</v>
      </c>
      <c r="M9" s="20" t="n">
        <v>0</v>
      </c>
      <c r="N9" s="8" t="n">
        <f aca="false">IFERROR(M9/J9,0)</f>
        <v>0</v>
      </c>
    </row>
    <row r="10" customFormat="false" ht="15" hidden="false" customHeight="false" outlineLevel="0" collapsed="false">
      <c r="A10" s="17" t="s">
        <v>15</v>
      </c>
      <c r="B10" s="17" t="s">
        <v>98</v>
      </c>
      <c r="C10" s="17" t="s">
        <v>60</v>
      </c>
      <c r="D10" s="17" t="s">
        <v>66</v>
      </c>
      <c r="E10" s="17" t="s">
        <v>1137</v>
      </c>
      <c r="F10" s="17" t="s">
        <v>206</v>
      </c>
      <c r="G10" s="17" t="s">
        <v>315</v>
      </c>
      <c r="H10" s="17" t="s">
        <v>1138</v>
      </c>
      <c r="I10" s="20" t="n">
        <v>178</v>
      </c>
      <c r="J10" s="20" t="n">
        <v>4</v>
      </c>
      <c r="K10" s="25" t="n">
        <f aca="false">IFERROR(J10/I10,0)</f>
        <v>0.0224719101123596</v>
      </c>
      <c r="L10" s="19" t="n">
        <v>18.97</v>
      </c>
      <c r="M10" s="20" t="n">
        <v>1</v>
      </c>
      <c r="N10" s="8" t="n">
        <f aca="false">IFERROR(M10/J10,0)</f>
        <v>0.25</v>
      </c>
    </row>
    <row r="11" customFormat="false" ht="15" hidden="false" customHeight="false" outlineLevel="0" collapsed="false">
      <c r="A11" s="17" t="s">
        <v>15</v>
      </c>
      <c r="B11" s="17" t="s">
        <v>98</v>
      </c>
      <c r="C11" s="17" t="s">
        <v>60</v>
      </c>
      <c r="D11" s="17" t="s">
        <v>66</v>
      </c>
      <c r="E11" s="17" t="s">
        <v>1139</v>
      </c>
      <c r="F11" s="17" t="s">
        <v>206</v>
      </c>
      <c r="G11" s="17" t="s">
        <v>315</v>
      </c>
      <c r="H11" s="17" t="s">
        <v>1140</v>
      </c>
      <c r="I11" s="20" t="n">
        <v>163</v>
      </c>
      <c r="J11" s="20" t="n">
        <v>2</v>
      </c>
      <c r="K11" s="25" t="n">
        <f aca="false">IFERROR(J11/I11,0)</f>
        <v>0.0122699386503067</v>
      </c>
      <c r="L11" s="19" t="n">
        <v>6</v>
      </c>
      <c r="M11" s="20" t="n">
        <v>1</v>
      </c>
      <c r="N11" s="8" t="n">
        <f aca="false">IFERROR(M11/J11,0)</f>
        <v>0.5</v>
      </c>
    </row>
    <row r="12" customFormat="false" ht="15" hidden="false" customHeight="false" outlineLevel="0" collapsed="false">
      <c r="A12" s="17" t="s">
        <v>15</v>
      </c>
      <c r="B12" s="17" t="s">
        <v>98</v>
      </c>
      <c r="C12" s="17" t="s">
        <v>60</v>
      </c>
      <c r="D12" s="17" t="s">
        <v>66</v>
      </c>
      <c r="E12" s="17" t="s">
        <v>1141</v>
      </c>
      <c r="F12" s="17" t="s">
        <v>206</v>
      </c>
      <c r="G12" s="17" t="s">
        <v>315</v>
      </c>
      <c r="H12" s="17" t="s">
        <v>1142</v>
      </c>
      <c r="I12" s="20" t="n">
        <v>160</v>
      </c>
      <c r="J12" s="20" t="n">
        <v>8</v>
      </c>
      <c r="K12" s="25" t="n">
        <f aca="false">IFERROR(J12/I12,0)</f>
        <v>0.05</v>
      </c>
      <c r="L12" s="19" t="n">
        <v>36.35</v>
      </c>
      <c r="M12" s="20" t="n">
        <v>2</v>
      </c>
      <c r="N12" s="8" t="n">
        <f aca="false">IFERROR(M12/J12,0)</f>
        <v>0.25</v>
      </c>
    </row>
    <row r="13" customFormat="false" ht="15" hidden="false" customHeight="false" outlineLevel="0" collapsed="false">
      <c r="A13" s="17" t="s">
        <v>15</v>
      </c>
      <c r="B13" s="17" t="s">
        <v>98</v>
      </c>
      <c r="C13" s="17" t="s">
        <v>60</v>
      </c>
      <c r="D13" s="17" t="s">
        <v>66</v>
      </c>
      <c r="E13" s="17" t="s">
        <v>1143</v>
      </c>
      <c r="F13" s="17" t="s">
        <v>206</v>
      </c>
      <c r="G13" s="17" t="s">
        <v>315</v>
      </c>
      <c r="H13" s="17" t="s">
        <v>1144</v>
      </c>
      <c r="I13" s="20" t="n">
        <v>152</v>
      </c>
      <c r="J13" s="20" t="n">
        <v>4</v>
      </c>
      <c r="K13" s="25" t="n">
        <f aca="false">IFERROR(J13/I13,0)</f>
        <v>0.0263157894736842</v>
      </c>
      <c r="L13" s="19" t="n">
        <v>20.28</v>
      </c>
      <c r="M13" s="20" t="n">
        <v>1</v>
      </c>
      <c r="N13" s="8" t="n">
        <f aca="false">IFERROR(M13/J13,0)</f>
        <v>0.25</v>
      </c>
    </row>
    <row r="14" customFormat="false" ht="15" hidden="false" customHeight="false" outlineLevel="0" collapsed="false">
      <c r="A14" s="17" t="s">
        <v>15</v>
      </c>
      <c r="B14" s="17" t="s">
        <v>98</v>
      </c>
      <c r="C14" s="17" t="s">
        <v>60</v>
      </c>
      <c r="D14" s="17" t="s">
        <v>66</v>
      </c>
      <c r="E14" s="17" t="s">
        <v>1145</v>
      </c>
      <c r="F14" s="17" t="s">
        <v>206</v>
      </c>
      <c r="G14" s="17" t="s">
        <v>315</v>
      </c>
      <c r="H14" s="17" t="s">
        <v>1146</v>
      </c>
      <c r="I14" s="20" t="n">
        <v>125</v>
      </c>
      <c r="J14" s="20" t="n">
        <v>8</v>
      </c>
      <c r="K14" s="25" t="n">
        <f aca="false">IFERROR(J14/I14,0)</f>
        <v>0.064</v>
      </c>
      <c r="L14" s="19" t="n">
        <v>46.71</v>
      </c>
      <c r="M14" s="20" t="n">
        <v>4</v>
      </c>
      <c r="N14" s="8" t="n">
        <f aca="false">IFERROR(M14/J14,0)</f>
        <v>0.5</v>
      </c>
    </row>
    <row r="15" customFormat="false" ht="15" hidden="false" customHeight="false" outlineLevel="0" collapsed="false">
      <c r="A15" s="17" t="s">
        <v>15</v>
      </c>
      <c r="B15" s="17" t="s">
        <v>98</v>
      </c>
      <c r="C15" s="17" t="s">
        <v>60</v>
      </c>
      <c r="D15" s="17" t="s">
        <v>66</v>
      </c>
      <c r="E15" s="17" t="s">
        <v>1147</v>
      </c>
      <c r="F15" s="17" t="s">
        <v>206</v>
      </c>
      <c r="G15" s="17" t="s">
        <v>315</v>
      </c>
      <c r="H15" s="17" t="s">
        <v>1148</v>
      </c>
      <c r="I15" s="20" t="n">
        <v>74</v>
      </c>
      <c r="J15" s="20" t="n">
        <v>5</v>
      </c>
      <c r="K15" s="25" t="n">
        <f aca="false">IFERROR(J15/I15,0)</f>
        <v>0.0675675675675676</v>
      </c>
      <c r="L15" s="19" t="n">
        <v>24</v>
      </c>
      <c r="M15" s="20" t="n">
        <v>1</v>
      </c>
      <c r="N15" s="8" t="n">
        <f aca="false">IFERROR(M15/J15,0)</f>
        <v>0.2</v>
      </c>
    </row>
    <row r="16" customFormat="false" ht="15" hidden="false" customHeight="false" outlineLevel="0" collapsed="false">
      <c r="A16" s="17" t="s">
        <v>15</v>
      </c>
      <c r="B16" s="17" t="s">
        <v>98</v>
      </c>
      <c r="C16" s="17" t="s">
        <v>60</v>
      </c>
      <c r="D16" s="17" t="s">
        <v>66</v>
      </c>
      <c r="E16" s="17" t="s">
        <v>1149</v>
      </c>
      <c r="F16" s="17" t="s">
        <v>206</v>
      </c>
      <c r="G16" s="17" t="s">
        <v>315</v>
      </c>
      <c r="H16" s="17" t="s">
        <v>1150</v>
      </c>
      <c r="I16" s="20" t="n">
        <v>48</v>
      </c>
      <c r="J16" s="20" t="n">
        <v>0</v>
      </c>
      <c r="K16" s="25" t="n">
        <f aca="false">IFERROR(J16/I16,0)</f>
        <v>0</v>
      </c>
      <c r="L16" s="19" t="n">
        <v>0</v>
      </c>
      <c r="M16" s="20" t="n">
        <v>0</v>
      </c>
      <c r="N16" s="8" t="n">
        <f aca="false">IFERROR(M16/J16,0)</f>
        <v>0</v>
      </c>
    </row>
    <row r="17" customFormat="false" ht="15" hidden="false" customHeight="false" outlineLevel="0" collapsed="false">
      <c r="A17" s="17" t="s">
        <v>15</v>
      </c>
      <c r="B17" s="17" t="s">
        <v>98</v>
      </c>
      <c r="C17" s="17" t="s">
        <v>60</v>
      </c>
      <c r="D17" s="17" t="s">
        <v>66</v>
      </c>
      <c r="E17" s="17" t="s">
        <v>1151</v>
      </c>
      <c r="F17" s="17" t="s">
        <v>206</v>
      </c>
      <c r="G17" s="17" t="s">
        <v>315</v>
      </c>
      <c r="H17" s="17" t="s">
        <v>1152</v>
      </c>
      <c r="I17" s="20" t="n">
        <v>47</v>
      </c>
      <c r="J17" s="20" t="n">
        <v>4</v>
      </c>
      <c r="K17" s="25" t="n">
        <f aca="false">IFERROR(J17/I17,0)</f>
        <v>0.0851063829787234</v>
      </c>
      <c r="L17" s="19" t="n">
        <v>17.43</v>
      </c>
      <c r="M17" s="20" t="n">
        <v>0</v>
      </c>
      <c r="N17" s="8" t="n">
        <f aca="false">IFERROR(M17/J17,0)</f>
        <v>0</v>
      </c>
    </row>
    <row r="18" customFormat="false" ht="15" hidden="false" customHeight="false" outlineLevel="0" collapsed="false">
      <c r="A18" s="17" t="s">
        <v>15</v>
      </c>
      <c r="B18" s="17" t="s">
        <v>98</v>
      </c>
      <c r="C18" s="17" t="s">
        <v>60</v>
      </c>
      <c r="D18" s="17" t="s">
        <v>66</v>
      </c>
      <c r="E18" s="17" t="s">
        <v>1153</v>
      </c>
      <c r="F18" s="17" t="s">
        <v>206</v>
      </c>
      <c r="G18" s="17" t="s">
        <v>315</v>
      </c>
      <c r="H18" s="17" t="s">
        <v>1154</v>
      </c>
      <c r="I18" s="20" t="n">
        <v>33</v>
      </c>
      <c r="J18" s="20" t="n">
        <v>0</v>
      </c>
      <c r="K18" s="25" t="n">
        <f aca="false">IFERROR(J18/I18,0)</f>
        <v>0</v>
      </c>
      <c r="L18" s="19" t="n">
        <v>0</v>
      </c>
      <c r="M18" s="20" t="n">
        <v>0</v>
      </c>
      <c r="N18" s="8" t="n">
        <f aca="false">IFERROR(M18/J18,0)</f>
        <v>0</v>
      </c>
    </row>
    <row r="19" customFormat="false" ht="15" hidden="false" customHeight="false" outlineLevel="0" collapsed="false">
      <c r="A19" s="17" t="s">
        <v>15</v>
      </c>
      <c r="B19" s="17" t="s">
        <v>98</v>
      </c>
      <c r="C19" s="17" t="s">
        <v>60</v>
      </c>
      <c r="D19" s="17" t="s">
        <v>66</v>
      </c>
      <c r="E19" s="17" t="s">
        <v>1155</v>
      </c>
      <c r="F19" s="17" t="s">
        <v>206</v>
      </c>
      <c r="G19" s="17" t="s">
        <v>315</v>
      </c>
      <c r="H19" s="17" t="s">
        <v>1156</v>
      </c>
      <c r="I19" s="20" t="n">
        <v>29</v>
      </c>
      <c r="J19" s="20" t="n">
        <v>4</v>
      </c>
      <c r="K19" s="25" t="n">
        <f aca="false">IFERROR(J19/I19,0)</f>
        <v>0.137931034482759</v>
      </c>
      <c r="L19" s="19" t="n">
        <v>16.85</v>
      </c>
      <c r="M19" s="20" t="n">
        <v>0</v>
      </c>
      <c r="N19" s="8" t="n">
        <f aca="false">IFERROR(M19/J19,0)</f>
        <v>0</v>
      </c>
    </row>
    <row r="20" customFormat="false" ht="15" hidden="false" customHeight="false" outlineLevel="0" collapsed="false">
      <c r="A20" s="17" t="s">
        <v>15</v>
      </c>
      <c r="B20" s="17" t="s">
        <v>98</v>
      </c>
      <c r="C20" s="17" t="s">
        <v>60</v>
      </c>
      <c r="D20" s="17" t="s">
        <v>66</v>
      </c>
      <c r="E20" s="17" t="s">
        <v>1157</v>
      </c>
      <c r="F20" s="17" t="s">
        <v>206</v>
      </c>
      <c r="G20" s="17" t="s">
        <v>315</v>
      </c>
      <c r="H20" s="17" t="s">
        <v>1158</v>
      </c>
      <c r="I20" s="20" t="n">
        <v>17</v>
      </c>
      <c r="J20" s="20" t="n">
        <v>0</v>
      </c>
      <c r="K20" s="25" t="n">
        <f aca="false">IFERROR(J20/I20,0)</f>
        <v>0</v>
      </c>
      <c r="L20" s="19" t="n">
        <v>0</v>
      </c>
      <c r="M20" s="20" t="n">
        <v>0</v>
      </c>
      <c r="N20" s="8" t="n">
        <f aca="false">IFERROR(M20/J20,0)</f>
        <v>0</v>
      </c>
    </row>
    <row r="21" customFormat="false" ht="15" hidden="false" customHeight="false" outlineLevel="0" collapsed="false">
      <c r="A21" s="17" t="s">
        <v>15</v>
      </c>
      <c r="B21" s="17" t="s">
        <v>98</v>
      </c>
      <c r="C21" s="17" t="s">
        <v>60</v>
      </c>
      <c r="D21" s="17" t="s">
        <v>66</v>
      </c>
      <c r="E21" s="17" t="s">
        <v>1159</v>
      </c>
      <c r="F21" s="17" t="s">
        <v>206</v>
      </c>
      <c r="G21" s="17" t="s">
        <v>315</v>
      </c>
      <c r="H21" s="17" t="s">
        <v>1133</v>
      </c>
      <c r="I21" s="20" t="n">
        <v>13</v>
      </c>
      <c r="J21" s="20" t="n">
        <v>0</v>
      </c>
      <c r="K21" s="25" t="n">
        <f aca="false">IFERROR(J21/I21,0)</f>
        <v>0</v>
      </c>
      <c r="L21" s="19" t="n">
        <v>0</v>
      </c>
      <c r="M21" s="20" t="n">
        <v>0</v>
      </c>
      <c r="N21" s="8" t="n">
        <f aca="false">IFERROR(M21/J21,0)</f>
        <v>0</v>
      </c>
    </row>
    <row r="22" customFormat="false" ht="15" hidden="false" customHeight="false" outlineLevel="0" collapsed="false">
      <c r="A22" s="17" t="s">
        <v>15</v>
      </c>
      <c r="B22" s="17" t="s">
        <v>98</v>
      </c>
      <c r="C22" s="17" t="s">
        <v>60</v>
      </c>
      <c r="D22" s="17" t="s">
        <v>66</v>
      </c>
      <c r="E22" s="17" t="s">
        <v>1160</v>
      </c>
      <c r="F22" s="17" t="s">
        <v>206</v>
      </c>
      <c r="G22" s="17" t="s">
        <v>315</v>
      </c>
      <c r="H22" s="17" t="s">
        <v>1131</v>
      </c>
      <c r="I22" s="20" t="n">
        <v>1</v>
      </c>
      <c r="J22" s="20" t="n">
        <v>0</v>
      </c>
      <c r="K22" s="25" t="n">
        <f aca="false">IFERROR(J22/I22,0)</f>
        <v>0</v>
      </c>
      <c r="L22" s="19" t="n">
        <v>0</v>
      </c>
      <c r="M22" s="20" t="n">
        <v>0</v>
      </c>
      <c r="N22" s="8" t="n">
        <f aca="false">IFERROR(M22/J22,0)</f>
        <v>0</v>
      </c>
    </row>
    <row r="23" customFormat="false" ht="15" hidden="false" customHeight="false" outlineLevel="0" collapsed="false">
      <c r="A23" s="17" t="s">
        <v>15</v>
      </c>
      <c r="B23" s="17" t="s">
        <v>98</v>
      </c>
      <c r="C23" s="17" t="s">
        <v>60</v>
      </c>
      <c r="D23" s="17" t="s">
        <v>66</v>
      </c>
      <c r="E23" s="17" t="s">
        <v>1161</v>
      </c>
      <c r="F23" s="17" t="s">
        <v>206</v>
      </c>
      <c r="G23" s="17" t="s">
        <v>315</v>
      </c>
      <c r="H23" s="17" t="s">
        <v>1162</v>
      </c>
      <c r="I23" s="20" t="n">
        <v>0</v>
      </c>
      <c r="J23" s="20" t="n">
        <v>0</v>
      </c>
      <c r="K23" s="25" t="n">
        <f aca="false">IFERROR(J23/I23,0)</f>
        <v>0</v>
      </c>
      <c r="L23" s="19" t="n">
        <v>0</v>
      </c>
      <c r="M23" s="20" t="n">
        <v>0</v>
      </c>
      <c r="N23" s="8" t="n">
        <f aca="false">IFERROR(M23/J23,0)</f>
        <v>0</v>
      </c>
    </row>
    <row r="24" customFormat="false" ht="15" hidden="false" customHeight="false" outlineLevel="0" collapsed="false">
      <c r="A24" s="17" t="s">
        <v>15</v>
      </c>
      <c r="B24" s="17" t="s">
        <v>64</v>
      </c>
      <c r="C24" s="17" t="s">
        <v>60</v>
      </c>
      <c r="D24" s="17" t="s">
        <v>66</v>
      </c>
      <c r="E24" s="17" t="s">
        <v>356</v>
      </c>
      <c r="F24" s="17" t="s">
        <v>357</v>
      </c>
      <c r="G24" s="17" t="s">
        <v>315</v>
      </c>
      <c r="H24" s="17" t="s">
        <v>1163</v>
      </c>
      <c r="I24" s="20" t="n">
        <v>11745</v>
      </c>
      <c r="J24" s="20" t="n">
        <v>23</v>
      </c>
      <c r="K24" s="25" t="n">
        <f aca="false">IFERROR(J24/I24,0)</f>
        <v>0.00195828011919966</v>
      </c>
      <c r="L24" s="19" t="n">
        <v>81.39</v>
      </c>
      <c r="M24" s="20" t="n">
        <v>3</v>
      </c>
      <c r="N24" s="8" t="n">
        <f aca="false">IFERROR(M24/J24,0)</f>
        <v>0.130434782608696</v>
      </c>
    </row>
    <row r="25" customFormat="false" ht="15" hidden="false" customHeight="false" outlineLevel="0" collapsed="false">
      <c r="A25" s="17" t="s">
        <v>15</v>
      </c>
      <c r="B25" s="17" t="s">
        <v>64</v>
      </c>
      <c r="C25" s="17" t="s">
        <v>66</v>
      </c>
      <c r="D25" s="17" t="s">
        <v>66</v>
      </c>
      <c r="E25" s="17" t="s">
        <v>1164</v>
      </c>
      <c r="F25" s="17" t="s">
        <v>63</v>
      </c>
      <c r="G25" s="17" t="s">
        <v>315</v>
      </c>
      <c r="H25" s="17" t="s">
        <v>1165</v>
      </c>
      <c r="I25" s="20" t="n">
        <v>10680</v>
      </c>
      <c r="J25" s="20" t="n">
        <v>203</v>
      </c>
      <c r="K25" s="25" t="n">
        <f aca="false">IFERROR(J25/I25,0)</f>
        <v>0.0190074906367041</v>
      </c>
      <c r="L25" s="19" t="n">
        <v>514.71</v>
      </c>
      <c r="M25" s="20" t="n">
        <v>21</v>
      </c>
      <c r="N25" s="8" t="n">
        <f aca="false">IFERROR(M25/J25,0)</f>
        <v>0.103448275862069</v>
      </c>
    </row>
    <row r="26" customFormat="false" ht="15" hidden="false" customHeight="false" outlineLevel="0" collapsed="false">
      <c r="A26" s="17" t="s">
        <v>15</v>
      </c>
      <c r="B26" s="17" t="s">
        <v>64</v>
      </c>
      <c r="C26" s="17" t="s">
        <v>66</v>
      </c>
      <c r="D26" s="17" t="s">
        <v>66</v>
      </c>
      <c r="E26" s="17" t="s">
        <v>1166</v>
      </c>
      <c r="F26" s="17" t="s">
        <v>63</v>
      </c>
      <c r="G26" s="17" t="s">
        <v>315</v>
      </c>
      <c r="H26" s="17" t="s">
        <v>1167</v>
      </c>
      <c r="I26" s="20" t="n">
        <v>8612</v>
      </c>
      <c r="J26" s="20" t="n">
        <v>25</v>
      </c>
      <c r="K26" s="25" t="n">
        <f aca="false">IFERROR(J26/I26,0)</f>
        <v>0.00290292614955876</v>
      </c>
      <c r="L26" s="19" t="n">
        <v>32.19</v>
      </c>
      <c r="M26" s="20" t="n">
        <v>3</v>
      </c>
      <c r="N26" s="8" t="n">
        <f aca="false">IFERROR(M26/J26,0)</f>
        <v>0.12</v>
      </c>
    </row>
    <row r="27" customFormat="false" ht="15" hidden="false" customHeight="false" outlineLevel="0" collapsed="false">
      <c r="A27" s="17" t="s">
        <v>15</v>
      </c>
      <c r="B27" s="17" t="s">
        <v>64</v>
      </c>
      <c r="C27" s="17" t="s">
        <v>66</v>
      </c>
      <c r="D27" s="17" t="s">
        <v>66</v>
      </c>
      <c r="E27" s="17" t="s">
        <v>1168</v>
      </c>
      <c r="F27" s="17" t="s">
        <v>63</v>
      </c>
      <c r="G27" s="17" t="s">
        <v>315</v>
      </c>
      <c r="H27" s="17" t="s">
        <v>1169</v>
      </c>
      <c r="I27" s="20" t="n">
        <v>6080</v>
      </c>
      <c r="J27" s="20" t="n">
        <v>39</v>
      </c>
      <c r="K27" s="25" t="n">
        <f aca="false">IFERROR(J27/I27,0)</f>
        <v>0.00641447368421053</v>
      </c>
      <c r="L27" s="19" t="n">
        <v>216.69</v>
      </c>
      <c r="M27" s="20" t="n">
        <v>7</v>
      </c>
      <c r="N27" s="8" t="n">
        <f aca="false">IFERROR(M27/J27,0)</f>
        <v>0.17948717948718</v>
      </c>
    </row>
    <row r="28" customFormat="false" ht="15" hidden="false" customHeight="false" outlineLevel="0" collapsed="false">
      <c r="A28" s="17" t="s">
        <v>15</v>
      </c>
      <c r="B28" s="17" t="s">
        <v>64</v>
      </c>
      <c r="C28" s="17" t="s">
        <v>60</v>
      </c>
      <c r="D28" s="17" t="s">
        <v>66</v>
      </c>
      <c r="E28" s="17" t="s">
        <v>1170</v>
      </c>
      <c r="F28" s="17" t="s">
        <v>357</v>
      </c>
      <c r="G28" s="17" t="s">
        <v>315</v>
      </c>
      <c r="H28" s="17" t="s">
        <v>1171</v>
      </c>
      <c r="I28" s="20" t="n">
        <v>3563</v>
      </c>
      <c r="J28" s="20" t="n">
        <v>10</v>
      </c>
      <c r="K28" s="25" t="n">
        <f aca="false">IFERROR(J28/I28,0)</f>
        <v>0.00280662363177098</v>
      </c>
      <c r="L28" s="19" t="n">
        <v>21.28</v>
      </c>
      <c r="M28" s="20" t="n">
        <v>1</v>
      </c>
      <c r="N28" s="8" t="n">
        <f aca="false">IFERROR(M28/J28,0)</f>
        <v>0.1</v>
      </c>
    </row>
    <row r="29" customFormat="false" ht="15" hidden="false" customHeight="false" outlineLevel="0" collapsed="false">
      <c r="A29" s="17" t="s">
        <v>15</v>
      </c>
      <c r="B29" s="17" t="s">
        <v>64</v>
      </c>
      <c r="C29" s="17" t="s">
        <v>66</v>
      </c>
      <c r="D29" s="17" t="s">
        <v>66</v>
      </c>
      <c r="E29" s="17" t="s">
        <v>1172</v>
      </c>
      <c r="F29" s="17" t="s">
        <v>63</v>
      </c>
      <c r="G29" s="17" t="s">
        <v>315</v>
      </c>
      <c r="H29" s="17" t="s">
        <v>1173</v>
      </c>
      <c r="I29" s="20" t="n">
        <v>2779</v>
      </c>
      <c r="J29" s="20" t="n">
        <v>28</v>
      </c>
      <c r="K29" s="25" t="n">
        <f aca="false">IFERROR(J29/I29,0)</f>
        <v>0.0100755667506297</v>
      </c>
      <c r="L29" s="19" t="n">
        <v>37.5</v>
      </c>
      <c r="M29" s="20" t="n">
        <v>2</v>
      </c>
      <c r="N29" s="8" t="n">
        <f aca="false">IFERROR(M29/J29,0)</f>
        <v>0.0714285714285714</v>
      </c>
    </row>
    <row r="30" customFormat="false" ht="15" hidden="false" customHeight="false" outlineLevel="0" collapsed="false">
      <c r="A30" s="17" t="s">
        <v>15</v>
      </c>
      <c r="B30" s="17" t="s">
        <v>64</v>
      </c>
      <c r="C30" s="17" t="s">
        <v>60</v>
      </c>
      <c r="D30" s="17" t="s">
        <v>66</v>
      </c>
      <c r="E30" s="17" t="s">
        <v>1174</v>
      </c>
      <c r="F30" s="17" t="s">
        <v>357</v>
      </c>
      <c r="G30" s="17" t="s">
        <v>315</v>
      </c>
      <c r="H30" s="17" t="s">
        <v>1175</v>
      </c>
      <c r="I30" s="20" t="n">
        <v>2728</v>
      </c>
      <c r="J30" s="20" t="n">
        <v>7</v>
      </c>
      <c r="K30" s="25" t="n">
        <f aca="false">IFERROR(J30/I30,0)</f>
        <v>0.00256598240469208</v>
      </c>
      <c r="L30" s="19" t="n">
        <v>22.63</v>
      </c>
      <c r="M30" s="20" t="n">
        <v>0</v>
      </c>
      <c r="N30" s="8" t="n">
        <f aca="false">IFERROR(M30/J30,0)</f>
        <v>0</v>
      </c>
    </row>
    <row r="31" customFormat="false" ht="15" hidden="false" customHeight="false" outlineLevel="0" collapsed="false">
      <c r="A31" s="17" t="s">
        <v>15</v>
      </c>
      <c r="B31" s="17" t="s">
        <v>64</v>
      </c>
      <c r="C31" s="17" t="s">
        <v>66</v>
      </c>
      <c r="D31" s="17" t="s">
        <v>66</v>
      </c>
      <c r="E31" s="17" t="s">
        <v>1176</v>
      </c>
      <c r="F31" s="17" t="s">
        <v>63</v>
      </c>
      <c r="G31" s="17" t="s">
        <v>315</v>
      </c>
      <c r="H31" s="17" t="s">
        <v>1177</v>
      </c>
      <c r="I31" s="20" t="n">
        <v>1903</v>
      </c>
      <c r="J31" s="20" t="n">
        <v>30</v>
      </c>
      <c r="K31" s="25" t="n">
        <f aca="false">IFERROR(J31/I31,0)</f>
        <v>0.0157645822385707</v>
      </c>
      <c r="L31" s="19" t="n">
        <v>31.47</v>
      </c>
      <c r="M31" s="20" t="n">
        <v>4</v>
      </c>
      <c r="N31" s="8" t="n">
        <f aca="false">IFERROR(M31/J31,0)</f>
        <v>0.133333333333333</v>
      </c>
    </row>
    <row r="32" customFormat="false" ht="15" hidden="false" customHeight="false" outlineLevel="0" collapsed="false">
      <c r="A32" s="17" t="s">
        <v>15</v>
      </c>
      <c r="B32" s="17" t="s">
        <v>64</v>
      </c>
      <c r="C32" s="17" t="s">
        <v>60</v>
      </c>
      <c r="D32" s="17" t="s">
        <v>66</v>
      </c>
      <c r="E32" s="17" t="s">
        <v>1178</v>
      </c>
      <c r="F32" s="17" t="s">
        <v>357</v>
      </c>
      <c r="G32" s="17" t="s">
        <v>315</v>
      </c>
      <c r="H32" s="17" t="s">
        <v>1179</v>
      </c>
      <c r="I32" s="20" t="n">
        <v>1501</v>
      </c>
      <c r="J32" s="20" t="n">
        <v>5</v>
      </c>
      <c r="K32" s="25" t="n">
        <f aca="false">IFERROR(J32/I32,0)</f>
        <v>0.0033311125916056</v>
      </c>
      <c r="L32" s="19" t="n">
        <v>19.84</v>
      </c>
      <c r="M32" s="20" t="n">
        <v>2</v>
      </c>
      <c r="N32" s="8" t="n">
        <f aca="false">IFERROR(M32/J32,0)</f>
        <v>0.4</v>
      </c>
    </row>
    <row r="33" customFormat="false" ht="15" hidden="false" customHeight="false" outlineLevel="0" collapsed="false">
      <c r="A33" s="17" t="s">
        <v>15</v>
      </c>
      <c r="B33" s="17" t="s">
        <v>64</v>
      </c>
      <c r="C33" s="17" t="s">
        <v>60</v>
      </c>
      <c r="D33" s="17" t="s">
        <v>66</v>
      </c>
      <c r="E33" s="17" t="s">
        <v>1180</v>
      </c>
      <c r="F33" s="17" t="s">
        <v>357</v>
      </c>
      <c r="G33" s="17" t="s">
        <v>315</v>
      </c>
      <c r="H33" s="17" t="s">
        <v>1181</v>
      </c>
      <c r="I33" s="20" t="n">
        <v>1023</v>
      </c>
      <c r="J33" s="20" t="n">
        <v>3</v>
      </c>
      <c r="K33" s="25" t="n">
        <f aca="false">IFERROR(J33/I33,0)</f>
        <v>0.00293255131964809</v>
      </c>
      <c r="L33" s="19" t="n">
        <v>7.65</v>
      </c>
      <c r="M33" s="20" t="n">
        <v>0</v>
      </c>
      <c r="N33" s="8" t="n">
        <f aca="false">IFERROR(M33/J33,0)</f>
        <v>0</v>
      </c>
    </row>
    <row r="34" customFormat="false" ht="15" hidden="false" customHeight="false" outlineLevel="0" collapsed="false">
      <c r="A34" s="17" t="s">
        <v>15</v>
      </c>
      <c r="B34" s="17" t="s">
        <v>64</v>
      </c>
      <c r="C34" s="17" t="s">
        <v>60</v>
      </c>
      <c r="D34" s="17" t="s">
        <v>66</v>
      </c>
      <c r="E34" s="17" t="s">
        <v>1182</v>
      </c>
      <c r="F34" s="17" t="s">
        <v>357</v>
      </c>
      <c r="G34" s="17" t="s">
        <v>315</v>
      </c>
      <c r="H34" s="17" t="s">
        <v>1183</v>
      </c>
      <c r="I34" s="20" t="n">
        <v>900</v>
      </c>
      <c r="J34" s="20" t="n">
        <v>27</v>
      </c>
      <c r="K34" s="25" t="n">
        <f aca="false">IFERROR(J34/I34,0)</f>
        <v>0.03</v>
      </c>
      <c r="L34" s="19" t="n">
        <v>154.33</v>
      </c>
      <c r="M34" s="20" t="n">
        <v>6</v>
      </c>
      <c r="N34" s="8" t="n">
        <f aca="false">IFERROR(M34/J34,0)</f>
        <v>0.222222222222222</v>
      </c>
    </row>
    <row r="35" customFormat="false" ht="15" hidden="false" customHeight="false" outlineLevel="0" collapsed="false">
      <c r="A35" s="17" t="s">
        <v>15</v>
      </c>
      <c r="B35" s="17" t="s">
        <v>64</v>
      </c>
      <c r="C35" s="17" t="s">
        <v>60</v>
      </c>
      <c r="D35" s="17" t="s">
        <v>66</v>
      </c>
      <c r="E35" s="17" t="s">
        <v>1184</v>
      </c>
      <c r="F35" s="17" t="s">
        <v>357</v>
      </c>
      <c r="G35" s="17" t="s">
        <v>315</v>
      </c>
      <c r="H35" s="17" t="s">
        <v>1185</v>
      </c>
      <c r="I35" s="20" t="n">
        <v>582</v>
      </c>
      <c r="J35" s="20" t="n">
        <v>9</v>
      </c>
      <c r="K35" s="25" t="n">
        <f aca="false">IFERROR(J35/I35,0)</f>
        <v>0.0154639175257732</v>
      </c>
      <c r="L35" s="19" t="n">
        <v>32.55</v>
      </c>
      <c r="M35" s="20" t="n">
        <v>3</v>
      </c>
      <c r="N35" s="8" t="n">
        <f aca="false">IFERROR(M35/J35,0)</f>
        <v>0.333333333333333</v>
      </c>
    </row>
    <row r="36" customFormat="false" ht="15" hidden="false" customHeight="false" outlineLevel="0" collapsed="false">
      <c r="A36" s="17" t="s">
        <v>15</v>
      </c>
      <c r="B36" s="17" t="s">
        <v>64</v>
      </c>
      <c r="C36" s="17" t="s">
        <v>60</v>
      </c>
      <c r="D36" s="17" t="s">
        <v>66</v>
      </c>
      <c r="E36" s="17" t="s">
        <v>1186</v>
      </c>
      <c r="F36" s="17" t="s">
        <v>357</v>
      </c>
      <c r="G36" s="17" t="s">
        <v>315</v>
      </c>
      <c r="H36" s="17" t="s">
        <v>1187</v>
      </c>
      <c r="I36" s="20" t="n">
        <v>254</v>
      </c>
      <c r="J36" s="20" t="n">
        <v>3</v>
      </c>
      <c r="K36" s="25" t="n">
        <f aca="false">IFERROR(J36/I36,0)</f>
        <v>0.0118110236220472</v>
      </c>
      <c r="L36" s="19" t="n">
        <v>14.24</v>
      </c>
      <c r="M36" s="20" t="n">
        <v>0</v>
      </c>
      <c r="N36" s="8" t="n">
        <f aca="false">IFERROR(M36/J36,0)</f>
        <v>0</v>
      </c>
    </row>
    <row r="37" customFormat="false" ht="15" hidden="false" customHeight="false" outlineLevel="0" collapsed="false">
      <c r="A37" s="17" t="s">
        <v>15</v>
      </c>
      <c r="B37" s="17" t="s">
        <v>64</v>
      </c>
      <c r="C37" s="17" t="s">
        <v>66</v>
      </c>
      <c r="D37" s="17" t="s">
        <v>66</v>
      </c>
      <c r="E37" s="17" t="s">
        <v>1188</v>
      </c>
      <c r="F37" s="17" t="s">
        <v>63</v>
      </c>
      <c r="G37" s="17" t="s">
        <v>315</v>
      </c>
      <c r="H37" s="17" t="s">
        <v>1189</v>
      </c>
      <c r="I37" s="20" t="n">
        <v>221</v>
      </c>
      <c r="J37" s="20" t="n">
        <v>5</v>
      </c>
      <c r="K37" s="25" t="n">
        <f aca="false">IFERROR(J37/I37,0)</f>
        <v>0.0226244343891403</v>
      </c>
      <c r="L37" s="19" t="n">
        <v>20.92</v>
      </c>
      <c r="M37" s="20" t="n">
        <v>2</v>
      </c>
      <c r="N37" s="8" t="n">
        <f aca="false">IFERROR(M37/J37,0)</f>
        <v>0.4</v>
      </c>
    </row>
    <row r="38" customFormat="false" ht="15" hidden="false" customHeight="false" outlineLevel="0" collapsed="false">
      <c r="A38" s="17" t="s">
        <v>15</v>
      </c>
      <c r="B38" s="17" t="s">
        <v>64</v>
      </c>
      <c r="C38" s="17" t="s">
        <v>66</v>
      </c>
      <c r="D38" s="17" t="s">
        <v>66</v>
      </c>
      <c r="E38" s="17" t="s">
        <v>1190</v>
      </c>
      <c r="F38" s="17" t="s">
        <v>199</v>
      </c>
      <c r="G38" s="17" t="s">
        <v>315</v>
      </c>
      <c r="H38" s="17" t="s">
        <v>1191</v>
      </c>
      <c r="I38" s="20" t="n">
        <v>190</v>
      </c>
      <c r="J38" s="20" t="n">
        <v>1</v>
      </c>
      <c r="K38" s="25" t="n">
        <f aca="false">IFERROR(J38/I38,0)</f>
        <v>0.00526315789473684</v>
      </c>
      <c r="L38" s="19" t="n">
        <v>2.03</v>
      </c>
      <c r="M38" s="20" t="n">
        <v>1</v>
      </c>
      <c r="N38" s="8" t="n">
        <f aca="false">IFERROR(M38/J38,0)</f>
        <v>1</v>
      </c>
    </row>
    <row r="39" customFormat="false" ht="15" hidden="false" customHeight="false" outlineLevel="0" collapsed="false">
      <c r="A39" s="17" t="s">
        <v>15</v>
      </c>
      <c r="B39" s="17" t="s">
        <v>64</v>
      </c>
      <c r="C39" s="17" t="s">
        <v>60</v>
      </c>
      <c r="D39" s="17" t="s">
        <v>66</v>
      </c>
      <c r="E39" s="17" t="s">
        <v>1192</v>
      </c>
      <c r="F39" s="17" t="s">
        <v>357</v>
      </c>
      <c r="G39" s="17" t="s">
        <v>315</v>
      </c>
      <c r="H39" s="17" t="s">
        <v>1193</v>
      </c>
      <c r="I39" s="20" t="n">
        <v>162</v>
      </c>
      <c r="J39" s="20" t="n">
        <v>3</v>
      </c>
      <c r="K39" s="25" t="n">
        <f aca="false">IFERROR(J39/I39,0)</f>
        <v>0.0185185185185185</v>
      </c>
      <c r="L39" s="19" t="n">
        <v>6.4</v>
      </c>
      <c r="M39" s="20" t="n">
        <v>1</v>
      </c>
      <c r="N39" s="8" t="n">
        <f aca="false">IFERROR(M39/J39,0)</f>
        <v>0.333333333333333</v>
      </c>
    </row>
    <row r="40" customFormat="false" ht="15" hidden="false" customHeight="false" outlineLevel="0" collapsed="false">
      <c r="A40" s="17" t="s">
        <v>15</v>
      </c>
      <c r="B40" s="17" t="s">
        <v>64</v>
      </c>
      <c r="C40" s="17" t="s">
        <v>66</v>
      </c>
      <c r="D40" s="17" t="s">
        <v>66</v>
      </c>
      <c r="E40" s="17" t="s">
        <v>1194</v>
      </c>
      <c r="F40" s="17" t="s">
        <v>63</v>
      </c>
      <c r="G40" s="17" t="s">
        <v>315</v>
      </c>
      <c r="H40" s="17" t="s">
        <v>1195</v>
      </c>
      <c r="I40" s="20" t="n">
        <v>158</v>
      </c>
      <c r="J40" s="20" t="n">
        <v>4</v>
      </c>
      <c r="K40" s="25" t="n">
        <f aca="false">IFERROR(J40/I40,0)</f>
        <v>0.0253164556962025</v>
      </c>
      <c r="L40" s="19" t="n">
        <v>18.94</v>
      </c>
      <c r="M40" s="20" t="n">
        <v>1</v>
      </c>
      <c r="N40" s="8" t="n">
        <f aca="false">IFERROR(M40/J40,0)</f>
        <v>0.25</v>
      </c>
    </row>
    <row r="41" customFormat="false" ht="15" hidden="false" customHeight="false" outlineLevel="0" collapsed="false">
      <c r="A41" s="17" t="s">
        <v>15</v>
      </c>
      <c r="B41" s="17" t="s">
        <v>64</v>
      </c>
      <c r="C41" s="17" t="s">
        <v>60</v>
      </c>
      <c r="D41" s="17" t="s">
        <v>66</v>
      </c>
      <c r="E41" s="17" t="s">
        <v>1196</v>
      </c>
      <c r="F41" s="17" t="s">
        <v>357</v>
      </c>
      <c r="G41" s="17" t="s">
        <v>315</v>
      </c>
      <c r="H41" s="17" t="s">
        <v>1197</v>
      </c>
      <c r="I41" s="20" t="n">
        <v>136</v>
      </c>
      <c r="J41" s="20" t="n">
        <v>2</v>
      </c>
      <c r="K41" s="25" t="n">
        <f aca="false">IFERROR(J41/I41,0)</f>
        <v>0.0147058823529412</v>
      </c>
      <c r="L41" s="19" t="n">
        <v>9.12</v>
      </c>
      <c r="M41" s="20" t="n">
        <v>0</v>
      </c>
      <c r="N41" s="8" t="n">
        <f aca="false">IFERROR(M41/J41,0)</f>
        <v>0</v>
      </c>
    </row>
    <row r="42" customFormat="false" ht="15" hidden="false" customHeight="false" outlineLevel="0" collapsed="false">
      <c r="A42" s="17" t="s">
        <v>15</v>
      </c>
      <c r="B42" s="17" t="s">
        <v>64</v>
      </c>
      <c r="C42" s="17" t="s">
        <v>66</v>
      </c>
      <c r="D42" s="17" t="s">
        <v>66</v>
      </c>
      <c r="E42" s="17" t="s">
        <v>1198</v>
      </c>
      <c r="F42" s="17" t="s">
        <v>199</v>
      </c>
      <c r="G42" s="17" t="s">
        <v>315</v>
      </c>
      <c r="H42" s="17" t="s">
        <v>1199</v>
      </c>
      <c r="I42" s="20" t="n">
        <v>130</v>
      </c>
      <c r="J42" s="20" t="n">
        <v>0</v>
      </c>
      <c r="K42" s="25" t="n">
        <f aca="false">IFERROR(J42/I42,0)</f>
        <v>0</v>
      </c>
      <c r="L42" s="19" t="n">
        <v>0</v>
      </c>
      <c r="M42" s="20" t="n">
        <v>0</v>
      </c>
      <c r="N42" s="8" t="n">
        <f aca="false">IFERROR(M42/J42,0)</f>
        <v>0</v>
      </c>
    </row>
    <row r="43" customFormat="false" ht="15" hidden="false" customHeight="false" outlineLevel="0" collapsed="false">
      <c r="A43" s="17" t="s">
        <v>15</v>
      </c>
      <c r="B43" s="17" t="s">
        <v>64</v>
      </c>
      <c r="C43" s="17" t="s">
        <v>66</v>
      </c>
      <c r="D43" s="17" t="s">
        <v>66</v>
      </c>
      <c r="E43" s="17" t="s">
        <v>1200</v>
      </c>
      <c r="F43" s="17" t="s">
        <v>199</v>
      </c>
      <c r="G43" s="17" t="s">
        <v>315</v>
      </c>
      <c r="H43" s="17" t="s">
        <v>1201</v>
      </c>
      <c r="I43" s="20" t="n">
        <v>108</v>
      </c>
      <c r="J43" s="20" t="n">
        <v>0</v>
      </c>
      <c r="K43" s="25" t="n">
        <f aca="false">IFERROR(J43/I43,0)</f>
        <v>0</v>
      </c>
      <c r="L43" s="19" t="n">
        <v>0</v>
      </c>
      <c r="M43" s="20" t="n">
        <v>0</v>
      </c>
      <c r="N43" s="8" t="n">
        <f aca="false">IFERROR(M43/J43,0)</f>
        <v>0</v>
      </c>
    </row>
    <row r="44" customFormat="false" ht="15" hidden="false" customHeight="false" outlineLevel="0" collapsed="false">
      <c r="A44" s="17" t="s">
        <v>15</v>
      </c>
      <c r="B44" s="17" t="s">
        <v>64</v>
      </c>
      <c r="C44" s="17" t="s">
        <v>60</v>
      </c>
      <c r="D44" s="17" t="s">
        <v>66</v>
      </c>
      <c r="E44" s="17" t="s">
        <v>1202</v>
      </c>
      <c r="F44" s="17" t="s">
        <v>357</v>
      </c>
      <c r="G44" s="17" t="s">
        <v>315</v>
      </c>
      <c r="H44" s="17" t="s">
        <v>1203</v>
      </c>
      <c r="I44" s="20" t="n">
        <v>78</v>
      </c>
      <c r="J44" s="20" t="n">
        <v>0</v>
      </c>
      <c r="K44" s="25" t="n">
        <f aca="false">IFERROR(J44/I44,0)</f>
        <v>0</v>
      </c>
      <c r="L44" s="19" t="n">
        <v>0</v>
      </c>
      <c r="M44" s="20" t="n">
        <v>0</v>
      </c>
      <c r="N44" s="8" t="n">
        <f aca="false">IFERROR(M44/J44,0)</f>
        <v>0</v>
      </c>
    </row>
    <row r="45" customFormat="false" ht="15" hidden="false" customHeight="false" outlineLevel="0" collapsed="false">
      <c r="A45" s="17" t="s">
        <v>15</v>
      </c>
      <c r="B45" s="17" t="s">
        <v>64</v>
      </c>
      <c r="C45" s="17" t="s">
        <v>60</v>
      </c>
      <c r="D45" s="17" t="s">
        <v>66</v>
      </c>
      <c r="E45" s="17" t="s">
        <v>1204</v>
      </c>
      <c r="F45" s="17" t="s">
        <v>357</v>
      </c>
      <c r="G45" s="17" t="s">
        <v>315</v>
      </c>
      <c r="H45" s="17" t="s">
        <v>1205</v>
      </c>
      <c r="I45" s="20" t="n">
        <v>67</v>
      </c>
      <c r="J45" s="20" t="n">
        <v>0</v>
      </c>
      <c r="K45" s="25" t="n">
        <f aca="false">IFERROR(J45/I45,0)</f>
        <v>0</v>
      </c>
      <c r="L45" s="19" t="n">
        <v>0</v>
      </c>
      <c r="M45" s="20" t="n">
        <v>0</v>
      </c>
      <c r="N45" s="8" t="n">
        <f aca="false">IFERROR(M45/J45,0)</f>
        <v>0</v>
      </c>
    </row>
    <row r="46" customFormat="false" ht="15" hidden="false" customHeight="false" outlineLevel="0" collapsed="false">
      <c r="A46" s="17" t="s">
        <v>15</v>
      </c>
      <c r="B46" s="17" t="s">
        <v>64</v>
      </c>
      <c r="C46" s="17" t="s">
        <v>66</v>
      </c>
      <c r="D46" s="17" t="s">
        <v>66</v>
      </c>
      <c r="E46" s="17" t="s">
        <v>1206</v>
      </c>
      <c r="F46" s="17" t="s">
        <v>199</v>
      </c>
      <c r="G46" s="17" t="s">
        <v>315</v>
      </c>
      <c r="H46" s="17" t="s">
        <v>1207</v>
      </c>
      <c r="I46" s="20" t="n">
        <v>46</v>
      </c>
      <c r="J46" s="20" t="n">
        <v>0</v>
      </c>
      <c r="K46" s="25" t="n">
        <f aca="false">IFERROR(J46/I46,0)</f>
        <v>0</v>
      </c>
      <c r="L46" s="19" t="n">
        <v>0</v>
      </c>
      <c r="M46" s="20" t="n">
        <v>0</v>
      </c>
      <c r="N46" s="8" t="n">
        <f aca="false">IFERROR(M46/J46,0)</f>
        <v>0</v>
      </c>
    </row>
    <row r="47" customFormat="false" ht="15" hidden="false" customHeight="false" outlineLevel="0" collapsed="false">
      <c r="A47" s="17" t="s">
        <v>15</v>
      </c>
      <c r="B47" s="17" t="s">
        <v>64</v>
      </c>
      <c r="C47" s="17" t="s">
        <v>66</v>
      </c>
      <c r="D47" s="17" t="s">
        <v>66</v>
      </c>
      <c r="E47" s="17" t="s">
        <v>1208</v>
      </c>
      <c r="F47" s="17" t="s">
        <v>199</v>
      </c>
      <c r="G47" s="17" t="s">
        <v>315</v>
      </c>
      <c r="H47" s="17" t="s">
        <v>1209</v>
      </c>
      <c r="I47" s="20" t="n">
        <v>30</v>
      </c>
      <c r="J47" s="20" t="n">
        <v>0</v>
      </c>
      <c r="K47" s="25" t="n">
        <f aca="false">IFERROR(J47/I47,0)</f>
        <v>0</v>
      </c>
      <c r="L47" s="19" t="n">
        <v>0</v>
      </c>
      <c r="M47" s="20" t="n">
        <v>0</v>
      </c>
      <c r="N47" s="8" t="n">
        <f aca="false">IFERROR(M47/J47,0)</f>
        <v>0</v>
      </c>
    </row>
    <row r="48" customFormat="false" ht="15" hidden="false" customHeight="false" outlineLevel="0" collapsed="false">
      <c r="A48" s="17" t="s">
        <v>15</v>
      </c>
      <c r="B48" s="17" t="s">
        <v>64</v>
      </c>
      <c r="C48" s="17" t="s">
        <v>60</v>
      </c>
      <c r="D48" s="17" t="s">
        <v>66</v>
      </c>
      <c r="E48" s="17" t="s">
        <v>1210</v>
      </c>
      <c r="F48" s="17" t="s">
        <v>357</v>
      </c>
      <c r="G48" s="17" t="s">
        <v>315</v>
      </c>
      <c r="H48" s="17" t="s">
        <v>1211</v>
      </c>
      <c r="I48" s="20" t="n">
        <v>24</v>
      </c>
      <c r="J48" s="20" t="n">
        <v>2</v>
      </c>
      <c r="K48" s="25" t="n">
        <f aca="false">IFERROR(J48/I48,0)</f>
        <v>0.0833333333333333</v>
      </c>
      <c r="L48" s="19" t="n">
        <v>6.59</v>
      </c>
      <c r="M48" s="20" t="n">
        <v>0</v>
      </c>
      <c r="N48" s="8" t="n">
        <f aca="false">IFERROR(M48/J48,0)</f>
        <v>0</v>
      </c>
    </row>
    <row r="49" customFormat="false" ht="15" hidden="false" customHeight="false" outlineLevel="0" collapsed="false">
      <c r="A49" s="17" t="s">
        <v>15</v>
      </c>
      <c r="B49" s="17" t="s">
        <v>64</v>
      </c>
      <c r="C49" s="17" t="s">
        <v>66</v>
      </c>
      <c r="D49" s="17" t="s">
        <v>66</v>
      </c>
      <c r="E49" s="17" t="s">
        <v>1212</v>
      </c>
      <c r="F49" s="17" t="s">
        <v>63</v>
      </c>
      <c r="G49" s="17" t="s">
        <v>315</v>
      </c>
      <c r="H49" s="17" t="s">
        <v>1213</v>
      </c>
      <c r="I49" s="20" t="n">
        <v>20</v>
      </c>
      <c r="J49" s="20" t="n">
        <v>0</v>
      </c>
      <c r="K49" s="25" t="n">
        <f aca="false">IFERROR(J49/I49,0)</f>
        <v>0</v>
      </c>
      <c r="L49" s="19" t="n">
        <v>0</v>
      </c>
      <c r="M49" s="20" t="n">
        <v>0</v>
      </c>
      <c r="N49" s="8" t="n">
        <f aca="false">IFERROR(M49/J49,0)</f>
        <v>0</v>
      </c>
    </row>
    <row r="50" customFormat="false" ht="15" hidden="false" customHeight="false" outlineLevel="0" collapsed="false">
      <c r="A50" s="17" t="s">
        <v>15</v>
      </c>
      <c r="B50" s="17" t="s">
        <v>64</v>
      </c>
      <c r="C50" s="17" t="s">
        <v>66</v>
      </c>
      <c r="D50" s="17" t="s">
        <v>60</v>
      </c>
      <c r="E50" s="17" t="s">
        <v>1214</v>
      </c>
      <c r="F50" s="17" t="s">
        <v>63</v>
      </c>
      <c r="G50" s="17" t="s">
        <v>315</v>
      </c>
      <c r="H50" s="17" t="s">
        <v>1215</v>
      </c>
      <c r="I50" s="20" t="n">
        <v>18</v>
      </c>
      <c r="J50" s="20" t="n">
        <v>0</v>
      </c>
      <c r="K50" s="25" t="n">
        <f aca="false">IFERROR(J50/I50,0)</f>
        <v>0</v>
      </c>
      <c r="L50" s="19" t="n">
        <v>0</v>
      </c>
      <c r="M50" s="20" t="n">
        <v>0</v>
      </c>
      <c r="N50" s="8" t="n">
        <f aca="false">IFERROR(M50/J50,0)</f>
        <v>0</v>
      </c>
    </row>
    <row r="51" customFormat="false" ht="15" hidden="false" customHeight="false" outlineLevel="0" collapsed="false">
      <c r="A51" s="17" t="s">
        <v>15</v>
      </c>
      <c r="B51" s="17" t="s">
        <v>64</v>
      </c>
      <c r="C51" s="17" t="s">
        <v>66</v>
      </c>
      <c r="D51" s="17" t="s">
        <v>66</v>
      </c>
      <c r="E51" s="17" t="s">
        <v>1216</v>
      </c>
      <c r="F51" s="17" t="s">
        <v>199</v>
      </c>
      <c r="G51" s="17" t="s">
        <v>315</v>
      </c>
      <c r="H51" s="17" t="s">
        <v>1217</v>
      </c>
      <c r="I51" s="20" t="n">
        <v>4</v>
      </c>
      <c r="J51" s="20" t="n">
        <v>0</v>
      </c>
      <c r="K51" s="25" t="n">
        <f aca="false">IFERROR(J51/I51,0)</f>
        <v>0</v>
      </c>
      <c r="L51" s="19" t="n">
        <v>0</v>
      </c>
      <c r="M51" s="20" t="n">
        <v>0</v>
      </c>
      <c r="N51" s="8" t="n">
        <f aca="false">IFERROR(M51/J51,0)</f>
        <v>0</v>
      </c>
    </row>
    <row r="52" customFormat="false" ht="15" hidden="false" customHeight="false" outlineLevel="0" collapsed="false">
      <c r="A52" s="17" t="s">
        <v>15</v>
      </c>
      <c r="B52" s="17" t="s">
        <v>64</v>
      </c>
      <c r="C52" s="17" t="s">
        <v>60</v>
      </c>
      <c r="D52" s="17" t="s">
        <v>66</v>
      </c>
      <c r="E52" s="17" t="s">
        <v>1218</v>
      </c>
      <c r="F52" s="17" t="s">
        <v>357</v>
      </c>
      <c r="G52" s="17" t="s">
        <v>315</v>
      </c>
      <c r="H52" s="17" t="s">
        <v>1219</v>
      </c>
      <c r="I52" s="20" t="n">
        <v>1</v>
      </c>
      <c r="J52" s="20" t="n">
        <v>0</v>
      </c>
      <c r="K52" s="25" t="n">
        <f aca="false">IFERROR(J52/I52,0)</f>
        <v>0</v>
      </c>
      <c r="L52" s="19" t="n">
        <v>0</v>
      </c>
      <c r="M52" s="20" t="n">
        <v>0</v>
      </c>
      <c r="N52" s="8" t="n">
        <f aca="false">IFERROR(M52/J52,0)</f>
        <v>0</v>
      </c>
    </row>
    <row r="53" customFormat="false" ht="15" hidden="false" customHeight="false" outlineLevel="0" collapsed="false">
      <c r="A53" s="17" t="s">
        <v>15</v>
      </c>
      <c r="B53" s="17" t="s">
        <v>58</v>
      </c>
      <c r="C53" s="17" t="s">
        <v>60</v>
      </c>
      <c r="D53" s="17" t="s">
        <v>66</v>
      </c>
      <c r="E53" s="17" t="s">
        <v>310</v>
      </c>
      <c r="F53" s="17" t="s">
        <v>57</v>
      </c>
      <c r="G53" s="17" t="s">
        <v>311</v>
      </c>
      <c r="H53" s="17" t="s">
        <v>1220</v>
      </c>
      <c r="I53" s="20" t="n">
        <v>143135</v>
      </c>
      <c r="J53" s="20" t="n">
        <v>440</v>
      </c>
      <c r="K53" s="25" t="n">
        <f aca="false">IFERROR(J53/I53,0)</f>
        <v>0.0030740210290984</v>
      </c>
      <c r="L53" s="19" t="n">
        <v>1319.57</v>
      </c>
      <c r="M53" s="20" t="n">
        <v>62</v>
      </c>
      <c r="N53" s="8" t="n">
        <f aca="false">IFERROR(M53/J53,0)</f>
        <v>0.140909090909091</v>
      </c>
    </row>
    <row r="54" customFormat="false" ht="15" hidden="false" customHeight="false" outlineLevel="0" collapsed="false">
      <c r="A54" s="17" t="s">
        <v>15</v>
      </c>
      <c r="B54" s="17" t="s">
        <v>58</v>
      </c>
      <c r="C54" s="17" t="s">
        <v>60</v>
      </c>
      <c r="D54" s="17" t="s">
        <v>66</v>
      </c>
      <c r="E54" s="17" t="s">
        <v>1221</v>
      </c>
      <c r="F54" s="17" t="s">
        <v>57</v>
      </c>
      <c r="G54" s="17" t="s">
        <v>315</v>
      </c>
      <c r="H54" s="17" t="s">
        <v>1222</v>
      </c>
      <c r="I54" s="20" t="n">
        <v>117616</v>
      </c>
      <c r="J54" s="20" t="n">
        <v>119</v>
      </c>
      <c r="K54" s="25" t="n">
        <f aca="false">IFERROR(J54/I54,0)</f>
        <v>0.00101176710651612</v>
      </c>
      <c r="L54" s="19" t="n">
        <v>388.84</v>
      </c>
      <c r="M54" s="20" t="n">
        <v>4</v>
      </c>
      <c r="N54" s="8" t="n">
        <f aca="false">IFERROR(M54/J54,0)</f>
        <v>0.0336134453781513</v>
      </c>
    </row>
    <row r="55" customFormat="false" ht="15" hidden="false" customHeight="false" outlineLevel="0" collapsed="false">
      <c r="A55" s="17" t="s">
        <v>15</v>
      </c>
      <c r="B55" s="17" t="s">
        <v>58</v>
      </c>
      <c r="C55" s="17" t="s">
        <v>60</v>
      </c>
      <c r="D55" s="17" t="s">
        <v>66</v>
      </c>
      <c r="E55" s="17" t="s">
        <v>431</v>
      </c>
      <c r="F55" s="17" t="s">
        <v>57</v>
      </c>
      <c r="G55" s="17" t="s">
        <v>315</v>
      </c>
      <c r="H55" s="17" t="s">
        <v>1223</v>
      </c>
      <c r="I55" s="20" t="n">
        <v>66524</v>
      </c>
      <c r="J55" s="20" t="n">
        <v>1179</v>
      </c>
      <c r="K55" s="25" t="n">
        <f aca="false">IFERROR(J55/I55,0)</f>
        <v>0.0177229270639168</v>
      </c>
      <c r="L55" s="19" t="n">
        <v>7869.93</v>
      </c>
      <c r="M55" s="20" t="n">
        <v>140</v>
      </c>
      <c r="N55" s="8" t="n">
        <f aca="false">IFERROR(M55/J55,0)</f>
        <v>0.118744698897371</v>
      </c>
    </row>
    <row r="56" customFormat="false" ht="15" hidden="false" customHeight="false" outlineLevel="0" collapsed="false">
      <c r="A56" s="17" t="s">
        <v>15</v>
      </c>
      <c r="B56" s="17" t="s">
        <v>58</v>
      </c>
      <c r="C56" s="17" t="s">
        <v>60</v>
      </c>
      <c r="D56" s="17" t="s">
        <v>66</v>
      </c>
      <c r="E56" s="17" t="s">
        <v>1224</v>
      </c>
      <c r="F56" s="17" t="s">
        <v>57</v>
      </c>
      <c r="G56" s="17" t="s">
        <v>315</v>
      </c>
      <c r="H56" s="17" t="s">
        <v>1225</v>
      </c>
      <c r="I56" s="20" t="n">
        <v>36462</v>
      </c>
      <c r="J56" s="20" t="n">
        <v>79</v>
      </c>
      <c r="K56" s="25" t="n">
        <f aca="false">IFERROR(J56/I56,0)</f>
        <v>0.00216663924085349</v>
      </c>
      <c r="L56" s="19" t="n">
        <v>252.99</v>
      </c>
      <c r="M56" s="20" t="n">
        <v>4</v>
      </c>
      <c r="N56" s="8" t="n">
        <f aca="false">IFERROR(M56/J56,0)</f>
        <v>0.0506329113924051</v>
      </c>
    </row>
    <row r="57" customFormat="false" ht="15" hidden="false" customHeight="false" outlineLevel="0" collapsed="false">
      <c r="A57" s="17" t="s">
        <v>15</v>
      </c>
      <c r="B57" s="17" t="s">
        <v>58</v>
      </c>
      <c r="C57" s="17" t="s">
        <v>60</v>
      </c>
      <c r="D57" s="17" t="s">
        <v>66</v>
      </c>
      <c r="E57" s="17" t="s">
        <v>421</v>
      </c>
      <c r="F57" s="17" t="s">
        <v>57</v>
      </c>
      <c r="G57" s="17" t="s">
        <v>315</v>
      </c>
      <c r="H57" s="17" t="s">
        <v>1226</v>
      </c>
      <c r="I57" s="20" t="n">
        <v>22050</v>
      </c>
      <c r="J57" s="20" t="n">
        <v>30</v>
      </c>
      <c r="K57" s="25" t="n">
        <f aca="false">IFERROR(J57/I57,0)</f>
        <v>0.00136054421768707</v>
      </c>
      <c r="L57" s="19" t="n">
        <v>116.65</v>
      </c>
      <c r="M57" s="20" t="n">
        <v>4</v>
      </c>
      <c r="N57" s="8" t="n">
        <f aca="false">IFERROR(M57/J57,0)</f>
        <v>0.133333333333333</v>
      </c>
    </row>
    <row r="58" customFormat="false" ht="15" hidden="false" customHeight="false" outlineLevel="0" collapsed="false">
      <c r="A58" s="17" t="s">
        <v>15</v>
      </c>
      <c r="B58" s="17" t="s">
        <v>58</v>
      </c>
      <c r="C58" s="17" t="s">
        <v>60</v>
      </c>
      <c r="D58" s="17" t="s">
        <v>66</v>
      </c>
      <c r="E58" s="17" t="s">
        <v>433</v>
      </c>
      <c r="F58" s="17" t="s">
        <v>57</v>
      </c>
      <c r="G58" s="17" t="s">
        <v>311</v>
      </c>
      <c r="H58" s="17" t="s">
        <v>1227</v>
      </c>
      <c r="I58" s="20" t="n">
        <v>15945</v>
      </c>
      <c r="J58" s="20" t="n">
        <v>320</v>
      </c>
      <c r="K58" s="25" t="n">
        <f aca="false">IFERROR(J58/I58,0)</f>
        <v>0.0200689871433051</v>
      </c>
      <c r="L58" s="19" t="n">
        <v>884.84</v>
      </c>
      <c r="M58" s="20" t="n">
        <v>33</v>
      </c>
      <c r="N58" s="8" t="n">
        <f aca="false">IFERROR(M58/J58,0)</f>
        <v>0.103125</v>
      </c>
    </row>
    <row r="59" customFormat="false" ht="15" hidden="false" customHeight="false" outlineLevel="0" collapsed="false">
      <c r="A59" s="17" t="s">
        <v>15</v>
      </c>
      <c r="B59" s="17" t="s">
        <v>58</v>
      </c>
      <c r="C59" s="17" t="s">
        <v>60</v>
      </c>
      <c r="D59" s="17" t="s">
        <v>66</v>
      </c>
      <c r="E59" s="17" t="s">
        <v>1228</v>
      </c>
      <c r="F59" s="17" t="s">
        <v>57</v>
      </c>
      <c r="G59" s="17" t="s">
        <v>315</v>
      </c>
      <c r="H59" s="17" t="s">
        <v>1229</v>
      </c>
      <c r="I59" s="20" t="n">
        <v>14587</v>
      </c>
      <c r="J59" s="20" t="n">
        <v>107</v>
      </c>
      <c r="K59" s="25" t="n">
        <f aca="false">IFERROR(J59/I59,0)</f>
        <v>0.00733529855350655</v>
      </c>
      <c r="L59" s="19" t="n">
        <v>166.53</v>
      </c>
      <c r="M59" s="20" t="n">
        <v>21</v>
      </c>
      <c r="N59" s="8" t="n">
        <f aca="false">IFERROR(M59/J59,0)</f>
        <v>0.196261682242991</v>
      </c>
    </row>
    <row r="60" customFormat="false" ht="15" hidden="false" customHeight="false" outlineLevel="0" collapsed="false">
      <c r="A60" s="17" t="s">
        <v>15</v>
      </c>
      <c r="B60" s="17" t="s">
        <v>58</v>
      </c>
      <c r="C60" s="17" t="s">
        <v>60</v>
      </c>
      <c r="D60" s="17" t="s">
        <v>66</v>
      </c>
      <c r="E60" s="17" t="s">
        <v>1230</v>
      </c>
      <c r="F60" s="17" t="s">
        <v>57</v>
      </c>
      <c r="G60" s="17" t="s">
        <v>315</v>
      </c>
      <c r="H60" s="17" t="s">
        <v>1231</v>
      </c>
      <c r="I60" s="20" t="n">
        <v>13009</v>
      </c>
      <c r="J60" s="20" t="n">
        <v>24</v>
      </c>
      <c r="K60" s="25" t="n">
        <f aca="false">IFERROR(J60/I60,0)</f>
        <v>0.00184487662387578</v>
      </c>
      <c r="L60" s="19" t="n">
        <v>88.06</v>
      </c>
      <c r="M60" s="20" t="n">
        <v>0</v>
      </c>
      <c r="N60" s="8" t="n">
        <f aca="false">IFERROR(M60/J60,0)</f>
        <v>0</v>
      </c>
    </row>
    <row r="61" customFormat="false" ht="15" hidden="false" customHeight="false" outlineLevel="0" collapsed="false">
      <c r="A61" s="17" t="s">
        <v>15</v>
      </c>
      <c r="B61" s="17" t="s">
        <v>58</v>
      </c>
      <c r="C61" s="17" t="s">
        <v>60</v>
      </c>
      <c r="D61" s="17" t="s">
        <v>66</v>
      </c>
      <c r="E61" s="17" t="s">
        <v>403</v>
      </c>
      <c r="F61" s="17" t="s">
        <v>57</v>
      </c>
      <c r="G61" s="17" t="s">
        <v>311</v>
      </c>
      <c r="H61" s="17" t="s">
        <v>1232</v>
      </c>
      <c r="I61" s="20" t="n">
        <v>12503</v>
      </c>
      <c r="J61" s="20" t="n">
        <v>43</v>
      </c>
      <c r="K61" s="25" t="n">
        <f aca="false">IFERROR(J61/I61,0)</f>
        <v>0.00343917459809646</v>
      </c>
      <c r="L61" s="19" t="n">
        <v>56.05</v>
      </c>
      <c r="M61" s="20" t="n">
        <v>4</v>
      </c>
      <c r="N61" s="8" t="n">
        <f aca="false">IFERROR(M61/J61,0)</f>
        <v>0.0930232558139535</v>
      </c>
    </row>
    <row r="62" customFormat="false" ht="15" hidden="false" customHeight="false" outlineLevel="0" collapsed="false">
      <c r="A62" s="17" t="s">
        <v>15</v>
      </c>
      <c r="B62" s="17" t="s">
        <v>58</v>
      </c>
      <c r="C62" s="17" t="s">
        <v>60</v>
      </c>
      <c r="D62" s="17" t="s">
        <v>66</v>
      </c>
      <c r="E62" s="17" t="s">
        <v>1233</v>
      </c>
      <c r="F62" s="17" t="s">
        <v>57</v>
      </c>
      <c r="G62" s="17" t="s">
        <v>315</v>
      </c>
      <c r="H62" s="17" t="s">
        <v>1234</v>
      </c>
      <c r="I62" s="20" t="n">
        <v>12227</v>
      </c>
      <c r="J62" s="20" t="n">
        <v>114</v>
      </c>
      <c r="K62" s="25" t="n">
        <f aca="false">IFERROR(J62/I62,0)</f>
        <v>0.00932362803631308</v>
      </c>
      <c r="L62" s="19" t="n">
        <v>661.61</v>
      </c>
      <c r="M62" s="20" t="n">
        <v>20</v>
      </c>
      <c r="N62" s="8" t="n">
        <f aca="false">IFERROR(M62/J62,0)</f>
        <v>0.175438596491228</v>
      </c>
    </row>
    <row r="63" customFormat="false" ht="15" hidden="false" customHeight="false" outlineLevel="0" collapsed="false">
      <c r="A63" s="17" t="s">
        <v>15</v>
      </c>
      <c r="B63" s="17" t="s">
        <v>58</v>
      </c>
      <c r="C63" s="17" t="s">
        <v>60</v>
      </c>
      <c r="D63" s="17" t="s">
        <v>66</v>
      </c>
      <c r="E63" s="17" t="s">
        <v>413</v>
      </c>
      <c r="F63" s="17" t="s">
        <v>57</v>
      </c>
      <c r="G63" s="17" t="s">
        <v>315</v>
      </c>
      <c r="H63" s="17" t="s">
        <v>1235</v>
      </c>
      <c r="I63" s="20" t="n">
        <v>11967</v>
      </c>
      <c r="J63" s="20" t="n">
        <v>40</v>
      </c>
      <c r="K63" s="25" t="n">
        <f aca="false">IFERROR(J63/I63,0)</f>
        <v>0.00334252527784741</v>
      </c>
      <c r="L63" s="19" t="n">
        <v>138.77</v>
      </c>
      <c r="M63" s="20" t="n">
        <v>4</v>
      </c>
      <c r="N63" s="8" t="n">
        <f aca="false">IFERROR(M63/J63,0)</f>
        <v>0.1</v>
      </c>
    </row>
    <row r="64" customFormat="false" ht="15" hidden="false" customHeight="false" outlineLevel="0" collapsed="false">
      <c r="A64" s="17" t="s">
        <v>15</v>
      </c>
      <c r="B64" s="17" t="s">
        <v>58</v>
      </c>
      <c r="C64" s="17" t="s">
        <v>60</v>
      </c>
      <c r="D64" s="17" t="s">
        <v>66</v>
      </c>
      <c r="E64" s="17" t="s">
        <v>1236</v>
      </c>
      <c r="F64" s="17" t="s">
        <v>57</v>
      </c>
      <c r="G64" s="17" t="s">
        <v>315</v>
      </c>
      <c r="H64" s="17" t="s">
        <v>1237</v>
      </c>
      <c r="I64" s="20" t="n">
        <v>9967</v>
      </c>
      <c r="J64" s="20" t="n">
        <v>13</v>
      </c>
      <c r="K64" s="25" t="n">
        <f aca="false">IFERROR(J64/I64,0)</f>
        <v>0.00130430420387278</v>
      </c>
      <c r="L64" s="19" t="n">
        <v>52.93</v>
      </c>
      <c r="M64" s="20" t="n">
        <v>1</v>
      </c>
      <c r="N64" s="8" t="n">
        <f aca="false">IFERROR(M64/J64,0)</f>
        <v>0.0769230769230769</v>
      </c>
    </row>
    <row r="65" customFormat="false" ht="15" hidden="false" customHeight="false" outlineLevel="0" collapsed="false">
      <c r="A65" s="17" t="s">
        <v>15</v>
      </c>
      <c r="B65" s="17" t="s">
        <v>58</v>
      </c>
      <c r="C65" s="17" t="s">
        <v>60</v>
      </c>
      <c r="D65" s="17" t="s">
        <v>66</v>
      </c>
      <c r="E65" s="17" t="s">
        <v>1238</v>
      </c>
      <c r="F65" s="17" t="s">
        <v>1239</v>
      </c>
      <c r="G65" s="17" t="s">
        <v>315</v>
      </c>
      <c r="H65" s="17" t="s">
        <v>1240</v>
      </c>
      <c r="I65" s="20" t="n">
        <v>9793</v>
      </c>
      <c r="J65" s="20" t="n">
        <v>21</v>
      </c>
      <c r="K65" s="25" t="n">
        <f aca="false">IFERROR(J65/I65,0)</f>
        <v>0.00214438884917798</v>
      </c>
      <c r="L65" s="19" t="n">
        <v>56.26</v>
      </c>
      <c r="M65" s="20" t="n">
        <v>2</v>
      </c>
      <c r="N65" s="8" t="n">
        <f aca="false">IFERROR(M65/J65,0)</f>
        <v>0.0952380952380952</v>
      </c>
    </row>
    <row r="66" customFormat="false" ht="15" hidden="false" customHeight="false" outlineLevel="0" collapsed="false">
      <c r="A66" s="17" t="s">
        <v>15</v>
      </c>
      <c r="B66" s="17" t="s">
        <v>58</v>
      </c>
      <c r="C66" s="17" t="s">
        <v>60</v>
      </c>
      <c r="D66" s="17" t="s">
        <v>66</v>
      </c>
      <c r="E66" s="17" t="s">
        <v>1241</v>
      </c>
      <c r="F66" s="17" t="s">
        <v>57</v>
      </c>
      <c r="G66" s="17" t="s">
        <v>315</v>
      </c>
      <c r="H66" s="17" t="s">
        <v>1242</v>
      </c>
      <c r="I66" s="20" t="n">
        <v>7094</v>
      </c>
      <c r="J66" s="20" t="n">
        <v>20</v>
      </c>
      <c r="K66" s="25" t="n">
        <f aca="false">IFERROR(J66/I66,0)</f>
        <v>0.00281928390188892</v>
      </c>
      <c r="L66" s="19" t="n">
        <v>74.12</v>
      </c>
      <c r="M66" s="20" t="n">
        <v>0</v>
      </c>
      <c r="N66" s="8" t="n">
        <f aca="false">IFERROR(M66/J66,0)</f>
        <v>0</v>
      </c>
    </row>
    <row r="67" customFormat="false" ht="15" hidden="false" customHeight="false" outlineLevel="0" collapsed="false">
      <c r="A67" s="17" t="s">
        <v>15</v>
      </c>
      <c r="B67" s="17" t="s">
        <v>58</v>
      </c>
      <c r="C67" s="17" t="s">
        <v>60</v>
      </c>
      <c r="D67" s="17" t="s">
        <v>66</v>
      </c>
      <c r="E67" s="17" t="s">
        <v>419</v>
      </c>
      <c r="F67" s="17" t="s">
        <v>57</v>
      </c>
      <c r="G67" s="17" t="s">
        <v>311</v>
      </c>
      <c r="H67" s="17" t="s">
        <v>1223</v>
      </c>
      <c r="I67" s="20" t="n">
        <v>5215</v>
      </c>
      <c r="J67" s="20" t="n">
        <v>19</v>
      </c>
      <c r="K67" s="25" t="n">
        <f aca="false">IFERROR(J67/I67,0)</f>
        <v>0.00364333652924257</v>
      </c>
      <c r="L67" s="19" t="n">
        <v>21.65</v>
      </c>
      <c r="M67" s="20" t="n">
        <v>4</v>
      </c>
      <c r="N67" s="8" t="n">
        <f aca="false">IFERROR(M67/J67,0)</f>
        <v>0.210526315789474</v>
      </c>
    </row>
    <row r="68" customFormat="false" ht="15" hidden="false" customHeight="false" outlineLevel="0" collapsed="false">
      <c r="A68" s="17" t="s">
        <v>15</v>
      </c>
      <c r="B68" s="17" t="s">
        <v>58</v>
      </c>
      <c r="C68" s="17" t="s">
        <v>60</v>
      </c>
      <c r="D68" s="17" t="s">
        <v>66</v>
      </c>
      <c r="E68" s="17" t="s">
        <v>387</v>
      </c>
      <c r="F68" s="17" t="s">
        <v>57</v>
      </c>
      <c r="G68" s="17" t="s">
        <v>315</v>
      </c>
      <c r="H68" s="17" t="s">
        <v>1243</v>
      </c>
      <c r="I68" s="20" t="n">
        <v>5073</v>
      </c>
      <c r="J68" s="20" t="n">
        <v>10</v>
      </c>
      <c r="K68" s="25" t="n">
        <f aca="false">IFERROR(J68/I68,0)</f>
        <v>0.0019712201852947</v>
      </c>
      <c r="L68" s="19" t="n">
        <v>23.36</v>
      </c>
      <c r="M68" s="20" t="n">
        <v>0</v>
      </c>
      <c r="N68" s="8" t="n">
        <f aca="false">IFERROR(M68/J68,0)</f>
        <v>0</v>
      </c>
    </row>
    <row r="69" customFormat="false" ht="15" hidden="false" customHeight="false" outlineLevel="0" collapsed="false">
      <c r="A69" s="17" t="s">
        <v>15</v>
      </c>
      <c r="B69" s="17" t="s">
        <v>58</v>
      </c>
      <c r="C69" s="17" t="s">
        <v>60</v>
      </c>
      <c r="D69" s="17" t="s">
        <v>66</v>
      </c>
      <c r="E69" s="17" t="s">
        <v>1244</v>
      </c>
      <c r="F69" s="17" t="s">
        <v>57</v>
      </c>
      <c r="G69" s="17" t="s">
        <v>315</v>
      </c>
      <c r="H69" s="17" t="s">
        <v>1245</v>
      </c>
      <c r="I69" s="20" t="n">
        <v>4271</v>
      </c>
      <c r="J69" s="20" t="n">
        <v>24</v>
      </c>
      <c r="K69" s="25" t="n">
        <f aca="false">IFERROR(J69/I69,0)</f>
        <v>0.00561929290564271</v>
      </c>
      <c r="L69" s="19" t="n">
        <v>89.08</v>
      </c>
      <c r="M69" s="20" t="n">
        <v>1</v>
      </c>
      <c r="N69" s="8" t="n">
        <f aca="false">IFERROR(M69/J69,0)</f>
        <v>0.0416666666666667</v>
      </c>
    </row>
    <row r="70" customFormat="false" ht="15" hidden="false" customHeight="false" outlineLevel="0" collapsed="false">
      <c r="A70" s="17" t="s">
        <v>15</v>
      </c>
      <c r="B70" s="17" t="s">
        <v>58</v>
      </c>
      <c r="C70" s="17" t="s">
        <v>60</v>
      </c>
      <c r="D70" s="17" t="s">
        <v>66</v>
      </c>
      <c r="E70" s="17" t="s">
        <v>1246</v>
      </c>
      <c r="F70" s="17" t="s">
        <v>57</v>
      </c>
      <c r="G70" s="17" t="s">
        <v>315</v>
      </c>
      <c r="H70" s="17" t="s">
        <v>1247</v>
      </c>
      <c r="I70" s="20" t="n">
        <v>3971</v>
      </c>
      <c r="J70" s="20" t="n">
        <v>8</v>
      </c>
      <c r="K70" s="25" t="n">
        <f aca="false">IFERROR(J70/I70,0)</f>
        <v>0.00201460589272224</v>
      </c>
      <c r="L70" s="19" t="n">
        <v>24.52</v>
      </c>
      <c r="M70" s="20" t="n">
        <v>1</v>
      </c>
      <c r="N70" s="8" t="n">
        <f aca="false">IFERROR(M70/J70,0)</f>
        <v>0.125</v>
      </c>
    </row>
    <row r="71" customFormat="false" ht="15" hidden="false" customHeight="false" outlineLevel="0" collapsed="false">
      <c r="A71" s="17" t="s">
        <v>15</v>
      </c>
      <c r="B71" s="17" t="s">
        <v>58</v>
      </c>
      <c r="C71" s="17" t="s">
        <v>66</v>
      </c>
      <c r="D71" s="17" t="s">
        <v>60</v>
      </c>
      <c r="E71" s="17" t="s">
        <v>1248</v>
      </c>
      <c r="F71" s="17" t="s">
        <v>100</v>
      </c>
      <c r="G71" s="17" t="s">
        <v>315</v>
      </c>
      <c r="H71" s="17" t="s">
        <v>1249</v>
      </c>
      <c r="I71" s="20" t="n">
        <v>3920</v>
      </c>
      <c r="J71" s="20" t="n">
        <v>26</v>
      </c>
      <c r="K71" s="25" t="n">
        <f aca="false">IFERROR(J71/I71,0)</f>
        <v>0.00663265306122449</v>
      </c>
      <c r="L71" s="19" t="n">
        <v>149.06</v>
      </c>
      <c r="M71" s="20" t="n">
        <v>1</v>
      </c>
      <c r="N71" s="8" t="n">
        <f aca="false">IFERROR(M71/J71,0)</f>
        <v>0.0384615384615385</v>
      </c>
    </row>
    <row r="72" customFormat="false" ht="15" hidden="false" customHeight="false" outlineLevel="0" collapsed="false">
      <c r="A72" s="17" t="s">
        <v>15</v>
      </c>
      <c r="B72" s="17" t="s">
        <v>58</v>
      </c>
      <c r="C72" s="17" t="s">
        <v>60</v>
      </c>
      <c r="D72" s="17" t="s">
        <v>66</v>
      </c>
      <c r="E72" s="17" t="s">
        <v>1250</v>
      </c>
      <c r="F72" s="17" t="s">
        <v>57</v>
      </c>
      <c r="G72" s="17" t="s">
        <v>315</v>
      </c>
      <c r="H72" s="17" t="s">
        <v>1251</v>
      </c>
      <c r="I72" s="20" t="n">
        <v>3811</v>
      </c>
      <c r="J72" s="20" t="n">
        <v>8</v>
      </c>
      <c r="K72" s="25" t="n">
        <f aca="false">IFERROR(J72/I72,0)</f>
        <v>0.00209918656520598</v>
      </c>
      <c r="L72" s="19" t="n">
        <v>21.66</v>
      </c>
      <c r="M72" s="20" t="n">
        <v>0</v>
      </c>
      <c r="N72" s="8" t="n">
        <f aca="false">IFERROR(M72/J72,0)</f>
        <v>0</v>
      </c>
    </row>
    <row r="73" customFormat="false" ht="15" hidden="false" customHeight="false" outlineLevel="0" collapsed="false">
      <c r="A73" s="17" t="s">
        <v>15</v>
      </c>
      <c r="B73" s="17" t="s">
        <v>58</v>
      </c>
      <c r="C73" s="17" t="s">
        <v>60</v>
      </c>
      <c r="D73" s="17" t="s">
        <v>66</v>
      </c>
      <c r="E73" s="17" t="s">
        <v>348</v>
      </c>
      <c r="F73" s="17" t="s">
        <v>57</v>
      </c>
      <c r="G73" s="17" t="s">
        <v>315</v>
      </c>
      <c r="H73" s="17" t="s">
        <v>1252</v>
      </c>
      <c r="I73" s="20" t="n">
        <v>3482</v>
      </c>
      <c r="J73" s="20" t="n">
        <v>55</v>
      </c>
      <c r="K73" s="25" t="n">
        <f aca="false">IFERROR(J73/I73,0)</f>
        <v>0.0157955198161976</v>
      </c>
      <c r="L73" s="19" t="n">
        <v>142.31</v>
      </c>
      <c r="M73" s="20" t="n">
        <v>3</v>
      </c>
      <c r="N73" s="8" t="n">
        <f aca="false">IFERROR(M73/J73,0)</f>
        <v>0.0545454545454545</v>
      </c>
    </row>
    <row r="74" customFormat="false" ht="15" hidden="false" customHeight="false" outlineLevel="0" collapsed="false">
      <c r="A74" s="17" t="s">
        <v>15</v>
      </c>
      <c r="B74" s="17" t="s">
        <v>58</v>
      </c>
      <c r="C74" s="17" t="s">
        <v>60</v>
      </c>
      <c r="D74" s="17" t="s">
        <v>66</v>
      </c>
      <c r="E74" s="17" t="s">
        <v>1253</v>
      </c>
      <c r="F74" s="17" t="s">
        <v>57</v>
      </c>
      <c r="G74" s="17" t="s">
        <v>315</v>
      </c>
      <c r="H74" s="17" t="s">
        <v>1254</v>
      </c>
      <c r="I74" s="20" t="n">
        <v>3453</v>
      </c>
      <c r="J74" s="20" t="n">
        <v>10</v>
      </c>
      <c r="K74" s="25" t="n">
        <f aca="false">IFERROR(J74/I74,0)</f>
        <v>0.00289603243556328</v>
      </c>
      <c r="L74" s="19" t="n">
        <v>34.65</v>
      </c>
      <c r="M74" s="20" t="n">
        <v>1</v>
      </c>
      <c r="N74" s="8" t="n">
        <f aca="false">IFERROR(M74/J74,0)</f>
        <v>0.1</v>
      </c>
    </row>
    <row r="75" customFormat="false" ht="15" hidden="false" customHeight="false" outlineLevel="0" collapsed="false">
      <c r="A75" s="17" t="s">
        <v>15</v>
      </c>
      <c r="B75" s="17" t="s">
        <v>58</v>
      </c>
      <c r="C75" s="17" t="s">
        <v>60</v>
      </c>
      <c r="D75" s="17" t="s">
        <v>66</v>
      </c>
      <c r="E75" s="17" t="s">
        <v>346</v>
      </c>
      <c r="F75" s="17" t="s">
        <v>57</v>
      </c>
      <c r="G75" s="17" t="s">
        <v>315</v>
      </c>
      <c r="H75" s="17" t="s">
        <v>1255</v>
      </c>
      <c r="I75" s="20" t="n">
        <v>2579</v>
      </c>
      <c r="J75" s="20" t="n">
        <v>13</v>
      </c>
      <c r="K75" s="25" t="n">
        <f aca="false">IFERROR(J75/I75,0)</f>
        <v>0.00504071345482745</v>
      </c>
      <c r="L75" s="19" t="n">
        <v>63.93</v>
      </c>
      <c r="M75" s="20" t="n">
        <v>2</v>
      </c>
      <c r="N75" s="8" t="n">
        <f aca="false">IFERROR(M75/J75,0)</f>
        <v>0.153846153846154</v>
      </c>
    </row>
    <row r="76" customFormat="false" ht="15" hidden="false" customHeight="false" outlineLevel="0" collapsed="false">
      <c r="A76" s="17" t="s">
        <v>15</v>
      </c>
      <c r="B76" s="17" t="s">
        <v>58</v>
      </c>
      <c r="C76" s="17" t="s">
        <v>60</v>
      </c>
      <c r="D76" s="17" t="s">
        <v>66</v>
      </c>
      <c r="E76" s="17" t="s">
        <v>336</v>
      </c>
      <c r="F76" s="17" t="s">
        <v>57</v>
      </c>
      <c r="G76" s="17" t="s">
        <v>315</v>
      </c>
      <c r="H76" s="17" t="s">
        <v>1256</v>
      </c>
      <c r="I76" s="20" t="n">
        <v>2371</v>
      </c>
      <c r="J76" s="20" t="n">
        <v>14</v>
      </c>
      <c r="K76" s="25" t="n">
        <f aca="false">IFERROR(J76/I76,0)</f>
        <v>0.00590468156895825</v>
      </c>
      <c r="L76" s="19" t="n">
        <v>88.63</v>
      </c>
      <c r="M76" s="20" t="n">
        <v>4</v>
      </c>
      <c r="N76" s="8" t="n">
        <f aca="false">IFERROR(M76/J76,0)</f>
        <v>0.285714285714286</v>
      </c>
    </row>
    <row r="77" customFormat="false" ht="15" hidden="false" customHeight="false" outlineLevel="0" collapsed="false">
      <c r="A77" s="17" t="s">
        <v>15</v>
      </c>
      <c r="B77" s="17" t="s">
        <v>58</v>
      </c>
      <c r="C77" s="17" t="s">
        <v>66</v>
      </c>
      <c r="D77" s="17" t="s">
        <v>60</v>
      </c>
      <c r="E77" s="17" t="s">
        <v>1257</v>
      </c>
      <c r="F77" s="17" t="s">
        <v>94</v>
      </c>
      <c r="G77" s="17" t="s">
        <v>315</v>
      </c>
      <c r="H77" s="17" t="s">
        <v>1258</v>
      </c>
      <c r="I77" s="20" t="n">
        <v>2078</v>
      </c>
      <c r="J77" s="20" t="n">
        <v>24</v>
      </c>
      <c r="K77" s="25" t="n">
        <f aca="false">IFERROR(J77/I77,0)</f>
        <v>0.0115495668912416</v>
      </c>
      <c r="L77" s="19" t="n">
        <v>71.25</v>
      </c>
      <c r="M77" s="20" t="n">
        <v>1</v>
      </c>
      <c r="N77" s="8" t="n">
        <f aca="false">IFERROR(M77/J77,0)</f>
        <v>0.0416666666666667</v>
      </c>
    </row>
    <row r="78" customFormat="false" ht="15" hidden="false" customHeight="false" outlineLevel="0" collapsed="false">
      <c r="A78" s="17" t="s">
        <v>15</v>
      </c>
      <c r="B78" s="17" t="s">
        <v>58</v>
      </c>
      <c r="C78" s="17" t="s">
        <v>60</v>
      </c>
      <c r="D78" s="17" t="s">
        <v>66</v>
      </c>
      <c r="E78" s="17" t="s">
        <v>1259</v>
      </c>
      <c r="F78" s="17" t="s">
        <v>57</v>
      </c>
      <c r="G78" s="17" t="s">
        <v>315</v>
      </c>
      <c r="H78" s="17" t="s">
        <v>1260</v>
      </c>
      <c r="I78" s="20" t="n">
        <v>2054</v>
      </c>
      <c r="J78" s="20" t="n">
        <v>25</v>
      </c>
      <c r="K78" s="25" t="n">
        <f aca="false">IFERROR(J78/I78,0)</f>
        <v>0.0121713729308666</v>
      </c>
      <c r="L78" s="19" t="n">
        <v>32.65</v>
      </c>
      <c r="M78" s="20" t="n">
        <v>5</v>
      </c>
      <c r="N78" s="8" t="n">
        <f aca="false">IFERROR(M78/J78,0)</f>
        <v>0.2</v>
      </c>
    </row>
    <row r="79" customFormat="false" ht="15" hidden="false" customHeight="false" outlineLevel="0" collapsed="false">
      <c r="A79" s="17" t="s">
        <v>15</v>
      </c>
      <c r="B79" s="17" t="s">
        <v>58</v>
      </c>
      <c r="C79" s="17" t="s">
        <v>60</v>
      </c>
      <c r="D79" s="17" t="s">
        <v>66</v>
      </c>
      <c r="E79" s="17" t="s">
        <v>1261</v>
      </c>
      <c r="F79" s="17" t="s">
        <v>1262</v>
      </c>
      <c r="G79" s="17" t="s">
        <v>315</v>
      </c>
      <c r="H79" s="17" t="s">
        <v>1263</v>
      </c>
      <c r="I79" s="20" t="n">
        <v>1979</v>
      </c>
      <c r="J79" s="20" t="n">
        <v>8</v>
      </c>
      <c r="K79" s="25" t="n">
        <f aca="false">IFERROR(J79/I79,0)</f>
        <v>0.00404244567963618</v>
      </c>
      <c r="L79" s="19" t="n">
        <v>42.97</v>
      </c>
      <c r="M79" s="20" t="n">
        <v>0</v>
      </c>
      <c r="N79" s="8" t="n">
        <f aca="false">IFERROR(M79/J79,0)</f>
        <v>0</v>
      </c>
    </row>
    <row r="80" customFormat="false" ht="15" hidden="false" customHeight="false" outlineLevel="0" collapsed="false">
      <c r="A80" s="17" t="s">
        <v>15</v>
      </c>
      <c r="B80" s="17" t="s">
        <v>58</v>
      </c>
      <c r="C80" s="17" t="s">
        <v>60</v>
      </c>
      <c r="D80" s="17" t="s">
        <v>66</v>
      </c>
      <c r="E80" s="17" t="s">
        <v>1264</v>
      </c>
      <c r="F80" s="17" t="s">
        <v>57</v>
      </c>
      <c r="G80" s="17" t="s">
        <v>315</v>
      </c>
      <c r="H80" s="17" t="s">
        <v>1265</v>
      </c>
      <c r="I80" s="20" t="n">
        <v>1835</v>
      </c>
      <c r="J80" s="20" t="n">
        <v>4</v>
      </c>
      <c r="K80" s="25" t="n">
        <f aca="false">IFERROR(J80/I80,0)</f>
        <v>0.00217983651226158</v>
      </c>
      <c r="L80" s="19" t="n">
        <v>16.3</v>
      </c>
      <c r="M80" s="20" t="n">
        <v>0</v>
      </c>
      <c r="N80" s="8" t="n">
        <f aca="false">IFERROR(M80/J80,0)</f>
        <v>0</v>
      </c>
    </row>
    <row r="81" customFormat="false" ht="15" hidden="false" customHeight="false" outlineLevel="0" collapsed="false">
      <c r="A81" s="17" t="s">
        <v>15</v>
      </c>
      <c r="B81" s="17" t="s">
        <v>58</v>
      </c>
      <c r="C81" s="17" t="s">
        <v>66</v>
      </c>
      <c r="D81" s="17" t="s">
        <v>60</v>
      </c>
      <c r="E81" s="17" t="s">
        <v>1266</v>
      </c>
      <c r="F81" s="17" t="s">
        <v>198</v>
      </c>
      <c r="G81" s="17" t="s">
        <v>315</v>
      </c>
      <c r="H81" s="17" t="s">
        <v>1267</v>
      </c>
      <c r="I81" s="20" t="n">
        <v>1709</v>
      </c>
      <c r="J81" s="20" t="n">
        <v>6</v>
      </c>
      <c r="K81" s="25" t="n">
        <f aca="false">IFERROR(J81/I81,0)</f>
        <v>0.00351082504388531</v>
      </c>
      <c r="L81" s="19" t="n">
        <v>9.05</v>
      </c>
      <c r="M81" s="20" t="n">
        <v>0</v>
      </c>
      <c r="N81" s="8" t="n">
        <f aca="false">IFERROR(M81/J81,0)</f>
        <v>0</v>
      </c>
    </row>
    <row r="82" customFormat="false" ht="15" hidden="false" customHeight="false" outlineLevel="0" collapsed="false">
      <c r="A82" s="17" t="s">
        <v>15</v>
      </c>
      <c r="B82" s="17" t="s">
        <v>58</v>
      </c>
      <c r="C82" s="17" t="s">
        <v>60</v>
      </c>
      <c r="D82" s="17" t="s">
        <v>66</v>
      </c>
      <c r="E82" s="17" t="s">
        <v>1268</v>
      </c>
      <c r="F82" s="17" t="s">
        <v>57</v>
      </c>
      <c r="G82" s="17" t="s">
        <v>315</v>
      </c>
      <c r="H82" s="17" t="s">
        <v>1269</v>
      </c>
      <c r="I82" s="20" t="n">
        <v>1655</v>
      </c>
      <c r="J82" s="20" t="n">
        <v>42</v>
      </c>
      <c r="K82" s="25" t="n">
        <f aca="false">IFERROR(J82/I82,0)</f>
        <v>0.0253776435045317</v>
      </c>
      <c r="L82" s="19" t="n">
        <v>232.72</v>
      </c>
      <c r="M82" s="20" t="n">
        <v>8</v>
      </c>
      <c r="N82" s="8" t="n">
        <f aca="false">IFERROR(M82/J82,0)</f>
        <v>0.19047619047619</v>
      </c>
    </row>
    <row r="83" customFormat="false" ht="15" hidden="false" customHeight="false" outlineLevel="0" collapsed="false">
      <c r="A83" s="17" t="s">
        <v>15</v>
      </c>
      <c r="B83" s="17" t="s">
        <v>58</v>
      </c>
      <c r="C83" s="17" t="s">
        <v>60</v>
      </c>
      <c r="D83" s="17" t="s">
        <v>66</v>
      </c>
      <c r="E83" s="17" t="s">
        <v>343</v>
      </c>
      <c r="F83" s="17" t="s">
        <v>344</v>
      </c>
      <c r="G83" s="17" t="s">
        <v>315</v>
      </c>
      <c r="H83" s="17" t="s">
        <v>1270</v>
      </c>
      <c r="I83" s="20" t="n">
        <v>1535</v>
      </c>
      <c r="J83" s="20" t="n">
        <v>15</v>
      </c>
      <c r="K83" s="25" t="n">
        <f aca="false">IFERROR(J83/I83,0)</f>
        <v>0.00977198697068404</v>
      </c>
      <c r="L83" s="19" t="n">
        <v>79.49</v>
      </c>
      <c r="M83" s="20" t="n">
        <v>0</v>
      </c>
      <c r="N83" s="8" t="n">
        <f aca="false">IFERROR(M83/J83,0)</f>
        <v>0</v>
      </c>
    </row>
    <row r="84" customFormat="false" ht="15" hidden="false" customHeight="false" outlineLevel="0" collapsed="false">
      <c r="A84" s="17" t="s">
        <v>15</v>
      </c>
      <c r="B84" s="17" t="s">
        <v>58</v>
      </c>
      <c r="C84" s="17" t="s">
        <v>60</v>
      </c>
      <c r="D84" s="17" t="s">
        <v>66</v>
      </c>
      <c r="E84" s="17" t="s">
        <v>1271</v>
      </c>
      <c r="F84" s="17" t="s">
        <v>57</v>
      </c>
      <c r="G84" s="17" t="s">
        <v>315</v>
      </c>
      <c r="H84" s="17" t="s">
        <v>1272</v>
      </c>
      <c r="I84" s="20" t="n">
        <v>1321</v>
      </c>
      <c r="J84" s="20" t="n">
        <v>17</v>
      </c>
      <c r="K84" s="25" t="n">
        <f aca="false">IFERROR(J84/I84,0)</f>
        <v>0.0128690386071158</v>
      </c>
      <c r="L84" s="19" t="n">
        <v>84.08</v>
      </c>
      <c r="M84" s="20" t="n">
        <v>4</v>
      </c>
      <c r="N84" s="8" t="n">
        <f aca="false">IFERROR(M84/J84,0)</f>
        <v>0.235294117647059</v>
      </c>
    </row>
    <row r="85" customFormat="false" ht="15" hidden="false" customHeight="false" outlineLevel="0" collapsed="false">
      <c r="A85" s="17" t="s">
        <v>15</v>
      </c>
      <c r="B85" s="17" t="s">
        <v>58</v>
      </c>
      <c r="C85" s="17" t="s">
        <v>60</v>
      </c>
      <c r="D85" s="17" t="s">
        <v>60</v>
      </c>
      <c r="E85" s="17" t="s">
        <v>1273</v>
      </c>
      <c r="F85" s="17" t="s">
        <v>57</v>
      </c>
      <c r="G85" s="17" t="s">
        <v>315</v>
      </c>
      <c r="H85" s="17" t="s">
        <v>1274</v>
      </c>
      <c r="I85" s="20" t="n">
        <v>1319</v>
      </c>
      <c r="J85" s="20" t="n">
        <v>5</v>
      </c>
      <c r="K85" s="25" t="n">
        <f aca="false">IFERROR(J85/I85,0)</f>
        <v>0.00379075056861259</v>
      </c>
      <c r="L85" s="19" t="n">
        <v>11.54</v>
      </c>
      <c r="M85" s="20" t="n">
        <v>0</v>
      </c>
      <c r="N85" s="8" t="n">
        <f aca="false">IFERROR(M85/J85,0)</f>
        <v>0</v>
      </c>
    </row>
    <row r="86" customFormat="false" ht="15" hidden="false" customHeight="false" outlineLevel="0" collapsed="false">
      <c r="A86" s="17" t="s">
        <v>15</v>
      </c>
      <c r="B86" s="17" t="s">
        <v>58</v>
      </c>
      <c r="C86" s="17" t="s">
        <v>60</v>
      </c>
      <c r="D86" s="17" t="s">
        <v>66</v>
      </c>
      <c r="E86" s="17" t="s">
        <v>1275</v>
      </c>
      <c r="F86" s="17" t="s">
        <v>57</v>
      </c>
      <c r="G86" s="17" t="s">
        <v>315</v>
      </c>
      <c r="H86" s="17" t="s">
        <v>1276</v>
      </c>
      <c r="I86" s="20" t="n">
        <v>1034</v>
      </c>
      <c r="J86" s="20" t="n">
        <v>0</v>
      </c>
      <c r="K86" s="25" t="n">
        <f aca="false">IFERROR(J86/I86,0)</f>
        <v>0</v>
      </c>
      <c r="L86" s="19" t="n">
        <v>0</v>
      </c>
      <c r="M86" s="20" t="n">
        <v>0</v>
      </c>
      <c r="N86" s="8" t="n">
        <f aca="false">IFERROR(M86/J86,0)</f>
        <v>0</v>
      </c>
    </row>
    <row r="87" customFormat="false" ht="15" hidden="false" customHeight="false" outlineLevel="0" collapsed="false">
      <c r="A87" s="17" t="s">
        <v>15</v>
      </c>
      <c r="B87" s="17" t="s">
        <v>58</v>
      </c>
      <c r="C87" s="17" t="s">
        <v>60</v>
      </c>
      <c r="D87" s="17" t="s">
        <v>66</v>
      </c>
      <c r="E87" s="17" t="s">
        <v>1277</v>
      </c>
      <c r="F87" s="17" t="s">
        <v>57</v>
      </c>
      <c r="G87" s="17" t="s">
        <v>315</v>
      </c>
      <c r="H87" s="17" t="s">
        <v>1278</v>
      </c>
      <c r="I87" s="20" t="n">
        <v>1011</v>
      </c>
      <c r="J87" s="20" t="n">
        <v>31</v>
      </c>
      <c r="K87" s="25" t="n">
        <f aca="false">IFERROR(J87/I87,0)</f>
        <v>0.0306627101879327</v>
      </c>
      <c r="L87" s="19" t="n">
        <v>271.7</v>
      </c>
      <c r="M87" s="20" t="n">
        <v>1</v>
      </c>
      <c r="N87" s="8" t="n">
        <f aca="false">IFERROR(M87/J87,0)</f>
        <v>0.032258064516129</v>
      </c>
    </row>
    <row r="88" customFormat="false" ht="15" hidden="false" customHeight="false" outlineLevel="0" collapsed="false">
      <c r="A88" s="17" t="s">
        <v>15</v>
      </c>
      <c r="B88" s="17" t="s">
        <v>58</v>
      </c>
      <c r="C88" s="17" t="s">
        <v>60</v>
      </c>
      <c r="D88" s="17" t="s">
        <v>66</v>
      </c>
      <c r="E88" s="17" t="s">
        <v>314</v>
      </c>
      <c r="F88" s="17" t="s">
        <v>57</v>
      </c>
      <c r="G88" s="17" t="s">
        <v>315</v>
      </c>
      <c r="H88" s="17" t="s">
        <v>1279</v>
      </c>
      <c r="I88" s="20" t="n">
        <v>953</v>
      </c>
      <c r="J88" s="20" t="n">
        <v>20</v>
      </c>
      <c r="K88" s="25" t="n">
        <f aca="false">IFERROR(J88/I88,0)</f>
        <v>0.0209863588667366</v>
      </c>
      <c r="L88" s="19" t="n">
        <v>105.39</v>
      </c>
      <c r="M88" s="20" t="n">
        <v>2</v>
      </c>
      <c r="N88" s="8" t="n">
        <f aca="false">IFERROR(M88/J88,0)</f>
        <v>0.1</v>
      </c>
    </row>
    <row r="89" customFormat="false" ht="15" hidden="false" customHeight="false" outlineLevel="0" collapsed="false">
      <c r="A89" s="17" t="s">
        <v>15</v>
      </c>
      <c r="B89" s="17" t="s">
        <v>58</v>
      </c>
      <c r="C89" s="17" t="s">
        <v>60</v>
      </c>
      <c r="D89" s="17" t="s">
        <v>66</v>
      </c>
      <c r="E89" s="17" t="s">
        <v>1280</v>
      </c>
      <c r="F89" s="17" t="s">
        <v>344</v>
      </c>
      <c r="G89" s="17" t="s">
        <v>315</v>
      </c>
      <c r="H89" s="17" t="s">
        <v>1281</v>
      </c>
      <c r="I89" s="20" t="n">
        <v>923</v>
      </c>
      <c r="J89" s="20" t="n">
        <v>4</v>
      </c>
      <c r="K89" s="25" t="n">
        <f aca="false">IFERROR(J89/I89,0)</f>
        <v>0.00433369447453955</v>
      </c>
      <c r="L89" s="19" t="n">
        <v>18.41</v>
      </c>
      <c r="M89" s="20" t="n">
        <v>1</v>
      </c>
      <c r="N89" s="8" t="n">
        <f aca="false">IFERROR(M89/J89,0)</f>
        <v>0.25</v>
      </c>
    </row>
    <row r="90" customFormat="false" ht="15" hidden="false" customHeight="false" outlineLevel="0" collapsed="false">
      <c r="A90" s="17" t="s">
        <v>15</v>
      </c>
      <c r="B90" s="17" t="s">
        <v>58</v>
      </c>
      <c r="C90" s="17" t="s">
        <v>60</v>
      </c>
      <c r="D90" s="17" t="s">
        <v>66</v>
      </c>
      <c r="E90" s="17" t="s">
        <v>1282</v>
      </c>
      <c r="F90" s="17" t="s">
        <v>57</v>
      </c>
      <c r="G90" s="17" t="s">
        <v>315</v>
      </c>
      <c r="H90" s="17" t="s">
        <v>1283</v>
      </c>
      <c r="I90" s="20" t="n">
        <v>904</v>
      </c>
      <c r="J90" s="20" t="n">
        <v>22</v>
      </c>
      <c r="K90" s="25" t="n">
        <f aca="false">IFERROR(J90/I90,0)</f>
        <v>0.0243362831858407</v>
      </c>
      <c r="L90" s="19" t="n">
        <v>167.76</v>
      </c>
      <c r="M90" s="20" t="n">
        <v>3</v>
      </c>
      <c r="N90" s="8" t="n">
        <f aca="false">IFERROR(M90/J90,0)</f>
        <v>0.136363636363636</v>
      </c>
    </row>
    <row r="91" customFormat="false" ht="15" hidden="false" customHeight="false" outlineLevel="0" collapsed="false">
      <c r="A91" s="17" t="s">
        <v>15</v>
      </c>
      <c r="B91" s="17" t="s">
        <v>58</v>
      </c>
      <c r="C91" s="17" t="s">
        <v>60</v>
      </c>
      <c r="D91" s="17" t="s">
        <v>66</v>
      </c>
      <c r="E91" s="17" t="s">
        <v>1284</v>
      </c>
      <c r="F91" s="17" t="s">
        <v>57</v>
      </c>
      <c r="G91" s="17" t="s">
        <v>315</v>
      </c>
      <c r="H91" s="17" t="s">
        <v>1285</v>
      </c>
      <c r="I91" s="20" t="n">
        <v>874</v>
      </c>
      <c r="J91" s="20" t="n">
        <v>20</v>
      </c>
      <c r="K91" s="25" t="n">
        <f aca="false">IFERROR(J91/I91,0)</f>
        <v>0.022883295194508</v>
      </c>
      <c r="L91" s="19" t="n">
        <v>152.07</v>
      </c>
      <c r="M91" s="20" t="n">
        <v>8</v>
      </c>
      <c r="N91" s="8" t="n">
        <f aca="false">IFERROR(M91/J91,0)</f>
        <v>0.4</v>
      </c>
    </row>
    <row r="92" customFormat="false" ht="15" hidden="false" customHeight="false" outlineLevel="0" collapsed="false">
      <c r="A92" s="17" t="s">
        <v>15</v>
      </c>
      <c r="B92" s="17" t="s">
        <v>58</v>
      </c>
      <c r="C92" s="17" t="s">
        <v>60</v>
      </c>
      <c r="D92" s="17" t="s">
        <v>66</v>
      </c>
      <c r="E92" s="17" t="s">
        <v>1286</v>
      </c>
      <c r="F92" s="17" t="s">
        <v>57</v>
      </c>
      <c r="G92" s="17" t="s">
        <v>315</v>
      </c>
      <c r="H92" s="17" t="s">
        <v>1287</v>
      </c>
      <c r="I92" s="20" t="n">
        <v>835</v>
      </c>
      <c r="J92" s="20" t="n">
        <v>5</v>
      </c>
      <c r="K92" s="25" t="n">
        <f aca="false">IFERROR(J92/I92,0)</f>
        <v>0.00598802395209581</v>
      </c>
      <c r="L92" s="19" t="n">
        <v>40.01</v>
      </c>
      <c r="M92" s="20" t="n">
        <v>0</v>
      </c>
      <c r="N92" s="8" t="n">
        <f aca="false">IFERROR(M92/J92,0)</f>
        <v>0</v>
      </c>
    </row>
    <row r="93" customFormat="false" ht="15" hidden="false" customHeight="false" outlineLevel="0" collapsed="false">
      <c r="A93" s="17" t="s">
        <v>15</v>
      </c>
      <c r="B93" s="17" t="s">
        <v>58</v>
      </c>
      <c r="C93" s="17" t="s">
        <v>60</v>
      </c>
      <c r="D93" s="17" t="s">
        <v>66</v>
      </c>
      <c r="E93" s="17" t="s">
        <v>1288</v>
      </c>
      <c r="F93" s="17" t="s">
        <v>57</v>
      </c>
      <c r="G93" s="17" t="s">
        <v>315</v>
      </c>
      <c r="H93" s="17" t="s">
        <v>1289</v>
      </c>
      <c r="I93" s="20" t="n">
        <v>708</v>
      </c>
      <c r="J93" s="20" t="n">
        <v>22</v>
      </c>
      <c r="K93" s="25" t="n">
        <f aca="false">IFERROR(J93/I93,0)</f>
        <v>0.0310734463276836</v>
      </c>
      <c r="L93" s="19" t="n">
        <v>165.8</v>
      </c>
      <c r="M93" s="20" t="n">
        <v>3</v>
      </c>
      <c r="N93" s="8" t="n">
        <f aca="false">IFERROR(M93/J93,0)</f>
        <v>0.136363636363636</v>
      </c>
    </row>
    <row r="94" customFormat="false" ht="15" hidden="false" customHeight="false" outlineLevel="0" collapsed="false">
      <c r="A94" s="17" t="s">
        <v>15</v>
      </c>
      <c r="B94" s="17" t="s">
        <v>58</v>
      </c>
      <c r="C94" s="17" t="s">
        <v>60</v>
      </c>
      <c r="D94" s="17" t="s">
        <v>66</v>
      </c>
      <c r="E94" s="17" t="s">
        <v>1290</v>
      </c>
      <c r="F94" s="17" t="s">
        <v>57</v>
      </c>
      <c r="G94" s="17" t="s">
        <v>315</v>
      </c>
      <c r="H94" s="17" t="s">
        <v>1291</v>
      </c>
      <c r="I94" s="20" t="n">
        <v>668</v>
      </c>
      <c r="J94" s="20" t="n">
        <v>18</v>
      </c>
      <c r="K94" s="25" t="n">
        <f aca="false">IFERROR(J94/I94,0)</f>
        <v>0.0269461077844311</v>
      </c>
      <c r="L94" s="19" t="n">
        <v>77.22</v>
      </c>
      <c r="M94" s="20" t="n">
        <v>1</v>
      </c>
      <c r="N94" s="8" t="n">
        <f aca="false">IFERROR(M94/J94,0)</f>
        <v>0.0555555555555556</v>
      </c>
    </row>
    <row r="95" customFormat="false" ht="15" hidden="false" customHeight="false" outlineLevel="0" collapsed="false">
      <c r="A95" s="17" t="s">
        <v>15</v>
      </c>
      <c r="B95" s="17" t="s">
        <v>58</v>
      </c>
      <c r="C95" s="17" t="s">
        <v>60</v>
      </c>
      <c r="D95" s="17" t="s">
        <v>66</v>
      </c>
      <c r="E95" s="17" t="s">
        <v>1292</v>
      </c>
      <c r="F95" s="17" t="s">
        <v>57</v>
      </c>
      <c r="G95" s="17" t="s">
        <v>315</v>
      </c>
      <c r="H95" s="17" t="s">
        <v>1293</v>
      </c>
      <c r="I95" s="20" t="n">
        <v>648</v>
      </c>
      <c r="J95" s="20" t="n">
        <v>1</v>
      </c>
      <c r="K95" s="25" t="n">
        <f aca="false">IFERROR(J95/I95,0)</f>
        <v>0.00154320987654321</v>
      </c>
      <c r="L95" s="19" t="n">
        <v>1.53</v>
      </c>
      <c r="M95" s="20" t="n">
        <v>0</v>
      </c>
      <c r="N95" s="8" t="n">
        <f aca="false">IFERROR(M95/J95,0)</f>
        <v>0</v>
      </c>
    </row>
    <row r="96" customFormat="false" ht="15" hidden="false" customHeight="false" outlineLevel="0" collapsed="false">
      <c r="A96" s="17" t="s">
        <v>15</v>
      </c>
      <c r="B96" s="17" t="s">
        <v>58</v>
      </c>
      <c r="C96" s="17" t="s">
        <v>60</v>
      </c>
      <c r="D96" s="17" t="s">
        <v>66</v>
      </c>
      <c r="E96" s="17" t="s">
        <v>1294</v>
      </c>
      <c r="F96" s="17" t="s">
        <v>57</v>
      </c>
      <c r="G96" s="17" t="s">
        <v>315</v>
      </c>
      <c r="H96" s="17" t="s">
        <v>1295</v>
      </c>
      <c r="I96" s="20" t="n">
        <v>628</v>
      </c>
      <c r="J96" s="20" t="n">
        <v>9</v>
      </c>
      <c r="K96" s="25" t="n">
        <f aca="false">IFERROR(J96/I96,0)</f>
        <v>0.0143312101910828</v>
      </c>
      <c r="L96" s="19" t="n">
        <v>41.82</v>
      </c>
      <c r="M96" s="20" t="n">
        <v>0</v>
      </c>
      <c r="N96" s="8" t="n">
        <f aca="false">IFERROR(M96/J96,0)</f>
        <v>0</v>
      </c>
    </row>
    <row r="97" customFormat="false" ht="15" hidden="false" customHeight="false" outlineLevel="0" collapsed="false">
      <c r="A97" s="17" t="s">
        <v>15</v>
      </c>
      <c r="B97" s="17" t="s">
        <v>58</v>
      </c>
      <c r="C97" s="17" t="s">
        <v>60</v>
      </c>
      <c r="D97" s="17" t="s">
        <v>66</v>
      </c>
      <c r="E97" s="17" t="s">
        <v>397</v>
      </c>
      <c r="F97" s="17" t="s">
        <v>57</v>
      </c>
      <c r="G97" s="17" t="s">
        <v>315</v>
      </c>
      <c r="H97" s="17" t="s">
        <v>1296</v>
      </c>
      <c r="I97" s="20" t="n">
        <v>625</v>
      </c>
      <c r="J97" s="20" t="n">
        <v>18</v>
      </c>
      <c r="K97" s="25" t="n">
        <f aca="false">IFERROR(J97/I97,0)</f>
        <v>0.0288</v>
      </c>
      <c r="L97" s="19" t="n">
        <v>144.28</v>
      </c>
      <c r="M97" s="20" t="n">
        <v>4</v>
      </c>
      <c r="N97" s="8" t="n">
        <f aca="false">IFERROR(M97/J97,0)</f>
        <v>0.222222222222222</v>
      </c>
    </row>
    <row r="98" customFormat="false" ht="15" hidden="false" customHeight="false" outlineLevel="0" collapsed="false">
      <c r="A98" s="17" t="s">
        <v>15</v>
      </c>
      <c r="B98" s="17" t="s">
        <v>58</v>
      </c>
      <c r="C98" s="17" t="s">
        <v>60</v>
      </c>
      <c r="D98" s="17" t="s">
        <v>66</v>
      </c>
      <c r="E98" s="17" t="s">
        <v>1297</v>
      </c>
      <c r="F98" s="17" t="s">
        <v>57</v>
      </c>
      <c r="G98" s="17" t="s">
        <v>315</v>
      </c>
      <c r="H98" s="17" t="s">
        <v>1298</v>
      </c>
      <c r="I98" s="20" t="n">
        <v>612</v>
      </c>
      <c r="J98" s="20" t="n">
        <v>3</v>
      </c>
      <c r="K98" s="25" t="n">
        <f aca="false">IFERROR(J98/I98,0)</f>
        <v>0.00490196078431373</v>
      </c>
      <c r="L98" s="19" t="n">
        <v>11.56</v>
      </c>
      <c r="M98" s="20" t="n">
        <v>0</v>
      </c>
      <c r="N98" s="8" t="n">
        <f aca="false">IFERROR(M98/J98,0)</f>
        <v>0</v>
      </c>
    </row>
    <row r="99" customFormat="false" ht="15" hidden="false" customHeight="false" outlineLevel="0" collapsed="false">
      <c r="A99" s="17" t="s">
        <v>15</v>
      </c>
      <c r="B99" s="17" t="s">
        <v>58</v>
      </c>
      <c r="C99" s="17" t="s">
        <v>60</v>
      </c>
      <c r="D99" s="17" t="s">
        <v>66</v>
      </c>
      <c r="E99" s="17" t="s">
        <v>1299</v>
      </c>
      <c r="F99" s="17" t="s">
        <v>57</v>
      </c>
      <c r="G99" s="17" t="s">
        <v>315</v>
      </c>
      <c r="H99" s="17" t="s">
        <v>1300</v>
      </c>
      <c r="I99" s="20" t="n">
        <v>605</v>
      </c>
      <c r="J99" s="20" t="n">
        <v>9</v>
      </c>
      <c r="K99" s="25" t="n">
        <f aca="false">IFERROR(J99/I99,0)</f>
        <v>0.0148760330578512</v>
      </c>
      <c r="L99" s="19" t="n">
        <v>59.98</v>
      </c>
      <c r="M99" s="20" t="n">
        <v>0</v>
      </c>
      <c r="N99" s="8" t="n">
        <f aca="false">IFERROR(M99/J99,0)</f>
        <v>0</v>
      </c>
    </row>
    <row r="100" customFormat="false" ht="15" hidden="false" customHeight="false" outlineLevel="0" collapsed="false">
      <c r="A100" s="17" t="s">
        <v>15</v>
      </c>
      <c r="B100" s="17" t="s">
        <v>58</v>
      </c>
      <c r="C100" s="17" t="s">
        <v>60</v>
      </c>
      <c r="D100" s="17" t="s">
        <v>66</v>
      </c>
      <c r="E100" s="17" t="s">
        <v>1301</v>
      </c>
      <c r="F100" s="17" t="s">
        <v>57</v>
      </c>
      <c r="G100" s="17" t="s">
        <v>315</v>
      </c>
      <c r="H100" s="17" t="s">
        <v>1302</v>
      </c>
      <c r="I100" s="20" t="n">
        <v>594</v>
      </c>
      <c r="J100" s="20" t="n">
        <v>3</v>
      </c>
      <c r="K100" s="25" t="n">
        <f aca="false">IFERROR(J100/I100,0)</f>
        <v>0.00505050505050505</v>
      </c>
      <c r="L100" s="19" t="n">
        <v>13.74</v>
      </c>
      <c r="M100" s="20" t="n">
        <v>0</v>
      </c>
      <c r="N100" s="8" t="n">
        <f aca="false">IFERROR(M100/J100,0)</f>
        <v>0</v>
      </c>
    </row>
    <row r="101" customFormat="false" ht="15" hidden="false" customHeight="false" outlineLevel="0" collapsed="false">
      <c r="A101" s="17" t="s">
        <v>15</v>
      </c>
      <c r="B101" s="17" t="s">
        <v>58</v>
      </c>
      <c r="C101" s="17" t="s">
        <v>60</v>
      </c>
      <c r="D101" s="17" t="s">
        <v>66</v>
      </c>
      <c r="E101" s="17" t="s">
        <v>1303</v>
      </c>
      <c r="F101" s="17" t="s">
        <v>57</v>
      </c>
      <c r="G101" s="17" t="s">
        <v>315</v>
      </c>
      <c r="H101" s="17" t="s">
        <v>1304</v>
      </c>
      <c r="I101" s="20" t="n">
        <v>573</v>
      </c>
      <c r="J101" s="20" t="n">
        <v>1</v>
      </c>
      <c r="K101" s="25" t="n">
        <f aca="false">IFERROR(J101/I101,0)</f>
        <v>0.00174520069808028</v>
      </c>
      <c r="L101" s="19" t="n">
        <v>4.08</v>
      </c>
      <c r="M101" s="20" t="n">
        <v>0</v>
      </c>
      <c r="N101" s="8" t="n">
        <f aca="false">IFERROR(M101/J101,0)</f>
        <v>0</v>
      </c>
    </row>
    <row r="102" customFormat="false" ht="15" hidden="false" customHeight="false" outlineLevel="0" collapsed="false">
      <c r="A102" s="17" t="s">
        <v>15</v>
      </c>
      <c r="B102" s="17" t="s">
        <v>58</v>
      </c>
      <c r="C102" s="17" t="s">
        <v>60</v>
      </c>
      <c r="D102" s="17" t="s">
        <v>66</v>
      </c>
      <c r="E102" s="17" t="s">
        <v>1305</v>
      </c>
      <c r="F102" s="17" t="s">
        <v>57</v>
      </c>
      <c r="G102" s="17" t="s">
        <v>315</v>
      </c>
      <c r="H102" s="17" t="s">
        <v>1306</v>
      </c>
      <c r="I102" s="20" t="n">
        <v>551</v>
      </c>
      <c r="J102" s="20" t="n">
        <v>2</v>
      </c>
      <c r="K102" s="25" t="n">
        <f aca="false">IFERROR(J102/I102,0)</f>
        <v>0.00362976406533575</v>
      </c>
      <c r="L102" s="19" t="n">
        <v>7.4</v>
      </c>
      <c r="M102" s="20" t="n">
        <v>0</v>
      </c>
      <c r="N102" s="8" t="n">
        <f aca="false">IFERROR(M102/J102,0)</f>
        <v>0</v>
      </c>
    </row>
    <row r="103" customFormat="false" ht="15" hidden="false" customHeight="false" outlineLevel="0" collapsed="false">
      <c r="A103" s="17" t="s">
        <v>15</v>
      </c>
      <c r="B103" s="17" t="s">
        <v>58</v>
      </c>
      <c r="C103" s="17" t="s">
        <v>60</v>
      </c>
      <c r="D103" s="17" t="s">
        <v>66</v>
      </c>
      <c r="E103" s="17" t="s">
        <v>1307</v>
      </c>
      <c r="F103" s="17" t="s">
        <v>57</v>
      </c>
      <c r="G103" s="17" t="s">
        <v>315</v>
      </c>
      <c r="H103" s="17" t="s">
        <v>1308</v>
      </c>
      <c r="I103" s="20" t="n">
        <v>507</v>
      </c>
      <c r="J103" s="20" t="n">
        <v>13</v>
      </c>
      <c r="K103" s="25" t="n">
        <f aca="false">IFERROR(J103/I103,0)</f>
        <v>0.0256410256410256</v>
      </c>
      <c r="L103" s="19" t="n">
        <v>59.53</v>
      </c>
      <c r="M103" s="20" t="n">
        <v>2</v>
      </c>
      <c r="N103" s="8" t="n">
        <f aca="false">IFERROR(M103/J103,0)</f>
        <v>0.153846153846154</v>
      </c>
    </row>
    <row r="104" customFormat="false" ht="15" hidden="false" customHeight="false" outlineLevel="0" collapsed="false">
      <c r="A104" s="17" t="s">
        <v>15</v>
      </c>
      <c r="B104" s="17" t="s">
        <v>58</v>
      </c>
      <c r="C104" s="17" t="s">
        <v>60</v>
      </c>
      <c r="D104" s="17" t="s">
        <v>66</v>
      </c>
      <c r="E104" s="17" t="s">
        <v>1309</v>
      </c>
      <c r="F104" s="17" t="s">
        <v>57</v>
      </c>
      <c r="G104" s="17" t="s">
        <v>315</v>
      </c>
      <c r="H104" s="17" t="s">
        <v>1310</v>
      </c>
      <c r="I104" s="20" t="n">
        <v>497</v>
      </c>
      <c r="J104" s="20" t="n">
        <v>2</v>
      </c>
      <c r="K104" s="25" t="n">
        <f aca="false">IFERROR(J104/I104,0)</f>
        <v>0.00402414486921529</v>
      </c>
      <c r="L104" s="19" t="n">
        <v>7.12</v>
      </c>
      <c r="M104" s="20" t="n">
        <v>1</v>
      </c>
      <c r="N104" s="8" t="n">
        <f aca="false">IFERROR(M104/J104,0)</f>
        <v>0.5</v>
      </c>
    </row>
    <row r="105" customFormat="false" ht="15" hidden="false" customHeight="false" outlineLevel="0" collapsed="false">
      <c r="A105" s="17" t="s">
        <v>15</v>
      </c>
      <c r="B105" s="17" t="s">
        <v>58</v>
      </c>
      <c r="C105" s="17" t="s">
        <v>60</v>
      </c>
      <c r="D105" s="17" t="s">
        <v>66</v>
      </c>
      <c r="E105" s="17" t="s">
        <v>1311</v>
      </c>
      <c r="F105" s="17" t="s">
        <v>57</v>
      </c>
      <c r="G105" s="17" t="s">
        <v>315</v>
      </c>
      <c r="H105" s="17" t="s">
        <v>1312</v>
      </c>
      <c r="I105" s="20" t="n">
        <v>479</v>
      </c>
      <c r="J105" s="20" t="n">
        <v>4</v>
      </c>
      <c r="K105" s="25" t="n">
        <f aca="false">IFERROR(J105/I105,0)</f>
        <v>0.00835073068893528</v>
      </c>
      <c r="L105" s="19" t="n">
        <v>17.88</v>
      </c>
      <c r="M105" s="20" t="n">
        <v>0</v>
      </c>
      <c r="N105" s="8" t="n">
        <f aca="false">IFERROR(M105/J105,0)</f>
        <v>0</v>
      </c>
    </row>
    <row r="106" customFormat="false" ht="15" hidden="false" customHeight="false" outlineLevel="0" collapsed="false">
      <c r="A106" s="17" t="s">
        <v>15</v>
      </c>
      <c r="B106" s="17" t="s">
        <v>58</v>
      </c>
      <c r="C106" s="17" t="s">
        <v>60</v>
      </c>
      <c r="D106" s="17" t="s">
        <v>66</v>
      </c>
      <c r="E106" s="17" t="s">
        <v>1313</v>
      </c>
      <c r="F106" s="17" t="s">
        <v>57</v>
      </c>
      <c r="G106" s="17" t="s">
        <v>315</v>
      </c>
      <c r="H106" s="17" t="s">
        <v>1314</v>
      </c>
      <c r="I106" s="20" t="n">
        <v>431</v>
      </c>
      <c r="J106" s="20" t="n">
        <v>15</v>
      </c>
      <c r="K106" s="25" t="n">
        <f aca="false">IFERROR(J106/I106,0)</f>
        <v>0.0348027842227378</v>
      </c>
      <c r="L106" s="19" t="n">
        <v>93.49</v>
      </c>
      <c r="M106" s="20" t="n">
        <v>1</v>
      </c>
      <c r="N106" s="8" t="n">
        <f aca="false">IFERROR(M106/J106,0)</f>
        <v>0.0666666666666667</v>
      </c>
    </row>
    <row r="107" customFormat="false" ht="15" hidden="false" customHeight="false" outlineLevel="0" collapsed="false">
      <c r="A107" s="17" t="s">
        <v>15</v>
      </c>
      <c r="B107" s="17" t="s">
        <v>58</v>
      </c>
      <c r="C107" s="17" t="s">
        <v>60</v>
      </c>
      <c r="D107" s="17" t="s">
        <v>66</v>
      </c>
      <c r="E107" s="17" t="s">
        <v>1315</v>
      </c>
      <c r="F107" s="17" t="s">
        <v>57</v>
      </c>
      <c r="G107" s="17" t="s">
        <v>315</v>
      </c>
      <c r="H107" s="17" t="s">
        <v>1316</v>
      </c>
      <c r="I107" s="20" t="n">
        <v>421</v>
      </c>
      <c r="J107" s="20" t="n">
        <v>11</v>
      </c>
      <c r="K107" s="25" t="n">
        <f aca="false">IFERROR(J107/I107,0)</f>
        <v>0.0261282660332542</v>
      </c>
      <c r="L107" s="19" t="n">
        <v>93.3</v>
      </c>
      <c r="M107" s="20" t="n">
        <v>3</v>
      </c>
      <c r="N107" s="8" t="n">
        <f aca="false">IFERROR(M107/J107,0)</f>
        <v>0.272727272727273</v>
      </c>
    </row>
    <row r="108" customFormat="false" ht="15" hidden="false" customHeight="false" outlineLevel="0" collapsed="false">
      <c r="A108" s="17" t="s">
        <v>15</v>
      </c>
      <c r="B108" s="17" t="s">
        <v>58</v>
      </c>
      <c r="C108" s="17" t="s">
        <v>60</v>
      </c>
      <c r="D108" s="17" t="s">
        <v>60</v>
      </c>
      <c r="E108" s="17" t="s">
        <v>1317</v>
      </c>
      <c r="F108" s="17" t="s">
        <v>57</v>
      </c>
      <c r="G108" s="17" t="s">
        <v>315</v>
      </c>
      <c r="H108" s="17" t="s">
        <v>1318</v>
      </c>
      <c r="I108" s="20" t="n">
        <v>421</v>
      </c>
      <c r="J108" s="20" t="n">
        <v>0</v>
      </c>
      <c r="K108" s="25" t="n">
        <f aca="false">IFERROR(J108/I108,0)</f>
        <v>0</v>
      </c>
      <c r="L108" s="19" t="n">
        <v>0</v>
      </c>
      <c r="M108" s="20" t="n">
        <v>0</v>
      </c>
      <c r="N108" s="8" t="n">
        <f aca="false">IFERROR(M108/J108,0)</f>
        <v>0</v>
      </c>
    </row>
    <row r="109" customFormat="false" ht="15" hidden="false" customHeight="false" outlineLevel="0" collapsed="false">
      <c r="A109" s="17" t="s">
        <v>15</v>
      </c>
      <c r="B109" s="17" t="s">
        <v>58</v>
      </c>
      <c r="C109" s="17" t="s">
        <v>60</v>
      </c>
      <c r="D109" s="17" t="s">
        <v>66</v>
      </c>
      <c r="E109" s="17" t="s">
        <v>1319</v>
      </c>
      <c r="F109" s="17" t="s">
        <v>57</v>
      </c>
      <c r="G109" s="17" t="s">
        <v>315</v>
      </c>
      <c r="H109" s="17" t="s">
        <v>1320</v>
      </c>
      <c r="I109" s="20" t="n">
        <v>409</v>
      </c>
      <c r="J109" s="20" t="n">
        <v>0</v>
      </c>
      <c r="K109" s="25" t="n">
        <f aca="false">IFERROR(J109/I109,0)</f>
        <v>0</v>
      </c>
      <c r="L109" s="19" t="n">
        <v>0</v>
      </c>
      <c r="M109" s="20" t="n">
        <v>0</v>
      </c>
      <c r="N109" s="8" t="n">
        <f aca="false">IFERROR(M109/J109,0)</f>
        <v>0</v>
      </c>
    </row>
    <row r="110" customFormat="false" ht="15" hidden="false" customHeight="false" outlineLevel="0" collapsed="false">
      <c r="A110" s="17" t="s">
        <v>15</v>
      </c>
      <c r="B110" s="17" t="s">
        <v>58</v>
      </c>
      <c r="C110" s="17" t="s">
        <v>60</v>
      </c>
      <c r="D110" s="17" t="s">
        <v>66</v>
      </c>
      <c r="E110" s="17" t="s">
        <v>1321</v>
      </c>
      <c r="F110" s="17" t="s">
        <v>57</v>
      </c>
      <c r="G110" s="17" t="s">
        <v>311</v>
      </c>
      <c r="H110" s="17" t="s">
        <v>1322</v>
      </c>
      <c r="I110" s="20" t="n">
        <v>403</v>
      </c>
      <c r="J110" s="20" t="n">
        <v>2</v>
      </c>
      <c r="K110" s="25" t="n">
        <f aca="false">IFERROR(J110/I110,0)</f>
        <v>0.00496277915632754</v>
      </c>
      <c r="L110" s="19" t="n">
        <v>2.17</v>
      </c>
      <c r="M110" s="20" t="n">
        <v>0</v>
      </c>
      <c r="N110" s="8" t="n">
        <f aca="false">IFERROR(M110/J110,0)</f>
        <v>0</v>
      </c>
    </row>
    <row r="111" customFormat="false" ht="15" hidden="false" customHeight="false" outlineLevel="0" collapsed="false">
      <c r="A111" s="17" t="s">
        <v>15</v>
      </c>
      <c r="B111" s="17" t="s">
        <v>58</v>
      </c>
      <c r="C111" s="17" t="s">
        <v>60</v>
      </c>
      <c r="D111" s="17" t="s">
        <v>66</v>
      </c>
      <c r="E111" s="17" t="s">
        <v>1323</v>
      </c>
      <c r="F111" s="17" t="s">
        <v>57</v>
      </c>
      <c r="G111" s="17" t="s">
        <v>315</v>
      </c>
      <c r="H111" s="17" t="s">
        <v>1324</v>
      </c>
      <c r="I111" s="20" t="n">
        <v>396</v>
      </c>
      <c r="J111" s="20" t="n">
        <v>13</v>
      </c>
      <c r="K111" s="25" t="n">
        <f aca="false">IFERROR(J111/I111,0)</f>
        <v>0.0328282828282828</v>
      </c>
      <c r="L111" s="19" t="n">
        <v>63.44</v>
      </c>
      <c r="M111" s="20" t="n">
        <v>2</v>
      </c>
      <c r="N111" s="8" t="n">
        <f aca="false">IFERROR(M111/J111,0)</f>
        <v>0.153846153846154</v>
      </c>
    </row>
    <row r="112" customFormat="false" ht="15" hidden="false" customHeight="false" outlineLevel="0" collapsed="false">
      <c r="A112" s="17" t="s">
        <v>15</v>
      </c>
      <c r="B112" s="17" t="s">
        <v>58</v>
      </c>
      <c r="C112" s="17" t="s">
        <v>60</v>
      </c>
      <c r="D112" s="17" t="s">
        <v>66</v>
      </c>
      <c r="E112" s="17" t="s">
        <v>1325</v>
      </c>
      <c r="F112" s="17" t="s">
        <v>57</v>
      </c>
      <c r="G112" s="17" t="s">
        <v>315</v>
      </c>
      <c r="H112" s="17" t="s">
        <v>1326</v>
      </c>
      <c r="I112" s="20" t="n">
        <v>393</v>
      </c>
      <c r="J112" s="20" t="n">
        <v>3</v>
      </c>
      <c r="K112" s="25" t="n">
        <f aca="false">IFERROR(J112/I112,0)</f>
        <v>0.00763358778625954</v>
      </c>
      <c r="L112" s="19" t="n">
        <v>9.51</v>
      </c>
      <c r="M112" s="20" t="n">
        <v>0</v>
      </c>
      <c r="N112" s="8" t="n">
        <f aca="false">IFERROR(M112/J112,0)</f>
        <v>0</v>
      </c>
    </row>
    <row r="113" customFormat="false" ht="15" hidden="false" customHeight="false" outlineLevel="0" collapsed="false">
      <c r="A113" s="17" t="s">
        <v>15</v>
      </c>
      <c r="B113" s="17" t="s">
        <v>58</v>
      </c>
      <c r="C113" s="17" t="s">
        <v>60</v>
      </c>
      <c r="D113" s="17" t="s">
        <v>66</v>
      </c>
      <c r="E113" s="17" t="s">
        <v>1327</v>
      </c>
      <c r="F113" s="17" t="s">
        <v>57</v>
      </c>
      <c r="G113" s="17" t="s">
        <v>315</v>
      </c>
      <c r="H113" s="17" t="s">
        <v>1328</v>
      </c>
      <c r="I113" s="20" t="n">
        <v>382</v>
      </c>
      <c r="J113" s="20" t="n">
        <v>1</v>
      </c>
      <c r="K113" s="25" t="n">
        <f aca="false">IFERROR(J113/I113,0)</f>
        <v>0.00261780104712042</v>
      </c>
      <c r="L113" s="19" t="n">
        <v>4.31</v>
      </c>
      <c r="M113" s="20" t="n">
        <v>0</v>
      </c>
      <c r="N113" s="8" t="n">
        <f aca="false">IFERROR(M113/J113,0)</f>
        <v>0</v>
      </c>
    </row>
    <row r="114" customFormat="false" ht="15" hidden="false" customHeight="false" outlineLevel="0" collapsed="false">
      <c r="A114" s="17" t="s">
        <v>15</v>
      </c>
      <c r="B114" s="17" t="s">
        <v>58</v>
      </c>
      <c r="C114" s="17" t="s">
        <v>60</v>
      </c>
      <c r="D114" s="17" t="s">
        <v>66</v>
      </c>
      <c r="E114" s="17" t="s">
        <v>1329</v>
      </c>
      <c r="F114" s="17" t="s">
        <v>57</v>
      </c>
      <c r="G114" s="17" t="s">
        <v>315</v>
      </c>
      <c r="H114" s="17" t="s">
        <v>1330</v>
      </c>
      <c r="I114" s="20" t="n">
        <v>380</v>
      </c>
      <c r="J114" s="20" t="n">
        <v>1</v>
      </c>
      <c r="K114" s="25" t="n">
        <f aca="false">IFERROR(J114/I114,0)</f>
        <v>0.00263157894736842</v>
      </c>
      <c r="L114" s="19" t="n">
        <v>4.08</v>
      </c>
      <c r="M114" s="20" t="n">
        <v>0</v>
      </c>
      <c r="N114" s="8" t="n">
        <f aca="false">IFERROR(M114/J114,0)</f>
        <v>0</v>
      </c>
    </row>
    <row r="115" customFormat="false" ht="15" hidden="false" customHeight="false" outlineLevel="0" collapsed="false">
      <c r="A115" s="17" t="s">
        <v>15</v>
      </c>
      <c r="B115" s="17" t="s">
        <v>58</v>
      </c>
      <c r="C115" s="17" t="s">
        <v>60</v>
      </c>
      <c r="D115" s="17" t="s">
        <v>66</v>
      </c>
      <c r="E115" s="17" t="s">
        <v>1331</v>
      </c>
      <c r="F115" s="17" t="s">
        <v>1332</v>
      </c>
      <c r="G115" s="17" t="s">
        <v>315</v>
      </c>
      <c r="H115" s="17" t="s">
        <v>1333</v>
      </c>
      <c r="I115" s="20" t="n">
        <v>360</v>
      </c>
      <c r="J115" s="20" t="n">
        <v>1</v>
      </c>
      <c r="K115" s="25" t="n">
        <f aca="false">IFERROR(J115/I115,0)</f>
        <v>0.00277777777777778</v>
      </c>
      <c r="L115" s="19" t="n">
        <v>3.67</v>
      </c>
      <c r="M115" s="20" t="n">
        <v>0</v>
      </c>
      <c r="N115" s="8" t="n">
        <f aca="false">IFERROR(M115/J115,0)</f>
        <v>0</v>
      </c>
    </row>
    <row r="116" customFormat="false" ht="15" hidden="false" customHeight="false" outlineLevel="0" collapsed="false">
      <c r="A116" s="17" t="s">
        <v>15</v>
      </c>
      <c r="B116" s="17" t="s">
        <v>58</v>
      </c>
      <c r="C116" s="17" t="s">
        <v>60</v>
      </c>
      <c r="D116" s="17" t="s">
        <v>66</v>
      </c>
      <c r="E116" s="17" t="s">
        <v>1334</v>
      </c>
      <c r="F116" s="17" t="s">
        <v>57</v>
      </c>
      <c r="G116" s="17" t="s">
        <v>315</v>
      </c>
      <c r="H116" s="17" t="s">
        <v>1335</v>
      </c>
      <c r="I116" s="20" t="n">
        <v>316</v>
      </c>
      <c r="J116" s="20" t="n">
        <v>3</v>
      </c>
      <c r="K116" s="25" t="n">
        <f aca="false">IFERROR(J116/I116,0)</f>
        <v>0.00949367088607595</v>
      </c>
      <c r="L116" s="19" t="n">
        <v>9.57</v>
      </c>
      <c r="M116" s="20" t="n">
        <v>0</v>
      </c>
      <c r="N116" s="8" t="n">
        <f aca="false">IFERROR(M116/J116,0)</f>
        <v>0</v>
      </c>
    </row>
    <row r="117" customFormat="false" ht="15" hidden="false" customHeight="false" outlineLevel="0" collapsed="false">
      <c r="A117" s="17" t="s">
        <v>15</v>
      </c>
      <c r="B117" s="17" t="s">
        <v>58</v>
      </c>
      <c r="C117" s="17" t="s">
        <v>60</v>
      </c>
      <c r="D117" s="17" t="s">
        <v>66</v>
      </c>
      <c r="E117" s="17" t="s">
        <v>1336</v>
      </c>
      <c r="F117" s="17" t="s">
        <v>57</v>
      </c>
      <c r="G117" s="17" t="s">
        <v>315</v>
      </c>
      <c r="H117" s="17" t="s">
        <v>1337</v>
      </c>
      <c r="I117" s="20" t="n">
        <v>276</v>
      </c>
      <c r="J117" s="20" t="n">
        <v>0</v>
      </c>
      <c r="K117" s="25" t="n">
        <f aca="false">IFERROR(J117/I117,0)</f>
        <v>0</v>
      </c>
      <c r="L117" s="19" t="n">
        <v>0</v>
      </c>
      <c r="M117" s="20" t="n">
        <v>0</v>
      </c>
      <c r="N117" s="8" t="n">
        <f aca="false">IFERROR(M117/J117,0)</f>
        <v>0</v>
      </c>
    </row>
    <row r="118" customFormat="false" ht="15" hidden="false" customHeight="false" outlineLevel="0" collapsed="false">
      <c r="A118" s="17" t="s">
        <v>15</v>
      </c>
      <c r="B118" s="17" t="s">
        <v>58</v>
      </c>
      <c r="C118" s="17" t="s">
        <v>60</v>
      </c>
      <c r="D118" s="17" t="s">
        <v>66</v>
      </c>
      <c r="E118" s="17" t="s">
        <v>1338</v>
      </c>
      <c r="F118" s="17" t="s">
        <v>57</v>
      </c>
      <c r="G118" s="17" t="s">
        <v>315</v>
      </c>
      <c r="H118" s="17" t="s">
        <v>1339</v>
      </c>
      <c r="I118" s="20" t="n">
        <v>274</v>
      </c>
      <c r="J118" s="20" t="n">
        <v>10</v>
      </c>
      <c r="K118" s="25" t="n">
        <f aca="false">IFERROR(J118/I118,0)</f>
        <v>0.0364963503649635</v>
      </c>
      <c r="L118" s="19" t="n">
        <v>8.18</v>
      </c>
      <c r="M118" s="20" t="n">
        <v>1</v>
      </c>
      <c r="N118" s="8" t="n">
        <f aca="false">IFERROR(M118/J118,0)</f>
        <v>0.1</v>
      </c>
    </row>
    <row r="119" customFormat="false" ht="15" hidden="false" customHeight="false" outlineLevel="0" collapsed="false">
      <c r="A119" s="17" t="s">
        <v>15</v>
      </c>
      <c r="B119" s="17" t="s">
        <v>58</v>
      </c>
      <c r="C119" s="17" t="s">
        <v>60</v>
      </c>
      <c r="D119" s="17" t="s">
        <v>66</v>
      </c>
      <c r="E119" s="17" t="s">
        <v>1340</v>
      </c>
      <c r="F119" s="17" t="s">
        <v>57</v>
      </c>
      <c r="G119" s="17" t="s">
        <v>315</v>
      </c>
      <c r="H119" s="17" t="s">
        <v>1341</v>
      </c>
      <c r="I119" s="20" t="n">
        <v>256</v>
      </c>
      <c r="J119" s="20" t="n">
        <v>14</v>
      </c>
      <c r="K119" s="25" t="n">
        <f aca="false">IFERROR(J119/I119,0)</f>
        <v>0.0546875</v>
      </c>
      <c r="L119" s="19" t="n">
        <v>67.86</v>
      </c>
      <c r="M119" s="20" t="n">
        <v>1</v>
      </c>
      <c r="N119" s="8" t="n">
        <f aca="false">IFERROR(M119/J119,0)</f>
        <v>0.0714285714285714</v>
      </c>
    </row>
    <row r="120" customFormat="false" ht="15" hidden="false" customHeight="false" outlineLevel="0" collapsed="false">
      <c r="A120" s="17" t="s">
        <v>15</v>
      </c>
      <c r="B120" s="17" t="s">
        <v>58</v>
      </c>
      <c r="C120" s="17" t="s">
        <v>60</v>
      </c>
      <c r="D120" s="17" t="s">
        <v>66</v>
      </c>
      <c r="E120" s="17" t="s">
        <v>1342</v>
      </c>
      <c r="F120" s="17" t="s">
        <v>57</v>
      </c>
      <c r="G120" s="17" t="s">
        <v>315</v>
      </c>
      <c r="H120" s="17" t="s">
        <v>1343</v>
      </c>
      <c r="I120" s="20" t="n">
        <v>255</v>
      </c>
      <c r="J120" s="20" t="n">
        <v>4</v>
      </c>
      <c r="K120" s="25" t="n">
        <f aca="false">IFERROR(J120/I120,0)</f>
        <v>0.0156862745098039</v>
      </c>
      <c r="L120" s="19" t="n">
        <v>10.77</v>
      </c>
      <c r="M120" s="20" t="n">
        <v>0</v>
      </c>
      <c r="N120" s="8" t="n">
        <f aca="false">IFERROR(M120/J120,0)</f>
        <v>0</v>
      </c>
    </row>
    <row r="121" customFormat="false" ht="15" hidden="false" customHeight="false" outlineLevel="0" collapsed="false">
      <c r="A121" s="17" t="s">
        <v>15</v>
      </c>
      <c r="B121" s="17" t="s">
        <v>58</v>
      </c>
      <c r="C121" s="17" t="s">
        <v>60</v>
      </c>
      <c r="D121" s="17" t="s">
        <v>66</v>
      </c>
      <c r="E121" s="17" t="s">
        <v>1344</v>
      </c>
      <c r="F121" s="17" t="s">
        <v>57</v>
      </c>
      <c r="G121" s="17" t="s">
        <v>315</v>
      </c>
      <c r="H121" s="17" t="s">
        <v>1345</v>
      </c>
      <c r="I121" s="20" t="n">
        <v>253</v>
      </c>
      <c r="J121" s="20" t="n">
        <v>0</v>
      </c>
      <c r="K121" s="25" t="n">
        <f aca="false">IFERROR(J121/I121,0)</f>
        <v>0</v>
      </c>
      <c r="L121" s="19" t="n">
        <v>0</v>
      </c>
      <c r="M121" s="20" t="n">
        <v>0</v>
      </c>
      <c r="N121" s="8" t="n">
        <f aca="false">IFERROR(M121/J121,0)</f>
        <v>0</v>
      </c>
    </row>
    <row r="122" customFormat="false" ht="15" hidden="false" customHeight="false" outlineLevel="0" collapsed="false">
      <c r="A122" s="17" t="s">
        <v>15</v>
      </c>
      <c r="B122" s="17" t="s">
        <v>58</v>
      </c>
      <c r="C122" s="17" t="s">
        <v>60</v>
      </c>
      <c r="D122" s="17" t="s">
        <v>66</v>
      </c>
      <c r="E122" s="17" t="s">
        <v>1346</v>
      </c>
      <c r="F122" s="17" t="s">
        <v>1347</v>
      </c>
      <c r="G122" s="17" t="s">
        <v>315</v>
      </c>
      <c r="H122" s="17" t="s">
        <v>1348</v>
      </c>
      <c r="I122" s="20" t="n">
        <v>244</v>
      </c>
      <c r="J122" s="20" t="n">
        <v>2</v>
      </c>
      <c r="K122" s="25" t="n">
        <f aca="false">IFERROR(J122/I122,0)</f>
        <v>0.00819672131147541</v>
      </c>
      <c r="L122" s="19" t="n">
        <v>8.43</v>
      </c>
      <c r="M122" s="20" t="n">
        <v>0</v>
      </c>
      <c r="N122" s="8" t="n">
        <f aca="false">IFERROR(M122/J122,0)</f>
        <v>0</v>
      </c>
    </row>
    <row r="123" customFormat="false" ht="15" hidden="false" customHeight="false" outlineLevel="0" collapsed="false">
      <c r="A123" s="17" t="s">
        <v>15</v>
      </c>
      <c r="B123" s="17" t="s">
        <v>58</v>
      </c>
      <c r="C123" s="17" t="s">
        <v>60</v>
      </c>
      <c r="D123" s="17" t="s">
        <v>66</v>
      </c>
      <c r="E123" s="17" t="s">
        <v>1349</v>
      </c>
      <c r="F123" s="17" t="s">
        <v>57</v>
      </c>
      <c r="G123" s="17" t="s">
        <v>315</v>
      </c>
      <c r="H123" s="17" t="s">
        <v>1350</v>
      </c>
      <c r="I123" s="20" t="n">
        <v>242</v>
      </c>
      <c r="J123" s="20" t="n">
        <v>10</v>
      </c>
      <c r="K123" s="25" t="n">
        <f aca="false">IFERROR(J123/I123,0)</f>
        <v>0.0413223140495868</v>
      </c>
      <c r="L123" s="19" t="n">
        <v>49.77</v>
      </c>
      <c r="M123" s="20" t="n">
        <v>1</v>
      </c>
      <c r="N123" s="8" t="n">
        <f aca="false">IFERROR(M123/J123,0)</f>
        <v>0.1</v>
      </c>
    </row>
    <row r="124" customFormat="false" ht="15" hidden="false" customHeight="false" outlineLevel="0" collapsed="false">
      <c r="A124" s="17" t="s">
        <v>15</v>
      </c>
      <c r="B124" s="17" t="s">
        <v>58</v>
      </c>
      <c r="C124" s="17" t="s">
        <v>60</v>
      </c>
      <c r="D124" s="17" t="s">
        <v>66</v>
      </c>
      <c r="E124" s="17" t="s">
        <v>1351</v>
      </c>
      <c r="F124" s="17" t="s">
        <v>57</v>
      </c>
      <c r="G124" s="17" t="s">
        <v>315</v>
      </c>
      <c r="H124" s="17" t="s">
        <v>1227</v>
      </c>
      <c r="I124" s="20" t="n">
        <v>223</v>
      </c>
      <c r="J124" s="20" t="n">
        <v>1</v>
      </c>
      <c r="K124" s="25" t="n">
        <f aca="false">IFERROR(J124/I124,0)</f>
        <v>0.00448430493273543</v>
      </c>
      <c r="L124" s="19" t="n">
        <v>1.05</v>
      </c>
      <c r="M124" s="20" t="n">
        <v>0</v>
      </c>
      <c r="N124" s="8" t="n">
        <f aca="false">IFERROR(M124/J124,0)</f>
        <v>0</v>
      </c>
    </row>
    <row r="125" customFormat="false" ht="15" hidden="false" customHeight="false" outlineLevel="0" collapsed="false">
      <c r="A125" s="17" t="s">
        <v>15</v>
      </c>
      <c r="B125" s="17" t="s">
        <v>58</v>
      </c>
      <c r="C125" s="17" t="s">
        <v>60</v>
      </c>
      <c r="D125" s="17" t="s">
        <v>66</v>
      </c>
      <c r="E125" s="17" t="s">
        <v>1352</v>
      </c>
      <c r="F125" s="17" t="s">
        <v>57</v>
      </c>
      <c r="G125" s="17" t="s">
        <v>315</v>
      </c>
      <c r="H125" s="17" t="s">
        <v>1353</v>
      </c>
      <c r="I125" s="20" t="n">
        <v>222</v>
      </c>
      <c r="J125" s="20" t="n">
        <v>4</v>
      </c>
      <c r="K125" s="25" t="n">
        <f aca="false">IFERROR(J125/I125,0)</f>
        <v>0.018018018018018</v>
      </c>
      <c r="L125" s="19" t="n">
        <v>21.26</v>
      </c>
      <c r="M125" s="20" t="n">
        <v>0</v>
      </c>
      <c r="N125" s="8" t="n">
        <f aca="false">IFERROR(M125/J125,0)</f>
        <v>0</v>
      </c>
    </row>
    <row r="126" customFormat="false" ht="15" hidden="false" customHeight="false" outlineLevel="0" collapsed="false">
      <c r="A126" s="17" t="s">
        <v>15</v>
      </c>
      <c r="B126" s="17" t="s">
        <v>58</v>
      </c>
      <c r="C126" s="17" t="s">
        <v>60</v>
      </c>
      <c r="D126" s="17" t="s">
        <v>66</v>
      </c>
      <c r="E126" s="17" t="s">
        <v>1354</v>
      </c>
      <c r="F126" s="17" t="s">
        <v>57</v>
      </c>
      <c r="G126" s="17" t="s">
        <v>315</v>
      </c>
      <c r="H126" s="17" t="s">
        <v>1355</v>
      </c>
      <c r="I126" s="20" t="n">
        <v>218</v>
      </c>
      <c r="J126" s="20" t="n">
        <v>0</v>
      </c>
      <c r="K126" s="25" t="n">
        <f aca="false">IFERROR(J126/I126,0)</f>
        <v>0</v>
      </c>
      <c r="L126" s="19" t="n">
        <v>0</v>
      </c>
      <c r="M126" s="20" t="n">
        <v>0</v>
      </c>
      <c r="N126" s="8" t="n">
        <f aca="false">IFERROR(M126/J126,0)</f>
        <v>0</v>
      </c>
    </row>
    <row r="127" customFormat="false" ht="15" hidden="false" customHeight="false" outlineLevel="0" collapsed="false">
      <c r="A127" s="17" t="s">
        <v>15</v>
      </c>
      <c r="B127" s="17" t="s">
        <v>58</v>
      </c>
      <c r="C127" s="17" t="s">
        <v>60</v>
      </c>
      <c r="D127" s="17" t="s">
        <v>66</v>
      </c>
      <c r="E127" s="17" t="s">
        <v>1356</v>
      </c>
      <c r="F127" s="17" t="s">
        <v>57</v>
      </c>
      <c r="G127" s="17" t="s">
        <v>315</v>
      </c>
      <c r="H127" s="17" t="s">
        <v>1357</v>
      </c>
      <c r="I127" s="20" t="n">
        <v>200</v>
      </c>
      <c r="J127" s="20" t="n">
        <v>5</v>
      </c>
      <c r="K127" s="25" t="n">
        <f aca="false">IFERROR(J127/I127,0)</f>
        <v>0.025</v>
      </c>
      <c r="L127" s="19" t="n">
        <v>20.53</v>
      </c>
      <c r="M127" s="20" t="n">
        <v>0</v>
      </c>
      <c r="N127" s="8" t="n">
        <f aca="false">IFERROR(M127/J127,0)</f>
        <v>0</v>
      </c>
    </row>
    <row r="128" customFormat="false" ht="15" hidden="false" customHeight="false" outlineLevel="0" collapsed="false">
      <c r="A128" s="17" t="s">
        <v>15</v>
      </c>
      <c r="B128" s="17" t="s">
        <v>58</v>
      </c>
      <c r="C128" s="17" t="s">
        <v>60</v>
      </c>
      <c r="D128" s="17" t="s">
        <v>66</v>
      </c>
      <c r="E128" s="17" t="s">
        <v>1358</v>
      </c>
      <c r="F128" s="17" t="s">
        <v>57</v>
      </c>
      <c r="G128" s="17" t="s">
        <v>315</v>
      </c>
      <c r="H128" s="17" t="s">
        <v>1359</v>
      </c>
      <c r="I128" s="20" t="n">
        <v>196</v>
      </c>
      <c r="J128" s="20" t="n">
        <v>2</v>
      </c>
      <c r="K128" s="25" t="n">
        <f aca="false">IFERROR(J128/I128,0)</f>
        <v>0.0102040816326531</v>
      </c>
      <c r="L128" s="19" t="n">
        <v>4.2</v>
      </c>
      <c r="M128" s="20" t="n">
        <v>0</v>
      </c>
      <c r="N128" s="8" t="n">
        <f aca="false">IFERROR(M128/J128,0)</f>
        <v>0</v>
      </c>
    </row>
    <row r="129" customFormat="false" ht="15" hidden="false" customHeight="false" outlineLevel="0" collapsed="false">
      <c r="A129" s="17" t="s">
        <v>15</v>
      </c>
      <c r="B129" s="17" t="s">
        <v>58</v>
      </c>
      <c r="C129" s="17" t="s">
        <v>60</v>
      </c>
      <c r="D129" s="17" t="s">
        <v>66</v>
      </c>
      <c r="E129" s="17" t="s">
        <v>1360</v>
      </c>
      <c r="F129" s="17" t="s">
        <v>57</v>
      </c>
      <c r="G129" s="17" t="s">
        <v>315</v>
      </c>
      <c r="H129" s="17" t="s">
        <v>1361</v>
      </c>
      <c r="I129" s="20" t="n">
        <v>182</v>
      </c>
      <c r="J129" s="20" t="n">
        <v>4</v>
      </c>
      <c r="K129" s="25" t="n">
        <f aca="false">IFERROR(J129/I129,0)</f>
        <v>0.021978021978022</v>
      </c>
      <c r="L129" s="19" t="n">
        <v>16.3</v>
      </c>
      <c r="M129" s="20" t="n">
        <v>1</v>
      </c>
      <c r="N129" s="8" t="n">
        <f aca="false">IFERROR(M129/J129,0)</f>
        <v>0.25</v>
      </c>
    </row>
    <row r="130" customFormat="false" ht="15" hidden="false" customHeight="false" outlineLevel="0" collapsed="false">
      <c r="A130" s="17" t="s">
        <v>15</v>
      </c>
      <c r="B130" s="17" t="s">
        <v>58</v>
      </c>
      <c r="C130" s="17" t="s">
        <v>60</v>
      </c>
      <c r="D130" s="17" t="s">
        <v>66</v>
      </c>
      <c r="E130" s="17" t="s">
        <v>1362</v>
      </c>
      <c r="F130" s="17" t="s">
        <v>57</v>
      </c>
      <c r="G130" s="17" t="s">
        <v>315</v>
      </c>
      <c r="H130" s="17" t="s">
        <v>1363</v>
      </c>
      <c r="I130" s="20" t="n">
        <v>177</v>
      </c>
      <c r="J130" s="20" t="n">
        <v>5</v>
      </c>
      <c r="K130" s="25" t="n">
        <f aca="false">IFERROR(J130/I130,0)</f>
        <v>0.0282485875706215</v>
      </c>
      <c r="L130" s="19" t="n">
        <v>34.24</v>
      </c>
      <c r="M130" s="20" t="n">
        <v>1</v>
      </c>
      <c r="N130" s="8" t="n">
        <f aca="false">IFERROR(M130/J130,0)</f>
        <v>0.2</v>
      </c>
    </row>
    <row r="131" customFormat="false" ht="15" hidden="false" customHeight="false" outlineLevel="0" collapsed="false">
      <c r="A131" s="17" t="s">
        <v>15</v>
      </c>
      <c r="B131" s="17" t="s">
        <v>58</v>
      </c>
      <c r="C131" s="17" t="s">
        <v>60</v>
      </c>
      <c r="D131" s="17" t="s">
        <v>66</v>
      </c>
      <c r="E131" s="17" t="s">
        <v>1364</v>
      </c>
      <c r="F131" s="17" t="s">
        <v>57</v>
      </c>
      <c r="G131" s="17" t="s">
        <v>315</v>
      </c>
      <c r="H131" s="17" t="s">
        <v>1365</v>
      </c>
      <c r="I131" s="20" t="n">
        <v>174</v>
      </c>
      <c r="J131" s="20" t="n">
        <v>1</v>
      </c>
      <c r="K131" s="25" t="n">
        <f aca="false">IFERROR(J131/I131,0)</f>
        <v>0.00574712643678161</v>
      </c>
      <c r="L131" s="19" t="n">
        <v>3.17</v>
      </c>
      <c r="M131" s="20" t="n">
        <v>0</v>
      </c>
      <c r="N131" s="8" t="n">
        <f aca="false">IFERROR(M131/J131,0)</f>
        <v>0</v>
      </c>
    </row>
    <row r="132" customFormat="false" ht="15" hidden="false" customHeight="false" outlineLevel="0" collapsed="false">
      <c r="A132" s="17" t="s">
        <v>15</v>
      </c>
      <c r="B132" s="17" t="s">
        <v>58</v>
      </c>
      <c r="C132" s="17" t="s">
        <v>60</v>
      </c>
      <c r="D132" s="17" t="s">
        <v>66</v>
      </c>
      <c r="E132" s="17" t="s">
        <v>1366</v>
      </c>
      <c r="F132" s="17" t="s">
        <v>57</v>
      </c>
      <c r="G132" s="17" t="s">
        <v>315</v>
      </c>
      <c r="H132" s="17" t="s">
        <v>1367</v>
      </c>
      <c r="I132" s="20" t="n">
        <v>174</v>
      </c>
      <c r="J132" s="20" t="n">
        <v>0</v>
      </c>
      <c r="K132" s="25" t="n">
        <f aca="false">IFERROR(J132/I132,0)</f>
        <v>0</v>
      </c>
      <c r="L132" s="19" t="n">
        <v>0</v>
      </c>
      <c r="M132" s="20" t="n">
        <v>0</v>
      </c>
      <c r="N132" s="8" t="n">
        <f aca="false">IFERROR(M132/J132,0)</f>
        <v>0</v>
      </c>
    </row>
    <row r="133" customFormat="false" ht="15" hidden="false" customHeight="false" outlineLevel="0" collapsed="false">
      <c r="A133" s="17" t="s">
        <v>15</v>
      </c>
      <c r="B133" s="17" t="s">
        <v>58</v>
      </c>
      <c r="C133" s="17" t="s">
        <v>60</v>
      </c>
      <c r="D133" s="17" t="s">
        <v>66</v>
      </c>
      <c r="E133" s="17" t="s">
        <v>1368</v>
      </c>
      <c r="F133" s="17" t="s">
        <v>57</v>
      </c>
      <c r="G133" s="17" t="s">
        <v>315</v>
      </c>
      <c r="H133" s="17" t="s">
        <v>1369</v>
      </c>
      <c r="I133" s="20" t="n">
        <v>168</v>
      </c>
      <c r="J133" s="20" t="n">
        <v>2</v>
      </c>
      <c r="K133" s="25" t="n">
        <f aca="false">IFERROR(J133/I133,0)</f>
        <v>0.0119047619047619</v>
      </c>
      <c r="L133" s="19" t="n">
        <v>7.39</v>
      </c>
      <c r="M133" s="20" t="n">
        <v>1</v>
      </c>
      <c r="N133" s="8" t="n">
        <f aca="false">IFERROR(M133/J133,0)</f>
        <v>0.5</v>
      </c>
    </row>
    <row r="134" customFormat="false" ht="15" hidden="false" customHeight="false" outlineLevel="0" collapsed="false">
      <c r="A134" s="17" t="s">
        <v>15</v>
      </c>
      <c r="B134" s="17" t="s">
        <v>58</v>
      </c>
      <c r="C134" s="17" t="s">
        <v>60</v>
      </c>
      <c r="D134" s="17" t="s">
        <v>66</v>
      </c>
      <c r="E134" s="17" t="s">
        <v>1370</v>
      </c>
      <c r="F134" s="17" t="s">
        <v>57</v>
      </c>
      <c r="G134" s="17" t="s">
        <v>315</v>
      </c>
      <c r="H134" s="17" t="s">
        <v>1371</v>
      </c>
      <c r="I134" s="20" t="n">
        <v>168</v>
      </c>
      <c r="J134" s="20" t="n">
        <v>2</v>
      </c>
      <c r="K134" s="25" t="n">
        <f aca="false">IFERROR(J134/I134,0)</f>
        <v>0.0119047619047619</v>
      </c>
      <c r="L134" s="19" t="n">
        <v>7.34</v>
      </c>
      <c r="M134" s="20" t="n">
        <v>0</v>
      </c>
      <c r="N134" s="8" t="n">
        <f aca="false">IFERROR(M134/J134,0)</f>
        <v>0</v>
      </c>
    </row>
    <row r="135" customFormat="false" ht="15" hidden="false" customHeight="false" outlineLevel="0" collapsed="false">
      <c r="A135" s="17" t="s">
        <v>15</v>
      </c>
      <c r="B135" s="17" t="s">
        <v>58</v>
      </c>
      <c r="C135" s="17" t="s">
        <v>60</v>
      </c>
      <c r="D135" s="17" t="s">
        <v>66</v>
      </c>
      <c r="E135" s="17" t="s">
        <v>1372</v>
      </c>
      <c r="F135" s="17" t="s">
        <v>57</v>
      </c>
      <c r="G135" s="17" t="s">
        <v>315</v>
      </c>
      <c r="H135" s="17" t="s">
        <v>1373</v>
      </c>
      <c r="I135" s="20" t="n">
        <v>167</v>
      </c>
      <c r="J135" s="20" t="n">
        <v>6</v>
      </c>
      <c r="K135" s="25" t="n">
        <f aca="false">IFERROR(J135/I135,0)</f>
        <v>0.0359281437125749</v>
      </c>
      <c r="L135" s="19" t="n">
        <v>29.64</v>
      </c>
      <c r="M135" s="20" t="n">
        <v>0</v>
      </c>
      <c r="N135" s="8" t="n">
        <f aca="false">IFERROR(M135/J135,0)</f>
        <v>0</v>
      </c>
    </row>
    <row r="136" customFormat="false" ht="15" hidden="false" customHeight="false" outlineLevel="0" collapsed="false">
      <c r="A136" s="17" t="s">
        <v>15</v>
      </c>
      <c r="B136" s="17" t="s">
        <v>58</v>
      </c>
      <c r="C136" s="17" t="s">
        <v>60</v>
      </c>
      <c r="D136" s="17" t="s">
        <v>66</v>
      </c>
      <c r="E136" s="17" t="s">
        <v>1374</v>
      </c>
      <c r="F136" s="17" t="s">
        <v>57</v>
      </c>
      <c r="G136" s="17" t="s">
        <v>315</v>
      </c>
      <c r="H136" s="17" t="s">
        <v>1375</v>
      </c>
      <c r="I136" s="20" t="n">
        <v>157</v>
      </c>
      <c r="J136" s="20" t="n">
        <v>1</v>
      </c>
      <c r="K136" s="25" t="n">
        <f aca="false">IFERROR(J136/I136,0)</f>
        <v>0.00636942675159236</v>
      </c>
      <c r="L136" s="19" t="n">
        <v>4.08</v>
      </c>
      <c r="M136" s="20" t="n">
        <v>0</v>
      </c>
      <c r="N136" s="8" t="n">
        <f aca="false">IFERROR(M136/J136,0)</f>
        <v>0</v>
      </c>
    </row>
    <row r="137" customFormat="false" ht="15" hidden="false" customHeight="false" outlineLevel="0" collapsed="false">
      <c r="A137" s="17" t="s">
        <v>15</v>
      </c>
      <c r="B137" s="17" t="s">
        <v>58</v>
      </c>
      <c r="C137" s="17" t="s">
        <v>60</v>
      </c>
      <c r="D137" s="17" t="s">
        <v>66</v>
      </c>
      <c r="E137" s="17" t="s">
        <v>1376</v>
      </c>
      <c r="F137" s="17" t="s">
        <v>57</v>
      </c>
      <c r="G137" s="17" t="s">
        <v>315</v>
      </c>
      <c r="H137" s="17" t="s">
        <v>1377</v>
      </c>
      <c r="I137" s="20" t="n">
        <v>146</v>
      </c>
      <c r="J137" s="20" t="n">
        <v>4</v>
      </c>
      <c r="K137" s="25" t="n">
        <f aca="false">IFERROR(J137/I137,0)</f>
        <v>0.0273972602739726</v>
      </c>
      <c r="L137" s="19" t="n">
        <v>20.4</v>
      </c>
      <c r="M137" s="20" t="n">
        <v>1</v>
      </c>
      <c r="N137" s="8" t="n">
        <f aca="false">IFERROR(M137/J137,0)</f>
        <v>0.25</v>
      </c>
    </row>
    <row r="138" customFormat="false" ht="15" hidden="false" customHeight="false" outlineLevel="0" collapsed="false">
      <c r="A138" s="17" t="s">
        <v>15</v>
      </c>
      <c r="B138" s="17" t="s">
        <v>58</v>
      </c>
      <c r="C138" s="17" t="s">
        <v>60</v>
      </c>
      <c r="D138" s="17" t="s">
        <v>66</v>
      </c>
      <c r="E138" s="17" t="s">
        <v>1378</v>
      </c>
      <c r="F138" s="17" t="s">
        <v>57</v>
      </c>
      <c r="G138" s="17" t="s">
        <v>315</v>
      </c>
      <c r="H138" s="17" t="s">
        <v>1379</v>
      </c>
      <c r="I138" s="20" t="n">
        <v>144</v>
      </c>
      <c r="J138" s="20" t="n">
        <v>1</v>
      </c>
      <c r="K138" s="25" t="n">
        <f aca="false">IFERROR(J138/I138,0)</f>
        <v>0.00694444444444444</v>
      </c>
      <c r="L138" s="19" t="n">
        <v>2.38</v>
      </c>
      <c r="M138" s="20" t="n">
        <v>0</v>
      </c>
      <c r="N138" s="8" t="n">
        <f aca="false">IFERROR(M138/J138,0)</f>
        <v>0</v>
      </c>
    </row>
    <row r="139" customFormat="false" ht="15" hidden="false" customHeight="false" outlineLevel="0" collapsed="false">
      <c r="A139" s="17" t="s">
        <v>15</v>
      </c>
      <c r="B139" s="17" t="s">
        <v>58</v>
      </c>
      <c r="C139" s="17" t="s">
        <v>60</v>
      </c>
      <c r="D139" s="17" t="s">
        <v>66</v>
      </c>
      <c r="E139" s="17" t="s">
        <v>1380</v>
      </c>
      <c r="F139" s="17" t="s">
        <v>57</v>
      </c>
      <c r="G139" s="17" t="s">
        <v>315</v>
      </c>
      <c r="H139" s="17" t="s">
        <v>1381</v>
      </c>
      <c r="I139" s="20" t="n">
        <v>142</v>
      </c>
      <c r="J139" s="20" t="n">
        <v>2</v>
      </c>
      <c r="K139" s="25" t="n">
        <f aca="false">IFERROR(J139/I139,0)</f>
        <v>0.0140845070422535</v>
      </c>
      <c r="L139" s="19" t="n">
        <v>9.88</v>
      </c>
      <c r="M139" s="20" t="n">
        <v>0</v>
      </c>
      <c r="N139" s="8" t="n">
        <f aca="false">IFERROR(M139/J139,0)</f>
        <v>0</v>
      </c>
    </row>
    <row r="140" customFormat="false" ht="15" hidden="false" customHeight="false" outlineLevel="0" collapsed="false">
      <c r="A140" s="17" t="s">
        <v>15</v>
      </c>
      <c r="B140" s="17" t="s">
        <v>58</v>
      </c>
      <c r="C140" s="17" t="s">
        <v>60</v>
      </c>
      <c r="D140" s="17" t="s">
        <v>66</v>
      </c>
      <c r="E140" s="17" t="s">
        <v>1382</v>
      </c>
      <c r="F140" s="17" t="s">
        <v>57</v>
      </c>
      <c r="G140" s="17" t="s">
        <v>315</v>
      </c>
      <c r="H140" s="17" t="s">
        <v>1383</v>
      </c>
      <c r="I140" s="20" t="n">
        <v>140</v>
      </c>
      <c r="J140" s="20" t="n">
        <v>0</v>
      </c>
      <c r="K140" s="25" t="n">
        <f aca="false">IFERROR(J140/I140,0)</f>
        <v>0</v>
      </c>
      <c r="L140" s="19" t="n">
        <v>0</v>
      </c>
      <c r="M140" s="20" t="n">
        <v>0</v>
      </c>
      <c r="N140" s="8" t="n">
        <f aca="false">IFERROR(M140/J140,0)</f>
        <v>0</v>
      </c>
    </row>
    <row r="141" customFormat="false" ht="15" hidden="false" customHeight="false" outlineLevel="0" collapsed="false">
      <c r="A141" s="17" t="s">
        <v>15</v>
      </c>
      <c r="B141" s="17" t="s">
        <v>58</v>
      </c>
      <c r="C141" s="17" t="s">
        <v>60</v>
      </c>
      <c r="D141" s="17" t="s">
        <v>66</v>
      </c>
      <c r="E141" s="17" t="s">
        <v>1384</v>
      </c>
      <c r="F141" s="17" t="s">
        <v>57</v>
      </c>
      <c r="G141" s="17" t="s">
        <v>315</v>
      </c>
      <c r="H141" s="17" t="s">
        <v>1385</v>
      </c>
      <c r="I141" s="20" t="n">
        <v>135</v>
      </c>
      <c r="J141" s="20" t="n">
        <v>5</v>
      </c>
      <c r="K141" s="25" t="n">
        <f aca="false">IFERROR(J141/I141,0)</f>
        <v>0.037037037037037</v>
      </c>
      <c r="L141" s="19" t="n">
        <v>23.85</v>
      </c>
      <c r="M141" s="20" t="n">
        <v>0</v>
      </c>
      <c r="N141" s="8" t="n">
        <f aca="false">IFERROR(M141/J141,0)</f>
        <v>0</v>
      </c>
    </row>
    <row r="142" customFormat="false" ht="15" hidden="false" customHeight="false" outlineLevel="0" collapsed="false">
      <c r="A142" s="17" t="s">
        <v>15</v>
      </c>
      <c r="B142" s="17" t="s">
        <v>58</v>
      </c>
      <c r="C142" s="17" t="s">
        <v>60</v>
      </c>
      <c r="D142" s="17" t="s">
        <v>66</v>
      </c>
      <c r="E142" s="17" t="s">
        <v>1386</v>
      </c>
      <c r="F142" s="17" t="s">
        <v>57</v>
      </c>
      <c r="G142" s="17" t="s">
        <v>315</v>
      </c>
      <c r="H142" s="17" t="s">
        <v>1387</v>
      </c>
      <c r="I142" s="20" t="n">
        <v>133</v>
      </c>
      <c r="J142" s="20" t="n">
        <v>0</v>
      </c>
      <c r="K142" s="25" t="n">
        <f aca="false">IFERROR(J142/I142,0)</f>
        <v>0</v>
      </c>
      <c r="L142" s="19" t="n">
        <v>0</v>
      </c>
      <c r="M142" s="20" t="n">
        <v>0</v>
      </c>
      <c r="N142" s="8" t="n">
        <f aca="false">IFERROR(M142/J142,0)</f>
        <v>0</v>
      </c>
    </row>
    <row r="143" customFormat="false" ht="15" hidden="false" customHeight="false" outlineLevel="0" collapsed="false">
      <c r="A143" s="17" t="s">
        <v>15</v>
      </c>
      <c r="B143" s="17" t="s">
        <v>58</v>
      </c>
      <c r="C143" s="17" t="s">
        <v>60</v>
      </c>
      <c r="D143" s="17" t="s">
        <v>66</v>
      </c>
      <c r="E143" s="17" t="s">
        <v>1388</v>
      </c>
      <c r="F143" s="17" t="s">
        <v>57</v>
      </c>
      <c r="G143" s="17" t="s">
        <v>315</v>
      </c>
      <c r="H143" s="17" t="s">
        <v>1389</v>
      </c>
      <c r="I143" s="20" t="n">
        <v>133</v>
      </c>
      <c r="J143" s="20" t="n">
        <v>0</v>
      </c>
      <c r="K143" s="25" t="n">
        <f aca="false">IFERROR(J143/I143,0)</f>
        <v>0</v>
      </c>
      <c r="L143" s="19" t="n">
        <v>0</v>
      </c>
      <c r="M143" s="20" t="n">
        <v>0</v>
      </c>
      <c r="N143" s="8" t="n">
        <f aca="false">IFERROR(M143/J143,0)</f>
        <v>0</v>
      </c>
    </row>
    <row r="144" customFormat="false" ht="15" hidden="false" customHeight="false" outlineLevel="0" collapsed="false">
      <c r="A144" s="17" t="s">
        <v>15</v>
      </c>
      <c r="B144" s="17" t="s">
        <v>58</v>
      </c>
      <c r="C144" s="17" t="s">
        <v>60</v>
      </c>
      <c r="D144" s="17" t="s">
        <v>66</v>
      </c>
      <c r="E144" s="17" t="s">
        <v>1390</v>
      </c>
      <c r="F144" s="17" t="s">
        <v>57</v>
      </c>
      <c r="G144" s="17" t="s">
        <v>315</v>
      </c>
      <c r="H144" s="17" t="s">
        <v>1391</v>
      </c>
      <c r="I144" s="20" t="n">
        <v>125</v>
      </c>
      <c r="J144" s="20" t="n">
        <v>1</v>
      </c>
      <c r="K144" s="25" t="n">
        <f aca="false">IFERROR(J144/I144,0)</f>
        <v>0.008</v>
      </c>
      <c r="L144" s="19" t="n">
        <v>6.14</v>
      </c>
      <c r="M144" s="20" t="n">
        <v>0</v>
      </c>
      <c r="N144" s="8" t="n">
        <f aca="false">IFERROR(M144/J144,0)</f>
        <v>0</v>
      </c>
    </row>
    <row r="145" customFormat="false" ht="15" hidden="false" customHeight="false" outlineLevel="0" collapsed="false">
      <c r="A145" s="17" t="s">
        <v>15</v>
      </c>
      <c r="B145" s="17" t="s">
        <v>58</v>
      </c>
      <c r="C145" s="17" t="s">
        <v>60</v>
      </c>
      <c r="D145" s="17" t="s">
        <v>66</v>
      </c>
      <c r="E145" s="17" t="s">
        <v>1392</v>
      </c>
      <c r="F145" s="17" t="s">
        <v>57</v>
      </c>
      <c r="G145" s="17" t="s">
        <v>315</v>
      </c>
      <c r="H145" s="17" t="s">
        <v>1393</v>
      </c>
      <c r="I145" s="20" t="n">
        <v>119</v>
      </c>
      <c r="J145" s="20" t="n">
        <v>2</v>
      </c>
      <c r="K145" s="25" t="n">
        <f aca="false">IFERROR(J145/I145,0)</f>
        <v>0.0168067226890756</v>
      </c>
      <c r="L145" s="19" t="n">
        <v>8.06</v>
      </c>
      <c r="M145" s="20" t="n">
        <v>1</v>
      </c>
      <c r="N145" s="8" t="n">
        <f aca="false">IFERROR(M145/J145,0)</f>
        <v>0.5</v>
      </c>
    </row>
    <row r="146" customFormat="false" ht="15" hidden="false" customHeight="false" outlineLevel="0" collapsed="false">
      <c r="A146" s="17" t="s">
        <v>15</v>
      </c>
      <c r="B146" s="17" t="s">
        <v>58</v>
      </c>
      <c r="C146" s="17" t="s">
        <v>60</v>
      </c>
      <c r="D146" s="17" t="s">
        <v>66</v>
      </c>
      <c r="E146" s="17" t="s">
        <v>1394</v>
      </c>
      <c r="F146" s="17" t="s">
        <v>57</v>
      </c>
      <c r="G146" s="17" t="s">
        <v>315</v>
      </c>
      <c r="H146" s="17" t="s">
        <v>1395</v>
      </c>
      <c r="I146" s="20" t="n">
        <v>119</v>
      </c>
      <c r="J146" s="20" t="n">
        <v>0</v>
      </c>
      <c r="K146" s="25" t="n">
        <f aca="false">IFERROR(J146/I146,0)</f>
        <v>0</v>
      </c>
      <c r="L146" s="19" t="n">
        <v>0</v>
      </c>
      <c r="M146" s="20" t="n">
        <v>0</v>
      </c>
      <c r="N146" s="8" t="n">
        <f aca="false">IFERROR(M146/J146,0)</f>
        <v>0</v>
      </c>
    </row>
    <row r="147" customFormat="false" ht="15" hidden="false" customHeight="false" outlineLevel="0" collapsed="false">
      <c r="A147" s="17" t="s">
        <v>15</v>
      </c>
      <c r="B147" s="17" t="s">
        <v>58</v>
      </c>
      <c r="C147" s="17" t="s">
        <v>60</v>
      </c>
      <c r="D147" s="17" t="s">
        <v>66</v>
      </c>
      <c r="E147" s="17" t="s">
        <v>1396</v>
      </c>
      <c r="F147" s="17" t="s">
        <v>57</v>
      </c>
      <c r="G147" s="17" t="s">
        <v>315</v>
      </c>
      <c r="H147" s="17" t="s">
        <v>1397</v>
      </c>
      <c r="I147" s="20" t="n">
        <v>117</v>
      </c>
      <c r="J147" s="20" t="n">
        <v>1</v>
      </c>
      <c r="K147" s="25" t="n">
        <f aca="false">IFERROR(J147/I147,0)</f>
        <v>0.00854700854700855</v>
      </c>
      <c r="L147" s="19" t="n">
        <v>3.2</v>
      </c>
      <c r="M147" s="20" t="n">
        <v>0</v>
      </c>
      <c r="N147" s="8" t="n">
        <f aca="false">IFERROR(M147/J147,0)</f>
        <v>0</v>
      </c>
    </row>
    <row r="148" customFormat="false" ht="15" hidden="false" customHeight="false" outlineLevel="0" collapsed="false">
      <c r="A148" s="17" t="s">
        <v>15</v>
      </c>
      <c r="B148" s="17" t="s">
        <v>58</v>
      </c>
      <c r="C148" s="17" t="s">
        <v>60</v>
      </c>
      <c r="D148" s="17" t="s">
        <v>66</v>
      </c>
      <c r="E148" s="17" t="s">
        <v>1398</v>
      </c>
      <c r="F148" s="17" t="s">
        <v>57</v>
      </c>
      <c r="G148" s="17" t="s">
        <v>315</v>
      </c>
      <c r="H148" s="17" t="s">
        <v>1399</v>
      </c>
      <c r="I148" s="20" t="n">
        <v>114</v>
      </c>
      <c r="J148" s="20" t="n">
        <v>0</v>
      </c>
      <c r="K148" s="25" t="n">
        <f aca="false">IFERROR(J148/I148,0)</f>
        <v>0</v>
      </c>
      <c r="L148" s="19" t="n">
        <v>0</v>
      </c>
      <c r="M148" s="20" t="n">
        <v>0</v>
      </c>
      <c r="N148" s="8" t="n">
        <f aca="false">IFERROR(M148/J148,0)</f>
        <v>0</v>
      </c>
    </row>
    <row r="149" customFormat="false" ht="15" hidden="false" customHeight="false" outlineLevel="0" collapsed="false">
      <c r="A149" s="17" t="s">
        <v>15</v>
      </c>
      <c r="B149" s="17" t="s">
        <v>58</v>
      </c>
      <c r="C149" s="17" t="s">
        <v>60</v>
      </c>
      <c r="D149" s="17" t="s">
        <v>66</v>
      </c>
      <c r="E149" s="17" t="s">
        <v>1400</v>
      </c>
      <c r="F149" s="17" t="s">
        <v>57</v>
      </c>
      <c r="G149" s="17" t="s">
        <v>315</v>
      </c>
      <c r="H149" s="17" t="s">
        <v>1401</v>
      </c>
      <c r="I149" s="20" t="n">
        <v>113</v>
      </c>
      <c r="J149" s="20" t="n">
        <v>4</v>
      </c>
      <c r="K149" s="25" t="n">
        <f aca="false">IFERROR(J149/I149,0)</f>
        <v>0.0353982300884956</v>
      </c>
      <c r="L149" s="19" t="n">
        <v>25.68</v>
      </c>
      <c r="M149" s="20" t="n">
        <v>1</v>
      </c>
      <c r="N149" s="8" t="n">
        <f aca="false">IFERROR(M149/J149,0)</f>
        <v>0.25</v>
      </c>
    </row>
    <row r="150" customFormat="false" ht="15" hidden="false" customHeight="false" outlineLevel="0" collapsed="false">
      <c r="A150" s="17" t="s">
        <v>15</v>
      </c>
      <c r="B150" s="17" t="s">
        <v>58</v>
      </c>
      <c r="C150" s="17" t="s">
        <v>60</v>
      </c>
      <c r="D150" s="17" t="s">
        <v>66</v>
      </c>
      <c r="E150" s="17" t="s">
        <v>1402</v>
      </c>
      <c r="F150" s="17" t="s">
        <v>57</v>
      </c>
      <c r="G150" s="17" t="s">
        <v>315</v>
      </c>
      <c r="H150" s="17" t="s">
        <v>1403</v>
      </c>
      <c r="I150" s="20" t="n">
        <v>113</v>
      </c>
      <c r="J150" s="20" t="n">
        <v>1</v>
      </c>
      <c r="K150" s="25" t="n">
        <f aca="false">IFERROR(J150/I150,0)</f>
        <v>0.00884955752212389</v>
      </c>
      <c r="L150" s="19" t="n">
        <v>1.9</v>
      </c>
      <c r="M150" s="20" t="n">
        <v>0</v>
      </c>
      <c r="N150" s="8" t="n">
        <f aca="false">IFERROR(M150/J150,0)</f>
        <v>0</v>
      </c>
    </row>
    <row r="151" customFormat="false" ht="15" hidden="false" customHeight="false" outlineLevel="0" collapsed="false">
      <c r="A151" s="17" t="s">
        <v>15</v>
      </c>
      <c r="B151" s="17" t="s">
        <v>58</v>
      </c>
      <c r="C151" s="17" t="s">
        <v>60</v>
      </c>
      <c r="D151" s="17" t="s">
        <v>66</v>
      </c>
      <c r="E151" s="17" t="s">
        <v>1404</v>
      </c>
      <c r="F151" s="17" t="s">
        <v>57</v>
      </c>
      <c r="G151" s="17" t="s">
        <v>315</v>
      </c>
      <c r="H151" s="17" t="s">
        <v>1405</v>
      </c>
      <c r="I151" s="20" t="n">
        <v>112</v>
      </c>
      <c r="J151" s="20" t="n">
        <v>0</v>
      </c>
      <c r="K151" s="25" t="n">
        <f aca="false">IFERROR(J151/I151,0)</f>
        <v>0</v>
      </c>
      <c r="L151" s="19" t="n">
        <v>0</v>
      </c>
      <c r="M151" s="20" t="n">
        <v>0</v>
      </c>
      <c r="N151" s="8" t="n">
        <f aca="false">IFERROR(M151/J151,0)</f>
        <v>0</v>
      </c>
    </row>
    <row r="152" customFormat="false" ht="15" hidden="false" customHeight="false" outlineLevel="0" collapsed="false">
      <c r="A152" s="17" t="s">
        <v>15</v>
      </c>
      <c r="B152" s="17" t="s">
        <v>58</v>
      </c>
      <c r="C152" s="17" t="s">
        <v>66</v>
      </c>
      <c r="D152" s="17" t="s">
        <v>66</v>
      </c>
      <c r="E152" s="17" t="s">
        <v>1406</v>
      </c>
      <c r="F152" s="17" t="s">
        <v>94</v>
      </c>
      <c r="G152" s="17" t="s">
        <v>315</v>
      </c>
      <c r="H152" s="17" t="s">
        <v>1389</v>
      </c>
      <c r="I152" s="20" t="n">
        <v>110</v>
      </c>
      <c r="J152" s="20" t="n">
        <v>4</v>
      </c>
      <c r="K152" s="25" t="n">
        <f aca="false">IFERROR(J152/I152,0)</f>
        <v>0.0363636363636364</v>
      </c>
      <c r="L152" s="19" t="n">
        <v>6.63</v>
      </c>
      <c r="M152" s="20" t="n">
        <v>1</v>
      </c>
      <c r="N152" s="8" t="n">
        <f aca="false">IFERROR(M152/J152,0)</f>
        <v>0.25</v>
      </c>
    </row>
    <row r="153" customFormat="false" ht="15" hidden="false" customHeight="false" outlineLevel="0" collapsed="false">
      <c r="A153" s="17" t="s">
        <v>15</v>
      </c>
      <c r="B153" s="17" t="s">
        <v>58</v>
      </c>
      <c r="C153" s="17" t="s">
        <v>60</v>
      </c>
      <c r="D153" s="17" t="s">
        <v>66</v>
      </c>
      <c r="E153" s="17" t="s">
        <v>1407</v>
      </c>
      <c r="F153" s="17" t="s">
        <v>57</v>
      </c>
      <c r="G153" s="17" t="s">
        <v>315</v>
      </c>
      <c r="H153" s="17" t="s">
        <v>1408</v>
      </c>
      <c r="I153" s="20" t="n">
        <v>98</v>
      </c>
      <c r="J153" s="20" t="n">
        <v>0</v>
      </c>
      <c r="K153" s="25" t="n">
        <f aca="false">IFERROR(J153/I153,0)</f>
        <v>0</v>
      </c>
      <c r="L153" s="19" t="n">
        <v>0</v>
      </c>
      <c r="M153" s="20" t="n">
        <v>0</v>
      </c>
      <c r="N153" s="8" t="n">
        <f aca="false">IFERROR(M153/J153,0)</f>
        <v>0</v>
      </c>
    </row>
    <row r="154" customFormat="false" ht="15" hidden="false" customHeight="false" outlineLevel="0" collapsed="false">
      <c r="A154" s="17" t="s">
        <v>15</v>
      </c>
      <c r="B154" s="17" t="s">
        <v>58</v>
      </c>
      <c r="C154" s="17" t="s">
        <v>60</v>
      </c>
      <c r="D154" s="17" t="s">
        <v>66</v>
      </c>
      <c r="E154" s="17" t="s">
        <v>1409</v>
      </c>
      <c r="F154" s="17" t="s">
        <v>57</v>
      </c>
      <c r="G154" s="17" t="s">
        <v>315</v>
      </c>
      <c r="H154" s="17" t="s">
        <v>1410</v>
      </c>
      <c r="I154" s="20" t="n">
        <v>96</v>
      </c>
      <c r="J154" s="20" t="n">
        <v>3</v>
      </c>
      <c r="K154" s="25" t="n">
        <f aca="false">IFERROR(J154/I154,0)</f>
        <v>0.03125</v>
      </c>
      <c r="L154" s="19" t="n">
        <v>13.12</v>
      </c>
      <c r="M154" s="20" t="n">
        <v>0</v>
      </c>
      <c r="N154" s="8" t="n">
        <f aca="false">IFERROR(M154/J154,0)</f>
        <v>0</v>
      </c>
    </row>
    <row r="155" customFormat="false" ht="15" hidden="false" customHeight="false" outlineLevel="0" collapsed="false">
      <c r="A155" s="17" t="s">
        <v>15</v>
      </c>
      <c r="B155" s="17" t="s">
        <v>58</v>
      </c>
      <c r="C155" s="17" t="s">
        <v>60</v>
      </c>
      <c r="D155" s="17" t="s">
        <v>66</v>
      </c>
      <c r="E155" s="17" t="s">
        <v>1411</v>
      </c>
      <c r="F155" s="17" t="s">
        <v>57</v>
      </c>
      <c r="G155" s="17" t="s">
        <v>315</v>
      </c>
      <c r="H155" s="17" t="s">
        <v>1412</v>
      </c>
      <c r="I155" s="20" t="n">
        <v>96</v>
      </c>
      <c r="J155" s="20" t="n">
        <v>0</v>
      </c>
      <c r="K155" s="25" t="n">
        <f aca="false">IFERROR(J155/I155,0)</f>
        <v>0</v>
      </c>
      <c r="L155" s="19" t="n">
        <v>0</v>
      </c>
      <c r="M155" s="20" t="n">
        <v>0</v>
      </c>
      <c r="N155" s="8" t="n">
        <f aca="false">IFERROR(M155/J155,0)</f>
        <v>0</v>
      </c>
    </row>
    <row r="156" customFormat="false" ht="15" hidden="false" customHeight="false" outlineLevel="0" collapsed="false">
      <c r="A156" s="17" t="s">
        <v>15</v>
      </c>
      <c r="B156" s="17" t="s">
        <v>58</v>
      </c>
      <c r="C156" s="17" t="s">
        <v>60</v>
      </c>
      <c r="D156" s="17" t="s">
        <v>66</v>
      </c>
      <c r="E156" s="17" t="s">
        <v>1413</v>
      </c>
      <c r="F156" s="17" t="s">
        <v>57</v>
      </c>
      <c r="G156" s="17" t="s">
        <v>315</v>
      </c>
      <c r="H156" s="17" t="s">
        <v>1414</v>
      </c>
      <c r="I156" s="20" t="n">
        <v>92</v>
      </c>
      <c r="J156" s="20" t="n">
        <v>0</v>
      </c>
      <c r="K156" s="25" t="n">
        <f aca="false">IFERROR(J156/I156,0)</f>
        <v>0</v>
      </c>
      <c r="L156" s="19" t="n">
        <v>0</v>
      </c>
      <c r="M156" s="20" t="n">
        <v>0</v>
      </c>
      <c r="N156" s="8" t="n">
        <f aca="false">IFERROR(M156/J156,0)</f>
        <v>0</v>
      </c>
    </row>
    <row r="157" customFormat="false" ht="15" hidden="false" customHeight="false" outlineLevel="0" collapsed="false">
      <c r="A157" s="17" t="s">
        <v>15</v>
      </c>
      <c r="B157" s="17" t="s">
        <v>58</v>
      </c>
      <c r="C157" s="17" t="s">
        <v>60</v>
      </c>
      <c r="D157" s="17" t="s">
        <v>66</v>
      </c>
      <c r="E157" s="17" t="s">
        <v>1415</v>
      </c>
      <c r="F157" s="17" t="s">
        <v>57</v>
      </c>
      <c r="G157" s="17" t="s">
        <v>315</v>
      </c>
      <c r="H157" s="17" t="s">
        <v>1416</v>
      </c>
      <c r="I157" s="20" t="n">
        <v>90</v>
      </c>
      <c r="J157" s="20" t="n">
        <v>2</v>
      </c>
      <c r="K157" s="25" t="n">
        <f aca="false">IFERROR(J157/I157,0)</f>
        <v>0.0222222222222222</v>
      </c>
      <c r="L157" s="19" t="n">
        <v>9.72</v>
      </c>
      <c r="M157" s="20" t="n">
        <v>0</v>
      </c>
      <c r="N157" s="8" t="n">
        <f aca="false">IFERROR(M157/J157,0)</f>
        <v>0</v>
      </c>
    </row>
    <row r="158" customFormat="false" ht="15" hidden="false" customHeight="false" outlineLevel="0" collapsed="false">
      <c r="A158" s="17" t="s">
        <v>15</v>
      </c>
      <c r="B158" s="17" t="s">
        <v>58</v>
      </c>
      <c r="C158" s="17" t="s">
        <v>60</v>
      </c>
      <c r="D158" s="17" t="s">
        <v>66</v>
      </c>
      <c r="E158" s="17" t="s">
        <v>1417</v>
      </c>
      <c r="F158" s="17" t="s">
        <v>57</v>
      </c>
      <c r="G158" s="17" t="s">
        <v>315</v>
      </c>
      <c r="H158" s="17" t="s">
        <v>1418</v>
      </c>
      <c r="I158" s="20" t="n">
        <v>89</v>
      </c>
      <c r="J158" s="20" t="n">
        <v>1</v>
      </c>
      <c r="K158" s="25" t="n">
        <f aca="false">IFERROR(J158/I158,0)</f>
        <v>0.0112359550561798</v>
      </c>
      <c r="L158" s="19" t="n">
        <v>2.56</v>
      </c>
      <c r="M158" s="20" t="n">
        <v>0</v>
      </c>
      <c r="N158" s="8" t="n">
        <f aca="false">IFERROR(M158/J158,0)</f>
        <v>0</v>
      </c>
    </row>
    <row r="159" customFormat="false" ht="15" hidden="false" customHeight="false" outlineLevel="0" collapsed="false">
      <c r="A159" s="17" t="s">
        <v>15</v>
      </c>
      <c r="B159" s="17" t="s">
        <v>58</v>
      </c>
      <c r="C159" s="17" t="s">
        <v>60</v>
      </c>
      <c r="D159" s="17" t="s">
        <v>66</v>
      </c>
      <c r="E159" s="17" t="s">
        <v>423</v>
      </c>
      <c r="F159" s="17" t="s">
        <v>57</v>
      </c>
      <c r="G159" s="17" t="s">
        <v>315</v>
      </c>
      <c r="H159" s="17" t="s">
        <v>1419</v>
      </c>
      <c r="I159" s="20" t="n">
        <v>89</v>
      </c>
      <c r="J159" s="20" t="n">
        <v>1</v>
      </c>
      <c r="K159" s="25" t="n">
        <f aca="false">IFERROR(J159/I159,0)</f>
        <v>0.0112359550561798</v>
      </c>
      <c r="L159" s="19" t="n">
        <v>1.99</v>
      </c>
      <c r="M159" s="20" t="n">
        <v>0</v>
      </c>
      <c r="N159" s="8" t="n">
        <f aca="false">IFERROR(M159/J159,0)</f>
        <v>0</v>
      </c>
    </row>
    <row r="160" customFormat="false" ht="15" hidden="false" customHeight="false" outlineLevel="0" collapsed="false">
      <c r="A160" s="17" t="s">
        <v>15</v>
      </c>
      <c r="B160" s="17" t="s">
        <v>58</v>
      </c>
      <c r="C160" s="17" t="s">
        <v>60</v>
      </c>
      <c r="D160" s="17" t="s">
        <v>66</v>
      </c>
      <c r="E160" s="17" t="s">
        <v>1420</v>
      </c>
      <c r="F160" s="17" t="s">
        <v>1421</v>
      </c>
      <c r="G160" s="17" t="s">
        <v>315</v>
      </c>
      <c r="H160" s="17" t="s">
        <v>1422</v>
      </c>
      <c r="I160" s="20" t="n">
        <v>86</v>
      </c>
      <c r="J160" s="20" t="n">
        <v>0</v>
      </c>
      <c r="K160" s="25" t="n">
        <f aca="false">IFERROR(J160/I160,0)</f>
        <v>0</v>
      </c>
      <c r="L160" s="19" t="n">
        <v>0</v>
      </c>
      <c r="M160" s="20" t="n">
        <v>0</v>
      </c>
      <c r="N160" s="8" t="n">
        <f aca="false">IFERROR(M160/J160,0)</f>
        <v>0</v>
      </c>
    </row>
    <row r="161" customFormat="false" ht="15" hidden="false" customHeight="false" outlineLevel="0" collapsed="false">
      <c r="A161" s="17" t="s">
        <v>15</v>
      </c>
      <c r="B161" s="17" t="s">
        <v>58</v>
      </c>
      <c r="C161" s="17" t="s">
        <v>60</v>
      </c>
      <c r="D161" s="17" t="s">
        <v>66</v>
      </c>
      <c r="E161" s="17" t="s">
        <v>371</v>
      </c>
      <c r="F161" s="17" t="s">
        <v>57</v>
      </c>
      <c r="G161" s="17" t="s">
        <v>315</v>
      </c>
      <c r="H161" s="17" t="s">
        <v>1423</v>
      </c>
      <c r="I161" s="20" t="n">
        <v>85</v>
      </c>
      <c r="J161" s="20" t="n">
        <v>2</v>
      </c>
      <c r="K161" s="25" t="n">
        <f aca="false">IFERROR(J161/I161,0)</f>
        <v>0.0235294117647059</v>
      </c>
      <c r="L161" s="19" t="n">
        <v>11.54</v>
      </c>
      <c r="M161" s="20" t="n">
        <v>0</v>
      </c>
      <c r="N161" s="8" t="n">
        <f aca="false">IFERROR(M161/J161,0)</f>
        <v>0</v>
      </c>
    </row>
    <row r="162" customFormat="false" ht="15" hidden="false" customHeight="false" outlineLevel="0" collapsed="false">
      <c r="A162" s="17" t="s">
        <v>15</v>
      </c>
      <c r="B162" s="17" t="s">
        <v>58</v>
      </c>
      <c r="C162" s="17" t="s">
        <v>60</v>
      </c>
      <c r="D162" s="17" t="s">
        <v>66</v>
      </c>
      <c r="E162" s="17" t="s">
        <v>1424</v>
      </c>
      <c r="F162" s="17" t="s">
        <v>57</v>
      </c>
      <c r="G162" s="17" t="s">
        <v>315</v>
      </c>
      <c r="H162" s="17" t="s">
        <v>1425</v>
      </c>
      <c r="I162" s="20" t="n">
        <v>83</v>
      </c>
      <c r="J162" s="20" t="n">
        <v>0</v>
      </c>
      <c r="K162" s="25" t="n">
        <f aca="false">IFERROR(J162/I162,0)</f>
        <v>0</v>
      </c>
      <c r="L162" s="19" t="n">
        <v>0</v>
      </c>
      <c r="M162" s="20" t="n">
        <v>0</v>
      </c>
      <c r="N162" s="8" t="n">
        <f aca="false">IFERROR(M162/J162,0)</f>
        <v>0</v>
      </c>
    </row>
    <row r="163" customFormat="false" ht="15" hidden="false" customHeight="false" outlineLevel="0" collapsed="false">
      <c r="A163" s="17" t="s">
        <v>15</v>
      </c>
      <c r="B163" s="17" t="s">
        <v>58</v>
      </c>
      <c r="C163" s="17" t="s">
        <v>60</v>
      </c>
      <c r="D163" s="17" t="s">
        <v>66</v>
      </c>
      <c r="E163" s="17" t="s">
        <v>334</v>
      </c>
      <c r="F163" s="17" t="s">
        <v>57</v>
      </c>
      <c r="G163" s="17" t="s">
        <v>315</v>
      </c>
      <c r="H163" s="17" t="s">
        <v>1426</v>
      </c>
      <c r="I163" s="20" t="n">
        <v>82</v>
      </c>
      <c r="J163" s="20" t="n">
        <v>6</v>
      </c>
      <c r="K163" s="25" t="n">
        <f aca="false">IFERROR(J163/I163,0)</f>
        <v>0.0731707317073171</v>
      </c>
      <c r="L163" s="19" t="n">
        <v>40.14</v>
      </c>
      <c r="M163" s="20" t="n">
        <v>1</v>
      </c>
      <c r="N163" s="8" t="n">
        <f aca="false">IFERROR(M163/J163,0)</f>
        <v>0.166666666666667</v>
      </c>
    </row>
    <row r="164" customFormat="false" ht="15" hidden="false" customHeight="false" outlineLevel="0" collapsed="false">
      <c r="A164" s="17" t="s">
        <v>15</v>
      </c>
      <c r="B164" s="17" t="s">
        <v>58</v>
      </c>
      <c r="C164" s="17" t="s">
        <v>60</v>
      </c>
      <c r="D164" s="17" t="s">
        <v>60</v>
      </c>
      <c r="E164" s="17" t="s">
        <v>1427</v>
      </c>
      <c r="F164" s="17" t="s">
        <v>57</v>
      </c>
      <c r="G164" s="17" t="s">
        <v>315</v>
      </c>
      <c r="H164" s="17" t="s">
        <v>1428</v>
      </c>
      <c r="I164" s="20" t="n">
        <v>82</v>
      </c>
      <c r="J164" s="20" t="n">
        <v>1</v>
      </c>
      <c r="K164" s="25" t="n">
        <f aca="false">IFERROR(J164/I164,0)</f>
        <v>0.0121951219512195</v>
      </c>
      <c r="L164" s="19" t="n">
        <v>4.67</v>
      </c>
      <c r="M164" s="20" t="n">
        <v>0</v>
      </c>
      <c r="N164" s="8" t="n">
        <f aca="false">IFERROR(M164/J164,0)</f>
        <v>0</v>
      </c>
    </row>
    <row r="165" customFormat="false" ht="15" hidden="false" customHeight="false" outlineLevel="0" collapsed="false">
      <c r="A165" s="17" t="s">
        <v>15</v>
      </c>
      <c r="B165" s="17" t="s">
        <v>58</v>
      </c>
      <c r="C165" s="17" t="s">
        <v>60</v>
      </c>
      <c r="D165" s="17" t="s">
        <v>66</v>
      </c>
      <c r="E165" s="17" t="s">
        <v>1429</v>
      </c>
      <c r="F165" s="17" t="s">
        <v>57</v>
      </c>
      <c r="G165" s="17" t="s">
        <v>315</v>
      </c>
      <c r="H165" s="17" t="s">
        <v>1430</v>
      </c>
      <c r="I165" s="20" t="n">
        <v>79</v>
      </c>
      <c r="J165" s="20" t="n">
        <v>0</v>
      </c>
      <c r="K165" s="25" t="n">
        <f aca="false">IFERROR(J165/I165,0)</f>
        <v>0</v>
      </c>
      <c r="L165" s="19" t="n">
        <v>0</v>
      </c>
      <c r="M165" s="20" t="n">
        <v>0</v>
      </c>
      <c r="N165" s="8" t="n">
        <f aca="false">IFERROR(M165/J165,0)</f>
        <v>0</v>
      </c>
    </row>
    <row r="166" customFormat="false" ht="15" hidden="false" customHeight="false" outlineLevel="0" collapsed="false">
      <c r="A166" s="17" t="s">
        <v>15</v>
      </c>
      <c r="B166" s="17" t="s">
        <v>58</v>
      </c>
      <c r="C166" s="17" t="s">
        <v>60</v>
      </c>
      <c r="D166" s="17" t="s">
        <v>66</v>
      </c>
      <c r="E166" s="17" t="s">
        <v>1431</v>
      </c>
      <c r="F166" s="17" t="s">
        <v>57</v>
      </c>
      <c r="G166" s="17" t="s">
        <v>315</v>
      </c>
      <c r="H166" s="17" t="s">
        <v>1432</v>
      </c>
      <c r="I166" s="20" t="n">
        <v>75</v>
      </c>
      <c r="J166" s="20" t="n">
        <v>1</v>
      </c>
      <c r="K166" s="25" t="n">
        <f aca="false">IFERROR(J166/I166,0)</f>
        <v>0.0133333333333333</v>
      </c>
      <c r="L166" s="19" t="n">
        <v>3.57</v>
      </c>
      <c r="M166" s="20" t="n">
        <v>0</v>
      </c>
      <c r="N166" s="8" t="n">
        <f aca="false">IFERROR(M166/J166,0)</f>
        <v>0</v>
      </c>
    </row>
    <row r="167" customFormat="false" ht="15" hidden="false" customHeight="false" outlineLevel="0" collapsed="false">
      <c r="A167" s="17" t="s">
        <v>15</v>
      </c>
      <c r="B167" s="17" t="s">
        <v>58</v>
      </c>
      <c r="C167" s="17" t="s">
        <v>60</v>
      </c>
      <c r="D167" s="17" t="s">
        <v>66</v>
      </c>
      <c r="E167" s="17" t="s">
        <v>1433</v>
      </c>
      <c r="F167" s="17" t="s">
        <v>57</v>
      </c>
      <c r="G167" s="17" t="s">
        <v>315</v>
      </c>
      <c r="H167" s="17" t="s">
        <v>1434</v>
      </c>
      <c r="I167" s="20" t="n">
        <v>70</v>
      </c>
      <c r="J167" s="20" t="n">
        <v>0</v>
      </c>
      <c r="K167" s="25" t="n">
        <f aca="false">IFERROR(J167/I167,0)</f>
        <v>0</v>
      </c>
      <c r="L167" s="19" t="n">
        <v>0</v>
      </c>
      <c r="M167" s="20" t="n">
        <v>0</v>
      </c>
      <c r="N167" s="8" t="n">
        <f aca="false">IFERROR(M167/J167,0)</f>
        <v>0</v>
      </c>
    </row>
    <row r="168" customFormat="false" ht="15" hidden="false" customHeight="false" outlineLevel="0" collapsed="false">
      <c r="A168" s="17" t="s">
        <v>15</v>
      </c>
      <c r="B168" s="17" t="s">
        <v>58</v>
      </c>
      <c r="C168" s="17" t="s">
        <v>60</v>
      </c>
      <c r="D168" s="17" t="s">
        <v>66</v>
      </c>
      <c r="E168" s="17" t="s">
        <v>1435</v>
      </c>
      <c r="F168" s="17" t="s">
        <v>57</v>
      </c>
      <c r="G168" s="17" t="s">
        <v>315</v>
      </c>
      <c r="H168" s="17" t="s">
        <v>1436</v>
      </c>
      <c r="I168" s="20" t="n">
        <v>68</v>
      </c>
      <c r="J168" s="20" t="n">
        <v>0</v>
      </c>
      <c r="K168" s="25" t="n">
        <f aca="false">IFERROR(J168/I168,0)</f>
        <v>0</v>
      </c>
      <c r="L168" s="19" t="n">
        <v>0</v>
      </c>
      <c r="M168" s="20" t="n">
        <v>0</v>
      </c>
      <c r="N168" s="8" t="n">
        <f aca="false">IFERROR(M168/J168,0)</f>
        <v>0</v>
      </c>
    </row>
    <row r="169" customFormat="false" ht="15" hidden="false" customHeight="false" outlineLevel="0" collapsed="false">
      <c r="A169" s="17" t="s">
        <v>15</v>
      </c>
      <c r="B169" s="17" t="s">
        <v>58</v>
      </c>
      <c r="C169" s="17" t="s">
        <v>60</v>
      </c>
      <c r="D169" s="17" t="s">
        <v>66</v>
      </c>
      <c r="E169" s="17" t="s">
        <v>1437</v>
      </c>
      <c r="F169" s="17" t="s">
        <v>57</v>
      </c>
      <c r="G169" s="17" t="s">
        <v>315</v>
      </c>
      <c r="H169" s="17" t="s">
        <v>1438</v>
      </c>
      <c r="I169" s="20" t="n">
        <v>66</v>
      </c>
      <c r="J169" s="20" t="n">
        <v>0</v>
      </c>
      <c r="K169" s="25" t="n">
        <f aca="false">IFERROR(J169/I169,0)</f>
        <v>0</v>
      </c>
      <c r="L169" s="19" t="n">
        <v>0</v>
      </c>
      <c r="M169" s="20" t="n">
        <v>0</v>
      </c>
      <c r="N169" s="8" t="n">
        <f aca="false">IFERROR(M169/J169,0)</f>
        <v>0</v>
      </c>
    </row>
    <row r="170" customFormat="false" ht="15" hidden="false" customHeight="false" outlineLevel="0" collapsed="false">
      <c r="A170" s="17" t="s">
        <v>15</v>
      </c>
      <c r="B170" s="17" t="s">
        <v>58</v>
      </c>
      <c r="C170" s="17" t="s">
        <v>60</v>
      </c>
      <c r="D170" s="17" t="s">
        <v>66</v>
      </c>
      <c r="E170" s="17" t="s">
        <v>1439</v>
      </c>
      <c r="F170" s="17" t="s">
        <v>1347</v>
      </c>
      <c r="G170" s="17" t="s">
        <v>315</v>
      </c>
      <c r="H170" s="17" t="s">
        <v>1440</v>
      </c>
      <c r="I170" s="20" t="n">
        <v>62</v>
      </c>
      <c r="J170" s="20" t="n">
        <v>0</v>
      </c>
      <c r="K170" s="25" t="n">
        <f aca="false">IFERROR(J170/I170,0)</f>
        <v>0</v>
      </c>
      <c r="L170" s="19" t="n">
        <v>0</v>
      </c>
      <c r="M170" s="20" t="n">
        <v>0</v>
      </c>
      <c r="N170" s="8" t="n">
        <f aca="false">IFERROR(M170/J170,0)</f>
        <v>0</v>
      </c>
    </row>
    <row r="171" customFormat="false" ht="15" hidden="false" customHeight="false" outlineLevel="0" collapsed="false">
      <c r="A171" s="17" t="s">
        <v>15</v>
      </c>
      <c r="B171" s="17" t="s">
        <v>58</v>
      </c>
      <c r="C171" s="17" t="s">
        <v>60</v>
      </c>
      <c r="D171" s="17" t="s">
        <v>66</v>
      </c>
      <c r="E171" s="17" t="s">
        <v>1441</v>
      </c>
      <c r="F171" s="17" t="s">
        <v>57</v>
      </c>
      <c r="G171" s="17" t="s">
        <v>315</v>
      </c>
      <c r="H171" s="17" t="s">
        <v>1442</v>
      </c>
      <c r="I171" s="20" t="n">
        <v>61</v>
      </c>
      <c r="J171" s="20" t="n">
        <v>0</v>
      </c>
      <c r="K171" s="25" t="n">
        <f aca="false">IFERROR(J171/I171,0)</f>
        <v>0</v>
      </c>
      <c r="L171" s="19" t="n">
        <v>0</v>
      </c>
      <c r="M171" s="20" t="n">
        <v>0</v>
      </c>
      <c r="N171" s="8" t="n">
        <f aca="false">IFERROR(M171/J171,0)</f>
        <v>0</v>
      </c>
    </row>
    <row r="172" customFormat="false" ht="15" hidden="false" customHeight="false" outlineLevel="0" collapsed="false">
      <c r="A172" s="17" t="s">
        <v>15</v>
      </c>
      <c r="B172" s="17" t="s">
        <v>58</v>
      </c>
      <c r="C172" s="17" t="s">
        <v>60</v>
      </c>
      <c r="D172" s="17" t="s">
        <v>66</v>
      </c>
      <c r="E172" s="17" t="s">
        <v>1443</v>
      </c>
      <c r="F172" s="17" t="s">
        <v>57</v>
      </c>
      <c r="G172" s="17" t="s">
        <v>315</v>
      </c>
      <c r="H172" s="17" t="s">
        <v>1444</v>
      </c>
      <c r="I172" s="20" t="n">
        <v>60</v>
      </c>
      <c r="J172" s="20" t="n">
        <v>1</v>
      </c>
      <c r="K172" s="25" t="n">
        <f aca="false">IFERROR(J172/I172,0)</f>
        <v>0.0166666666666667</v>
      </c>
      <c r="L172" s="19" t="n">
        <v>2</v>
      </c>
      <c r="M172" s="20" t="n">
        <v>0</v>
      </c>
      <c r="N172" s="8" t="n">
        <f aca="false">IFERROR(M172/J172,0)</f>
        <v>0</v>
      </c>
    </row>
    <row r="173" customFormat="false" ht="15" hidden="false" customHeight="false" outlineLevel="0" collapsed="false">
      <c r="A173" s="17" t="s">
        <v>15</v>
      </c>
      <c r="B173" s="17" t="s">
        <v>58</v>
      </c>
      <c r="C173" s="17" t="s">
        <v>60</v>
      </c>
      <c r="D173" s="17" t="s">
        <v>66</v>
      </c>
      <c r="E173" s="17" t="s">
        <v>1445</v>
      </c>
      <c r="F173" s="17" t="s">
        <v>57</v>
      </c>
      <c r="G173" s="17" t="s">
        <v>315</v>
      </c>
      <c r="H173" s="17" t="s">
        <v>1446</v>
      </c>
      <c r="I173" s="20" t="n">
        <v>60</v>
      </c>
      <c r="J173" s="20" t="n">
        <v>0</v>
      </c>
      <c r="K173" s="25" t="n">
        <f aca="false">IFERROR(J173/I173,0)</f>
        <v>0</v>
      </c>
      <c r="L173" s="19" t="n">
        <v>0</v>
      </c>
      <c r="M173" s="20" t="n">
        <v>0</v>
      </c>
      <c r="N173" s="8" t="n">
        <f aca="false">IFERROR(M173/J173,0)</f>
        <v>0</v>
      </c>
    </row>
    <row r="174" customFormat="false" ht="15" hidden="false" customHeight="false" outlineLevel="0" collapsed="false">
      <c r="A174" s="17" t="s">
        <v>15</v>
      </c>
      <c r="B174" s="17" t="s">
        <v>58</v>
      </c>
      <c r="C174" s="17" t="s">
        <v>60</v>
      </c>
      <c r="D174" s="17" t="s">
        <v>66</v>
      </c>
      <c r="E174" s="17" t="s">
        <v>1447</v>
      </c>
      <c r="F174" s="17" t="s">
        <v>57</v>
      </c>
      <c r="G174" s="17" t="s">
        <v>315</v>
      </c>
      <c r="H174" s="17" t="s">
        <v>1448</v>
      </c>
      <c r="I174" s="20" t="n">
        <v>59</v>
      </c>
      <c r="J174" s="20" t="n">
        <v>0</v>
      </c>
      <c r="K174" s="25" t="n">
        <f aca="false">IFERROR(J174/I174,0)</f>
        <v>0</v>
      </c>
      <c r="L174" s="19" t="n">
        <v>0</v>
      </c>
      <c r="M174" s="20" t="n">
        <v>0</v>
      </c>
      <c r="N174" s="8" t="n">
        <f aca="false">IFERROR(M174/J174,0)</f>
        <v>0</v>
      </c>
    </row>
    <row r="175" customFormat="false" ht="15" hidden="false" customHeight="false" outlineLevel="0" collapsed="false">
      <c r="A175" s="17" t="s">
        <v>15</v>
      </c>
      <c r="B175" s="17" t="s">
        <v>58</v>
      </c>
      <c r="C175" s="17" t="s">
        <v>60</v>
      </c>
      <c r="D175" s="17" t="s">
        <v>66</v>
      </c>
      <c r="E175" s="17" t="s">
        <v>1449</v>
      </c>
      <c r="F175" s="17" t="s">
        <v>57</v>
      </c>
      <c r="G175" s="17" t="s">
        <v>315</v>
      </c>
      <c r="H175" s="17" t="s">
        <v>1231</v>
      </c>
      <c r="I175" s="20" t="n">
        <v>57</v>
      </c>
      <c r="J175" s="20" t="n">
        <v>0</v>
      </c>
      <c r="K175" s="25" t="n">
        <f aca="false">IFERROR(J175/I175,0)</f>
        <v>0</v>
      </c>
      <c r="L175" s="19" t="n">
        <v>0</v>
      </c>
      <c r="M175" s="20" t="n">
        <v>0</v>
      </c>
      <c r="N175" s="8" t="n">
        <f aca="false">IFERROR(M175/J175,0)</f>
        <v>0</v>
      </c>
    </row>
    <row r="176" customFormat="false" ht="15" hidden="false" customHeight="false" outlineLevel="0" collapsed="false">
      <c r="A176" s="17" t="s">
        <v>15</v>
      </c>
      <c r="B176" s="17" t="s">
        <v>58</v>
      </c>
      <c r="C176" s="17" t="s">
        <v>60</v>
      </c>
      <c r="D176" s="17" t="s">
        <v>66</v>
      </c>
      <c r="E176" s="17" t="s">
        <v>1450</v>
      </c>
      <c r="F176" s="17" t="s">
        <v>57</v>
      </c>
      <c r="G176" s="17" t="s">
        <v>315</v>
      </c>
      <c r="H176" s="17" t="s">
        <v>1451</v>
      </c>
      <c r="I176" s="20" t="n">
        <v>56</v>
      </c>
      <c r="J176" s="20" t="n">
        <v>0</v>
      </c>
      <c r="K176" s="25" t="n">
        <f aca="false">IFERROR(J176/I176,0)</f>
        <v>0</v>
      </c>
      <c r="L176" s="19" t="n">
        <v>0</v>
      </c>
      <c r="M176" s="20" t="n">
        <v>0</v>
      </c>
      <c r="N176" s="8" t="n">
        <f aca="false">IFERROR(M176/J176,0)</f>
        <v>0</v>
      </c>
    </row>
    <row r="177" customFormat="false" ht="15" hidden="false" customHeight="false" outlineLevel="0" collapsed="false">
      <c r="A177" s="17" t="s">
        <v>15</v>
      </c>
      <c r="B177" s="17" t="s">
        <v>58</v>
      </c>
      <c r="C177" s="17" t="s">
        <v>60</v>
      </c>
      <c r="D177" s="17" t="s">
        <v>66</v>
      </c>
      <c r="E177" s="17" t="s">
        <v>1452</v>
      </c>
      <c r="F177" s="17" t="s">
        <v>57</v>
      </c>
      <c r="G177" s="17" t="s">
        <v>315</v>
      </c>
      <c r="H177" s="17" t="s">
        <v>1247</v>
      </c>
      <c r="I177" s="20" t="n">
        <v>55</v>
      </c>
      <c r="J177" s="20" t="n">
        <v>0</v>
      </c>
      <c r="K177" s="25" t="n">
        <f aca="false">IFERROR(J177/I177,0)</f>
        <v>0</v>
      </c>
      <c r="L177" s="19" t="n">
        <v>0</v>
      </c>
      <c r="M177" s="20" t="n">
        <v>0</v>
      </c>
      <c r="N177" s="8" t="n">
        <f aca="false">IFERROR(M177/J177,0)</f>
        <v>0</v>
      </c>
    </row>
    <row r="178" customFormat="false" ht="15" hidden="false" customHeight="false" outlineLevel="0" collapsed="false">
      <c r="A178" s="17" t="s">
        <v>15</v>
      </c>
      <c r="B178" s="17" t="s">
        <v>58</v>
      </c>
      <c r="C178" s="17" t="s">
        <v>60</v>
      </c>
      <c r="D178" s="17" t="s">
        <v>66</v>
      </c>
      <c r="E178" s="17" t="s">
        <v>1453</v>
      </c>
      <c r="F178" s="17" t="s">
        <v>57</v>
      </c>
      <c r="G178" s="17" t="s">
        <v>315</v>
      </c>
      <c r="H178" s="17" t="s">
        <v>1454</v>
      </c>
      <c r="I178" s="20" t="n">
        <v>54</v>
      </c>
      <c r="J178" s="20" t="n">
        <v>2</v>
      </c>
      <c r="K178" s="25" t="n">
        <f aca="false">IFERROR(J178/I178,0)</f>
        <v>0.037037037037037</v>
      </c>
      <c r="L178" s="19" t="n">
        <v>10.75</v>
      </c>
      <c r="M178" s="20" t="n">
        <v>2</v>
      </c>
      <c r="N178" s="8" t="n">
        <f aca="false">IFERROR(M178/J178,0)</f>
        <v>1</v>
      </c>
    </row>
    <row r="179" customFormat="false" ht="15" hidden="false" customHeight="false" outlineLevel="0" collapsed="false">
      <c r="A179" s="17" t="s">
        <v>15</v>
      </c>
      <c r="B179" s="17" t="s">
        <v>58</v>
      </c>
      <c r="C179" s="17" t="s">
        <v>60</v>
      </c>
      <c r="D179" s="17" t="s">
        <v>66</v>
      </c>
      <c r="E179" s="17" t="s">
        <v>1455</v>
      </c>
      <c r="F179" s="17" t="s">
        <v>57</v>
      </c>
      <c r="G179" s="17" t="s">
        <v>315</v>
      </c>
      <c r="H179" s="17" t="s">
        <v>1456</v>
      </c>
      <c r="I179" s="20" t="n">
        <v>54</v>
      </c>
      <c r="J179" s="20" t="n">
        <v>0</v>
      </c>
      <c r="K179" s="25" t="n">
        <f aca="false">IFERROR(J179/I179,0)</f>
        <v>0</v>
      </c>
      <c r="L179" s="19" t="n">
        <v>0</v>
      </c>
      <c r="M179" s="20" t="n">
        <v>0</v>
      </c>
      <c r="N179" s="8" t="n">
        <f aca="false">IFERROR(M179/J179,0)</f>
        <v>0</v>
      </c>
    </row>
    <row r="180" customFormat="false" ht="15" hidden="false" customHeight="false" outlineLevel="0" collapsed="false">
      <c r="A180" s="17" t="s">
        <v>15</v>
      </c>
      <c r="B180" s="17" t="s">
        <v>58</v>
      </c>
      <c r="C180" s="17" t="s">
        <v>60</v>
      </c>
      <c r="D180" s="17" t="s">
        <v>66</v>
      </c>
      <c r="E180" s="17" t="s">
        <v>405</v>
      </c>
      <c r="F180" s="17" t="s">
        <v>57</v>
      </c>
      <c r="G180" s="17" t="s">
        <v>315</v>
      </c>
      <c r="H180" s="17" t="s">
        <v>1265</v>
      </c>
      <c r="I180" s="20" t="n">
        <v>53</v>
      </c>
      <c r="J180" s="20" t="n">
        <v>1</v>
      </c>
      <c r="K180" s="25" t="n">
        <f aca="false">IFERROR(J180/I180,0)</f>
        <v>0.0188679245283019</v>
      </c>
      <c r="L180" s="19" t="n">
        <v>3.58</v>
      </c>
      <c r="M180" s="20" t="n">
        <v>0</v>
      </c>
      <c r="N180" s="8" t="n">
        <f aca="false">IFERROR(M180/J180,0)</f>
        <v>0</v>
      </c>
    </row>
    <row r="181" customFormat="false" ht="15" hidden="false" customHeight="false" outlineLevel="0" collapsed="false">
      <c r="A181" s="17" t="s">
        <v>15</v>
      </c>
      <c r="B181" s="17" t="s">
        <v>58</v>
      </c>
      <c r="C181" s="17" t="s">
        <v>60</v>
      </c>
      <c r="D181" s="17" t="s">
        <v>66</v>
      </c>
      <c r="E181" s="17" t="s">
        <v>1457</v>
      </c>
      <c r="F181" s="17" t="s">
        <v>57</v>
      </c>
      <c r="G181" s="17" t="s">
        <v>315</v>
      </c>
      <c r="H181" s="17" t="s">
        <v>1458</v>
      </c>
      <c r="I181" s="20" t="n">
        <v>52</v>
      </c>
      <c r="J181" s="20" t="n">
        <v>1</v>
      </c>
      <c r="K181" s="25" t="n">
        <f aca="false">IFERROR(J181/I181,0)</f>
        <v>0.0192307692307692</v>
      </c>
      <c r="L181" s="19" t="n">
        <v>2.85</v>
      </c>
      <c r="M181" s="20" t="n">
        <v>0</v>
      </c>
      <c r="N181" s="8" t="n">
        <f aca="false">IFERROR(M181/J181,0)</f>
        <v>0</v>
      </c>
    </row>
    <row r="182" customFormat="false" ht="15" hidden="false" customHeight="false" outlineLevel="0" collapsed="false">
      <c r="A182" s="17" t="s">
        <v>15</v>
      </c>
      <c r="B182" s="17" t="s">
        <v>58</v>
      </c>
      <c r="C182" s="17" t="s">
        <v>60</v>
      </c>
      <c r="D182" s="17" t="s">
        <v>66</v>
      </c>
      <c r="E182" s="17" t="s">
        <v>1459</v>
      </c>
      <c r="F182" s="17" t="s">
        <v>57</v>
      </c>
      <c r="G182" s="17" t="s">
        <v>315</v>
      </c>
      <c r="H182" s="17" t="s">
        <v>1460</v>
      </c>
      <c r="I182" s="20" t="n">
        <v>49</v>
      </c>
      <c r="J182" s="20" t="n">
        <v>0</v>
      </c>
      <c r="K182" s="25" t="n">
        <f aca="false">IFERROR(J182/I182,0)</f>
        <v>0</v>
      </c>
      <c r="L182" s="19" t="n">
        <v>0</v>
      </c>
      <c r="M182" s="20" t="n">
        <v>0</v>
      </c>
      <c r="N182" s="8" t="n">
        <f aca="false">IFERROR(M182/J182,0)</f>
        <v>0</v>
      </c>
    </row>
    <row r="183" customFormat="false" ht="15" hidden="false" customHeight="false" outlineLevel="0" collapsed="false">
      <c r="A183" s="17" t="s">
        <v>15</v>
      </c>
      <c r="B183" s="17" t="s">
        <v>58</v>
      </c>
      <c r="C183" s="17" t="s">
        <v>60</v>
      </c>
      <c r="D183" s="17" t="s">
        <v>66</v>
      </c>
      <c r="E183" s="17" t="s">
        <v>1461</v>
      </c>
      <c r="F183" s="17" t="s">
        <v>57</v>
      </c>
      <c r="G183" s="17" t="s">
        <v>315</v>
      </c>
      <c r="H183" s="17" t="s">
        <v>1462</v>
      </c>
      <c r="I183" s="20" t="n">
        <v>48</v>
      </c>
      <c r="J183" s="20" t="n">
        <v>0</v>
      </c>
      <c r="K183" s="25" t="n">
        <f aca="false">IFERROR(J183/I183,0)</f>
        <v>0</v>
      </c>
      <c r="L183" s="19" t="n">
        <v>0</v>
      </c>
      <c r="M183" s="20" t="n">
        <v>0</v>
      </c>
      <c r="N183" s="8" t="n">
        <f aca="false">IFERROR(M183/J183,0)</f>
        <v>0</v>
      </c>
    </row>
    <row r="184" customFormat="false" ht="15" hidden="false" customHeight="false" outlineLevel="0" collapsed="false">
      <c r="A184" s="17" t="s">
        <v>15</v>
      </c>
      <c r="B184" s="17" t="s">
        <v>58</v>
      </c>
      <c r="C184" s="17" t="s">
        <v>60</v>
      </c>
      <c r="D184" s="17" t="s">
        <v>66</v>
      </c>
      <c r="E184" s="17" t="s">
        <v>1463</v>
      </c>
      <c r="F184" s="17" t="s">
        <v>57</v>
      </c>
      <c r="G184" s="17" t="s">
        <v>315</v>
      </c>
      <c r="H184" s="17" t="s">
        <v>1464</v>
      </c>
      <c r="I184" s="20" t="n">
        <v>42</v>
      </c>
      <c r="J184" s="20" t="n">
        <v>2</v>
      </c>
      <c r="K184" s="25" t="n">
        <f aca="false">IFERROR(J184/I184,0)</f>
        <v>0.0476190476190476</v>
      </c>
      <c r="L184" s="19" t="n">
        <v>6.17</v>
      </c>
      <c r="M184" s="20" t="n">
        <v>0</v>
      </c>
      <c r="N184" s="8" t="n">
        <f aca="false">IFERROR(M184/J184,0)</f>
        <v>0</v>
      </c>
    </row>
    <row r="185" customFormat="false" ht="15" hidden="false" customHeight="false" outlineLevel="0" collapsed="false">
      <c r="A185" s="17" t="s">
        <v>15</v>
      </c>
      <c r="B185" s="17" t="s">
        <v>58</v>
      </c>
      <c r="C185" s="17" t="s">
        <v>66</v>
      </c>
      <c r="D185" s="17" t="s">
        <v>60</v>
      </c>
      <c r="E185" s="17" t="s">
        <v>1465</v>
      </c>
      <c r="F185" s="17" t="s">
        <v>94</v>
      </c>
      <c r="G185" s="17" t="s">
        <v>315</v>
      </c>
      <c r="H185" s="17" t="s">
        <v>1466</v>
      </c>
      <c r="I185" s="20" t="n">
        <v>41</v>
      </c>
      <c r="J185" s="20" t="n">
        <v>0</v>
      </c>
      <c r="K185" s="25" t="n">
        <f aca="false">IFERROR(J185/I185,0)</f>
        <v>0</v>
      </c>
      <c r="L185" s="19" t="n">
        <v>0</v>
      </c>
      <c r="M185" s="20" t="n">
        <v>0</v>
      </c>
      <c r="N185" s="8" t="n">
        <f aca="false">IFERROR(M185/J185,0)</f>
        <v>0</v>
      </c>
    </row>
    <row r="186" customFormat="false" ht="15" hidden="false" customHeight="false" outlineLevel="0" collapsed="false">
      <c r="A186" s="17" t="s">
        <v>15</v>
      </c>
      <c r="B186" s="17" t="s">
        <v>58</v>
      </c>
      <c r="C186" s="17" t="s">
        <v>60</v>
      </c>
      <c r="D186" s="17" t="s">
        <v>66</v>
      </c>
      <c r="E186" s="17" t="s">
        <v>407</v>
      </c>
      <c r="F186" s="17" t="s">
        <v>57</v>
      </c>
      <c r="G186" s="17" t="s">
        <v>315</v>
      </c>
      <c r="H186" s="17" t="s">
        <v>1312</v>
      </c>
      <c r="I186" s="20" t="n">
        <v>38</v>
      </c>
      <c r="J186" s="20" t="n">
        <v>1</v>
      </c>
      <c r="K186" s="25" t="n">
        <f aca="false">IFERROR(J186/I186,0)</f>
        <v>0.0263157894736842</v>
      </c>
      <c r="L186" s="19" t="n">
        <v>3.58</v>
      </c>
      <c r="M186" s="20" t="n">
        <v>0</v>
      </c>
      <c r="N186" s="8" t="n">
        <f aca="false">IFERROR(M186/J186,0)</f>
        <v>0</v>
      </c>
    </row>
    <row r="187" customFormat="false" ht="15" hidden="false" customHeight="false" outlineLevel="0" collapsed="false">
      <c r="A187" s="17" t="s">
        <v>15</v>
      </c>
      <c r="B187" s="17" t="s">
        <v>58</v>
      </c>
      <c r="C187" s="17" t="s">
        <v>60</v>
      </c>
      <c r="D187" s="17" t="s">
        <v>66</v>
      </c>
      <c r="E187" s="17" t="s">
        <v>1467</v>
      </c>
      <c r="F187" s="17" t="s">
        <v>57</v>
      </c>
      <c r="G187" s="17" t="s">
        <v>315</v>
      </c>
      <c r="H187" s="17" t="s">
        <v>1468</v>
      </c>
      <c r="I187" s="20" t="n">
        <v>37</v>
      </c>
      <c r="J187" s="20" t="n">
        <v>0</v>
      </c>
      <c r="K187" s="25" t="n">
        <f aca="false">IFERROR(J187/I187,0)</f>
        <v>0</v>
      </c>
      <c r="L187" s="19" t="n">
        <v>0</v>
      </c>
      <c r="M187" s="20" t="n">
        <v>0</v>
      </c>
      <c r="N187" s="8" t="n">
        <f aca="false">IFERROR(M187/J187,0)</f>
        <v>0</v>
      </c>
    </row>
    <row r="188" customFormat="false" ht="15" hidden="false" customHeight="false" outlineLevel="0" collapsed="false">
      <c r="A188" s="17" t="s">
        <v>15</v>
      </c>
      <c r="B188" s="17" t="s">
        <v>58</v>
      </c>
      <c r="C188" s="17" t="s">
        <v>60</v>
      </c>
      <c r="D188" s="17" t="s">
        <v>66</v>
      </c>
      <c r="E188" s="17" t="s">
        <v>1469</v>
      </c>
      <c r="F188" s="17" t="s">
        <v>57</v>
      </c>
      <c r="G188" s="17" t="s">
        <v>315</v>
      </c>
      <c r="H188" s="17" t="s">
        <v>1470</v>
      </c>
      <c r="I188" s="20" t="n">
        <v>34</v>
      </c>
      <c r="J188" s="20" t="n">
        <v>0</v>
      </c>
      <c r="K188" s="25" t="n">
        <f aca="false">IFERROR(J188/I188,0)</f>
        <v>0</v>
      </c>
      <c r="L188" s="19" t="n">
        <v>0</v>
      </c>
      <c r="M188" s="20" t="n">
        <v>0</v>
      </c>
      <c r="N188" s="8" t="n">
        <f aca="false">IFERROR(M188/J188,0)</f>
        <v>0</v>
      </c>
    </row>
    <row r="189" customFormat="false" ht="15" hidden="false" customHeight="false" outlineLevel="0" collapsed="false">
      <c r="A189" s="17" t="s">
        <v>15</v>
      </c>
      <c r="B189" s="17" t="s">
        <v>58</v>
      </c>
      <c r="C189" s="17" t="s">
        <v>60</v>
      </c>
      <c r="D189" s="17" t="s">
        <v>66</v>
      </c>
      <c r="E189" s="17" t="s">
        <v>1471</v>
      </c>
      <c r="F189" s="17" t="s">
        <v>57</v>
      </c>
      <c r="G189" s="17" t="s">
        <v>315</v>
      </c>
      <c r="H189" s="17" t="s">
        <v>1472</v>
      </c>
      <c r="I189" s="20" t="n">
        <v>33</v>
      </c>
      <c r="J189" s="20" t="n">
        <v>0</v>
      </c>
      <c r="K189" s="25" t="n">
        <f aca="false">IFERROR(J189/I189,0)</f>
        <v>0</v>
      </c>
      <c r="L189" s="19" t="n">
        <v>0</v>
      </c>
      <c r="M189" s="20" t="n">
        <v>0</v>
      </c>
      <c r="N189" s="8" t="n">
        <f aca="false">IFERROR(M189/J189,0)</f>
        <v>0</v>
      </c>
    </row>
    <row r="190" customFormat="false" ht="15" hidden="false" customHeight="false" outlineLevel="0" collapsed="false">
      <c r="A190" s="17" t="s">
        <v>15</v>
      </c>
      <c r="B190" s="17" t="s">
        <v>58</v>
      </c>
      <c r="C190" s="17" t="s">
        <v>60</v>
      </c>
      <c r="D190" s="17" t="s">
        <v>66</v>
      </c>
      <c r="E190" s="17" t="s">
        <v>1473</v>
      </c>
      <c r="F190" s="17" t="s">
        <v>57</v>
      </c>
      <c r="G190" s="17" t="s">
        <v>315</v>
      </c>
      <c r="H190" s="17" t="s">
        <v>1474</v>
      </c>
      <c r="I190" s="20" t="n">
        <v>31</v>
      </c>
      <c r="J190" s="20" t="n">
        <v>2</v>
      </c>
      <c r="K190" s="25" t="n">
        <f aca="false">IFERROR(J190/I190,0)</f>
        <v>0.0645161290322581</v>
      </c>
      <c r="L190" s="19" t="n">
        <v>11.17</v>
      </c>
      <c r="M190" s="20" t="n">
        <v>0</v>
      </c>
      <c r="N190" s="8" t="n">
        <f aca="false">IFERROR(M190/J190,0)</f>
        <v>0</v>
      </c>
    </row>
    <row r="191" customFormat="false" ht="15" hidden="false" customHeight="false" outlineLevel="0" collapsed="false">
      <c r="A191" s="17" t="s">
        <v>15</v>
      </c>
      <c r="B191" s="17" t="s">
        <v>58</v>
      </c>
      <c r="C191" s="17" t="s">
        <v>60</v>
      </c>
      <c r="D191" s="17" t="s">
        <v>66</v>
      </c>
      <c r="E191" s="17" t="s">
        <v>1475</v>
      </c>
      <c r="F191" s="17" t="s">
        <v>57</v>
      </c>
      <c r="G191" s="17" t="s">
        <v>315</v>
      </c>
      <c r="H191" s="17" t="s">
        <v>1476</v>
      </c>
      <c r="I191" s="20" t="n">
        <v>31</v>
      </c>
      <c r="J191" s="20" t="n">
        <v>0</v>
      </c>
      <c r="K191" s="25" t="n">
        <f aca="false">IFERROR(J191/I191,0)</f>
        <v>0</v>
      </c>
      <c r="L191" s="19" t="n">
        <v>0</v>
      </c>
      <c r="M191" s="20" t="n">
        <v>0</v>
      </c>
      <c r="N191" s="8" t="n">
        <f aca="false">IFERROR(M191/J191,0)</f>
        <v>0</v>
      </c>
    </row>
    <row r="192" customFormat="false" ht="15" hidden="false" customHeight="false" outlineLevel="0" collapsed="false">
      <c r="A192" s="17" t="s">
        <v>15</v>
      </c>
      <c r="B192" s="17" t="s">
        <v>58</v>
      </c>
      <c r="C192" s="17" t="s">
        <v>60</v>
      </c>
      <c r="D192" s="17" t="s">
        <v>66</v>
      </c>
      <c r="E192" s="17" t="s">
        <v>1477</v>
      </c>
      <c r="F192" s="17" t="s">
        <v>57</v>
      </c>
      <c r="G192" s="17" t="s">
        <v>315</v>
      </c>
      <c r="H192" s="17" t="s">
        <v>1478</v>
      </c>
      <c r="I192" s="20" t="n">
        <v>30</v>
      </c>
      <c r="J192" s="20" t="n">
        <v>2</v>
      </c>
      <c r="K192" s="25" t="n">
        <f aca="false">IFERROR(J192/I192,0)</f>
        <v>0.0666666666666667</v>
      </c>
      <c r="L192" s="19" t="n">
        <v>8.89</v>
      </c>
      <c r="M192" s="20" t="n">
        <v>1</v>
      </c>
      <c r="N192" s="8" t="n">
        <f aca="false">IFERROR(M192/J192,0)</f>
        <v>0.5</v>
      </c>
    </row>
    <row r="193" customFormat="false" ht="15" hidden="false" customHeight="false" outlineLevel="0" collapsed="false">
      <c r="A193" s="17" t="s">
        <v>15</v>
      </c>
      <c r="B193" s="17" t="s">
        <v>58</v>
      </c>
      <c r="C193" s="17" t="s">
        <v>60</v>
      </c>
      <c r="D193" s="17" t="s">
        <v>66</v>
      </c>
      <c r="E193" s="17" t="s">
        <v>1479</v>
      </c>
      <c r="F193" s="17" t="s">
        <v>57</v>
      </c>
      <c r="G193" s="17" t="s">
        <v>315</v>
      </c>
      <c r="H193" s="17" t="s">
        <v>1480</v>
      </c>
      <c r="I193" s="20" t="n">
        <v>30</v>
      </c>
      <c r="J193" s="20" t="n">
        <v>0</v>
      </c>
      <c r="K193" s="25" t="n">
        <f aca="false">IFERROR(J193/I193,0)</f>
        <v>0</v>
      </c>
      <c r="L193" s="19" t="n">
        <v>0</v>
      </c>
      <c r="M193" s="20" t="n">
        <v>0</v>
      </c>
      <c r="N193" s="8" t="n">
        <f aca="false">IFERROR(M193/J193,0)</f>
        <v>0</v>
      </c>
    </row>
    <row r="194" customFormat="false" ht="15" hidden="false" customHeight="false" outlineLevel="0" collapsed="false">
      <c r="A194" s="17" t="s">
        <v>15</v>
      </c>
      <c r="B194" s="17" t="s">
        <v>58</v>
      </c>
      <c r="C194" s="17" t="s">
        <v>60</v>
      </c>
      <c r="D194" s="17" t="s">
        <v>66</v>
      </c>
      <c r="E194" s="17" t="s">
        <v>1481</v>
      </c>
      <c r="F194" s="17" t="s">
        <v>57</v>
      </c>
      <c r="G194" s="17" t="s">
        <v>315</v>
      </c>
      <c r="H194" s="17" t="s">
        <v>1482</v>
      </c>
      <c r="I194" s="20" t="n">
        <v>29</v>
      </c>
      <c r="J194" s="20" t="n">
        <v>1</v>
      </c>
      <c r="K194" s="25" t="n">
        <f aca="false">IFERROR(J194/I194,0)</f>
        <v>0.0344827586206897</v>
      </c>
      <c r="L194" s="19" t="n">
        <v>3.04</v>
      </c>
      <c r="M194" s="20" t="n">
        <v>0</v>
      </c>
      <c r="N194" s="8" t="n">
        <f aca="false">IFERROR(M194/J194,0)</f>
        <v>0</v>
      </c>
    </row>
    <row r="195" customFormat="false" ht="15" hidden="false" customHeight="false" outlineLevel="0" collapsed="false">
      <c r="A195" s="17" t="s">
        <v>15</v>
      </c>
      <c r="B195" s="17" t="s">
        <v>58</v>
      </c>
      <c r="C195" s="17" t="s">
        <v>60</v>
      </c>
      <c r="D195" s="17" t="s">
        <v>66</v>
      </c>
      <c r="E195" s="17" t="s">
        <v>1483</v>
      </c>
      <c r="F195" s="17" t="s">
        <v>57</v>
      </c>
      <c r="G195" s="17" t="s">
        <v>315</v>
      </c>
      <c r="H195" s="17" t="s">
        <v>1484</v>
      </c>
      <c r="I195" s="20" t="n">
        <v>25</v>
      </c>
      <c r="J195" s="20" t="n">
        <v>0</v>
      </c>
      <c r="K195" s="25" t="n">
        <f aca="false">IFERROR(J195/I195,0)</f>
        <v>0</v>
      </c>
      <c r="L195" s="19" t="n">
        <v>0</v>
      </c>
      <c r="M195" s="20" t="n">
        <v>0</v>
      </c>
      <c r="N195" s="8" t="n">
        <f aca="false">IFERROR(M195/J195,0)</f>
        <v>0</v>
      </c>
    </row>
    <row r="196" customFormat="false" ht="15" hidden="false" customHeight="false" outlineLevel="0" collapsed="false">
      <c r="A196" s="17" t="s">
        <v>15</v>
      </c>
      <c r="B196" s="17" t="s">
        <v>58</v>
      </c>
      <c r="C196" s="17" t="s">
        <v>60</v>
      </c>
      <c r="D196" s="17" t="s">
        <v>66</v>
      </c>
      <c r="E196" s="17" t="s">
        <v>1485</v>
      </c>
      <c r="F196" s="17" t="s">
        <v>57</v>
      </c>
      <c r="G196" s="17" t="s">
        <v>315</v>
      </c>
      <c r="H196" s="17" t="s">
        <v>1486</v>
      </c>
      <c r="I196" s="20" t="n">
        <v>21</v>
      </c>
      <c r="J196" s="20" t="n">
        <v>0</v>
      </c>
      <c r="K196" s="25" t="n">
        <f aca="false">IFERROR(J196/I196,0)</f>
        <v>0</v>
      </c>
      <c r="L196" s="19" t="n">
        <v>0</v>
      </c>
      <c r="M196" s="20" t="n">
        <v>0</v>
      </c>
      <c r="N196" s="8" t="n">
        <f aca="false">IFERROR(M196/J196,0)</f>
        <v>0</v>
      </c>
    </row>
    <row r="197" customFormat="false" ht="15" hidden="false" customHeight="false" outlineLevel="0" collapsed="false">
      <c r="A197" s="17" t="s">
        <v>15</v>
      </c>
      <c r="B197" s="17" t="s">
        <v>58</v>
      </c>
      <c r="C197" s="17" t="s">
        <v>60</v>
      </c>
      <c r="D197" s="17" t="s">
        <v>66</v>
      </c>
      <c r="E197" s="17" t="s">
        <v>1487</v>
      </c>
      <c r="F197" s="17" t="s">
        <v>57</v>
      </c>
      <c r="G197" s="17" t="s">
        <v>315</v>
      </c>
      <c r="H197" s="17" t="s">
        <v>1488</v>
      </c>
      <c r="I197" s="20" t="n">
        <v>15</v>
      </c>
      <c r="J197" s="20" t="n">
        <v>0</v>
      </c>
      <c r="K197" s="25" t="n">
        <f aca="false">IFERROR(J197/I197,0)</f>
        <v>0</v>
      </c>
      <c r="L197" s="19" t="n">
        <v>0</v>
      </c>
      <c r="M197" s="20" t="n">
        <v>0</v>
      </c>
      <c r="N197" s="8" t="n">
        <f aca="false">IFERROR(M197/J197,0)</f>
        <v>0</v>
      </c>
    </row>
    <row r="198" customFormat="false" ht="15" hidden="false" customHeight="false" outlineLevel="0" collapsed="false">
      <c r="A198" s="17" t="s">
        <v>15</v>
      </c>
      <c r="B198" s="17" t="s">
        <v>58</v>
      </c>
      <c r="C198" s="17" t="s">
        <v>60</v>
      </c>
      <c r="D198" s="17" t="s">
        <v>66</v>
      </c>
      <c r="E198" s="17" t="s">
        <v>1489</v>
      </c>
      <c r="F198" s="17" t="s">
        <v>57</v>
      </c>
      <c r="G198" s="17" t="s">
        <v>315</v>
      </c>
      <c r="H198" s="17" t="s">
        <v>1490</v>
      </c>
      <c r="I198" s="20" t="n">
        <v>11</v>
      </c>
      <c r="J198" s="20" t="n">
        <v>0</v>
      </c>
      <c r="K198" s="25" t="n">
        <f aca="false">IFERROR(J198/I198,0)</f>
        <v>0</v>
      </c>
      <c r="L198" s="19" t="n">
        <v>0</v>
      </c>
      <c r="M198" s="20" t="n">
        <v>0</v>
      </c>
      <c r="N198" s="8" t="n">
        <f aca="false">IFERROR(M198/J198,0)</f>
        <v>0</v>
      </c>
    </row>
    <row r="199" customFormat="false" ht="15" hidden="false" customHeight="false" outlineLevel="0" collapsed="false">
      <c r="A199" s="17" t="s">
        <v>15</v>
      </c>
      <c r="B199" s="17" t="s">
        <v>58</v>
      </c>
      <c r="C199" s="17" t="s">
        <v>66</v>
      </c>
      <c r="D199" s="17" t="s">
        <v>66</v>
      </c>
      <c r="E199" s="17" t="s">
        <v>1491</v>
      </c>
      <c r="F199" s="17" t="s">
        <v>100</v>
      </c>
      <c r="G199" s="17" t="s">
        <v>315</v>
      </c>
      <c r="H199" s="17" t="s">
        <v>1293</v>
      </c>
      <c r="I199" s="20" t="n">
        <v>10</v>
      </c>
      <c r="J199" s="20" t="n">
        <v>1</v>
      </c>
      <c r="K199" s="25" t="n">
        <f aca="false">IFERROR(J199/I199,0)</f>
        <v>0.1</v>
      </c>
      <c r="L199" s="19" t="n">
        <v>3.23</v>
      </c>
      <c r="M199" s="20" t="n">
        <v>1</v>
      </c>
      <c r="N199" s="8" t="n">
        <f aca="false">IFERROR(M199/J199,0)</f>
        <v>1</v>
      </c>
    </row>
    <row r="200" customFormat="false" ht="15" hidden="false" customHeight="false" outlineLevel="0" collapsed="false">
      <c r="A200" s="17" t="s">
        <v>15</v>
      </c>
      <c r="B200" s="17" t="s">
        <v>58</v>
      </c>
      <c r="C200" s="17" t="s">
        <v>60</v>
      </c>
      <c r="D200" s="17" t="s">
        <v>66</v>
      </c>
      <c r="E200" s="17" t="s">
        <v>1492</v>
      </c>
      <c r="F200" s="17" t="s">
        <v>57</v>
      </c>
      <c r="G200" s="17" t="s">
        <v>315</v>
      </c>
      <c r="H200" s="17" t="s">
        <v>1387</v>
      </c>
      <c r="I200" s="20" t="n">
        <v>9</v>
      </c>
      <c r="J200" s="20" t="n">
        <v>1</v>
      </c>
      <c r="K200" s="25" t="n">
        <f aca="false">IFERROR(J200/I200,0)</f>
        <v>0.111111111111111</v>
      </c>
      <c r="L200" s="19" t="n">
        <v>3.48</v>
      </c>
      <c r="M200" s="20" t="n">
        <v>0</v>
      </c>
      <c r="N200" s="8" t="n">
        <f aca="false">IFERROR(M200/J200,0)</f>
        <v>0</v>
      </c>
    </row>
    <row r="201" customFormat="false" ht="15" hidden="false" customHeight="false" outlineLevel="0" collapsed="false">
      <c r="A201" s="17" t="s">
        <v>15</v>
      </c>
      <c r="B201" s="17" t="s">
        <v>58</v>
      </c>
      <c r="C201" s="17" t="s">
        <v>60</v>
      </c>
      <c r="D201" s="17" t="s">
        <v>66</v>
      </c>
      <c r="E201" s="17" t="s">
        <v>1493</v>
      </c>
      <c r="F201" s="17" t="s">
        <v>57</v>
      </c>
      <c r="G201" s="17" t="s">
        <v>315</v>
      </c>
      <c r="H201" s="17" t="s">
        <v>1494</v>
      </c>
      <c r="I201" s="20" t="n">
        <v>9</v>
      </c>
      <c r="J201" s="20" t="n">
        <v>0</v>
      </c>
      <c r="K201" s="25" t="n">
        <f aca="false">IFERROR(J201/I201,0)</f>
        <v>0</v>
      </c>
      <c r="L201" s="19" t="n">
        <v>0</v>
      </c>
      <c r="M201" s="20" t="n">
        <v>0</v>
      </c>
      <c r="N201" s="8" t="n">
        <f aca="false">IFERROR(M201/J201,0)</f>
        <v>0</v>
      </c>
    </row>
    <row r="202" customFormat="false" ht="15" hidden="false" customHeight="false" outlineLevel="0" collapsed="false">
      <c r="A202" s="17" t="s">
        <v>15</v>
      </c>
      <c r="B202" s="17" t="s">
        <v>58</v>
      </c>
      <c r="C202" s="17" t="s">
        <v>60</v>
      </c>
      <c r="D202" s="17" t="s">
        <v>66</v>
      </c>
      <c r="E202" s="17" t="s">
        <v>1495</v>
      </c>
      <c r="F202" s="17" t="s">
        <v>57</v>
      </c>
      <c r="G202" s="17" t="s">
        <v>315</v>
      </c>
      <c r="H202" s="17" t="s">
        <v>1298</v>
      </c>
      <c r="I202" s="20" t="n">
        <v>8</v>
      </c>
      <c r="J202" s="20" t="n">
        <v>0</v>
      </c>
      <c r="K202" s="25" t="n">
        <f aca="false">IFERROR(J202/I202,0)</f>
        <v>0</v>
      </c>
      <c r="L202" s="19" t="n">
        <v>0</v>
      </c>
      <c r="M202" s="20" t="n">
        <v>0</v>
      </c>
      <c r="N202" s="8" t="n">
        <f aca="false">IFERROR(M202/J202,0)</f>
        <v>0</v>
      </c>
    </row>
    <row r="203" customFormat="false" ht="15" hidden="false" customHeight="false" outlineLevel="0" collapsed="false">
      <c r="A203" s="17" t="s">
        <v>15</v>
      </c>
      <c r="B203" s="17" t="s">
        <v>58</v>
      </c>
      <c r="C203" s="17" t="s">
        <v>66</v>
      </c>
      <c r="D203" s="17" t="s">
        <v>60</v>
      </c>
      <c r="E203" s="17" t="s">
        <v>1496</v>
      </c>
      <c r="F203" s="17" t="s">
        <v>193</v>
      </c>
      <c r="G203" s="17" t="s">
        <v>315</v>
      </c>
      <c r="H203" s="17" t="s">
        <v>1497</v>
      </c>
      <c r="I203" s="20" t="n">
        <v>7</v>
      </c>
      <c r="J203" s="20" t="n">
        <v>1</v>
      </c>
      <c r="K203" s="25" t="n">
        <f aca="false">IFERROR(J203/I203,0)</f>
        <v>0.142857142857143</v>
      </c>
      <c r="L203" s="19" t="n">
        <v>3.78</v>
      </c>
      <c r="M203" s="20" t="n">
        <v>0</v>
      </c>
      <c r="N203" s="8" t="n">
        <f aca="false">IFERROR(M203/J203,0)</f>
        <v>0</v>
      </c>
    </row>
    <row r="204" customFormat="false" ht="15" hidden="false" customHeight="false" outlineLevel="0" collapsed="false">
      <c r="A204" s="17" t="s">
        <v>15</v>
      </c>
      <c r="B204" s="17" t="s">
        <v>58</v>
      </c>
      <c r="C204" s="17" t="s">
        <v>60</v>
      </c>
      <c r="D204" s="17" t="s">
        <v>66</v>
      </c>
      <c r="E204" s="17" t="s">
        <v>1498</v>
      </c>
      <c r="F204" s="17" t="s">
        <v>57</v>
      </c>
      <c r="G204" s="17" t="s">
        <v>315</v>
      </c>
      <c r="H204" s="17" t="s">
        <v>1499</v>
      </c>
      <c r="I204" s="20" t="n">
        <v>5</v>
      </c>
      <c r="J204" s="20" t="n">
        <v>1</v>
      </c>
      <c r="K204" s="25" t="n">
        <f aca="false">IFERROR(J204/I204,0)</f>
        <v>0.2</v>
      </c>
      <c r="L204" s="19" t="n">
        <v>2.85</v>
      </c>
      <c r="M204" s="20" t="n">
        <v>0</v>
      </c>
      <c r="N204" s="8" t="n">
        <f aca="false">IFERROR(M204/J204,0)</f>
        <v>0</v>
      </c>
    </row>
    <row r="205" customFormat="false" ht="15" hidden="false" customHeight="false" outlineLevel="0" collapsed="false">
      <c r="A205" s="17" t="s">
        <v>15</v>
      </c>
      <c r="B205" s="17" t="s">
        <v>58</v>
      </c>
      <c r="C205" s="17" t="s">
        <v>60</v>
      </c>
      <c r="D205" s="17" t="s">
        <v>66</v>
      </c>
      <c r="E205" s="17" t="s">
        <v>1500</v>
      </c>
      <c r="F205" s="17" t="s">
        <v>1501</v>
      </c>
      <c r="G205" s="17" t="s">
        <v>315</v>
      </c>
      <c r="H205" s="17" t="s">
        <v>1502</v>
      </c>
      <c r="I205" s="20" t="n">
        <v>5</v>
      </c>
      <c r="J205" s="20" t="n">
        <v>0</v>
      </c>
      <c r="K205" s="25" t="n">
        <f aca="false">IFERROR(J205/I205,0)</f>
        <v>0</v>
      </c>
      <c r="L205" s="19" t="n">
        <v>0</v>
      </c>
      <c r="M205" s="20" t="n">
        <v>0</v>
      </c>
      <c r="N205" s="8" t="n">
        <f aca="false">IFERROR(M205/J205,0)</f>
        <v>0</v>
      </c>
    </row>
    <row r="206" customFormat="false" ht="15" hidden="false" customHeight="false" outlineLevel="0" collapsed="false">
      <c r="A206" s="17" t="s">
        <v>15</v>
      </c>
      <c r="B206" s="17" t="s">
        <v>58</v>
      </c>
      <c r="C206" s="17" t="s">
        <v>60</v>
      </c>
      <c r="D206" s="17" t="s">
        <v>66</v>
      </c>
      <c r="E206" s="17" t="s">
        <v>1503</v>
      </c>
      <c r="F206" s="17" t="s">
        <v>57</v>
      </c>
      <c r="G206" s="17" t="s">
        <v>315</v>
      </c>
      <c r="H206" s="17" t="s">
        <v>1504</v>
      </c>
      <c r="I206" s="20" t="n">
        <v>4</v>
      </c>
      <c r="J206" s="20" t="n">
        <v>0</v>
      </c>
      <c r="K206" s="25" t="n">
        <f aca="false">IFERROR(J206/I206,0)</f>
        <v>0</v>
      </c>
      <c r="L206" s="19" t="n">
        <v>0</v>
      </c>
      <c r="M206" s="20" t="n">
        <v>0</v>
      </c>
      <c r="N206" s="8" t="n">
        <f aca="false">IFERROR(M206/J206,0)</f>
        <v>0</v>
      </c>
    </row>
    <row r="207" customFormat="false" ht="15" hidden="false" customHeight="false" outlineLevel="0" collapsed="false">
      <c r="A207" s="17" t="s">
        <v>15</v>
      </c>
      <c r="B207" s="17" t="s">
        <v>58</v>
      </c>
      <c r="C207" s="17" t="s">
        <v>60</v>
      </c>
      <c r="D207" s="17" t="s">
        <v>66</v>
      </c>
      <c r="E207" s="17" t="s">
        <v>399</v>
      </c>
      <c r="F207" s="17" t="s">
        <v>57</v>
      </c>
      <c r="G207" s="17" t="s">
        <v>315</v>
      </c>
      <c r="H207" s="17" t="s">
        <v>1505</v>
      </c>
      <c r="I207" s="20" t="n">
        <v>2</v>
      </c>
      <c r="J207" s="20" t="n">
        <v>1</v>
      </c>
      <c r="K207" s="25" t="n">
        <f aca="false">IFERROR(J207/I207,0)</f>
        <v>0.5</v>
      </c>
      <c r="L207" s="19" t="n">
        <v>4.69</v>
      </c>
      <c r="M207" s="20" t="n">
        <v>0</v>
      </c>
      <c r="N207" s="8" t="n">
        <f aca="false">IFERROR(M207/J207,0)</f>
        <v>0</v>
      </c>
    </row>
    <row r="208" customFormat="false" ht="15" hidden="false" customHeight="false" outlineLevel="0" collapsed="false">
      <c r="A208" s="17" t="s">
        <v>15</v>
      </c>
      <c r="B208" s="17" t="s">
        <v>58</v>
      </c>
      <c r="C208" s="17" t="s">
        <v>60</v>
      </c>
      <c r="D208" s="17" t="s">
        <v>66</v>
      </c>
      <c r="E208" s="17" t="s">
        <v>1506</v>
      </c>
      <c r="F208" s="17" t="s">
        <v>57</v>
      </c>
      <c r="G208" s="17" t="s">
        <v>315</v>
      </c>
      <c r="H208" s="17" t="s">
        <v>1507</v>
      </c>
      <c r="I208" s="20" t="n">
        <v>2</v>
      </c>
      <c r="J208" s="20" t="n">
        <v>0</v>
      </c>
      <c r="K208" s="25" t="n">
        <f aca="false">IFERROR(J208/I208,0)</f>
        <v>0</v>
      </c>
      <c r="L208" s="19" t="n">
        <v>0</v>
      </c>
      <c r="M208" s="20" t="n">
        <v>0</v>
      </c>
      <c r="N208" s="8" t="n">
        <f aca="false">IFERROR(M208/J208,0)</f>
        <v>0</v>
      </c>
    </row>
    <row r="209" customFormat="false" ht="15" hidden="false" customHeight="false" outlineLevel="0" collapsed="false">
      <c r="A209" s="17" t="s">
        <v>15</v>
      </c>
      <c r="B209" s="17" t="s">
        <v>58</v>
      </c>
      <c r="C209" s="17" t="s">
        <v>66</v>
      </c>
      <c r="D209" s="17" t="s">
        <v>60</v>
      </c>
      <c r="E209" s="17" t="s">
        <v>1508</v>
      </c>
      <c r="F209" s="17" t="s">
        <v>100</v>
      </c>
      <c r="G209" s="17" t="s">
        <v>315</v>
      </c>
      <c r="H209" s="17" t="s">
        <v>1509</v>
      </c>
      <c r="I209" s="20" t="n">
        <v>2</v>
      </c>
      <c r="J209" s="20" t="n">
        <v>0</v>
      </c>
      <c r="K209" s="25" t="n">
        <f aca="false">IFERROR(J209/I209,0)</f>
        <v>0</v>
      </c>
      <c r="L209" s="19" t="n">
        <v>0</v>
      </c>
      <c r="M209" s="20" t="n">
        <v>0</v>
      </c>
      <c r="N209" s="8" t="n">
        <f aca="false">IFERROR(M209/J209,0)</f>
        <v>0</v>
      </c>
    </row>
    <row r="210" customFormat="false" ht="15" hidden="false" customHeight="false" outlineLevel="0" collapsed="false">
      <c r="A210" s="17" t="s">
        <v>15</v>
      </c>
      <c r="B210" s="17" t="s">
        <v>58</v>
      </c>
      <c r="C210" s="17" t="s">
        <v>60</v>
      </c>
      <c r="D210" s="17" t="s">
        <v>66</v>
      </c>
      <c r="E210" s="17" t="s">
        <v>1510</v>
      </c>
      <c r="F210" s="17" t="s">
        <v>57</v>
      </c>
      <c r="G210" s="17" t="s">
        <v>315</v>
      </c>
      <c r="H210" s="17" t="s">
        <v>1256</v>
      </c>
      <c r="I210" s="20" t="n">
        <v>2</v>
      </c>
      <c r="J210" s="20" t="n">
        <v>0</v>
      </c>
      <c r="K210" s="25" t="n">
        <f aca="false">IFERROR(J210/I210,0)</f>
        <v>0</v>
      </c>
      <c r="L210" s="19" t="n">
        <v>0</v>
      </c>
      <c r="M210" s="20" t="n">
        <v>0</v>
      </c>
      <c r="N210" s="8" t="n">
        <f aca="false">IFERROR(M210/J210,0)</f>
        <v>0</v>
      </c>
    </row>
    <row r="211" customFormat="false" ht="15" hidden="false" customHeight="false" outlineLevel="0" collapsed="false">
      <c r="A211" s="17" t="s">
        <v>15</v>
      </c>
      <c r="B211" s="17" t="s">
        <v>58</v>
      </c>
      <c r="C211" s="17" t="s">
        <v>60</v>
      </c>
      <c r="D211" s="17" t="s">
        <v>66</v>
      </c>
      <c r="E211" s="17" t="s">
        <v>1511</v>
      </c>
      <c r="F211" s="17" t="s">
        <v>57</v>
      </c>
      <c r="G211" s="17" t="s">
        <v>315</v>
      </c>
      <c r="H211" s="17" t="s">
        <v>1254</v>
      </c>
      <c r="I211" s="20" t="n">
        <v>1</v>
      </c>
      <c r="J211" s="20" t="n">
        <v>0</v>
      </c>
      <c r="K211" s="25" t="n">
        <f aca="false">IFERROR(J211/I211,0)</f>
        <v>0</v>
      </c>
      <c r="L211" s="19" t="n">
        <v>0</v>
      </c>
      <c r="M211" s="20" t="n">
        <v>0</v>
      </c>
      <c r="N211" s="8" t="n">
        <f aca="false">IFERROR(M211/J211,0)</f>
        <v>0</v>
      </c>
    </row>
    <row r="212" customFormat="false" ht="15" hidden="false" customHeight="false" outlineLevel="0" collapsed="false">
      <c r="A212" s="17" t="s">
        <v>15</v>
      </c>
      <c r="B212" s="17" t="s">
        <v>58</v>
      </c>
      <c r="C212" s="17" t="s">
        <v>60</v>
      </c>
      <c r="D212" s="17" t="s">
        <v>66</v>
      </c>
      <c r="E212" s="17" t="s">
        <v>1512</v>
      </c>
      <c r="F212" s="17" t="s">
        <v>57</v>
      </c>
      <c r="G212" s="17" t="s">
        <v>315</v>
      </c>
      <c r="H212" s="17" t="s">
        <v>1513</v>
      </c>
      <c r="I212" s="20" t="n">
        <v>1</v>
      </c>
      <c r="J212" s="20" t="n">
        <v>0</v>
      </c>
      <c r="K212" s="25" t="n">
        <f aca="false">IFERROR(J212/I212,0)</f>
        <v>0</v>
      </c>
      <c r="L212" s="19" t="n">
        <v>0</v>
      </c>
      <c r="M212" s="20" t="n">
        <v>0</v>
      </c>
      <c r="N212" s="8" t="n">
        <f aca="false">IFERROR(M212/J212,0)</f>
        <v>0</v>
      </c>
    </row>
    <row r="213" customFormat="false" ht="15" hidden="false" customHeight="false" outlineLevel="0" collapsed="false">
      <c r="A213" s="17" t="s">
        <v>15</v>
      </c>
      <c r="B213" s="17" t="s">
        <v>58</v>
      </c>
      <c r="C213" s="17" t="s">
        <v>60</v>
      </c>
      <c r="D213" s="17" t="s">
        <v>66</v>
      </c>
      <c r="E213" s="17" t="s">
        <v>1514</v>
      </c>
      <c r="F213" s="17" t="s">
        <v>57</v>
      </c>
      <c r="G213" s="17" t="s">
        <v>315</v>
      </c>
      <c r="H213" s="17" t="s">
        <v>1515</v>
      </c>
      <c r="I213" s="20" t="n">
        <v>1</v>
      </c>
      <c r="J213" s="20" t="n">
        <v>0</v>
      </c>
      <c r="K213" s="25" t="n">
        <f aca="false">IFERROR(J213/I213,0)</f>
        <v>0</v>
      </c>
      <c r="L213" s="19" t="n">
        <v>0</v>
      </c>
      <c r="M213" s="20" t="n">
        <v>0</v>
      </c>
      <c r="N213" s="8" t="n">
        <f aca="false">IFERROR(M213/J213,0)</f>
        <v>0</v>
      </c>
    </row>
    <row r="214" customFormat="false" ht="15" hidden="false" customHeight="false" outlineLevel="0" collapsed="false">
      <c r="A214" s="17" t="s">
        <v>15</v>
      </c>
      <c r="B214" s="17" t="s">
        <v>58</v>
      </c>
      <c r="C214" s="17" t="s">
        <v>66</v>
      </c>
      <c r="D214" s="17" t="s">
        <v>60</v>
      </c>
      <c r="E214" s="17" t="s">
        <v>1516</v>
      </c>
      <c r="F214" s="17" t="s">
        <v>94</v>
      </c>
      <c r="G214" s="17" t="s">
        <v>315</v>
      </c>
      <c r="H214" s="17" t="s">
        <v>1517</v>
      </c>
      <c r="I214" s="20" t="n">
        <v>1</v>
      </c>
      <c r="J214" s="20" t="n">
        <v>0</v>
      </c>
      <c r="K214" s="25" t="n">
        <f aca="false">IFERROR(J214/I214,0)</f>
        <v>0</v>
      </c>
      <c r="L214" s="19" t="n">
        <v>0</v>
      </c>
      <c r="M214" s="20" t="n">
        <v>0</v>
      </c>
      <c r="N214" s="8" t="n">
        <f aca="false">IFERROR(M214/J214,0)</f>
        <v>0</v>
      </c>
    </row>
    <row r="215" customFormat="false" ht="15" hidden="false" customHeight="false" outlineLevel="0" collapsed="false">
      <c r="A215" s="17" t="s">
        <v>15</v>
      </c>
      <c r="B215" s="17" t="s">
        <v>58</v>
      </c>
      <c r="C215" s="17" t="s">
        <v>60</v>
      </c>
      <c r="D215" s="17" t="s">
        <v>66</v>
      </c>
      <c r="E215" s="17" t="s">
        <v>1518</v>
      </c>
      <c r="F215" s="17" t="s">
        <v>57</v>
      </c>
      <c r="G215" s="17" t="s">
        <v>315</v>
      </c>
      <c r="H215" s="17" t="s">
        <v>1519</v>
      </c>
      <c r="I215" s="20" t="n">
        <v>1</v>
      </c>
      <c r="J215" s="20" t="n">
        <v>0</v>
      </c>
      <c r="K215" s="25" t="n">
        <f aca="false">IFERROR(J215/I215,0)</f>
        <v>0</v>
      </c>
      <c r="L215" s="19" t="n">
        <v>0</v>
      </c>
      <c r="M215" s="20" t="n">
        <v>0</v>
      </c>
      <c r="N215" s="8" t="n">
        <f aca="false">IFERROR(M215/J215,0)</f>
        <v>0</v>
      </c>
    </row>
    <row r="216" customFormat="false" ht="15" hidden="false" customHeight="false" outlineLevel="0" collapsed="false">
      <c r="A216" s="17" t="s">
        <v>15</v>
      </c>
      <c r="B216" s="17" t="s">
        <v>58</v>
      </c>
      <c r="C216" s="17" t="s">
        <v>60</v>
      </c>
      <c r="D216" s="17" t="s">
        <v>66</v>
      </c>
      <c r="E216" s="17" t="s">
        <v>1520</v>
      </c>
      <c r="F216" s="17" t="s">
        <v>57</v>
      </c>
      <c r="G216" s="17" t="s">
        <v>315</v>
      </c>
      <c r="H216" s="17" t="s">
        <v>1521</v>
      </c>
      <c r="I216" s="20" t="n">
        <v>0</v>
      </c>
      <c r="J216" s="20" t="n">
        <v>0</v>
      </c>
      <c r="K216" s="25" t="n">
        <f aca="false">IFERROR(J216/I216,0)</f>
        <v>0</v>
      </c>
      <c r="L216" s="19" t="n">
        <v>0</v>
      </c>
      <c r="M216" s="20" t="n">
        <v>0</v>
      </c>
      <c r="N216" s="8" t="n">
        <f aca="false">IFERROR(M216/J216,0)</f>
        <v>0</v>
      </c>
    </row>
    <row r="217" customFormat="false" ht="15" hidden="false" customHeight="false" outlineLevel="0" collapsed="false">
      <c r="A217" s="17" t="s">
        <v>15</v>
      </c>
      <c r="B217" s="17" t="s">
        <v>58</v>
      </c>
      <c r="C217" s="17" t="s">
        <v>66</v>
      </c>
      <c r="D217" s="17" t="s">
        <v>66</v>
      </c>
      <c r="E217" s="17" t="s">
        <v>1522</v>
      </c>
      <c r="F217" s="17" t="s">
        <v>100</v>
      </c>
      <c r="G217" s="17" t="s">
        <v>315</v>
      </c>
      <c r="H217" s="17" t="s">
        <v>1223</v>
      </c>
      <c r="I217" s="20" t="n">
        <v>0</v>
      </c>
      <c r="J217" s="20" t="n">
        <v>0</v>
      </c>
      <c r="K217" s="25" t="n">
        <f aca="false">IFERROR(J217/I217,0)</f>
        <v>0</v>
      </c>
      <c r="L217" s="19" t="n">
        <v>0</v>
      </c>
      <c r="M217" s="20" t="n">
        <v>0</v>
      </c>
      <c r="N217" s="8" t="n">
        <f aca="false">IFERROR(M217/J217,0)</f>
        <v>0</v>
      </c>
    </row>
    <row r="218" customFormat="false" ht="15" hidden="false" customHeight="false" outlineLevel="0" collapsed="false">
      <c r="A218" s="17" t="s">
        <v>15</v>
      </c>
      <c r="B218" s="17" t="s">
        <v>58</v>
      </c>
      <c r="C218" s="17" t="s">
        <v>60</v>
      </c>
      <c r="D218" s="17" t="s">
        <v>66</v>
      </c>
      <c r="E218" s="17" t="s">
        <v>1523</v>
      </c>
      <c r="F218" s="17" t="s">
        <v>57</v>
      </c>
      <c r="G218" s="17" t="s">
        <v>315</v>
      </c>
      <c r="H218" s="17" t="s">
        <v>1524</v>
      </c>
      <c r="I218" s="20" t="n">
        <v>0</v>
      </c>
      <c r="J218" s="20" t="n">
        <v>0</v>
      </c>
      <c r="K218" s="25" t="n">
        <f aca="false">IFERROR(J218/I218,0)</f>
        <v>0</v>
      </c>
      <c r="L218" s="19" t="n">
        <v>0</v>
      </c>
      <c r="M218" s="20" t="n">
        <v>0</v>
      </c>
      <c r="N218" s="8" t="n">
        <f aca="false">IFERROR(M218/J218,0)</f>
        <v>0</v>
      </c>
    </row>
    <row r="219" customFormat="false" ht="15" hidden="false" customHeight="false" outlineLevel="0" collapsed="false">
      <c r="A219" s="17" t="s">
        <v>15</v>
      </c>
      <c r="B219" s="17" t="s">
        <v>58</v>
      </c>
      <c r="C219" s="17" t="s">
        <v>60</v>
      </c>
      <c r="D219" s="17" t="s">
        <v>66</v>
      </c>
      <c r="E219" s="17" t="s">
        <v>1525</v>
      </c>
      <c r="F219" s="17" t="s">
        <v>57</v>
      </c>
      <c r="G219" s="17" t="s">
        <v>315</v>
      </c>
      <c r="H219" s="17" t="s">
        <v>1526</v>
      </c>
      <c r="I219" s="20" t="n">
        <v>0</v>
      </c>
      <c r="J219" s="20" t="n">
        <v>0</v>
      </c>
      <c r="K219" s="25" t="n">
        <f aca="false">IFERROR(J219/I219,0)</f>
        <v>0</v>
      </c>
      <c r="L219" s="19" t="n">
        <v>0</v>
      </c>
      <c r="M219" s="20" t="n">
        <v>0</v>
      </c>
      <c r="N219" s="8" t="n">
        <f aca="false">IFERROR(M219/J219,0)</f>
        <v>0</v>
      </c>
    </row>
    <row r="220" customFormat="false" ht="15" hidden="false" customHeight="false" outlineLevel="0" collapsed="false">
      <c r="A220" s="17" t="s">
        <v>15</v>
      </c>
      <c r="B220" s="17" t="s">
        <v>58</v>
      </c>
      <c r="C220" s="17" t="s">
        <v>60</v>
      </c>
      <c r="D220" s="17" t="s">
        <v>66</v>
      </c>
      <c r="E220" s="17" t="s">
        <v>1527</v>
      </c>
      <c r="F220" s="17" t="s">
        <v>57</v>
      </c>
      <c r="G220" s="17" t="s">
        <v>315</v>
      </c>
      <c r="H220" s="17" t="s">
        <v>1528</v>
      </c>
      <c r="I220" s="20" t="n">
        <v>0</v>
      </c>
      <c r="J220" s="20" t="n">
        <v>0</v>
      </c>
      <c r="K220" s="25" t="n">
        <f aca="false">IFERROR(J220/I220,0)</f>
        <v>0</v>
      </c>
      <c r="L220" s="19" t="n">
        <v>0</v>
      </c>
      <c r="M220" s="20" t="n">
        <v>0</v>
      </c>
      <c r="N220" s="8" t="n">
        <f aca="false">IFERROR(M220/J220,0)</f>
        <v>0</v>
      </c>
    </row>
    <row r="221" customFormat="false" ht="15" hidden="false" customHeight="false" outlineLevel="0" collapsed="false">
      <c r="A221" s="17" t="s">
        <v>15</v>
      </c>
      <c r="B221" s="17" t="s">
        <v>62</v>
      </c>
      <c r="C221" s="17" t="s">
        <v>60</v>
      </c>
      <c r="D221" s="17" t="s">
        <v>66</v>
      </c>
      <c r="E221" s="17" t="s">
        <v>329</v>
      </c>
      <c r="F221" s="17" t="s">
        <v>61</v>
      </c>
      <c r="G221" s="17" t="s">
        <v>315</v>
      </c>
      <c r="H221" s="17" t="s">
        <v>1529</v>
      </c>
      <c r="I221" s="20" t="n">
        <v>87220</v>
      </c>
      <c r="J221" s="20" t="n">
        <v>162</v>
      </c>
      <c r="K221" s="25" t="n">
        <f aca="false">IFERROR(J221/I221,0)</f>
        <v>0.00185737216234809</v>
      </c>
      <c r="L221" s="19" t="n">
        <v>420.58</v>
      </c>
      <c r="M221" s="20" t="n">
        <v>20</v>
      </c>
      <c r="N221" s="8" t="n">
        <f aca="false">IFERROR(M221/J221,0)</f>
        <v>0.123456790123457</v>
      </c>
    </row>
    <row r="222" customFormat="false" ht="15" hidden="false" customHeight="false" outlineLevel="0" collapsed="false">
      <c r="A222" s="17" t="s">
        <v>15</v>
      </c>
      <c r="B222" s="17" t="s">
        <v>62</v>
      </c>
      <c r="C222" s="17" t="s">
        <v>60</v>
      </c>
      <c r="D222" s="17" t="s">
        <v>66</v>
      </c>
      <c r="E222" s="17" t="s">
        <v>354</v>
      </c>
      <c r="F222" s="17" t="s">
        <v>61</v>
      </c>
      <c r="G222" s="17" t="s">
        <v>311</v>
      </c>
      <c r="H222" s="17" t="s">
        <v>1530</v>
      </c>
      <c r="I222" s="20" t="n">
        <v>69740</v>
      </c>
      <c r="J222" s="20" t="n">
        <v>285</v>
      </c>
      <c r="K222" s="25" t="n">
        <f aca="false">IFERROR(J222/I222,0)</f>
        <v>0.00408660739891024</v>
      </c>
      <c r="L222" s="19" t="n">
        <v>491.79</v>
      </c>
      <c r="M222" s="20" t="n">
        <v>25</v>
      </c>
      <c r="N222" s="8" t="n">
        <f aca="false">IFERROR(M222/J222,0)</f>
        <v>0.087719298245614</v>
      </c>
    </row>
    <row r="223" customFormat="false" ht="15" hidden="false" customHeight="false" outlineLevel="0" collapsed="false">
      <c r="A223" s="17" t="s">
        <v>15</v>
      </c>
      <c r="B223" s="17" t="s">
        <v>62</v>
      </c>
      <c r="C223" s="17" t="s">
        <v>60</v>
      </c>
      <c r="D223" s="17" t="s">
        <v>66</v>
      </c>
      <c r="E223" s="17" t="s">
        <v>321</v>
      </c>
      <c r="F223" s="17" t="s">
        <v>61</v>
      </c>
      <c r="G223" s="17" t="s">
        <v>311</v>
      </c>
      <c r="H223" s="17" t="s">
        <v>1531</v>
      </c>
      <c r="I223" s="20" t="n">
        <v>51351</v>
      </c>
      <c r="J223" s="20" t="n">
        <v>174</v>
      </c>
      <c r="K223" s="25" t="n">
        <f aca="false">IFERROR(J223/I223,0)</f>
        <v>0.00338844423672373</v>
      </c>
      <c r="L223" s="19" t="n">
        <v>420.16</v>
      </c>
      <c r="M223" s="20" t="n">
        <v>27</v>
      </c>
      <c r="N223" s="8" t="n">
        <f aca="false">IFERROR(M223/J223,0)</f>
        <v>0.155172413793103</v>
      </c>
    </row>
    <row r="224" customFormat="false" ht="15" hidden="false" customHeight="false" outlineLevel="0" collapsed="false">
      <c r="A224" s="17" t="s">
        <v>15</v>
      </c>
      <c r="B224" s="17" t="s">
        <v>62</v>
      </c>
      <c r="C224" s="17" t="s">
        <v>60</v>
      </c>
      <c r="D224" s="17" t="s">
        <v>66</v>
      </c>
      <c r="E224" s="17" t="s">
        <v>1532</v>
      </c>
      <c r="F224" s="17" t="s">
        <v>61</v>
      </c>
      <c r="G224" s="17" t="s">
        <v>315</v>
      </c>
      <c r="H224" s="17" t="s">
        <v>1533</v>
      </c>
      <c r="I224" s="20" t="n">
        <v>37644</v>
      </c>
      <c r="J224" s="20" t="n">
        <v>18</v>
      </c>
      <c r="K224" s="25" t="n">
        <f aca="false">IFERROR(J224/I224,0)</f>
        <v>0.000478163850812879</v>
      </c>
      <c r="L224" s="19" t="n">
        <v>31.51</v>
      </c>
      <c r="M224" s="20" t="n">
        <v>4</v>
      </c>
      <c r="N224" s="8" t="n">
        <f aca="false">IFERROR(M224/J224,0)</f>
        <v>0.222222222222222</v>
      </c>
    </row>
    <row r="225" customFormat="false" ht="15" hidden="false" customHeight="false" outlineLevel="0" collapsed="false">
      <c r="A225" s="17" t="s">
        <v>15</v>
      </c>
      <c r="B225" s="17" t="s">
        <v>62</v>
      </c>
      <c r="C225" s="17" t="s">
        <v>60</v>
      </c>
      <c r="D225" s="17" t="s">
        <v>66</v>
      </c>
      <c r="E225" s="17" t="s">
        <v>1534</v>
      </c>
      <c r="F225" s="17" t="s">
        <v>61</v>
      </c>
      <c r="G225" s="17" t="s">
        <v>315</v>
      </c>
      <c r="H225" s="17" t="s">
        <v>1535</v>
      </c>
      <c r="I225" s="20" t="n">
        <v>12993</v>
      </c>
      <c r="J225" s="20" t="n">
        <v>13</v>
      </c>
      <c r="K225" s="25" t="n">
        <f aca="false">IFERROR(J225/I225,0)</f>
        <v>0.0010005387516355</v>
      </c>
      <c r="L225" s="19" t="n">
        <v>28.69</v>
      </c>
      <c r="M225" s="20" t="n">
        <v>0</v>
      </c>
      <c r="N225" s="8" t="n">
        <f aca="false">IFERROR(M225/J225,0)</f>
        <v>0</v>
      </c>
    </row>
    <row r="226" customFormat="false" ht="15" hidden="false" customHeight="false" outlineLevel="0" collapsed="false">
      <c r="A226" s="17" t="s">
        <v>15</v>
      </c>
      <c r="B226" s="17" t="s">
        <v>62</v>
      </c>
      <c r="C226" s="17" t="s">
        <v>60</v>
      </c>
      <c r="D226" s="17" t="s">
        <v>66</v>
      </c>
      <c r="E226" s="17" t="s">
        <v>409</v>
      </c>
      <c r="F226" s="17" t="s">
        <v>61</v>
      </c>
      <c r="G226" s="17" t="s">
        <v>315</v>
      </c>
      <c r="H226" s="17" t="s">
        <v>1531</v>
      </c>
      <c r="I226" s="20" t="n">
        <v>12792</v>
      </c>
      <c r="J226" s="20" t="n">
        <v>130</v>
      </c>
      <c r="K226" s="25" t="n">
        <f aca="false">IFERROR(J226/I226,0)</f>
        <v>0.0101626016260163</v>
      </c>
      <c r="L226" s="19" t="n">
        <v>1333.95</v>
      </c>
      <c r="M226" s="20" t="n">
        <v>31</v>
      </c>
      <c r="N226" s="8" t="n">
        <f aca="false">IFERROR(M226/J226,0)</f>
        <v>0.238461538461538</v>
      </c>
    </row>
    <row r="227" customFormat="false" ht="15" hidden="false" customHeight="false" outlineLevel="0" collapsed="false">
      <c r="A227" s="17" t="s">
        <v>15</v>
      </c>
      <c r="B227" s="17" t="s">
        <v>62</v>
      </c>
      <c r="C227" s="17" t="s">
        <v>66</v>
      </c>
      <c r="D227" s="17" t="s">
        <v>60</v>
      </c>
      <c r="E227" s="17" t="s">
        <v>385</v>
      </c>
      <c r="F227" s="17" t="s">
        <v>107</v>
      </c>
      <c r="G227" s="17" t="s">
        <v>315</v>
      </c>
      <c r="H227" s="17" t="s">
        <v>1536</v>
      </c>
      <c r="I227" s="20" t="n">
        <v>11609</v>
      </c>
      <c r="J227" s="20" t="n">
        <v>40</v>
      </c>
      <c r="K227" s="25" t="n">
        <f aca="false">IFERROR(J227/I227,0)</f>
        <v>0.00344560254974589</v>
      </c>
      <c r="L227" s="19" t="n">
        <v>63.92</v>
      </c>
      <c r="M227" s="20" t="n">
        <v>4</v>
      </c>
      <c r="N227" s="8" t="n">
        <f aca="false">IFERROR(M227/J227,0)</f>
        <v>0.1</v>
      </c>
    </row>
    <row r="228" customFormat="false" ht="15" hidden="false" customHeight="false" outlineLevel="0" collapsed="false">
      <c r="A228" s="17" t="s">
        <v>15</v>
      </c>
      <c r="B228" s="17" t="s">
        <v>62</v>
      </c>
      <c r="C228" s="17" t="s">
        <v>60</v>
      </c>
      <c r="D228" s="17" t="s">
        <v>66</v>
      </c>
      <c r="E228" s="17" t="s">
        <v>1537</v>
      </c>
      <c r="F228" s="17" t="s">
        <v>61</v>
      </c>
      <c r="G228" s="17" t="s">
        <v>315</v>
      </c>
      <c r="H228" s="17" t="s">
        <v>1538</v>
      </c>
      <c r="I228" s="20" t="n">
        <v>9155</v>
      </c>
      <c r="J228" s="20" t="n">
        <v>81</v>
      </c>
      <c r="K228" s="25" t="n">
        <f aca="false">IFERROR(J228/I228,0)</f>
        <v>0.00884762424904424</v>
      </c>
      <c r="L228" s="19" t="n">
        <v>556.19</v>
      </c>
      <c r="M228" s="20" t="n">
        <v>12</v>
      </c>
      <c r="N228" s="8" t="n">
        <f aca="false">IFERROR(M228/J228,0)</f>
        <v>0.148148148148148</v>
      </c>
    </row>
    <row r="229" customFormat="false" ht="15" hidden="false" customHeight="false" outlineLevel="0" collapsed="false">
      <c r="A229" s="17" t="s">
        <v>15</v>
      </c>
      <c r="B229" s="17" t="s">
        <v>62</v>
      </c>
      <c r="C229" s="17" t="s">
        <v>60</v>
      </c>
      <c r="D229" s="17" t="s">
        <v>66</v>
      </c>
      <c r="E229" s="17" t="s">
        <v>1539</v>
      </c>
      <c r="F229" s="17" t="s">
        <v>61</v>
      </c>
      <c r="G229" s="17" t="s">
        <v>315</v>
      </c>
      <c r="H229" s="17" t="s">
        <v>1540</v>
      </c>
      <c r="I229" s="20" t="n">
        <v>9021</v>
      </c>
      <c r="J229" s="20" t="n">
        <v>24</v>
      </c>
      <c r="K229" s="25" t="n">
        <f aca="false">IFERROR(J229/I229,0)</f>
        <v>0.00266045892916528</v>
      </c>
      <c r="L229" s="19" t="n">
        <v>65.7</v>
      </c>
      <c r="M229" s="20" t="n">
        <v>0</v>
      </c>
      <c r="N229" s="8" t="n">
        <f aca="false">IFERROR(M229/J229,0)</f>
        <v>0</v>
      </c>
    </row>
    <row r="230" customFormat="false" ht="15" hidden="false" customHeight="false" outlineLevel="0" collapsed="false">
      <c r="A230" s="17" t="s">
        <v>15</v>
      </c>
      <c r="B230" s="17" t="s">
        <v>62</v>
      </c>
      <c r="C230" s="17" t="s">
        <v>66</v>
      </c>
      <c r="D230" s="17" t="s">
        <v>66</v>
      </c>
      <c r="E230" s="17" t="s">
        <v>1541</v>
      </c>
      <c r="F230" s="17" t="s">
        <v>194</v>
      </c>
      <c r="G230" s="17" t="s">
        <v>315</v>
      </c>
      <c r="H230" s="17" t="s">
        <v>1542</v>
      </c>
      <c r="I230" s="20" t="n">
        <v>7135</v>
      </c>
      <c r="J230" s="20" t="n">
        <v>14</v>
      </c>
      <c r="K230" s="25" t="n">
        <f aca="false">IFERROR(J230/I230,0)</f>
        <v>0.00196215837421163</v>
      </c>
      <c r="L230" s="19" t="n">
        <v>68.93</v>
      </c>
      <c r="M230" s="20" t="n">
        <v>2</v>
      </c>
      <c r="N230" s="8" t="n">
        <f aca="false">IFERROR(M230/J230,0)</f>
        <v>0.142857142857143</v>
      </c>
    </row>
    <row r="231" customFormat="false" ht="15" hidden="false" customHeight="false" outlineLevel="0" collapsed="false">
      <c r="A231" s="17" t="s">
        <v>15</v>
      </c>
      <c r="B231" s="17" t="s">
        <v>62</v>
      </c>
      <c r="C231" s="17" t="s">
        <v>60</v>
      </c>
      <c r="D231" s="17" t="s">
        <v>66</v>
      </c>
      <c r="E231" s="17" t="s">
        <v>1543</v>
      </c>
      <c r="F231" s="17" t="s">
        <v>61</v>
      </c>
      <c r="G231" s="17" t="s">
        <v>315</v>
      </c>
      <c r="H231" s="17" t="s">
        <v>1544</v>
      </c>
      <c r="I231" s="20" t="n">
        <v>2899</v>
      </c>
      <c r="J231" s="20" t="n">
        <v>79</v>
      </c>
      <c r="K231" s="25" t="n">
        <f aca="false">IFERROR(J231/I231,0)</f>
        <v>0.0272507761296999</v>
      </c>
      <c r="L231" s="19" t="n">
        <v>585.22</v>
      </c>
      <c r="M231" s="20" t="n">
        <v>8</v>
      </c>
      <c r="N231" s="8" t="n">
        <f aca="false">IFERROR(M231/J231,0)</f>
        <v>0.10126582278481</v>
      </c>
    </row>
    <row r="232" customFormat="false" ht="15" hidden="false" customHeight="false" outlineLevel="0" collapsed="false">
      <c r="A232" s="17" t="s">
        <v>15</v>
      </c>
      <c r="B232" s="17" t="s">
        <v>62</v>
      </c>
      <c r="C232" s="17" t="s">
        <v>66</v>
      </c>
      <c r="D232" s="17" t="s">
        <v>60</v>
      </c>
      <c r="E232" s="17" t="s">
        <v>1545</v>
      </c>
      <c r="F232" s="17" t="s">
        <v>86</v>
      </c>
      <c r="G232" s="17" t="s">
        <v>315</v>
      </c>
      <c r="H232" s="17" t="s">
        <v>1546</v>
      </c>
      <c r="I232" s="20" t="n">
        <v>2083</v>
      </c>
      <c r="J232" s="20" t="n">
        <v>9</v>
      </c>
      <c r="K232" s="25" t="n">
        <f aca="false">IFERROR(J232/I232,0)</f>
        <v>0.0043206913106097</v>
      </c>
      <c r="L232" s="19" t="n">
        <v>47.71</v>
      </c>
      <c r="M232" s="20" t="n">
        <v>2</v>
      </c>
      <c r="N232" s="8" t="n">
        <f aca="false">IFERROR(M232/J232,0)</f>
        <v>0.222222222222222</v>
      </c>
    </row>
    <row r="233" customFormat="false" ht="15" hidden="false" customHeight="false" outlineLevel="0" collapsed="false">
      <c r="A233" s="17" t="s">
        <v>15</v>
      </c>
      <c r="B233" s="17" t="s">
        <v>62</v>
      </c>
      <c r="C233" s="17" t="s">
        <v>60</v>
      </c>
      <c r="D233" s="17" t="s">
        <v>66</v>
      </c>
      <c r="E233" s="17" t="s">
        <v>1547</v>
      </c>
      <c r="F233" s="17" t="s">
        <v>61</v>
      </c>
      <c r="G233" s="17" t="s">
        <v>315</v>
      </c>
      <c r="H233" s="17" t="s">
        <v>1548</v>
      </c>
      <c r="I233" s="20" t="n">
        <v>1348</v>
      </c>
      <c r="J233" s="20" t="n">
        <v>27</v>
      </c>
      <c r="K233" s="25" t="n">
        <f aca="false">IFERROR(J233/I233,0)</f>
        <v>0.0200296735905045</v>
      </c>
      <c r="L233" s="19" t="n">
        <v>20.72</v>
      </c>
      <c r="M233" s="20" t="n">
        <v>0</v>
      </c>
      <c r="N233" s="8" t="n">
        <f aca="false">IFERROR(M233/J233,0)</f>
        <v>0</v>
      </c>
    </row>
    <row r="234" customFormat="false" ht="15" hidden="false" customHeight="false" outlineLevel="0" collapsed="false">
      <c r="A234" s="17" t="s">
        <v>15</v>
      </c>
      <c r="B234" s="17" t="s">
        <v>62</v>
      </c>
      <c r="C234" s="17" t="s">
        <v>60</v>
      </c>
      <c r="D234" s="17" t="s">
        <v>66</v>
      </c>
      <c r="E234" s="17" t="s">
        <v>1549</v>
      </c>
      <c r="F234" s="17" t="s">
        <v>1550</v>
      </c>
      <c r="G234" s="17" t="s">
        <v>315</v>
      </c>
      <c r="H234" s="17" t="s">
        <v>1551</v>
      </c>
      <c r="I234" s="20" t="n">
        <v>1107</v>
      </c>
      <c r="J234" s="20" t="n">
        <v>6</v>
      </c>
      <c r="K234" s="25" t="n">
        <f aca="false">IFERROR(J234/I234,0)</f>
        <v>0.00542005420054201</v>
      </c>
      <c r="L234" s="19" t="n">
        <v>29.4</v>
      </c>
      <c r="M234" s="20" t="n">
        <v>1</v>
      </c>
      <c r="N234" s="8" t="n">
        <f aca="false">IFERROR(M234/J234,0)</f>
        <v>0.166666666666667</v>
      </c>
    </row>
    <row r="235" customFormat="false" ht="15" hidden="false" customHeight="false" outlineLevel="0" collapsed="false">
      <c r="A235" s="17" t="s">
        <v>15</v>
      </c>
      <c r="B235" s="17" t="s">
        <v>62</v>
      </c>
      <c r="C235" s="17" t="s">
        <v>66</v>
      </c>
      <c r="D235" s="17" t="s">
        <v>66</v>
      </c>
      <c r="E235" s="17" t="s">
        <v>1552</v>
      </c>
      <c r="F235" s="17" t="s">
        <v>86</v>
      </c>
      <c r="G235" s="17" t="s">
        <v>315</v>
      </c>
      <c r="H235" s="17" t="s">
        <v>1553</v>
      </c>
      <c r="I235" s="20" t="n">
        <v>1083</v>
      </c>
      <c r="J235" s="20" t="n">
        <v>20</v>
      </c>
      <c r="K235" s="25" t="n">
        <f aca="false">IFERROR(J235/I235,0)</f>
        <v>0.0184672206832872</v>
      </c>
      <c r="L235" s="19" t="n">
        <v>139.77</v>
      </c>
      <c r="M235" s="20" t="n">
        <v>0</v>
      </c>
      <c r="N235" s="8" t="n">
        <f aca="false">IFERROR(M235/J235,0)</f>
        <v>0</v>
      </c>
    </row>
    <row r="236" customFormat="false" ht="15" hidden="false" customHeight="false" outlineLevel="0" collapsed="false">
      <c r="A236" s="17" t="s">
        <v>15</v>
      </c>
      <c r="B236" s="17" t="s">
        <v>62</v>
      </c>
      <c r="C236" s="17" t="s">
        <v>60</v>
      </c>
      <c r="D236" s="17" t="s">
        <v>66</v>
      </c>
      <c r="E236" s="17" t="s">
        <v>1554</v>
      </c>
      <c r="F236" s="17" t="s">
        <v>61</v>
      </c>
      <c r="G236" s="17" t="s">
        <v>315</v>
      </c>
      <c r="H236" s="17" t="s">
        <v>1555</v>
      </c>
      <c r="I236" s="20" t="n">
        <v>589</v>
      </c>
      <c r="J236" s="20" t="n">
        <v>4</v>
      </c>
      <c r="K236" s="25" t="n">
        <f aca="false">IFERROR(J236/I236,0)</f>
        <v>0.0067911714770798</v>
      </c>
      <c r="L236" s="19" t="n">
        <v>6.49</v>
      </c>
      <c r="M236" s="20" t="n">
        <v>2</v>
      </c>
      <c r="N236" s="8" t="n">
        <f aca="false">IFERROR(M236/J236,0)</f>
        <v>0.5</v>
      </c>
    </row>
    <row r="237" customFormat="false" ht="15" hidden="false" customHeight="false" outlineLevel="0" collapsed="false">
      <c r="A237" s="17" t="s">
        <v>15</v>
      </c>
      <c r="B237" s="17" t="s">
        <v>62</v>
      </c>
      <c r="C237" s="17" t="s">
        <v>66</v>
      </c>
      <c r="D237" s="17" t="s">
        <v>66</v>
      </c>
      <c r="E237" s="17" t="s">
        <v>1556</v>
      </c>
      <c r="F237" s="17" t="s">
        <v>194</v>
      </c>
      <c r="G237" s="17" t="s">
        <v>315</v>
      </c>
      <c r="H237" s="17" t="s">
        <v>1557</v>
      </c>
      <c r="I237" s="20" t="n">
        <v>578</v>
      </c>
      <c r="J237" s="20" t="n">
        <v>1</v>
      </c>
      <c r="K237" s="25" t="n">
        <f aca="false">IFERROR(J237/I237,0)</f>
        <v>0.00173010380622837</v>
      </c>
      <c r="L237" s="19" t="n">
        <v>1.9</v>
      </c>
      <c r="M237" s="20" t="n">
        <v>0</v>
      </c>
      <c r="N237" s="8" t="n">
        <f aca="false">IFERROR(M237/J237,0)</f>
        <v>0</v>
      </c>
    </row>
    <row r="238" customFormat="false" ht="15" hidden="false" customHeight="false" outlineLevel="0" collapsed="false">
      <c r="A238" s="17" t="s">
        <v>15</v>
      </c>
      <c r="B238" s="17" t="s">
        <v>62</v>
      </c>
      <c r="C238" s="17" t="s">
        <v>60</v>
      </c>
      <c r="D238" s="17" t="s">
        <v>66</v>
      </c>
      <c r="E238" s="17" t="s">
        <v>1558</v>
      </c>
      <c r="F238" s="17" t="s">
        <v>1559</v>
      </c>
      <c r="G238" s="17" t="s">
        <v>315</v>
      </c>
      <c r="H238" s="17" t="s">
        <v>1560</v>
      </c>
      <c r="I238" s="20" t="n">
        <v>536</v>
      </c>
      <c r="J238" s="20" t="n">
        <v>4</v>
      </c>
      <c r="K238" s="25" t="n">
        <f aca="false">IFERROR(J238/I238,0)</f>
        <v>0.00746268656716418</v>
      </c>
      <c r="L238" s="19" t="n">
        <v>21.24</v>
      </c>
      <c r="M238" s="20" t="n">
        <v>1</v>
      </c>
      <c r="N238" s="8" t="n">
        <f aca="false">IFERROR(M238/J238,0)</f>
        <v>0.25</v>
      </c>
    </row>
    <row r="239" customFormat="false" ht="15" hidden="false" customHeight="false" outlineLevel="0" collapsed="false">
      <c r="A239" s="17" t="s">
        <v>15</v>
      </c>
      <c r="B239" s="17" t="s">
        <v>62</v>
      </c>
      <c r="C239" s="17" t="s">
        <v>66</v>
      </c>
      <c r="D239" s="17" t="s">
        <v>66</v>
      </c>
      <c r="E239" s="17" t="s">
        <v>1561</v>
      </c>
      <c r="F239" s="17" t="s">
        <v>194</v>
      </c>
      <c r="G239" s="17" t="s">
        <v>315</v>
      </c>
      <c r="H239" s="17" t="s">
        <v>1562</v>
      </c>
      <c r="I239" s="20" t="n">
        <v>475</v>
      </c>
      <c r="J239" s="20" t="n">
        <v>5</v>
      </c>
      <c r="K239" s="25" t="n">
        <f aca="false">IFERROR(J239/I239,0)</f>
        <v>0.0105263157894737</v>
      </c>
      <c r="L239" s="19" t="n">
        <v>13.3</v>
      </c>
      <c r="M239" s="20" t="n">
        <v>1</v>
      </c>
      <c r="N239" s="8" t="n">
        <f aca="false">IFERROR(M239/J239,0)</f>
        <v>0.2</v>
      </c>
    </row>
    <row r="240" customFormat="false" ht="15" hidden="false" customHeight="false" outlineLevel="0" collapsed="false">
      <c r="A240" s="17" t="s">
        <v>15</v>
      </c>
      <c r="B240" s="17" t="s">
        <v>62</v>
      </c>
      <c r="C240" s="17" t="s">
        <v>60</v>
      </c>
      <c r="D240" s="17" t="s">
        <v>66</v>
      </c>
      <c r="E240" s="17" t="s">
        <v>1563</v>
      </c>
      <c r="F240" s="17" t="s">
        <v>61</v>
      </c>
      <c r="G240" s="17" t="s">
        <v>315</v>
      </c>
      <c r="H240" s="17" t="s">
        <v>1564</v>
      </c>
      <c r="I240" s="20" t="n">
        <v>399</v>
      </c>
      <c r="J240" s="20" t="n">
        <v>3</v>
      </c>
      <c r="K240" s="25" t="n">
        <f aca="false">IFERROR(J240/I240,0)</f>
        <v>0.0075187969924812</v>
      </c>
      <c r="L240" s="19" t="n">
        <v>20.15</v>
      </c>
      <c r="M240" s="20" t="n">
        <v>0</v>
      </c>
      <c r="N240" s="8" t="n">
        <f aca="false">IFERROR(M240/J240,0)</f>
        <v>0</v>
      </c>
    </row>
    <row r="241" customFormat="false" ht="15" hidden="false" customHeight="false" outlineLevel="0" collapsed="false">
      <c r="A241" s="17" t="s">
        <v>15</v>
      </c>
      <c r="B241" s="17" t="s">
        <v>62</v>
      </c>
      <c r="C241" s="17" t="s">
        <v>60</v>
      </c>
      <c r="D241" s="17" t="s">
        <v>66</v>
      </c>
      <c r="E241" s="17" t="s">
        <v>1565</v>
      </c>
      <c r="F241" s="17" t="s">
        <v>61</v>
      </c>
      <c r="G241" s="17" t="s">
        <v>315</v>
      </c>
      <c r="H241" s="17" t="s">
        <v>1566</v>
      </c>
      <c r="I241" s="20" t="n">
        <v>394</v>
      </c>
      <c r="J241" s="20" t="n">
        <v>0</v>
      </c>
      <c r="K241" s="25" t="n">
        <f aca="false">IFERROR(J241/I241,0)</f>
        <v>0</v>
      </c>
      <c r="L241" s="19" t="n">
        <v>0</v>
      </c>
      <c r="M241" s="20" t="n">
        <v>0</v>
      </c>
      <c r="N241" s="8" t="n">
        <f aca="false">IFERROR(M241/J241,0)</f>
        <v>0</v>
      </c>
    </row>
    <row r="242" customFormat="false" ht="15" hidden="false" customHeight="false" outlineLevel="0" collapsed="false">
      <c r="A242" s="17" t="s">
        <v>15</v>
      </c>
      <c r="B242" s="17" t="s">
        <v>62</v>
      </c>
      <c r="C242" s="17" t="s">
        <v>60</v>
      </c>
      <c r="D242" s="17" t="s">
        <v>66</v>
      </c>
      <c r="E242" s="17" t="s">
        <v>375</v>
      </c>
      <c r="F242" s="17" t="s">
        <v>61</v>
      </c>
      <c r="G242" s="17" t="s">
        <v>315</v>
      </c>
      <c r="H242" s="17" t="s">
        <v>1567</v>
      </c>
      <c r="I242" s="20" t="n">
        <v>380</v>
      </c>
      <c r="J242" s="20" t="n">
        <v>2</v>
      </c>
      <c r="K242" s="25" t="n">
        <f aca="false">IFERROR(J242/I242,0)</f>
        <v>0.00526315789473684</v>
      </c>
      <c r="L242" s="19" t="n">
        <v>8.64</v>
      </c>
      <c r="M242" s="20" t="n">
        <v>0</v>
      </c>
      <c r="N242" s="8" t="n">
        <f aca="false">IFERROR(M242/J242,0)</f>
        <v>0</v>
      </c>
    </row>
    <row r="243" customFormat="false" ht="15" hidden="false" customHeight="false" outlineLevel="0" collapsed="false">
      <c r="A243" s="17" t="s">
        <v>15</v>
      </c>
      <c r="B243" s="17" t="s">
        <v>62</v>
      </c>
      <c r="C243" s="17" t="s">
        <v>66</v>
      </c>
      <c r="D243" s="17" t="s">
        <v>66</v>
      </c>
      <c r="E243" s="17" t="s">
        <v>1568</v>
      </c>
      <c r="F243" s="17" t="s">
        <v>194</v>
      </c>
      <c r="G243" s="17" t="s">
        <v>315</v>
      </c>
      <c r="H243" s="17" t="s">
        <v>1569</v>
      </c>
      <c r="I243" s="20" t="n">
        <v>367</v>
      </c>
      <c r="J243" s="20" t="n">
        <v>0</v>
      </c>
      <c r="K243" s="25" t="n">
        <f aca="false">IFERROR(J243/I243,0)</f>
        <v>0</v>
      </c>
      <c r="L243" s="19" t="n">
        <v>0</v>
      </c>
      <c r="M243" s="20" t="n">
        <v>0</v>
      </c>
      <c r="N243" s="8" t="n">
        <f aca="false">IFERROR(M243/J243,0)</f>
        <v>0</v>
      </c>
    </row>
    <row r="244" customFormat="false" ht="15" hidden="false" customHeight="false" outlineLevel="0" collapsed="false">
      <c r="A244" s="17" t="s">
        <v>15</v>
      </c>
      <c r="B244" s="17" t="s">
        <v>62</v>
      </c>
      <c r="C244" s="17" t="s">
        <v>60</v>
      </c>
      <c r="D244" s="17" t="s">
        <v>66</v>
      </c>
      <c r="E244" s="17" t="s">
        <v>1570</v>
      </c>
      <c r="F244" s="17" t="s">
        <v>61</v>
      </c>
      <c r="G244" s="17" t="s">
        <v>315</v>
      </c>
      <c r="H244" s="17" t="s">
        <v>1571</v>
      </c>
      <c r="I244" s="20" t="n">
        <v>346</v>
      </c>
      <c r="J244" s="20" t="n">
        <v>4</v>
      </c>
      <c r="K244" s="25" t="n">
        <f aca="false">IFERROR(J244/I244,0)</f>
        <v>0.0115606936416185</v>
      </c>
      <c r="L244" s="19" t="n">
        <v>21.92</v>
      </c>
      <c r="M244" s="20" t="n">
        <v>1</v>
      </c>
      <c r="N244" s="8" t="n">
        <f aca="false">IFERROR(M244/J244,0)</f>
        <v>0.25</v>
      </c>
    </row>
    <row r="245" customFormat="false" ht="15" hidden="false" customHeight="false" outlineLevel="0" collapsed="false">
      <c r="A245" s="17" t="s">
        <v>15</v>
      </c>
      <c r="B245" s="17" t="s">
        <v>62</v>
      </c>
      <c r="C245" s="17" t="s">
        <v>66</v>
      </c>
      <c r="D245" s="17" t="s">
        <v>66</v>
      </c>
      <c r="E245" s="17" t="s">
        <v>1572</v>
      </c>
      <c r="F245" s="17" t="s">
        <v>194</v>
      </c>
      <c r="G245" s="17" t="s">
        <v>315</v>
      </c>
      <c r="H245" s="17" t="s">
        <v>1573</v>
      </c>
      <c r="I245" s="20" t="n">
        <v>342</v>
      </c>
      <c r="J245" s="20" t="n">
        <v>0</v>
      </c>
      <c r="K245" s="25" t="n">
        <f aca="false">IFERROR(J245/I245,0)</f>
        <v>0</v>
      </c>
      <c r="L245" s="19" t="n">
        <v>0</v>
      </c>
      <c r="M245" s="20" t="n">
        <v>0</v>
      </c>
      <c r="N245" s="8" t="n">
        <f aca="false">IFERROR(M245/J245,0)</f>
        <v>0</v>
      </c>
    </row>
    <row r="246" customFormat="false" ht="15" hidden="false" customHeight="false" outlineLevel="0" collapsed="false">
      <c r="A246" s="17" t="s">
        <v>15</v>
      </c>
      <c r="B246" s="17" t="s">
        <v>62</v>
      </c>
      <c r="C246" s="17" t="s">
        <v>60</v>
      </c>
      <c r="D246" s="17" t="s">
        <v>66</v>
      </c>
      <c r="E246" s="17" t="s">
        <v>1574</v>
      </c>
      <c r="F246" s="17" t="s">
        <v>61</v>
      </c>
      <c r="G246" s="17" t="s">
        <v>315</v>
      </c>
      <c r="H246" s="17" t="s">
        <v>1575</v>
      </c>
      <c r="I246" s="20" t="n">
        <v>334</v>
      </c>
      <c r="J246" s="20" t="n">
        <v>1</v>
      </c>
      <c r="K246" s="25" t="n">
        <f aca="false">IFERROR(J246/I246,0)</f>
        <v>0.0029940119760479</v>
      </c>
      <c r="L246" s="19" t="n">
        <v>4.94</v>
      </c>
      <c r="M246" s="20" t="n">
        <v>0</v>
      </c>
      <c r="N246" s="8" t="n">
        <f aca="false">IFERROR(M246/J246,0)</f>
        <v>0</v>
      </c>
    </row>
    <row r="247" customFormat="false" ht="15" hidden="false" customHeight="false" outlineLevel="0" collapsed="false">
      <c r="A247" s="17" t="s">
        <v>15</v>
      </c>
      <c r="B247" s="17" t="s">
        <v>62</v>
      </c>
      <c r="C247" s="17" t="s">
        <v>60</v>
      </c>
      <c r="D247" s="17" t="s">
        <v>66</v>
      </c>
      <c r="E247" s="17" t="s">
        <v>1576</v>
      </c>
      <c r="F247" s="17" t="s">
        <v>61</v>
      </c>
      <c r="G247" s="17" t="s">
        <v>315</v>
      </c>
      <c r="H247" s="17" t="s">
        <v>1577</v>
      </c>
      <c r="I247" s="20" t="n">
        <v>275</v>
      </c>
      <c r="J247" s="20" t="n">
        <v>2</v>
      </c>
      <c r="K247" s="25" t="n">
        <f aca="false">IFERROR(J247/I247,0)</f>
        <v>0.00727272727272727</v>
      </c>
      <c r="L247" s="19" t="n">
        <v>10</v>
      </c>
      <c r="M247" s="20" t="n">
        <v>0</v>
      </c>
      <c r="N247" s="8" t="n">
        <f aca="false">IFERROR(M247/J247,0)</f>
        <v>0</v>
      </c>
    </row>
    <row r="248" customFormat="false" ht="15" hidden="false" customHeight="false" outlineLevel="0" collapsed="false">
      <c r="A248" s="17" t="s">
        <v>15</v>
      </c>
      <c r="B248" s="17" t="s">
        <v>62</v>
      </c>
      <c r="C248" s="17" t="s">
        <v>60</v>
      </c>
      <c r="D248" s="17" t="s">
        <v>66</v>
      </c>
      <c r="E248" s="17" t="s">
        <v>1578</v>
      </c>
      <c r="F248" s="17" t="s">
        <v>61</v>
      </c>
      <c r="G248" s="17" t="s">
        <v>315</v>
      </c>
      <c r="H248" s="17" t="s">
        <v>1579</v>
      </c>
      <c r="I248" s="20" t="n">
        <v>235</v>
      </c>
      <c r="J248" s="20" t="n">
        <v>2</v>
      </c>
      <c r="K248" s="25" t="n">
        <f aca="false">IFERROR(J248/I248,0)</f>
        <v>0.00851063829787234</v>
      </c>
      <c r="L248" s="19" t="n">
        <v>5.66</v>
      </c>
      <c r="M248" s="20" t="n">
        <v>0</v>
      </c>
      <c r="N248" s="8" t="n">
        <f aca="false">IFERROR(M248/J248,0)</f>
        <v>0</v>
      </c>
    </row>
    <row r="249" customFormat="false" ht="15" hidden="false" customHeight="false" outlineLevel="0" collapsed="false">
      <c r="A249" s="17" t="s">
        <v>15</v>
      </c>
      <c r="B249" s="17" t="s">
        <v>62</v>
      </c>
      <c r="C249" s="17" t="s">
        <v>66</v>
      </c>
      <c r="D249" s="17" t="s">
        <v>66</v>
      </c>
      <c r="E249" s="17" t="s">
        <v>1580</v>
      </c>
      <c r="F249" s="17" t="s">
        <v>194</v>
      </c>
      <c r="G249" s="17" t="s">
        <v>315</v>
      </c>
      <c r="H249" s="17" t="s">
        <v>1581</v>
      </c>
      <c r="I249" s="20" t="n">
        <v>217</v>
      </c>
      <c r="J249" s="20" t="n">
        <v>1</v>
      </c>
      <c r="K249" s="25" t="n">
        <f aca="false">IFERROR(J249/I249,0)</f>
        <v>0.00460829493087558</v>
      </c>
      <c r="L249" s="19" t="n">
        <v>5.27</v>
      </c>
      <c r="M249" s="20" t="n">
        <v>0</v>
      </c>
      <c r="N249" s="8" t="n">
        <f aca="false">IFERROR(M249/J249,0)</f>
        <v>0</v>
      </c>
    </row>
    <row r="250" customFormat="false" ht="15" hidden="false" customHeight="false" outlineLevel="0" collapsed="false">
      <c r="A250" s="17" t="s">
        <v>15</v>
      </c>
      <c r="B250" s="17" t="s">
        <v>62</v>
      </c>
      <c r="C250" s="17" t="s">
        <v>60</v>
      </c>
      <c r="D250" s="17" t="s">
        <v>66</v>
      </c>
      <c r="E250" s="17" t="s">
        <v>1582</v>
      </c>
      <c r="F250" s="17" t="s">
        <v>61</v>
      </c>
      <c r="G250" s="17" t="s">
        <v>315</v>
      </c>
      <c r="H250" s="17" t="s">
        <v>1583</v>
      </c>
      <c r="I250" s="20" t="n">
        <v>188</v>
      </c>
      <c r="J250" s="20" t="n">
        <v>1</v>
      </c>
      <c r="K250" s="25" t="n">
        <f aca="false">IFERROR(J250/I250,0)</f>
        <v>0.00531914893617021</v>
      </c>
      <c r="L250" s="19" t="n">
        <v>4.94</v>
      </c>
      <c r="M250" s="20" t="n">
        <v>0</v>
      </c>
      <c r="N250" s="8" t="n">
        <f aca="false">IFERROR(M250/J250,0)</f>
        <v>0</v>
      </c>
    </row>
    <row r="251" customFormat="false" ht="15" hidden="false" customHeight="false" outlineLevel="0" collapsed="false">
      <c r="A251" s="17" t="s">
        <v>15</v>
      </c>
      <c r="B251" s="17" t="s">
        <v>62</v>
      </c>
      <c r="C251" s="17" t="s">
        <v>66</v>
      </c>
      <c r="D251" s="17" t="s">
        <v>66</v>
      </c>
      <c r="E251" s="17" t="s">
        <v>1584</v>
      </c>
      <c r="F251" s="17" t="s">
        <v>194</v>
      </c>
      <c r="G251" s="17" t="s">
        <v>315</v>
      </c>
      <c r="H251" s="17" t="s">
        <v>1585</v>
      </c>
      <c r="I251" s="20" t="n">
        <v>179</v>
      </c>
      <c r="J251" s="20" t="n">
        <v>3</v>
      </c>
      <c r="K251" s="25" t="n">
        <f aca="false">IFERROR(J251/I251,0)</f>
        <v>0.0167597765363129</v>
      </c>
      <c r="L251" s="19" t="n">
        <v>23.46</v>
      </c>
      <c r="M251" s="20" t="n">
        <v>1</v>
      </c>
      <c r="N251" s="8" t="n">
        <f aca="false">IFERROR(M251/J251,0)</f>
        <v>0.333333333333333</v>
      </c>
    </row>
    <row r="252" customFormat="false" ht="15" hidden="false" customHeight="false" outlineLevel="0" collapsed="false">
      <c r="A252" s="17" t="s">
        <v>15</v>
      </c>
      <c r="B252" s="17" t="s">
        <v>62</v>
      </c>
      <c r="C252" s="17" t="s">
        <v>60</v>
      </c>
      <c r="D252" s="17" t="s">
        <v>66</v>
      </c>
      <c r="E252" s="17" t="s">
        <v>1586</v>
      </c>
      <c r="F252" s="17" t="s">
        <v>61</v>
      </c>
      <c r="G252" s="17" t="s">
        <v>315</v>
      </c>
      <c r="H252" s="17" t="s">
        <v>1587</v>
      </c>
      <c r="I252" s="20" t="n">
        <v>172</v>
      </c>
      <c r="J252" s="20" t="n">
        <v>3</v>
      </c>
      <c r="K252" s="25" t="n">
        <f aca="false">IFERROR(J252/I252,0)</f>
        <v>0.0174418604651163</v>
      </c>
      <c r="L252" s="19" t="n">
        <v>11.68</v>
      </c>
      <c r="M252" s="20" t="n">
        <v>1</v>
      </c>
      <c r="N252" s="8" t="n">
        <f aca="false">IFERROR(M252/J252,0)</f>
        <v>0.333333333333333</v>
      </c>
    </row>
    <row r="253" customFormat="false" ht="15" hidden="false" customHeight="false" outlineLevel="0" collapsed="false">
      <c r="A253" s="17" t="s">
        <v>15</v>
      </c>
      <c r="B253" s="17" t="s">
        <v>62</v>
      </c>
      <c r="C253" s="17" t="s">
        <v>60</v>
      </c>
      <c r="D253" s="17" t="s">
        <v>66</v>
      </c>
      <c r="E253" s="17" t="s">
        <v>1588</v>
      </c>
      <c r="F253" s="17" t="s">
        <v>61</v>
      </c>
      <c r="G253" s="17" t="s">
        <v>315</v>
      </c>
      <c r="H253" s="17" t="s">
        <v>1589</v>
      </c>
      <c r="I253" s="20" t="n">
        <v>164</v>
      </c>
      <c r="J253" s="20" t="n">
        <v>4</v>
      </c>
      <c r="K253" s="25" t="n">
        <f aca="false">IFERROR(J253/I253,0)</f>
        <v>0.024390243902439</v>
      </c>
      <c r="L253" s="19" t="n">
        <v>16.82</v>
      </c>
      <c r="M253" s="20" t="n">
        <v>1</v>
      </c>
      <c r="N253" s="8" t="n">
        <f aca="false">IFERROR(M253/J253,0)</f>
        <v>0.25</v>
      </c>
    </row>
    <row r="254" customFormat="false" ht="15" hidden="false" customHeight="false" outlineLevel="0" collapsed="false">
      <c r="A254" s="17" t="s">
        <v>15</v>
      </c>
      <c r="B254" s="17" t="s">
        <v>62</v>
      </c>
      <c r="C254" s="17" t="s">
        <v>60</v>
      </c>
      <c r="D254" s="17" t="s">
        <v>60</v>
      </c>
      <c r="E254" s="17" t="s">
        <v>1590</v>
      </c>
      <c r="F254" s="17" t="s">
        <v>61</v>
      </c>
      <c r="G254" s="17" t="s">
        <v>315</v>
      </c>
      <c r="H254" s="17" t="s">
        <v>1591</v>
      </c>
      <c r="I254" s="20" t="n">
        <v>164</v>
      </c>
      <c r="J254" s="20" t="n">
        <v>0</v>
      </c>
      <c r="K254" s="25" t="n">
        <f aca="false">IFERROR(J254/I254,0)</f>
        <v>0</v>
      </c>
      <c r="L254" s="19" t="n">
        <v>0</v>
      </c>
      <c r="M254" s="20" t="n">
        <v>0</v>
      </c>
      <c r="N254" s="8" t="n">
        <f aca="false">IFERROR(M254/J254,0)</f>
        <v>0</v>
      </c>
    </row>
    <row r="255" customFormat="false" ht="15" hidden="false" customHeight="false" outlineLevel="0" collapsed="false">
      <c r="A255" s="17" t="s">
        <v>15</v>
      </c>
      <c r="B255" s="17" t="s">
        <v>62</v>
      </c>
      <c r="C255" s="17" t="s">
        <v>60</v>
      </c>
      <c r="D255" s="17" t="s">
        <v>66</v>
      </c>
      <c r="E255" s="17" t="s">
        <v>1592</v>
      </c>
      <c r="F255" s="17" t="s">
        <v>61</v>
      </c>
      <c r="G255" s="17" t="s">
        <v>315</v>
      </c>
      <c r="H255" s="17" t="s">
        <v>1593</v>
      </c>
      <c r="I255" s="20" t="n">
        <v>148</v>
      </c>
      <c r="J255" s="20" t="n">
        <v>0</v>
      </c>
      <c r="K255" s="25" t="n">
        <f aca="false">IFERROR(J255/I255,0)</f>
        <v>0</v>
      </c>
      <c r="L255" s="19" t="n">
        <v>0</v>
      </c>
      <c r="M255" s="20" t="n">
        <v>0</v>
      </c>
      <c r="N255" s="8" t="n">
        <f aca="false">IFERROR(M255/J255,0)</f>
        <v>0</v>
      </c>
    </row>
    <row r="256" customFormat="false" ht="15" hidden="false" customHeight="false" outlineLevel="0" collapsed="false">
      <c r="A256" s="17" t="s">
        <v>15</v>
      </c>
      <c r="B256" s="17" t="s">
        <v>62</v>
      </c>
      <c r="C256" s="17" t="s">
        <v>66</v>
      </c>
      <c r="D256" s="17" t="s">
        <v>60</v>
      </c>
      <c r="E256" s="17" t="s">
        <v>1594</v>
      </c>
      <c r="F256" s="17" t="s">
        <v>86</v>
      </c>
      <c r="G256" s="17" t="s">
        <v>315</v>
      </c>
      <c r="H256" s="17" t="s">
        <v>1595</v>
      </c>
      <c r="I256" s="20" t="n">
        <v>120</v>
      </c>
      <c r="J256" s="20" t="n">
        <v>0</v>
      </c>
      <c r="K256" s="25" t="n">
        <f aca="false">IFERROR(J256/I256,0)</f>
        <v>0</v>
      </c>
      <c r="L256" s="19" t="n">
        <v>0</v>
      </c>
      <c r="M256" s="20" t="n">
        <v>0</v>
      </c>
      <c r="N256" s="8" t="n">
        <f aca="false">IFERROR(M256/J256,0)</f>
        <v>0</v>
      </c>
    </row>
    <row r="257" customFormat="false" ht="15" hidden="false" customHeight="false" outlineLevel="0" collapsed="false">
      <c r="A257" s="17" t="s">
        <v>15</v>
      </c>
      <c r="B257" s="17" t="s">
        <v>62</v>
      </c>
      <c r="C257" s="17" t="s">
        <v>66</v>
      </c>
      <c r="D257" s="17" t="s">
        <v>66</v>
      </c>
      <c r="E257" s="17" t="s">
        <v>1596</v>
      </c>
      <c r="F257" s="17" t="s">
        <v>194</v>
      </c>
      <c r="G257" s="17" t="s">
        <v>315</v>
      </c>
      <c r="H257" s="17" t="s">
        <v>1597</v>
      </c>
      <c r="I257" s="20" t="n">
        <v>114</v>
      </c>
      <c r="J257" s="20" t="n">
        <v>3</v>
      </c>
      <c r="K257" s="25" t="n">
        <f aca="false">IFERROR(J257/I257,0)</f>
        <v>0.0263157894736842</v>
      </c>
      <c r="L257" s="19" t="n">
        <v>21.81</v>
      </c>
      <c r="M257" s="20" t="n">
        <v>0</v>
      </c>
      <c r="N257" s="8" t="n">
        <f aca="false">IFERROR(M257/J257,0)</f>
        <v>0</v>
      </c>
    </row>
    <row r="258" customFormat="false" ht="15" hidden="false" customHeight="false" outlineLevel="0" collapsed="false">
      <c r="A258" s="17" t="s">
        <v>15</v>
      </c>
      <c r="B258" s="17" t="s">
        <v>62</v>
      </c>
      <c r="C258" s="17" t="s">
        <v>60</v>
      </c>
      <c r="D258" s="17" t="s">
        <v>66</v>
      </c>
      <c r="E258" s="17" t="s">
        <v>1598</v>
      </c>
      <c r="F258" s="17" t="s">
        <v>61</v>
      </c>
      <c r="G258" s="17" t="s">
        <v>315</v>
      </c>
      <c r="H258" s="17" t="s">
        <v>1599</v>
      </c>
      <c r="I258" s="20" t="n">
        <v>106</v>
      </c>
      <c r="J258" s="20" t="n">
        <v>0</v>
      </c>
      <c r="K258" s="25" t="n">
        <f aca="false">IFERROR(J258/I258,0)</f>
        <v>0</v>
      </c>
      <c r="L258" s="19" t="n">
        <v>0</v>
      </c>
      <c r="M258" s="20" t="n">
        <v>0</v>
      </c>
      <c r="N258" s="8" t="n">
        <f aca="false">IFERROR(M258/J258,0)</f>
        <v>0</v>
      </c>
    </row>
    <row r="259" customFormat="false" ht="15" hidden="false" customHeight="false" outlineLevel="0" collapsed="false">
      <c r="A259" s="17" t="s">
        <v>15</v>
      </c>
      <c r="B259" s="17" t="s">
        <v>62</v>
      </c>
      <c r="C259" s="17" t="s">
        <v>60</v>
      </c>
      <c r="D259" s="17" t="s">
        <v>66</v>
      </c>
      <c r="E259" s="17" t="s">
        <v>1600</v>
      </c>
      <c r="F259" s="17" t="s">
        <v>61</v>
      </c>
      <c r="G259" s="17" t="s">
        <v>315</v>
      </c>
      <c r="H259" s="17" t="s">
        <v>1601</v>
      </c>
      <c r="I259" s="20" t="n">
        <v>100</v>
      </c>
      <c r="J259" s="20" t="n">
        <v>0</v>
      </c>
      <c r="K259" s="25" t="n">
        <f aca="false">IFERROR(J259/I259,0)</f>
        <v>0</v>
      </c>
      <c r="L259" s="19" t="n">
        <v>0</v>
      </c>
      <c r="M259" s="20" t="n">
        <v>0</v>
      </c>
      <c r="N259" s="8" t="n">
        <f aca="false">IFERROR(M259/J259,0)</f>
        <v>0</v>
      </c>
    </row>
    <row r="260" customFormat="false" ht="15" hidden="false" customHeight="false" outlineLevel="0" collapsed="false">
      <c r="A260" s="17" t="s">
        <v>15</v>
      </c>
      <c r="B260" s="17" t="s">
        <v>62</v>
      </c>
      <c r="C260" s="17" t="s">
        <v>66</v>
      </c>
      <c r="D260" s="17" t="s">
        <v>60</v>
      </c>
      <c r="E260" s="17" t="s">
        <v>1602</v>
      </c>
      <c r="F260" s="17" t="s">
        <v>86</v>
      </c>
      <c r="G260" s="17" t="s">
        <v>315</v>
      </c>
      <c r="H260" s="17" t="s">
        <v>1603</v>
      </c>
      <c r="I260" s="20" t="n">
        <v>95</v>
      </c>
      <c r="J260" s="20" t="n">
        <v>0</v>
      </c>
      <c r="K260" s="25" t="n">
        <f aca="false">IFERROR(J260/I260,0)</f>
        <v>0</v>
      </c>
      <c r="L260" s="19" t="n">
        <v>0</v>
      </c>
      <c r="M260" s="20" t="n">
        <v>0</v>
      </c>
      <c r="N260" s="8" t="n">
        <f aca="false">IFERROR(M260/J260,0)</f>
        <v>0</v>
      </c>
    </row>
    <row r="261" customFormat="false" ht="15" hidden="false" customHeight="false" outlineLevel="0" collapsed="false">
      <c r="A261" s="17" t="s">
        <v>15</v>
      </c>
      <c r="B261" s="17" t="s">
        <v>62</v>
      </c>
      <c r="C261" s="17" t="s">
        <v>60</v>
      </c>
      <c r="D261" s="17" t="s">
        <v>66</v>
      </c>
      <c r="E261" s="17" t="s">
        <v>1604</v>
      </c>
      <c r="F261" s="17" t="s">
        <v>61</v>
      </c>
      <c r="G261" s="17" t="s">
        <v>315</v>
      </c>
      <c r="H261" s="17" t="s">
        <v>1605</v>
      </c>
      <c r="I261" s="20" t="n">
        <v>86</v>
      </c>
      <c r="J261" s="20" t="n">
        <v>3</v>
      </c>
      <c r="K261" s="25" t="n">
        <f aca="false">IFERROR(J261/I261,0)</f>
        <v>0.0348837209302326</v>
      </c>
      <c r="L261" s="19" t="n">
        <v>15.15</v>
      </c>
      <c r="M261" s="20" t="n">
        <v>0</v>
      </c>
      <c r="N261" s="8" t="n">
        <f aca="false">IFERROR(M261/J261,0)</f>
        <v>0</v>
      </c>
    </row>
    <row r="262" customFormat="false" ht="15" hidden="false" customHeight="false" outlineLevel="0" collapsed="false">
      <c r="A262" s="17" t="s">
        <v>15</v>
      </c>
      <c r="B262" s="17" t="s">
        <v>62</v>
      </c>
      <c r="C262" s="17" t="s">
        <v>60</v>
      </c>
      <c r="D262" s="17" t="s">
        <v>66</v>
      </c>
      <c r="E262" s="17" t="s">
        <v>1606</v>
      </c>
      <c r="F262" s="17" t="s">
        <v>61</v>
      </c>
      <c r="G262" s="17" t="s">
        <v>315</v>
      </c>
      <c r="H262" s="17" t="s">
        <v>1607</v>
      </c>
      <c r="I262" s="20" t="n">
        <v>79</v>
      </c>
      <c r="J262" s="20" t="n">
        <v>0</v>
      </c>
      <c r="K262" s="25" t="n">
        <f aca="false">IFERROR(J262/I262,0)</f>
        <v>0</v>
      </c>
      <c r="L262" s="19" t="n">
        <v>0</v>
      </c>
      <c r="M262" s="20" t="n">
        <v>0</v>
      </c>
      <c r="N262" s="8" t="n">
        <f aca="false">IFERROR(M262/J262,0)</f>
        <v>0</v>
      </c>
    </row>
    <row r="263" customFormat="false" ht="15" hidden="false" customHeight="false" outlineLevel="0" collapsed="false">
      <c r="A263" s="17" t="s">
        <v>15</v>
      </c>
      <c r="B263" s="17" t="s">
        <v>62</v>
      </c>
      <c r="C263" s="17" t="s">
        <v>60</v>
      </c>
      <c r="D263" s="17" t="s">
        <v>66</v>
      </c>
      <c r="E263" s="17" t="s">
        <v>392</v>
      </c>
      <c r="F263" s="17" t="s">
        <v>393</v>
      </c>
      <c r="G263" s="17" t="s">
        <v>315</v>
      </c>
      <c r="H263" s="17" t="s">
        <v>1608</v>
      </c>
      <c r="I263" s="20" t="n">
        <v>72</v>
      </c>
      <c r="J263" s="20" t="n">
        <v>1</v>
      </c>
      <c r="K263" s="25" t="n">
        <f aca="false">IFERROR(J263/I263,0)</f>
        <v>0.0138888888888889</v>
      </c>
      <c r="L263" s="19" t="n">
        <v>5.85</v>
      </c>
      <c r="M263" s="20" t="n">
        <v>0</v>
      </c>
      <c r="N263" s="8" t="n">
        <f aca="false">IFERROR(M263/J263,0)</f>
        <v>0</v>
      </c>
    </row>
    <row r="264" customFormat="false" ht="15" hidden="false" customHeight="false" outlineLevel="0" collapsed="false">
      <c r="A264" s="17" t="s">
        <v>15</v>
      </c>
      <c r="B264" s="17" t="s">
        <v>62</v>
      </c>
      <c r="C264" s="17" t="s">
        <v>60</v>
      </c>
      <c r="D264" s="17" t="s">
        <v>66</v>
      </c>
      <c r="E264" s="17" t="s">
        <v>1609</v>
      </c>
      <c r="F264" s="17" t="s">
        <v>61</v>
      </c>
      <c r="G264" s="17" t="s">
        <v>315</v>
      </c>
      <c r="H264" s="17" t="s">
        <v>1610</v>
      </c>
      <c r="I264" s="20" t="n">
        <v>71</v>
      </c>
      <c r="J264" s="20" t="n">
        <v>5</v>
      </c>
      <c r="K264" s="25" t="n">
        <f aca="false">IFERROR(J264/I264,0)</f>
        <v>0.0704225352112676</v>
      </c>
      <c r="L264" s="19" t="n">
        <v>38.05</v>
      </c>
      <c r="M264" s="20" t="n">
        <v>0</v>
      </c>
      <c r="N264" s="8" t="n">
        <f aca="false">IFERROR(M264/J264,0)</f>
        <v>0</v>
      </c>
    </row>
    <row r="265" customFormat="false" ht="15" hidden="false" customHeight="false" outlineLevel="0" collapsed="false">
      <c r="A265" s="17" t="s">
        <v>15</v>
      </c>
      <c r="B265" s="17" t="s">
        <v>62</v>
      </c>
      <c r="C265" s="17" t="s">
        <v>66</v>
      </c>
      <c r="D265" s="17" t="s">
        <v>66</v>
      </c>
      <c r="E265" s="17" t="s">
        <v>1611</v>
      </c>
      <c r="F265" s="17" t="s">
        <v>194</v>
      </c>
      <c r="G265" s="17" t="s">
        <v>315</v>
      </c>
      <c r="H265" s="17" t="s">
        <v>1612</v>
      </c>
      <c r="I265" s="20" t="n">
        <v>70</v>
      </c>
      <c r="J265" s="20" t="n">
        <v>0</v>
      </c>
      <c r="K265" s="25" t="n">
        <f aca="false">IFERROR(J265/I265,0)</f>
        <v>0</v>
      </c>
      <c r="L265" s="19" t="n">
        <v>0</v>
      </c>
      <c r="M265" s="20" t="n">
        <v>0</v>
      </c>
      <c r="N265" s="8" t="n">
        <f aca="false">IFERROR(M265/J265,0)</f>
        <v>0</v>
      </c>
    </row>
    <row r="266" customFormat="false" ht="15" hidden="false" customHeight="false" outlineLevel="0" collapsed="false">
      <c r="A266" s="17" t="s">
        <v>15</v>
      </c>
      <c r="B266" s="17" t="s">
        <v>62</v>
      </c>
      <c r="C266" s="17" t="s">
        <v>60</v>
      </c>
      <c r="D266" s="17" t="s">
        <v>66</v>
      </c>
      <c r="E266" s="17" t="s">
        <v>1613</v>
      </c>
      <c r="F266" s="17" t="s">
        <v>61</v>
      </c>
      <c r="G266" s="17" t="s">
        <v>315</v>
      </c>
      <c r="H266" s="17" t="s">
        <v>1614</v>
      </c>
      <c r="I266" s="20" t="n">
        <v>70</v>
      </c>
      <c r="J266" s="20" t="n">
        <v>0</v>
      </c>
      <c r="K266" s="25" t="n">
        <f aca="false">IFERROR(J266/I266,0)</f>
        <v>0</v>
      </c>
      <c r="L266" s="19" t="n">
        <v>0</v>
      </c>
      <c r="M266" s="20" t="n">
        <v>0</v>
      </c>
      <c r="N266" s="8" t="n">
        <f aca="false">IFERROR(M266/J266,0)</f>
        <v>0</v>
      </c>
    </row>
    <row r="267" customFormat="false" ht="15" hidden="false" customHeight="false" outlineLevel="0" collapsed="false">
      <c r="A267" s="17" t="s">
        <v>15</v>
      </c>
      <c r="B267" s="17" t="s">
        <v>62</v>
      </c>
      <c r="C267" s="17" t="s">
        <v>60</v>
      </c>
      <c r="D267" s="17" t="s">
        <v>66</v>
      </c>
      <c r="E267" s="17" t="s">
        <v>1615</v>
      </c>
      <c r="F267" s="17" t="s">
        <v>61</v>
      </c>
      <c r="G267" s="17" t="s">
        <v>315</v>
      </c>
      <c r="H267" s="17" t="s">
        <v>1616</v>
      </c>
      <c r="I267" s="20" t="n">
        <v>68</v>
      </c>
      <c r="J267" s="20" t="n">
        <v>1</v>
      </c>
      <c r="K267" s="25" t="n">
        <f aca="false">IFERROR(J267/I267,0)</f>
        <v>0.0147058823529412</v>
      </c>
      <c r="L267" s="19" t="n">
        <v>4.94</v>
      </c>
      <c r="M267" s="20" t="n">
        <v>0</v>
      </c>
      <c r="N267" s="8" t="n">
        <f aca="false">IFERROR(M267/J267,0)</f>
        <v>0</v>
      </c>
    </row>
    <row r="268" customFormat="false" ht="15" hidden="false" customHeight="false" outlineLevel="0" collapsed="false">
      <c r="A268" s="17" t="s">
        <v>15</v>
      </c>
      <c r="B268" s="17" t="s">
        <v>62</v>
      </c>
      <c r="C268" s="17" t="s">
        <v>66</v>
      </c>
      <c r="D268" s="17" t="s">
        <v>60</v>
      </c>
      <c r="E268" s="17" t="s">
        <v>1617</v>
      </c>
      <c r="F268" s="17" t="s">
        <v>205</v>
      </c>
      <c r="G268" s="17" t="s">
        <v>315</v>
      </c>
      <c r="H268" s="17" t="s">
        <v>1618</v>
      </c>
      <c r="I268" s="20" t="n">
        <v>63</v>
      </c>
      <c r="J268" s="20" t="n">
        <v>3</v>
      </c>
      <c r="K268" s="25" t="n">
        <f aca="false">IFERROR(J268/I268,0)</f>
        <v>0.0476190476190476</v>
      </c>
      <c r="L268" s="19" t="n">
        <v>13.94</v>
      </c>
      <c r="M268" s="20" t="n">
        <v>1</v>
      </c>
      <c r="N268" s="8" t="n">
        <f aca="false">IFERROR(M268/J268,0)</f>
        <v>0.333333333333333</v>
      </c>
    </row>
    <row r="269" customFormat="false" ht="15" hidden="false" customHeight="false" outlineLevel="0" collapsed="false">
      <c r="A269" s="17" t="s">
        <v>15</v>
      </c>
      <c r="B269" s="17" t="s">
        <v>62</v>
      </c>
      <c r="C269" s="17" t="s">
        <v>60</v>
      </c>
      <c r="D269" s="17" t="s">
        <v>66</v>
      </c>
      <c r="E269" s="17" t="s">
        <v>1619</v>
      </c>
      <c r="F269" s="17" t="s">
        <v>61</v>
      </c>
      <c r="G269" s="17" t="s">
        <v>315</v>
      </c>
      <c r="H269" s="17" t="s">
        <v>1620</v>
      </c>
      <c r="I269" s="20" t="n">
        <v>53</v>
      </c>
      <c r="J269" s="20" t="n">
        <v>1</v>
      </c>
      <c r="K269" s="25" t="n">
        <f aca="false">IFERROR(J269/I269,0)</f>
        <v>0.0188679245283019</v>
      </c>
      <c r="L269" s="19" t="n">
        <v>4.64</v>
      </c>
      <c r="M269" s="20" t="n">
        <v>0</v>
      </c>
      <c r="N269" s="8" t="n">
        <f aca="false">IFERROR(M269/J269,0)</f>
        <v>0</v>
      </c>
    </row>
    <row r="270" customFormat="false" ht="15" hidden="false" customHeight="false" outlineLevel="0" collapsed="false">
      <c r="A270" s="17" t="s">
        <v>15</v>
      </c>
      <c r="B270" s="17" t="s">
        <v>62</v>
      </c>
      <c r="C270" s="17" t="s">
        <v>66</v>
      </c>
      <c r="D270" s="17" t="s">
        <v>66</v>
      </c>
      <c r="E270" s="17" t="s">
        <v>1621</v>
      </c>
      <c r="F270" s="17" t="s">
        <v>194</v>
      </c>
      <c r="G270" s="17" t="s">
        <v>315</v>
      </c>
      <c r="H270" s="17" t="s">
        <v>1622</v>
      </c>
      <c r="I270" s="20" t="n">
        <v>51</v>
      </c>
      <c r="J270" s="20" t="n">
        <v>0</v>
      </c>
      <c r="K270" s="25" t="n">
        <f aca="false">IFERROR(J270/I270,0)</f>
        <v>0</v>
      </c>
      <c r="L270" s="19" t="n">
        <v>0</v>
      </c>
      <c r="M270" s="20" t="n">
        <v>0</v>
      </c>
      <c r="N270" s="8" t="n">
        <f aca="false">IFERROR(M270/J270,0)</f>
        <v>0</v>
      </c>
    </row>
    <row r="271" customFormat="false" ht="15" hidden="false" customHeight="false" outlineLevel="0" collapsed="false">
      <c r="A271" s="17" t="s">
        <v>15</v>
      </c>
      <c r="B271" s="17" t="s">
        <v>62</v>
      </c>
      <c r="C271" s="17" t="s">
        <v>60</v>
      </c>
      <c r="D271" s="17" t="s">
        <v>66</v>
      </c>
      <c r="E271" s="17" t="s">
        <v>1623</v>
      </c>
      <c r="F271" s="17" t="s">
        <v>61</v>
      </c>
      <c r="G271" s="17" t="s">
        <v>315</v>
      </c>
      <c r="H271" s="17" t="s">
        <v>1624</v>
      </c>
      <c r="I271" s="20" t="n">
        <v>41</v>
      </c>
      <c r="J271" s="20" t="n">
        <v>1</v>
      </c>
      <c r="K271" s="25" t="n">
        <f aca="false">IFERROR(J271/I271,0)</f>
        <v>0.024390243902439</v>
      </c>
      <c r="L271" s="19" t="n">
        <v>5.07</v>
      </c>
      <c r="M271" s="20" t="n">
        <v>0</v>
      </c>
      <c r="N271" s="8" t="n">
        <f aca="false">IFERROR(M271/J271,0)</f>
        <v>0</v>
      </c>
    </row>
    <row r="272" customFormat="false" ht="15" hidden="false" customHeight="false" outlineLevel="0" collapsed="false">
      <c r="A272" s="17" t="s">
        <v>15</v>
      </c>
      <c r="B272" s="17" t="s">
        <v>62</v>
      </c>
      <c r="C272" s="17" t="s">
        <v>66</v>
      </c>
      <c r="D272" s="17" t="s">
        <v>66</v>
      </c>
      <c r="E272" s="17" t="s">
        <v>401</v>
      </c>
      <c r="F272" s="17" t="s">
        <v>194</v>
      </c>
      <c r="G272" s="17" t="s">
        <v>315</v>
      </c>
      <c r="H272" s="17" t="s">
        <v>1625</v>
      </c>
      <c r="I272" s="20" t="n">
        <v>40</v>
      </c>
      <c r="J272" s="20" t="n">
        <v>1</v>
      </c>
      <c r="K272" s="25" t="n">
        <f aca="false">IFERROR(J272/I272,0)</f>
        <v>0.025</v>
      </c>
      <c r="L272" s="19" t="n">
        <v>4.36</v>
      </c>
      <c r="M272" s="20" t="n">
        <v>1</v>
      </c>
      <c r="N272" s="8" t="n">
        <f aca="false">IFERROR(M272/J272,0)</f>
        <v>1</v>
      </c>
    </row>
    <row r="273" customFormat="false" ht="15" hidden="false" customHeight="false" outlineLevel="0" collapsed="false">
      <c r="A273" s="17" t="s">
        <v>15</v>
      </c>
      <c r="B273" s="17" t="s">
        <v>62</v>
      </c>
      <c r="C273" s="17" t="s">
        <v>60</v>
      </c>
      <c r="D273" s="17" t="s">
        <v>66</v>
      </c>
      <c r="E273" s="17" t="s">
        <v>1626</v>
      </c>
      <c r="F273" s="17" t="s">
        <v>61</v>
      </c>
      <c r="G273" s="17" t="s">
        <v>315</v>
      </c>
      <c r="H273" s="17" t="s">
        <v>1627</v>
      </c>
      <c r="I273" s="20" t="n">
        <v>39</v>
      </c>
      <c r="J273" s="20" t="n">
        <v>2</v>
      </c>
      <c r="K273" s="25" t="n">
        <f aca="false">IFERROR(J273/I273,0)</f>
        <v>0.0512820512820513</v>
      </c>
      <c r="L273" s="19" t="n">
        <v>0.76</v>
      </c>
      <c r="M273" s="20" t="n">
        <v>0</v>
      </c>
      <c r="N273" s="8" t="n">
        <f aca="false">IFERROR(M273/J273,0)</f>
        <v>0</v>
      </c>
    </row>
    <row r="274" customFormat="false" ht="15" hidden="false" customHeight="false" outlineLevel="0" collapsed="false">
      <c r="A274" s="17" t="s">
        <v>15</v>
      </c>
      <c r="B274" s="17" t="s">
        <v>62</v>
      </c>
      <c r="C274" s="17" t="s">
        <v>60</v>
      </c>
      <c r="D274" s="17" t="s">
        <v>66</v>
      </c>
      <c r="E274" s="17" t="s">
        <v>1628</v>
      </c>
      <c r="F274" s="17" t="s">
        <v>61</v>
      </c>
      <c r="G274" s="17" t="s">
        <v>315</v>
      </c>
      <c r="H274" s="17" t="s">
        <v>1629</v>
      </c>
      <c r="I274" s="20" t="n">
        <v>39</v>
      </c>
      <c r="J274" s="20" t="n">
        <v>0</v>
      </c>
      <c r="K274" s="25" t="n">
        <f aca="false">IFERROR(J274/I274,0)</f>
        <v>0</v>
      </c>
      <c r="L274" s="19" t="n">
        <v>0</v>
      </c>
      <c r="M274" s="20" t="n">
        <v>0</v>
      </c>
      <c r="N274" s="8" t="n">
        <f aca="false">IFERROR(M274/J274,0)</f>
        <v>0</v>
      </c>
    </row>
    <row r="275" customFormat="false" ht="15" hidden="false" customHeight="false" outlineLevel="0" collapsed="false">
      <c r="A275" s="17" t="s">
        <v>15</v>
      </c>
      <c r="B275" s="17" t="s">
        <v>62</v>
      </c>
      <c r="C275" s="17" t="s">
        <v>60</v>
      </c>
      <c r="D275" s="17" t="s">
        <v>66</v>
      </c>
      <c r="E275" s="17" t="s">
        <v>1630</v>
      </c>
      <c r="F275" s="17" t="s">
        <v>61</v>
      </c>
      <c r="G275" s="17" t="s">
        <v>315</v>
      </c>
      <c r="H275" s="17" t="s">
        <v>1631</v>
      </c>
      <c r="I275" s="20" t="n">
        <v>34</v>
      </c>
      <c r="J275" s="20" t="n">
        <v>0</v>
      </c>
      <c r="K275" s="25" t="n">
        <f aca="false">IFERROR(J275/I275,0)</f>
        <v>0</v>
      </c>
      <c r="L275" s="19" t="n">
        <v>0</v>
      </c>
      <c r="M275" s="20" t="n">
        <v>0</v>
      </c>
      <c r="N275" s="8" t="n">
        <f aca="false">IFERROR(M275/J275,0)</f>
        <v>0</v>
      </c>
    </row>
    <row r="276" customFormat="false" ht="15" hidden="false" customHeight="false" outlineLevel="0" collapsed="false">
      <c r="A276" s="17" t="s">
        <v>15</v>
      </c>
      <c r="B276" s="17" t="s">
        <v>62</v>
      </c>
      <c r="C276" s="17" t="s">
        <v>60</v>
      </c>
      <c r="D276" s="17" t="s">
        <v>66</v>
      </c>
      <c r="E276" s="17" t="s">
        <v>1632</v>
      </c>
      <c r="F276" s="17" t="s">
        <v>61</v>
      </c>
      <c r="G276" s="17" t="s">
        <v>315</v>
      </c>
      <c r="H276" s="17" t="s">
        <v>1633</v>
      </c>
      <c r="I276" s="20" t="n">
        <v>33</v>
      </c>
      <c r="J276" s="20" t="n">
        <v>1</v>
      </c>
      <c r="K276" s="25" t="n">
        <f aca="false">IFERROR(J276/I276,0)</f>
        <v>0.0303030303030303</v>
      </c>
      <c r="L276" s="19" t="n">
        <v>6.28</v>
      </c>
      <c r="M276" s="20" t="n">
        <v>0</v>
      </c>
      <c r="N276" s="8" t="n">
        <f aca="false">IFERROR(M276/J276,0)</f>
        <v>0</v>
      </c>
    </row>
    <row r="277" customFormat="false" ht="15" hidden="false" customHeight="false" outlineLevel="0" collapsed="false">
      <c r="A277" s="17" t="s">
        <v>15</v>
      </c>
      <c r="B277" s="17" t="s">
        <v>62</v>
      </c>
      <c r="C277" s="17" t="s">
        <v>66</v>
      </c>
      <c r="D277" s="17" t="s">
        <v>66</v>
      </c>
      <c r="E277" s="17" t="s">
        <v>1634</v>
      </c>
      <c r="F277" s="17" t="s">
        <v>194</v>
      </c>
      <c r="G277" s="17" t="s">
        <v>315</v>
      </c>
      <c r="H277" s="17" t="s">
        <v>1635</v>
      </c>
      <c r="I277" s="20" t="n">
        <v>30</v>
      </c>
      <c r="J277" s="20" t="n">
        <v>1</v>
      </c>
      <c r="K277" s="25" t="n">
        <f aca="false">IFERROR(J277/I277,0)</f>
        <v>0.0333333333333333</v>
      </c>
      <c r="L277" s="19" t="n">
        <v>0.9</v>
      </c>
      <c r="M277" s="20" t="n">
        <v>0</v>
      </c>
      <c r="N277" s="8" t="n">
        <f aca="false">IFERROR(M277/J277,0)</f>
        <v>0</v>
      </c>
    </row>
    <row r="278" customFormat="false" ht="15" hidden="false" customHeight="false" outlineLevel="0" collapsed="false">
      <c r="A278" s="17" t="s">
        <v>15</v>
      </c>
      <c r="B278" s="17" t="s">
        <v>62</v>
      </c>
      <c r="C278" s="17" t="s">
        <v>60</v>
      </c>
      <c r="D278" s="17" t="s">
        <v>66</v>
      </c>
      <c r="E278" s="17" t="s">
        <v>1636</v>
      </c>
      <c r="F278" s="17" t="s">
        <v>61</v>
      </c>
      <c r="G278" s="17" t="s">
        <v>315</v>
      </c>
      <c r="H278" s="17" t="s">
        <v>1637</v>
      </c>
      <c r="I278" s="20" t="n">
        <v>28</v>
      </c>
      <c r="J278" s="20" t="n">
        <v>0</v>
      </c>
      <c r="K278" s="25" t="n">
        <f aca="false">IFERROR(J278/I278,0)</f>
        <v>0</v>
      </c>
      <c r="L278" s="19" t="n">
        <v>0</v>
      </c>
      <c r="M278" s="20" t="n">
        <v>0</v>
      </c>
      <c r="N278" s="8" t="n">
        <f aca="false">IFERROR(M278/J278,0)</f>
        <v>0</v>
      </c>
    </row>
    <row r="279" customFormat="false" ht="15" hidden="false" customHeight="false" outlineLevel="0" collapsed="false">
      <c r="A279" s="17" t="s">
        <v>15</v>
      </c>
      <c r="B279" s="17" t="s">
        <v>62</v>
      </c>
      <c r="C279" s="17" t="s">
        <v>60</v>
      </c>
      <c r="D279" s="17" t="s">
        <v>66</v>
      </c>
      <c r="E279" s="17" t="s">
        <v>1638</v>
      </c>
      <c r="F279" s="17" t="s">
        <v>61</v>
      </c>
      <c r="G279" s="17" t="s">
        <v>315</v>
      </c>
      <c r="H279" s="17" t="s">
        <v>1639</v>
      </c>
      <c r="I279" s="20" t="n">
        <v>21</v>
      </c>
      <c r="J279" s="20" t="n">
        <v>0</v>
      </c>
      <c r="K279" s="25" t="n">
        <f aca="false">IFERROR(J279/I279,0)</f>
        <v>0</v>
      </c>
      <c r="L279" s="19" t="n">
        <v>0</v>
      </c>
      <c r="M279" s="20" t="n">
        <v>0</v>
      </c>
      <c r="N279" s="8" t="n">
        <f aca="false">IFERROR(M279/J279,0)</f>
        <v>0</v>
      </c>
    </row>
    <row r="280" customFormat="false" ht="15" hidden="false" customHeight="false" outlineLevel="0" collapsed="false">
      <c r="A280" s="17" t="s">
        <v>15</v>
      </c>
      <c r="B280" s="17" t="s">
        <v>62</v>
      </c>
      <c r="C280" s="17" t="s">
        <v>60</v>
      </c>
      <c r="D280" s="17" t="s">
        <v>66</v>
      </c>
      <c r="E280" s="17" t="s">
        <v>1640</v>
      </c>
      <c r="F280" s="17" t="s">
        <v>61</v>
      </c>
      <c r="G280" s="17" t="s">
        <v>315</v>
      </c>
      <c r="H280" s="17" t="s">
        <v>1641</v>
      </c>
      <c r="I280" s="20" t="n">
        <v>17</v>
      </c>
      <c r="J280" s="20" t="n">
        <v>0</v>
      </c>
      <c r="K280" s="25" t="n">
        <f aca="false">IFERROR(J280/I280,0)</f>
        <v>0</v>
      </c>
      <c r="L280" s="19" t="n">
        <v>0</v>
      </c>
      <c r="M280" s="20" t="n">
        <v>0</v>
      </c>
      <c r="N280" s="8" t="n">
        <f aca="false">IFERROR(M280/J280,0)</f>
        <v>0</v>
      </c>
    </row>
    <row r="281" customFormat="false" ht="15" hidden="false" customHeight="false" outlineLevel="0" collapsed="false">
      <c r="A281" s="17" t="s">
        <v>15</v>
      </c>
      <c r="B281" s="17" t="s">
        <v>62</v>
      </c>
      <c r="C281" s="17" t="s">
        <v>60</v>
      </c>
      <c r="D281" s="17" t="s">
        <v>66</v>
      </c>
      <c r="E281" s="17" t="s">
        <v>1642</v>
      </c>
      <c r="F281" s="17" t="s">
        <v>61</v>
      </c>
      <c r="G281" s="17" t="s">
        <v>315</v>
      </c>
      <c r="H281" s="17" t="s">
        <v>1643</v>
      </c>
      <c r="I281" s="20" t="n">
        <v>13</v>
      </c>
      <c r="J281" s="20" t="n">
        <v>0</v>
      </c>
      <c r="K281" s="25" t="n">
        <f aca="false">IFERROR(J281/I281,0)</f>
        <v>0</v>
      </c>
      <c r="L281" s="19" t="n">
        <v>0</v>
      </c>
      <c r="M281" s="20" t="n">
        <v>0</v>
      </c>
      <c r="N281" s="8" t="n">
        <f aca="false">IFERROR(M281/J281,0)</f>
        <v>0</v>
      </c>
    </row>
    <row r="282" customFormat="false" ht="15" hidden="false" customHeight="false" outlineLevel="0" collapsed="false">
      <c r="A282" s="17" t="s">
        <v>15</v>
      </c>
      <c r="B282" s="17" t="s">
        <v>62</v>
      </c>
      <c r="C282" s="17" t="s">
        <v>60</v>
      </c>
      <c r="D282" s="17" t="s">
        <v>66</v>
      </c>
      <c r="E282" s="17" t="s">
        <v>1644</v>
      </c>
      <c r="F282" s="17" t="s">
        <v>61</v>
      </c>
      <c r="G282" s="17" t="s">
        <v>315</v>
      </c>
      <c r="H282" s="17" t="s">
        <v>1645</v>
      </c>
      <c r="I282" s="20" t="n">
        <v>9</v>
      </c>
      <c r="J282" s="20" t="n">
        <v>1</v>
      </c>
      <c r="K282" s="25" t="n">
        <f aca="false">IFERROR(J282/I282,0)</f>
        <v>0.111111111111111</v>
      </c>
      <c r="L282" s="19" t="n">
        <v>3.61</v>
      </c>
      <c r="M282" s="20" t="n">
        <v>0</v>
      </c>
      <c r="N282" s="8" t="n">
        <f aca="false">IFERROR(M282/J282,0)</f>
        <v>0</v>
      </c>
    </row>
    <row r="283" customFormat="false" ht="15" hidden="false" customHeight="false" outlineLevel="0" collapsed="false">
      <c r="A283" s="17" t="s">
        <v>15</v>
      </c>
      <c r="B283" s="17" t="s">
        <v>62</v>
      </c>
      <c r="C283" s="17" t="s">
        <v>60</v>
      </c>
      <c r="D283" s="17" t="s">
        <v>66</v>
      </c>
      <c r="E283" s="17" t="s">
        <v>1646</v>
      </c>
      <c r="F283" s="17" t="s">
        <v>61</v>
      </c>
      <c r="G283" s="17" t="s">
        <v>315</v>
      </c>
      <c r="H283" s="17" t="s">
        <v>1647</v>
      </c>
      <c r="I283" s="20" t="n">
        <v>9</v>
      </c>
      <c r="J283" s="20" t="n">
        <v>0</v>
      </c>
      <c r="K283" s="25" t="n">
        <f aca="false">IFERROR(J283/I283,0)</f>
        <v>0</v>
      </c>
      <c r="L283" s="19" t="n">
        <v>0</v>
      </c>
      <c r="M283" s="20" t="n">
        <v>0</v>
      </c>
      <c r="N283" s="8" t="n">
        <f aca="false">IFERROR(M283/J283,0)</f>
        <v>0</v>
      </c>
    </row>
    <row r="284" customFormat="false" ht="15" hidden="false" customHeight="false" outlineLevel="0" collapsed="false">
      <c r="A284" s="17" t="s">
        <v>15</v>
      </c>
      <c r="B284" s="17" t="s">
        <v>62</v>
      </c>
      <c r="C284" s="17" t="s">
        <v>66</v>
      </c>
      <c r="D284" s="17" t="s">
        <v>60</v>
      </c>
      <c r="E284" s="17" t="s">
        <v>1648</v>
      </c>
      <c r="F284" s="17" t="s">
        <v>203</v>
      </c>
      <c r="G284" s="17" t="s">
        <v>315</v>
      </c>
      <c r="H284" s="17" t="s">
        <v>1649</v>
      </c>
      <c r="I284" s="20" t="n">
        <v>9</v>
      </c>
      <c r="J284" s="20" t="n">
        <v>0</v>
      </c>
      <c r="K284" s="25" t="n">
        <f aca="false">IFERROR(J284/I284,0)</f>
        <v>0</v>
      </c>
      <c r="L284" s="19" t="n">
        <v>0</v>
      </c>
      <c r="M284" s="20" t="n">
        <v>0</v>
      </c>
      <c r="N284" s="8" t="n">
        <f aca="false">IFERROR(M284/J284,0)</f>
        <v>0</v>
      </c>
    </row>
    <row r="285" customFormat="false" ht="15" hidden="false" customHeight="false" outlineLevel="0" collapsed="false">
      <c r="A285" s="17" t="s">
        <v>15</v>
      </c>
      <c r="B285" s="17" t="s">
        <v>62</v>
      </c>
      <c r="C285" s="17" t="s">
        <v>60</v>
      </c>
      <c r="D285" s="17" t="s">
        <v>66</v>
      </c>
      <c r="E285" s="17" t="s">
        <v>1650</v>
      </c>
      <c r="F285" s="17" t="s">
        <v>61</v>
      </c>
      <c r="G285" s="17" t="s">
        <v>315</v>
      </c>
      <c r="H285" s="17" t="s">
        <v>1651</v>
      </c>
      <c r="I285" s="20" t="n">
        <v>8</v>
      </c>
      <c r="J285" s="20" t="n">
        <v>0</v>
      </c>
      <c r="K285" s="25" t="n">
        <f aca="false">IFERROR(J285/I285,0)</f>
        <v>0</v>
      </c>
      <c r="L285" s="19" t="n">
        <v>0</v>
      </c>
      <c r="M285" s="20" t="n">
        <v>0</v>
      </c>
      <c r="N285" s="8" t="n">
        <f aca="false">IFERROR(M285/J285,0)</f>
        <v>0</v>
      </c>
    </row>
    <row r="286" customFormat="false" ht="15" hidden="false" customHeight="false" outlineLevel="0" collapsed="false">
      <c r="A286" s="17" t="s">
        <v>15</v>
      </c>
      <c r="B286" s="17" t="s">
        <v>62</v>
      </c>
      <c r="C286" s="17" t="s">
        <v>60</v>
      </c>
      <c r="D286" s="17" t="s">
        <v>66</v>
      </c>
      <c r="E286" s="17" t="s">
        <v>395</v>
      </c>
      <c r="F286" s="17" t="s">
        <v>61</v>
      </c>
      <c r="G286" s="17" t="s">
        <v>315</v>
      </c>
      <c r="H286" s="17" t="s">
        <v>1652</v>
      </c>
      <c r="I286" s="20" t="n">
        <v>6</v>
      </c>
      <c r="J286" s="20" t="n">
        <v>1</v>
      </c>
      <c r="K286" s="25" t="n">
        <f aca="false">IFERROR(J286/I286,0)</f>
        <v>0.166666666666667</v>
      </c>
      <c r="L286" s="19" t="n">
        <v>5.65</v>
      </c>
      <c r="M286" s="20" t="n">
        <v>0</v>
      </c>
      <c r="N286" s="8" t="n">
        <f aca="false">IFERROR(M286/J286,0)</f>
        <v>0</v>
      </c>
    </row>
    <row r="287" customFormat="false" ht="15" hidden="false" customHeight="false" outlineLevel="0" collapsed="false">
      <c r="A287" s="17" t="s">
        <v>15</v>
      </c>
      <c r="B287" s="17" t="s">
        <v>62</v>
      </c>
      <c r="C287" s="17" t="s">
        <v>60</v>
      </c>
      <c r="D287" s="17" t="s">
        <v>66</v>
      </c>
      <c r="E287" s="17" t="s">
        <v>1653</v>
      </c>
      <c r="F287" s="17" t="s">
        <v>61</v>
      </c>
      <c r="G287" s="17" t="s">
        <v>315</v>
      </c>
      <c r="H287" s="17" t="s">
        <v>1654</v>
      </c>
      <c r="I287" s="20" t="n">
        <v>5</v>
      </c>
      <c r="J287" s="20" t="n">
        <v>0</v>
      </c>
      <c r="K287" s="25" t="n">
        <f aca="false">IFERROR(J287/I287,0)</f>
        <v>0</v>
      </c>
      <c r="L287" s="19" t="n">
        <v>0</v>
      </c>
      <c r="M287" s="20" t="n">
        <v>0</v>
      </c>
      <c r="N287" s="8" t="n">
        <f aca="false">IFERROR(M287/J287,0)</f>
        <v>0</v>
      </c>
    </row>
    <row r="288" customFormat="false" ht="15" hidden="false" customHeight="false" outlineLevel="0" collapsed="false">
      <c r="A288" s="17" t="s">
        <v>15</v>
      </c>
      <c r="B288" s="17" t="s">
        <v>62</v>
      </c>
      <c r="C288" s="17" t="s">
        <v>60</v>
      </c>
      <c r="D288" s="17" t="s">
        <v>66</v>
      </c>
      <c r="E288" s="17" t="s">
        <v>1655</v>
      </c>
      <c r="F288" s="17" t="s">
        <v>61</v>
      </c>
      <c r="G288" s="17" t="s">
        <v>315</v>
      </c>
      <c r="H288" s="17" t="s">
        <v>1656</v>
      </c>
      <c r="I288" s="20" t="n">
        <v>3</v>
      </c>
      <c r="J288" s="20" t="n">
        <v>0</v>
      </c>
      <c r="K288" s="25" t="n">
        <f aca="false">IFERROR(J288/I288,0)</f>
        <v>0</v>
      </c>
      <c r="L288" s="19" t="n">
        <v>0</v>
      </c>
      <c r="M288" s="20" t="n">
        <v>0</v>
      </c>
      <c r="N288" s="8" t="n">
        <f aca="false">IFERROR(M288/J288,0)</f>
        <v>0</v>
      </c>
    </row>
    <row r="289" customFormat="false" ht="15" hidden="false" customHeight="false" outlineLevel="0" collapsed="false">
      <c r="A289" s="17" t="s">
        <v>15</v>
      </c>
      <c r="B289" s="17" t="s">
        <v>62</v>
      </c>
      <c r="C289" s="17" t="s">
        <v>66</v>
      </c>
      <c r="D289" s="17" t="s">
        <v>60</v>
      </c>
      <c r="E289" s="17" t="s">
        <v>1657</v>
      </c>
      <c r="F289" s="17" t="s">
        <v>203</v>
      </c>
      <c r="G289" s="17" t="s">
        <v>315</v>
      </c>
      <c r="H289" s="17" t="s">
        <v>1658</v>
      </c>
      <c r="I289" s="20" t="n">
        <v>1</v>
      </c>
      <c r="J289" s="20" t="n">
        <v>0</v>
      </c>
      <c r="K289" s="25" t="n">
        <f aca="false">IFERROR(J289/I289,0)</f>
        <v>0</v>
      </c>
      <c r="L289" s="19" t="n">
        <v>0</v>
      </c>
      <c r="M289" s="20" t="n">
        <v>0</v>
      </c>
      <c r="N289" s="8" t="n">
        <f aca="false">IFERROR(M289/J289,0)</f>
        <v>0</v>
      </c>
    </row>
    <row r="290" customFormat="false" ht="15" hidden="false" customHeight="false" outlineLevel="0" collapsed="false">
      <c r="A290" s="17" t="s">
        <v>15</v>
      </c>
      <c r="B290" s="17" t="s">
        <v>62</v>
      </c>
      <c r="C290" s="17" t="s">
        <v>60</v>
      </c>
      <c r="D290" s="17" t="s">
        <v>66</v>
      </c>
      <c r="E290" s="17" t="s">
        <v>1659</v>
      </c>
      <c r="F290" s="17" t="s">
        <v>61</v>
      </c>
      <c r="G290" s="17" t="s">
        <v>315</v>
      </c>
      <c r="H290" s="17" t="s">
        <v>1660</v>
      </c>
      <c r="I290" s="20" t="n">
        <v>0</v>
      </c>
      <c r="J290" s="20" t="n">
        <v>0</v>
      </c>
      <c r="K290" s="25" t="n">
        <f aca="false">IFERROR(J290/I290,0)</f>
        <v>0</v>
      </c>
      <c r="L290" s="19" t="n">
        <v>0</v>
      </c>
      <c r="M290" s="20" t="n">
        <v>0</v>
      </c>
      <c r="N290" s="8" t="n">
        <f aca="false">IFERROR(M290/J290,0)</f>
        <v>0</v>
      </c>
    </row>
    <row r="291" customFormat="false" ht="15" hidden="false" customHeight="false" outlineLevel="0" collapsed="false">
      <c r="A291" s="17" t="s">
        <v>15</v>
      </c>
      <c r="B291" s="17" t="s">
        <v>62</v>
      </c>
      <c r="C291" s="17" t="s">
        <v>60</v>
      </c>
      <c r="D291" s="17" t="s">
        <v>66</v>
      </c>
      <c r="E291" s="17" t="s">
        <v>1661</v>
      </c>
      <c r="F291" s="17" t="s">
        <v>61</v>
      </c>
      <c r="G291" s="17" t="s">
        <v>315</v>
      </c>
      <c r="H291" s="17" t="s">
        <v>1662</v>
      </c>
      <c r="I291" s="20" t="n">
        <v>0</v>
      </c>
      <c r="J291" s="20" t="n">
        <v>0</v>
      </c>
      <c r="K291" s="25" t="n">
        <f aca="false">IFERROR(J291/I291,0)</f>
        <v>0</v>
      </c>
      <c r="L291" s="19" t="n">
        <v>0</v>
      </c>
      <c r="M291" s="20" t="n">
        <v>0</v>
      </c>
      <c r="N291" s="8" t="n">
        <f aca="false">IFERROR(M291/J291,0)</f>
        <v>0</v>
      </c>
    </row>
    <row r="292" customFormat="false" ht="15" hidden="false" customHeight="false" outlineLevel="0" collapsed="false">
      <c r="A292" s="17" t="s">
        <v>15</v>
      </c>
      <c r="B292" s="17" t="s">
        <v>62</v>
      </c>
      <c r="C292" s="17" t="s">
        <v>60</v>
      </c>
      <c r="D292" s="17" t="s">
        <v>60</v>
      </c>
      <c r="E292" s="17" t="s">
        <v>1663</v>
      </c>
      <c r="F292" s="17" t="s">
        <v>61</v>
      </c>
      <c r="G292" s="17" t="s">
        <v>315</v>
      </c>
      <c r="H292" s="17" t="s">
        <v>1664</v>
      </c>
      <c r="I292" s="20" t="n">
        <v>0</v>
      </c>
      <c r="J292" s="20" t="n">
        <v>0</v>
      </c>
      <c r="K292" s="25" t="n">
        <f aca="false">IFERROR(J292/I292,0)</f>
        <v>0</v>
      </c>
      <c r="L292" s="19" t="n">
        <v>0</v>
      </c>
      <c r="M292" s="20" t="n">
        <v>0</v>
      </c>
      <c r="N292" s="8" t="n">
        <f aca="false">IFERROR(M292/J292,0)</f>
        <v>0</v>
      </c>
    </row>
    <row r="293" customFormat="false" ht="15" hidden="false" customHeight="false" outlineLevel="0" collapsed="false">
      <c r="A293" s="17" t="s">
        <v>15</v>
      </c>
      <c r="B293" s="17" t="s">
        <v>69</v>
      </c>
      <c r="C293" s="17" t="s">
        <v>66</v>
      </c>
      <c r="D293" s="17" t="s">
        <v>66</v>
      </c>
      <c r="E293" s="17" t="s">
        <v>425</v>
      </c>
      <c r="F293" s="17" t="s">
        <v>75</v>
      </c>
      <c r="G293" s="17" t="s">
        <v>315</v>
      </c>
      <c r="H293" s="17" t="s">
        <v>1665</v>
      </c>
      <c r="I293" s="20" t="n">
        <v>35174</v>
      </c>
      <c r="J293" s="20" t="n">
        <v>61</v>
      </c>
      <c r="K293" s="25" t="n">
        <f aca="false">IFERROR(J293/I293,0)</f>
        <v>0.00173423551486894</v>
      </c>
      <c r="L293" s="19" t="n">
        <v>112.79</v>
      </c>
      <c r="M293" s="20" t="n">
        <v>6</v>
      </c>
      <c r="N293" s="8" t="n">
        <f aca="false">IFERROR(M293/J293,0)</f>
        <v>0.0983606557377049</v>
      </c>
    </row>
    <row r="294" customFormat="false" ht="15" hidden="false" customHeight="false" outlineLevel="0" collapsed="false">
      <c r="A294" s="17" t="s">
        <v>15</v>
      </c>
      <c r="B294" s="17" t="s">
        <v>69</v>
      </c>
      <c r="C294" s="17" t="s">
        <v>66</v>
      </c>
      <c r="D294" s="17" t="s">
        <v>66</v>
      </c>
      <c r="E294" s="17" t="s">
        <v>381</v>
      </c>
      <c r="F294" s="17" t="s">
        <v>75</v>
      </c>
      <c r="G294" s="17" t="s">
        <v>315</v>
      </c>
      <c r="H294" s="17" t="s">
        <v>1666</v>
      </c>
      <c r="I294" s="20" t="n">
        <v>2218</v>
      </c>
      <c r="J294" s="20" t="n">
        <v>39</v>
      </c>
      <c r="K294" s="25" t="n">
        <f aca="false">IFERROR(J294/I294,0)</f>
        <v>0.0175834084761046</v>
      </c>
      <c r="L294" s="19" t="n">
        <v>69.76</v>
      </c>
      <c r="M294" s="20" t="n">
        <v>3</v>
      </c>
      <c r="N294" s="8" t="n">
        <f aca="false">IFERROR(M294/J294,0)</f>
        <v>0.0769230769230769</v>
      </c>
    </row>
    <row r="295" customFormat="false" ht="15" hidden="false" customHeight="false" outlineLevel="0" collapsed="false">
      <c r="A295" s="17" t="s">
        <v>15</v>
      </c>
      <c r="B295" s="17" t="s">
        <v>69</v>
      </c>
      <c r="C295" s="17" t="s">
        <v>60</v>
      </c>
      <c r="D295" s="17" t="s">
        <v>66</v>
      </c>
      <c r="E295" s="17" t="s">
        <v>1667</v>
      </c>
      <c r="F295" s="17" t="s">
        <v>91</v>
      </c>
      <c r="G295" s="17" t="s">
        <v>315</v>
      </c>
      <c r="H295" s="17" t="s">
        <v>1668</v>
      </c>
      <c r="I295" s="20" t="n">
        <v>1663</v>
      </c>
      <c r="J295" s="20" t="n">
        <v>25</v>
      </c>
      <c r="K295" s="25" t="n">
        <f aca="false">IFERROR(J295/I295,0)</f>
        <v>0.0150330727600722</v>
      </c>
      <c r="L295" s="19" t="n">
        <v>61.32</v>
      </c>
      <c r="M295" s="20" t="n">
        <v>0</v>
      </c>
      <c r="N295" s="8" t="n">
        <f aca="false">IFERROR(M295/J295,0)</f>
        <v>0</v>
      </c>
    </row>
    <row r="296" customFormat="false" ht="15" hidden="false" customHeight="false" outlineLevel="0" collapsed="false">
      <c r="A296" s="17" t="s">
        <v>15</v>
      </c>
      <c r="B296" s="17" t="s">
        <v>69</v>
      </c>
      <c r="C296" s="17" t="s">
        <v>60</v>
      </c>
      <c r="D296" s="17" t="s">
        <v>66</v>
      </c>
      <c r="E296" s="17" t="s">
        <v>359</v>
      </c>
      <c r="F296" s="17" t="s">
        <v>91</v>
      </c>
      <c r="G296" s="17" t="s">
        <v>315</v>
      </c>
      <c r="H296" s="17" t="s">
        <v>1669</v>
      </c>
      <c r="I296" s="20" t="n">
        <v>1339</v>
      </c>
      <c r="J296" s="20" t="n">
        <v>30</v>
      </c>
      <c r="K296" s="25" t="n">
        <f aca="false">IFERROR(J296/I296,0)</f>
        <v>0.0224047796863331</v>
      </c>
      <c r="L296" s="19" t="n">
        <v>107.03</v>
      </c>
      <c r="M296" s="20" t="n">
        <v>8</v>
      </c>
      <c r="N296" s="8" t="n">
        <f aca="false">IFERROR(M296/J296,0)</f>
        <v>0.266666666666667</v>
      </c>
    </row>
    <row r="297" customFormat="false" ht="15" hidden="false" customHeight="false" outlineLevel="0" collapsed="false">
      <c r="A297" s="17" t="s">
        <v>15</v>
      </c>
      <c r="B297" s="17" t="s">
        <v>69</v>
      </c>
      <c r="C297" s="17" t="s">
        <v>66</v>
      </c>
      <c r="D297" s="17" t="s">
        <v>66</v>
      </c>
      <c r="E297" s="17" t="s">
        <v>361</v>
      </c>
      <c r="F297" s="17" t="s">
        <v>75</v>
      </c>
      <c r="G297" s="17" t="s">
        <v>315</v>
      </c>
      <c r="H297" s="17" t="s">
        <v>1670</v>
      </c>
      <c r="I297" s="20" t="n">
        <v>826</v>
      </c>
      <c r="J297" s="20" t="n">
        <v>8</v>
      </c>
      <c r="K297" s="25" t="n">
        <f aca="false">IFERROR(J297/I297,0)</f>
        <v>0.00968523002421308</v>
      </c>
      <c r="L297" s="19" t="n">
        <v>18.61</v>
      </c>
      <c r="M297" s="20" t="n">
        <v>1</v>
      </c>
      <c r="N297" s="8" t="n">
        <f aca="false">IFERROR(M297/J297,0)</f>
        <v>0.125</v>
      </c>
    </row>
    <row r="298" customFormat="false" ht="15" hidden="false" customHeight="false" outlineLevel="0" collapsed="false">
      <c r="A298" s="17" t="s">
        <v>15</v>
      </c>
      <c r="B298" s="17" t="s">
        <v>69</v>
      </c>
      <c r="C298" s="17" t="s">
        <v>66</v>
      </c>
      <c r="D298" s="17" t="s">
        <v>66</v>
      </c>
      <c r="E298" s="17" t="s">
        <v>1671</v>
      </c>
      <c r="F298" s="17" t="s">
        <v>96</v>
      </c>
      <c r="G298" s="17" t="s">
        <v>315</v>
      </c>
      <c r="H298" s="17" t="s">
        <v>1672</v>
      </c>
      <c r="I298" s="20" t="n">
        <v>711</v>
      </c>
      <c r="J298" s="20" t="n">
        <v>1</v>
      </c>
      <c r="K298" s="25" t="n">
        <f aca="false">IFERROR(J298/I298,0)</f>
        <v>0.00140646976090014</v>
      </c>
      <c r="L298" s="19" t="n">
        <v>4.69</v>
      </c>
      <c r="M298" s="20" t="n">
        <v>0</v>
      </c>
      <c r="N298" s="8" t="n">
        <f aca="false">IFERROR(M298/J298,0)</f>
        <v>0</v>
      </c>
    </row>
    <row r="299" customFormat="false" ht="15" hidden="false" customHeight="false" outlineLevel="0" collapsed="false">
      <c r="A299" s="17" t="s">
        <v>15</v>
      </c>
      <c r="B299" s="17" t="s">
        <v>69</v>
      </c>
      <c r="C299" s="17" t="s">
        <v>66</v>
      </c>
      <c r="D299" s="17" t="s">
        <v>66</v>
      </c>
      <c r="E299" s="17" t="s">
        <v>1673</v>
      </c>
      <c r="F299" s="17" t="s">
        <v>96</v>
      </c>
      <c r="G299" s="17" t="s">
        <v>315</v>
      </c>
      <c r="H299" s="17" t="s">
        <v>1674</v>
      </c>
      <c r="I299" s="20" t="n">
        <v>559</v>
      </c>
      <c r="J299" s="20" t="n">
        <v>11</v>
      </c>
      <c r="K299" s="25" t="n">
        <f aca="false">IFERROR(J299/I299,0)</f>
        <v>0.0196779964221825</v>
      </c>
      <c r="L299" s="19" t="n">
        <v>70.12</v>
      </c>
      <c r="M299" s="20" t="n">
        <v>3</v>
      </c>
      <c r="N299" s="8" t="n">
        <f aca="false">IFERROR(M299/J299,0)</f>
        <v>0.272727272727273</v>
      </c>
    </row>
    <row r="300" customFormat="false" ht="15" hidden="false" customHeight="false" outlineLevel="0" collapsed="false">
      <c r="A300" s="17" t="s">
        <v>15</v>
      </c>
      <c r="B300" s="17" t="s">
        <v>69</v>
      </c>
      <c r="C300" s="17" t="s">
        <v>66</v>
      </c>
      <c r="D300" s="17" t="s">
        <v>66</v>
      </c>
      <c r="E300" s="17" t="s">
        <v>373</v>
      </c>
      <c r="F300" s="17" t="s">
        <v>75</v>
      </c>
      <c r="G300" s="17" t="s">
        <v>315</v>
      </c>
      <c r="H300" s="17" t="s">
        <v>1675</v>
      </c>
      <c r="I300" s="20" t="n">
        <v>310</v>
      </c>
      <c r="J300" s="20" t="n">
        <v>6</v>
      </c>
      <c r="K300" s="25" t="n">
        <f aca="false">IFERROR(J300/I300,0)</f>
        <v>0.0193548387096774</v>
      </c>
      <c r="L300" s="19" t="n">
        <v>14.44</v>
      </c>
      <c r="M300" s="20" t="n">
        <v>1</v>
      </c>
      <c r="N300" s="8" t="n">
        <f aca="false">IFERROR(M300/J300,0)</f>
        <v>0.166666666666667</v>
      </c>
    </row>
    <row r="301" customFormat="false" ht="15" hidden="false" customHeight="false" outlineLevel="0" collapsed="false">
      <c r="A301" s="17" t="s">
        <v>15</v>
      </c>
      <c r="B301" s="17" t="s">
        <v>69</v>
      </c>
      <c r="C301" s="17" t="s">
        <v>66</v>
      </c>
      <c r="D301" s="17" t="s">
        <v>66</v>
      </c>
      <c r="E301" s="17" t="s">
        <v>383</v>
      </c>
      <c r="F301" s="17" t="s">
        <v>75</v>
      </c>
      <c r="G301" s="17" t="s">
        <v>315</v>
      </c>
      <c r="H301" s="17" t="s">
        <v>1676</v>
      </c>
      <c r="I301" s="20" t="n">
        <v>304</v>
      </c>
      <c r="J301" s="20" t="n">
        <v>4</v>
      </c>
      <c r="K301" s="25" t="n">
        <f aca="false">IFERROR(J301/I301,0)</f>
        <v>0.0131578947368421</v>
      </c>
      <c r="L301" s="19" t="n">
        <v>10.69</v>
      </c>
      <c r="M301" s="20" t="n">
        <v>0</v>
      </c>
      <c r="N301" s="8" t="n">
        <f aca="false">IFERROR(M301/J301,0)</f>
        <v>0</v>
      </c>
    </row>
    <row r="302" customFormat="false" ht="15" hidden="false" customHeight="false" outlineLevel="0" collapsed="false">
      <c r="A302" s="17" t="s">
        <v>15</v>
      </c>
      <c r="B302" s="17" t="s">
        <v>69</v>
      </c>
      <c r="C302" s="17" t="s">
        <v>66</v>
      </c>
      <c r="D302" s="17" t="s">
        <v>66</v>
      </c>
      <c r="E302" s="17" t="s">
        <v>369</v>
      </c>
      <c r="F302" s="17" t="s">
        <v>75</v>
      </c>
      <c r="G302" s="17" t="s">
        <v>315</v>
      </c>
      <c r="H302" s="17" t="s">
        <v>1677</v>
      </c>
      <c r="I302" s="20" t="n">
        <v>150</v>
      </c>
      <c r="J302" s="20" t="n">
        <v>3</v>
      </c>
      <c r="K302" s="25" t="n">
        <f aca="false">IFERROR(J302/I302,0)</f>
        <v>0.02</v>
      </c>
      <c r="L302" s="19" t="n">
        <v>14.2</v>
      </c>
      <c r="M302" s="20" t="n">
        <v>1</v>
      </c>
      <c r="N302" s="8" t="n">
        <f aca="false">IFERROR(M302/J302,0)</f>
        <v>0.333333333333333</v>
      </c>
    </row>
    <row r="303" customFormat="false" ht="15" hidden="false" customHeight="false" outlineLevel="0" collapsed="false">
      <c r="A303" s="17" t="s">
        <v>15</v>
      </c>
      <c r="B303" s="17" t="s">
        <v>69</v>
      </c>
      <c r="C303" s="17" t="s">
        <v>66</v>
      </c>
      <c r="D303" s="17" t="s">
        <v>66</v>
      </c>
      <c r="E303" s="17" t="s">
        <v>1678</v>
      </c>
      <c r="F303" s="17" t="s">
        <v>96</v>
      </c>
      <c r="G303" s="17" t="s">
        <v>315</v>
      </c>
      <c r="H303" s="17" t="s">
        <v>1679</v>
      </c>
      <c r="I303" s="20" t="n">
        <v>124</v>
      </c>
      <c r="J303" s="20" t="n">
        <v>0</v>
      </c>
      <c r="K303" s="25" t="n">
        <f aca="false">IFERROR(J303/I303,0)</f>
        <v>0</v>
      </c>
      <c r="L303" s="19" t="n">
        <v>0</v>
      </c>
      <c r="M303" s="20" t="n">
        <v>0</v>
      </c>
      <c r="N303" s="8" t="n">
        <f aca="false">IFERROR(M303/J303,0)</f>
        <v>0</v>
      </c>
    </row>
    <row r="304" customFormat="false" ht="15" hidden="false" customHeight="false" outlineLevel="0" collapsed="false">
      <c r="A304" s="17" t="s">
        <v>15</v>
      </c>
      <c r="B304" s="17" t="s">
        <v>69</v>
      </c>
      <c r="C304" s="17" t="s">
        <v>66</v>
      </c>
      <c r="D304" s="17" t="s">
        <v>66</v>
      </c>
      <c r="E304" s="17" t="s">
        <v>377</v>
      </c>
      <c r="F304" s="17" t="s">
        <v>75</v>
      </c>
      <c r="G304" s="17" t="s">
        <v>315</v>
      </c>
      <c r="H304" s="17" t="s">
        <v>1680</v>
      </c>
      <c r="I304" s="20" t="n">
        <v>110</v>
      </c>
      <c r="J304" s="20" t="n">
        <v>4</v>
      </c>
      <c r="K304" s="25" t="n">
        <f aca="false">IFERROR(J304/I304,0)</f>
        <v>0.0363636363636364</v>
      </c>
      <c r="L304" s="19" t="n">
        <v>17.11</v>
      </c>
      <c r="M304" s="20" t="n">
        <v>0</v>
      </c>
      <c r="N304" s="8" t="n">
        <f aca="false">IFERROR(M304/J304,0)</f>
        <v>0</v>
      </c>
    </row>
    <row r="305" customFormat="false" ht="15" hidden="false" customHeight="false" outlineLevel="0" collapsed="false">
      <c r="A305" s="17" t="s">
        <v>15</v>
      </c>
      <c r="B305" s="17" t="s">
        <v>69</v>
      </c>
      <c r="C305" s="17" t="s">
        <v>66</v>
      </c>
      <c r="D305" s="17" t="s">
        <v>66</v>
      </c>
      <c r="E305" s="17" t="s">
        <v>1681</v>
      </c>
      <c r="F305" s="17" t="s">
        <v>96</v>
      </c>
      <c r="G305" s="17" t="s">
        <v>315</v>
      </c>
      <c r="H305" s="17" t="s">
        <v>1682</v>
      </c>
      <c r="I305" s="20" t="n">
        <v>64</v>
      </c>
      <c r="J305" s="20" t="n">
        <v>1</v>
      </c>
      <c r="K305" s="25" t="n">
        <f aca="false">IFERROR(J305/I305,0)</f>
        <v>0.015625</v>
      </c>
      <c r="L305" s="19" t="n">
        <v>1.8</v>
      </c>
      <c r="M305" s="20" t="n">
        <v>0</v>
      </c>
      <c r="N305" s="8" t="n">
        <f aca="false">IFERROR(M305/J305,0)</f>
        <v>0</v>
      </c>
    </row>
    <row r="306" customFormat="false" ht="15" hidden="false" customHeight="false" outlineLevel="0" collapsed="false">
      <c r="A306" s="17" t="s">
        <v>15</v>
      </c>
      <c r="B306" s="17" t="s">
        <v>69</v>
      </c>
      <c r="C306" s="17" t="s">
        <v>66</v>
      </c>
      <c r="D306" s="17" t="s">
        <v>66</v>
      </c>
      <c r="E306" s="17" t="s">
        <v>1683</v>
      </c>
      <c r="F306" s="17" t="s">
        <v>75</v>
      </c>
      <c r="G306" s="17" t="s">
        <v>315</v>
      </c>
      <c r="H306" s="17" t="s">
        <v>1684</v>
      </c>
      <c r="I306" s="20" t="n">
        <v>51</v>
      </c>
      <c r="J306" s="20" t="n">
        <v>0</v>
      </c>
      <c r="K306" s="25" t="n">
        <f aca="false">IFERROR(J306/I306,0)</f>
        <v>0</v>
      </c>
      <c r="L306" s="19" t="n">
        <v>0</v>
      </c>
      <c r="M306" s="20" t="n">
        <v>0</v>
      </c>
      <c r="N306" s="8" t="n">
        <f aca="false">IFERROR(M306/J306,0)</f>
        <v>0</v>
      </c>
    </row>
    <row r="307" customFormat="false" ht="15" hidden="false" customHeight="false" outlineLevel="0" collapsed="false">
      <c r="A307" s="17" t="s">
        <v>15</v>
      </c>
      <c r="B307" s="17" t="s">
        <v>69</v>
      </c>
      <c r="C307" s="17" t="s">
        <v>66</v>
      </c>
      <c r="D307" s="17" t="s">
        <v>60</v>
      </c>
      <c r="E307" s="17" t="s">
        <v>1685</v>
      </c>
      <c r="F307" s="17" t="s">
        <v>88</v>
      </c>
      <c r="G307" s="17" t="s">
        <v>315</v>
      </c>
      <c r="H307" s="17" t="s">
        <v>1686</v>
      </c>
      <c r="I307" s="20" t="n">
        <v>4</v>
      </c>
      <c r="J307" s="20" t="n">
        <v>0</v>
      </c>
      <c r="K307" s="25" t="n">
        <f aca="false">IFERROR(J307/I307,0)</f>
        <v>0</v>
      </c>
      <c r="L307" s="19" t="n">
        <v>0</v>
      </c>
      <c r="M307" s="20" t="n">
        <v>0</v>
      </c>
      <c r="N307" s="8" t="n">
        <f aca="false">IFERROR(M307/J307,0)</f>
        <v>0</v>
      </c>
    </row>
    <row r="308" customFormat="false" ht="15" hidden="false" customHeight="false" outlineLevel="0" collapsed="false">
      <c r="A308" s="17" t="s">
        <v>16</v>
      </c>
      <c r="B308" s="17" t="s">
        <v>98</v>
      </c>
      <c r="C308" s="17" t="s">
        <v>60</v>
      </c>
      <c r="D308" s="17" t="s">
        <v>66</v>
      </c>
      <c r="E308" s="17" t="s">
        <v>1687</v>
      </c>
      <c r="F308" s="17" t="s">
        <v>135</v>
      </c>
      <c r="G308" s="17" t="s">
        <v>311</v>
      </c>
      <c r="H308" s="17" t="s">
        <v>1129</v>
      </c>
      <c r="I308" s="20" t="n">
        <v>40353</v>
      </c>
      <c r="J308" s="20" t="n">
        <v>135</v>
      </c>
      <c r="K308" s="25" t="n">
        <f aca="false">IFERROR(J308/I308,0)</f>
        <v>0.00334547617277526</v>
      </c>
      <c r="L308" s="19" t="n">
        <v>333.6</v>
      </c>
      <c r="M308" s="20" t="n">
        <v>15</v>
      </c>
      <c r="N308" s="8" t="n">
        <f aca="false">IFERROR(M308/J308,0)</f>
        <v>0.111111111111111</v>
      </c>
    </row>
    <row r="309" customFormat="false" ht="15" hidden="false" customHeight="false" outlineLevel="0" collapsed="false">
      <c r="A309" s="17" t="s">
        <v>16</v>
      </c>
      <c r="B309" s="17" t="s">
        <v>98</v>
      </c>
      <c r="C309" s="17" t="s">
        <v>60</v>
      </c>
      <c r="D309" s="17" t="s">
        <v>66</v>
      </c>
      <c r="E309" s="17" t="s">
        <v>1688</v>
      </c>
      <c r="F309" s="17" t="s">
        <v>135</v>
      </c>
      <c r="G309" s="17" t="s">
        <v>315</v>
      </c>
      <c r="H309" s="17" t="s">
        <v>1131</v>
      </c>
      <c r="I309" s="20" t="n">
        <v>9149</v>
      </c>
      <c r="J309" s="20" t="n">
        <v>14</v>
      </c>
      <c r="K309" s="25" t="n">
        <f aca="false">IFERROR(J309/I309,0)</f>
        <v>0.00153022188217292</v>
      </c>
      <c r="L309" s="19" t="n">
        <v>39.57</v>
      </c>
      <c r="M309" s="20" t="n">
        <v>0</v>
      </c>
      <c r="N309" s="8" t="n">
        <f aca="false">IFERROR(M309/J309,0)</f>
        <v>0</v>
      </c>
    </row>
    <row r="310" customFormat="false" ht="15" hidden="false" customHeight="false" outlineLevel="0" collapsed="false">
      <c r="A310" s="17" t="s">
        <v>16</v>
      </c>
      <c r="B310" s="17" t="s">
        <v>98</v>
      </c>
      <c r="C310" s="17" t="s">
        <v>60</v>
      </c>
      <c r="D310" s="17" t="s">
        <v>66</v>
      </c>
      <c r="E310" s="17" t="s">
        <v>550</v>
      </c>
      <c r="F310" s="17" t="s">
        <v>135</v>
      </c>
      <c r="G310" s="17" t="s">
        <v>315</v>
      </c>
      <c r="H310" s="17" t="s">
        <v>1146</v>
      </c>
      <c r="I310" s="20" t="n">
        <v>5538</v>
      </c>
      <c r="J310" s="20" t="n">
        <v>20</v>
      </c>
      <c r="K310" s="25" t="n">
        <f aca="false">IFERROR(J310/I310,0)</f>
        <v>0.00361141206211629</v>
      </c>
      <c r="L310" s="19" t="n">
        <v>58.52</v>
      </c>
      <c r="M310" s="20" t="n">
        <v>7</v>
      </c>
      <c r="N310" s="8" t="n">
        <f aca="false">IFERROR(M310/J310,0)</f>
        <v>0.35</v>
      </c>
    </row>
    <row r="311" customFormat="false" ht="15" hidden="false" customHeight="false" outlineLevel="0" collapsed="false">
      <c r="A311" s="17" t="s">
        <v>16</v>
      </c>
      <c r="B311" s="17" t="s">
        <v>98</v>
      </c>
      <c r="C311" s="17" t="s">
        <v>60</v>
      </c>
      <c r="D311" s="17" t="s">
        <v>66</v>
      </c>
      <c r="E311" s="17" t="s">
        <v>1689</v>
      </c>
      <c r="F311" s="17" t="s">
        <v>1690</v>
      </c>
      <c r="G311" s="17" t="s">
        <v>315</v>
      </c>
      <c r="H311" s="17" t="s">
        <v>1691</v>
      </c>
      <c r="I311" s="20" t="n">
        <v>3458</v>
      </c>
      <c r="J311" s="20" t="n">
        <v>3</v>
      </c>
      <c r="K311" s="25" t="n">
        <f aca="false">IFERROR(J311/I311,0)</f>
        <v>0.000867553499132447</v>
      </c>
      <c r="L311" s="19" t="n">
        <v>9</v>
      </c>
      <c r="M311" s="20" t="n">
        <v>0</v>
      </c>
      <c r="N311" s="8" t="n">
        <f aca="false">IFERROR(M311/J311,0)</f>
        <v>0</v>
      </c>
    </row>
    <row r="312" customFormat="false" ht="15" hidden="false" customHeight="false" outlineLevel="0" collapsed="false">
      <c r="A312" s="17" t="s">
        <v>16</v>
      </c>
      <c r="B312" s="17" t="s">
        <v>98</v>
      </c>
      <c r="C312" s="17" t="s">
        <v>60</v>
      </c>
      <c r="D312" s="17" t="s">
        <v>66</v>
      </c>
      <c r="E312" s="17" t="s">
        <v>1692</v>
      </c>
      <c r="F312" s="17" t="s">
        <v>135</v>
      </c>
      <c r="G312" s="17" t="s">
        <v>315</v>
      </c>
      <c r="H312" s="17" t="s">
        <v>1133</v>
      </c>
      <c r="I312" s="20" t="n">
        <v>1985</v>
      </c>
      <c r="J312" s="20" t="n">
        <v>4</v>
      </c>
      <c r="K312" s="25" t="n">
        <f aca="false">IFERROR(J312/I312,0)</f>
        <v>0.00201511335012594</v>
      </c>
      <c r="L312" s="19" t="n">
        <v>11.67</v>
      </c>
      <c r="M312" s="20" t="n">
        <v>0</v>
      </c>
      <c r="N312" s="8" t="n">
        <f aca="false">IFERROR(M312/J312,0)</f>
        <v>0</v>
      </c>
    </row>
    <row r="313" customFormat="false" ht="15" hidden="false" customHeight="false" outlineLevel="0" collapsed="false">
      <c r="A313" s="17" t="s">
        <v>16</v>
      </c>
      <c r="B313" s="17" t="s">
        <v>98</v>
      </c>
      <c r="C313" s="17" t="s">
        <v>60</v>
      </c>
      <c r="D313" s="17" t="s">
        <v>66</v>
      </c>
      <c r="E313" s="17" t="s">
        <v>1693</v>
      </c>
      <c r="F313" s="17" t="s">
        <v>135</v>
      </c>
      <c r="G313" s="17" t="s">
        <v>315</v>
      </c>
      <c r="H313" s="17" t="s">
        <v>1694</v>
      </c>
      <c r="I313" s="20" t="n">
        <v>1343</v>
      </c>
      <c r="J313" s="20" t="n">
        <v>0</v>
      </c>
      <c r="K313" s="25" t="n">
        <f aca="false">IFERROR(J313/I313,0)</f>
        <v>0</v>
      </c>
      <c r="L313" s="19" t="n">
        <v>0</v>
      </c>
      <c r="M313" s="20" t="n">
        <v>0</v>
      </c>
      <c r="N313" s="8" t="n">
        <f aca="false">IFERROR(M313/J313,0)</f>
        <v>0</v>
      </c>
    </row>
    <row r="314" customFormat="false" ht="15" hidden="false" customHeight="false" outlineLevel="0" collapsed="false">
      <c r="A314" s="17" t="s">
        <v>16</v>
      </c>
      <c r="B314" s="17" t="s">
        <v>98</v>
      </c>
      <c r="C314" s="17" t="s">
        <v>60</v>
      </c>
      <c r="D314" s="17" t="s">
        <v>66</v>
      </c>
      <c r="E314" s="17" t="s">
        <v>1695</v>
      </c>
      <c r="F314" s="17" t="s">
        <v>1696</v>
      </c>
      <c r="G314" s="17" t="s">
        <v>315</v>
      </c>
      <c r="H314" s="17" t="s">
        <v>1152</v>
      </c>
      <c r="I314" s="20" t="n">
        <v>373</v>
      </c>
      <c r="J314" s="20" t="n">
        <v>1</v>
      </c>
      <c r="K314" s="25" t="n">
        <f aca="false">IFERROR(J314/I314,0)</f>
        <v>0.00268096514745308</v>
      </c>
      <c r="L314" s="19" t="n">
        <v>3</v>
      </c>
      <c r="M314" s="20" t="n">
        <v>0</v>
      </c>
      <c r="N314" s="8" t="n">
        <f aca="false">IFERROR(M314/J314,0)</f>
        <v>0</v>
      </c>
    </row>
    <row r="315" customFormat="false" ht="15" hidden="false" customHeight="false" outlineLevel="0" collapsed="false">
      <c r="A315" s="17" t="s">
        <v>16</v>
      </c>
      <c r="B315" s="17" t="s">
        <v>98</v>
      </c>
      <c r="C315" s="17" t="s">
        <v>60</v>
      </c>
      <c r="D315" s="17" t="s">
        <v>66</v>
      </c>
      <c r="E315" s="17" t="s">
        <v>1697</v>
      </c>
      <c r="F315" s="17" t="s">
        <v>135</v>
      </c>
      <c r="G315" s="17" t="s">
        <v>315</v>
      </c>
      <c r="H315" s="17" t="s">
        <v>1150</v>
      </c>
      <c r="I315" s="20" t="n">
        <v>258</v>
      </c>
      <c r="J315" s="20" t="n">
        <v>1</v>
      </c>
      <c r="K315" s="25" t="n">
        <f aca="false">IFERROR(J315/I315,0)</f>
        <v>0.00387596899224806</v>
      </c>
      <c r="L315" s="19" t="n">
        <v>4.25</v>
      </c>
      <c r="M315" s="20" t="n">
        <v>0</v>
      </c>
      <c r="N315" s="8" t="n">
        <f aca="false">IFERROR(M315/J315,0)</f>
        <v>0</v>
      </c>
    </row>
    <row r="316" customFormat="false" ht="15" hidden="false" customHeight="false" outlineLevel="0" collapsed="false">
      <c r="A316" s="17" t="s">
        <v>16</v>
      </c>
      <c r="B316" s="17" t="s">
        <v>98</v>
      </c>
      <c r="C316" s="17" t="s">
        <v>66</v>
      </c>
      <c r="D316" s="17" t="s">
        <v>60</v>
      </c>
      <c r="E316" s="17" t="s">
        <v>1698</v>
      </c>
      <c r="F316" s="17" t="s">
        <v>1699</v>
      </c>
      <c r="G316" s="17" t="s">
        <v>315</v>
      </c>
      <c r="H316" s="17" t="s">
        <v>1700</v>
      </c>
      <c r="I316" s="20" t="n">
        <v>118</v>
      </c>
      <c r="J316" s="20" t="n">
        <v>0</v>
      </c>
      <c r="K316" s="25" t="n">
        <f aca="false">IFERROR(J316/I316,0)</f>
        <v>0</v>
      </c>
      <c r="L316" s="19" t="n">
        <v>0</v>
      </c>
      <c r="M316" s="20" t="n">
        <v>0</v>
      </c>
      <c r="N316" s="8" t="n">
        <f aca="false">IFERROR(M316/J316,0)</f>
        <v>0</v>
      </c>
    </row>
    <row r="317" customFormat="false" ht="15" hidden="false" customHeight="false" outlineLevel="0" collapsed="false">
      <c r="A317" s="17" t="s">
        <v>16</v>
      </c>
      <c r="B317" s="17" t="s">
        <v>98</v>
      </c>
      <c r="C317" s="17" t="s">
        <v>60</v>
      </c>
      <c r="D317" s="17" t="s">
        <v>66</v>
      </c>
      <c r="E317" s="17" t="s">
        <v>1701</v>
      </c>
      <c r="F317" s="17" t="s">
        <v>135</v>
      </c>
      <c r="G317" s="17" t="s">
        <v>315</v>
      </c>
      <c r="H317" s="17" t="s">
        <v>1702</v>
      </c>
      <c r="I317" s="20" t="n">
        <v>109</v>
      </c>
      <c r="J317" s="20" t="n">
        <v>1</v>
      </c>
      <c r="K317" s="25" t="n">
        <f aca="false">IFERROR(J317/I317,0)</f>
        <v>0.00917431192660551</v>
      </c>
      <c r="L317" s="19" t="n">
        <v>4.4</v>
      </c>
      <c r="M317" s="20" t="n">
        <v>1</v>
      </c>
      <c r="N317" s="8" t="n">
        <f aca="false">IFERROR(M317/J317,0)</f>
        <v>1</v>
      </c>
    </row>
    <row r="318" customFormat="false" ht="15" hidden="false" customHeight="false" outlineLevel="0" collapsed="false">
      <c r="A318" s="17" t="s">
        <v>16</v>
      </c>
      <c r="B318" s="17" t="s">
        <v>98</v>
      </c>
      <c r="C318" s="17" t="s">
        <v>60</v>
      </c>
      <c r="D318" s="17" t="s">
        <v>66</v>
      </c>
      <c r="E318" s="17" t="s">
        <v>1703</v>
      </c>
      <c r="F318" s="17" t="s">
        <v>135</v>
      </c>
      <c r="G318" s="17" t="s">
        <v>315</v>
      </c>
      <c r="H318" s="17" t="s">
        <v>1704</v>
      </c>
      <c r="I318" s="20" t="n">
        <v>86</v>
      </c>
      <c r="J318" s="20" t="n">
        <v>3</v>
      </c>
      <c r="K318" s="25" t="n">
        <f aca="false">IFERROR(J318/I318,0)</f>
        <v>0.0348837209302326</v>
      </c>
      <c r="L318" s="19" t="n">
        <v>14.07</v>
      </c>
      <c r="M318" s="20" t="n">
        <v>0</v>
      </c>
      <c r="N318" s="8" t="n">
        <f aca="false">IFERROR(M318/J318,0)</f>
        <v>0</v>
      </c>
    </row>
    <row r="319" customFormat="false" ht="15" hidden="false" customHeight="false" outlineLevel="0" collapsed="false">
      <c r="A319" s="17" t="s">
        <v>16</v>
      </c>
      <c r="B319" s="17" t="s">
        <v>98</v>
      </c>
      <c r="C319" s="17" t="s">
        <v>60</v>
      </c>
      <c r="D319" s="17" t="s">
        <v>66</v>
      </c>
      <c r="E319" s="17" t="s">
        <v>1705</v>
      </c>
      <c r="F319" s="17" t="s">
        <v>135</v>
      </c>
      <c r="G319" s="17" t="s">
        <v>315</v>
      </c>
      <c r="H319" s="17" t="s">
        <v>1154</v>
      </c>
      <c r="I319" s="20" t="n">
        <v>81</v>
      </c>
      <c r="J319" s="20" t="n">
        <v>1</v>
      </c>
      <c r="K319" s="25" t="n">
        <f aca="false">IFERROR(J319/I319,0)</f>
        <v>0.0123456790123457</v>
      </c>
      <c r="L319" s="19" t="n">
        <v>4.88</v>
      </c>
      <c r="M319" s="20" t="n">
        <v>0</v>
      </c>
      <c r="N319" s="8" t="n">
        <f aca="false">IFERROR(M319/J319,0)</f>
        <v>0</v>
      </c>
    </row>
    <row r="320" customFormat="false" ht="15" hidden="false" customHeight="false" outlineLevel="0" collapsed="false">
      <c r="A320" s="17" t="s">
        <v>16</v>
      </c>
      <c r="B320" s="17" t="s">
        <v>98</v>
      </c>
      <c r="C320" s="17" t="s">
        <v>60</v>
      </c>
      <c r="D320" s="17" t="s">
        <v>66</v>
      </c>
      <c r="E320" s="17" t="s">
        <v>1706</v>
      </c>
      <c r="F320" s="17" t="s">
        <v>135</v>
      </c>
      <c r="G320" s="17" t="s">
        <v>315</v>
      </c>
      <c r="H320" s="17" t="s">
        <v>1707</v>
      </c>
      <c r="I320" s="20" t="n">
        <v>61</v>
      </c>
      <c r="J320" s="20" t="n">
        <v>1</v>
      </c>
      <c r="K320" s="25" t="n">
        <f aca="false">IFERROR(J320/I320,0)</f>
        <v>0.0163934426229508</v>
      </c>
      <c r="L320" s="19" t="n">
        <v>4.95</v>
      </c>
      <c r="M320" s="20" t="n">
        <v>0</v>
      </c>
      <c r="N320" s="8" t="n">
        <f aca="false">IFERROR(M320/J320,0)</f>
        <v>0</v>
      </c>
    </row>
    <row r="321" customFormat="false" ht="15" hidden="false" customHeight="false" outlineLevel="0" collapsed="false">
      <c r="A321" s="17" t="s">
        <v>16</v>
      </c>
      <c r="B321" s="17" t="s">
        <v>98</v>
      </c>
      <c r="C321" s="17" t="s">
        <v>60</v>
      </c>
      <c r="D321" s="17" t="s">
        <v>66</v>
      </c>
      <c r="E321" s="17" t="s">
        <v>1708</v>
      </c>
      <c r="F321" s="17" t="s">
        <v>135</v>
      </c>
      <c r="G321" s="17" t="s">
        <v>315</v>
      </c>
      <c r="H321" s="17" t="s">
        <v>1709</v>
      </c>
      <c r="I321" s="20" t="n">
        <v>5</v>
      </c>
      <c r="J321" s="20" t="n">
        <v>0</v>
      </c>
      <c r="K321" s="25" t="n">
        <f aca="false">IFERROR(J321/I321,0)</f>
        <v>0</v>
      </c>
      <c r="L321" s="19" t="n">
        <v>0</v>
      </c>
      <c r="M321" s="20" t="n">
        <v>0</v>
      </c>
      <c r="N321" s="8" t="n">
        <f aca="false">IFERROR(M321/J321,0)</f>
        <v>0</v>
      </c>
    </row>
    <row r="322" customFormat="false" ht="15" hidden="false" customHeight="false" outlineLevel="0" collapsed="false">
      <c r="A322" s="17" t="s">
        <v>16</v>
      </c>
      <c r="B322" s="17" t="s">
        <v>64</v>
      </c>
      <c r="C322" s="17" t="s">
        <v>60</v>
      </c>
      <c r="D322" s="17" t="s">
        <v>66</v>
      </c>
      <c r="E322" s="17" t="s">
        <v>1710</v>
      </c>
      <c r="F322" s="17" t="s">
        <v>211</v>
      </c>
      <c r="G322" s="17" t="s">
        <v>311</v>
      </c>
      <c r="H322" s="17" t="s">
        <v>1711</v>
      </c>
      <c r="I322" s="20" t="n">
        <v>25266</v>
      </c>
      <c r="J322" s="20" t="n">
        <v>94</v>
      </c>
      <c r="K322" s="25" t="n">
        <f aca="false">IFERROR(J322/I322,0)</f>
        <v>0.00372041478666983</v>
      </c>
      <c r="L322" s="19" t="n">
        <v>258.05</v>
      </c>
      <c r="M322" s="20" t="n">
        <v>10</v>
      </c>
      <c r="N322" s="8" t="n">
        <f aca="false">IFERROR(M322/J322,0)</f>
        <v>0.106382978723404</v>
      </c>
    </row>
    <row r="323" customFormat="false" ht="15" hidden="false" customHeight="false" outlineLevel="0" collapsed="false">
      <c r="A323" s="17" t="s">
        <v>16</v>
      </c>
      <c r="B323" s="17" t="s">
        <v>64</v>
      </c>
      <c r="C323" s="17" t="s">
        <v>60</v>
      </c>
      <c r="D323" s="17" t="s">
        <v>66</v>
      </c>
      <c r="E323" s="17" t="s">
        <v>1712</v>
      </c>
      <c r="F323" s="17" t="s">
        <v>211</v>
      </c>
      <c r="G323" s="17" t="s">
        <v>315</v>
      </c>
      <c r="H323" s="17" t="s">
        <v>1713</v>
      </c>
      <c r="I323" s="20" t="n">
        <v>11749</v>
      </c>
      <c r="J323" s="20" t="n">
        <v>24</v>
      </c>
      <c r="K323" s="25" t="n">
        <f aca="false">IFERROR(J323/I323,0)</f>
        <v>0.0020427270405992</v>
      </c>
      <c r="L323" s="19" t="n">
        <v>71.71</v>
      </c>
      <c r="M323" s="20" t="n">
        <v>2</v>
      </c>
      <c r="N323" s="8" t="n">
        <f aca="false">IFERROR(M323/J323,0)</f>
        <v>0.0833333333333333</v>
      </c>
    </row>
    <row r="324" customFormat="false" ht="15" hidden="false" customHeight="false" outlineLevel="0" collapsed="false">
      <c r="A324" s="17" t="s">
        <v>16</v>
      </c>
      <c r="B324" s="17" t="s">
        <v>64</v>
      </c>
      <c r="C324" s="17" t="s">
        <v>60</v>
      </c>
      <c r="D324" s="17" t="s">
        <v>66</v>
      </c>
      <c r="E324" s="17" t="s">
        <v>1714</v>
      </c>
      <c r="F324" s="17" t="s">
        <v>211</v>
      </c>
      <c r="G324" s="17" t="s">
        <v>315</v>
      </c>
      <c r="H324" s="17" t="s">
        <v>1715</v>
      </c>
      <c r="I324" s="20" t="n">
        <v>5085</v>
      </c>
      <c r="J324" s="20" t="n">
        <v>43</v>
      </c>
      <c r="K324" s="25" t="n">
        <f aca="false">IFERROR(J324/I324,0)</f>
        <v>0.00845624385447394</v>
      </c>
      <c r="L324" s="19" t="n">
        <v>259.78</v>
      </c>
      <c r="M324" s="20" t="n">
        <v>6</v>
      </c>
      <c r="N324" s="8" t="n">
        <f aca="false">IFERROR(M324/J324,0)</f>
        <v>0.13953488372093</v>
      </c>
    </row>
    <row r="325" customFormat="false" ht="15" hidden="false" customHeight="false" outlineLevel="0" collapsed="false">
      <c r="A325" s="17" t="s">
        <v>16</v>
      </c>
      <c r="B325" s="17" t="s">
        <v>64</v>
      </c>
      <c r="C325" s="17" t="s">
        <v>60</v>
      </c>
      <c r="D325" s="17" t="s">
        <v>66</v>
      </c>
      <c r="E325" s="17" t="s">
        <v>556</v>
      </c>
      <c r="F325" s="17" t="s">
        <v>557</v>
      </c>
      <c r="G325" s="17" t="s">
        <v>315</v>
      </c>
      <c r="H325" s="17" t="s">
        <v>1171</v>
      </c>
      <c r="I325" s="20" t="n">
        <v>828</v>
      </c>
      <c r="J325" s="20" t="n">
        <v>2</v>
      </c>
      <c r="K325" s="25" t="n">
        <f aca="false">IFERROR(J325/I325,0)</f>
        <v>0.00241545893719807</v>
      </c>
      <c r="L325" s="19" t="n">
        <v>2.97</v>
      </c>
      <c r="M325" s="20" t="n">
        <v>0</v>
      </c>
      <c r="N325" s="8" t="n">
        <f aca="false">IFERROR(M325/J325,0)</f>
        <v>0</v>
      </c>
    </row>
    <row r="326" customFormat="false" ht="15" hidden="false" customHeight="false" outlineLevel="0" collapsed="false">
      <c r="A326" s="17" t="s">
        <v>16</v>
      </c>
      <c r="B326" s="17" t="s">
        <v>64</v>
      </c>
      <c r="C326" s="17" t="s">
        <v>60</v>
      </c>
      <c r="D326" s="17" t="s">
        <v>66</v>
      </c>
      <c r="E326" s="17" t="s">
        <v>1716</v>
      </c>
      <c r="F326" s="17" t="s">
        <v>211</v>
      </c>
      <c r="G326" s="17" t="s">
        <v>315</v>
      </c>
      <c r="H326" s="17" t="s">
        <v>1711</v>
      </c>
      <c r="I326" s="20" t="n">
        <v>771</v>
      </c>
      <c r="J326" s="20" t="n">
        <v>18</v>
      </c>
      <c r="K326" s="25" t="n">
        <f aca="false">IFERROR(J326/I326,0)</f>
        <v>0.0233463035019455</v>
      </c>
      <c r="L326" s="19" t="n">
        <v>102.66</v>
      </c>
      <c r="M326" s="20" t="n">
        <v>0</v>
      </c>
      <c r="N326" s="8" t="n">
        <f aca="false">IFERROR(M326/J326,0)</f>
        <v>0</v>
      </c>
    </row>
    <row r="327" customFormat="false" ht="15" hidden="false" customHeight="false" outlineLevel="0" collapsed="false">
      <c r="A327" s="17" t="s">
        <v>16</v>
      </c>
      <c r="B327" s="17" t="s">
        <v>64</v>
      </c>
      <c r="C327" s="17" t="s">
        <v>60</v>
      </c>
      <c r="D327" s="17" t="s">
        <v>66</v>
      </c>
      <c r="E327" s="17" t="s">
        <v>1717</v>
      </c>
      <c r="F327" s="17" t="s">
        <v>211</v>
      </c>
      <c r="G327" s="17" t="s">
        <v>315</v>
      </c>
      <c r="H327" s="17" t="s">
        <v>1173</v>
      </c>
      <c r="I327" s="20" t="n">
        <v>518</v>
      </c>
      <c r="J327" s="20" t="n">
        <v>10</v>
      </c>
      <c r="K327" s="25" t="n">
        <f aca="false">IFERROR(J327/I327,0)</f>
        <v>0.0193050193050193</v>
      </c>
      <c r="L327" s="19" t="n">
        <v>58.65</v>
      </c>
      <c r="M327" s="20" t="n">
        <v>2</v>
      </c>
      <c r="N327" s="8" t="n">
        <f aca="false">IFERROR(M327/J327,0)</f>
        <v>0.2</v>
      </c>
    </row>
    <row r="328" customFormat="false" ht="15" hidden="false" customHeight="false" outlineLevel="0" collapsed="false">
      <c r="A328" s="17" t="s">
        <v>16</v>
      </c>
      <c r="B328" s="17" t="s">
        <v>64</v>
      </c>
      <c r="C328" s="17" t="s">
        <v>60</v>
      </c>
      <c r="D328" s="17" t="s">
        <v>66</v>
      </c>
      <c r="E328" s="17" t="s">
        <v>1718</v>
      </c>
      <c r="F328" s="17" t="s">
        <v>211</v>
      </c>
      <c r="G328" s="17" t="s">
        <v>315</v>
      </c>
      <c r="H328" s="17" t="s">
        <v>1177</v>
      </c>
      <c r="I328" s="20" t="n">
        <v>337</v>
      </c>
      <c r="J328" s="20" t="n">
        <v>8</v>
      </c>
      <c r="K328" s="25" t="n">
        <f aca="false">IFERROR(J328/I328,0)</f>
        <v>0.0237388724035608</v>
      </c>
      <c r="L328" s="19" t="n">
        <v>53.06</v>
      </c>
      <c r="M328" s="20" t="n">
        <v>0</v>
      </c>
      <c r="N328" s="8" t="n">
        <f aca="false">IFERROR(M328/J328,0)</f>
        <v>0</v>
      </c>
    </row>
    <row r="329" customFormat="false" ht="15" hidden="false" customHeight="false" outlineLevel="0" collapsed="false">
      <c r="A329" s="17" t="s">
        <v>16</v>
      </c>
      <c r="B329" s="17" t="s">
        <v>64</v>
      </c>
      <c r="C329" s="17" t="s">
        <v>60</v>
      </c>
      <c r="D329" s="17" t="s">
        <v>66</v>
      </c>
      <c r="E329" s="17" t="s">
        <v>1719</v>
      </c>
      <c r="F329" s="17" t="s">
        <v>211</v>
      </c>
      <c r="G329" s="17" t="s">
        <v>315</v>
      </c>
      <c r="H329" s="17" t="s">
        <v>1720</v>
      </c>
      <c r="I329" s="20" t="n">
        <v>285</v>
      </c>
      <c r="J329" s="20" t="n">
        <v>8</v>
      </c>
      <c r="K329" s="25" t="n">
        <f aca="false">IFERROR(J329/I329,0)</f>
        <v>0.0280701754385965</v>
      </c>
      <c r="L329" s="19" t="n">
        <v>49.38</v>
      </c>
      <c r="M329" s="20" t="n">
        <v>1</v>
      </c>
      <c r="N329" s="8" t="n">
        <f aca="false">IFERROR(M329/J329,0)</f>
        <v>0.125</v>
      </c>
    </row>
    <row r="330" customFormat="false" ht="15" hidden="false" customHeight="false" outlineLevel="0" collapsed="false">
      <c r="A330" s="17" t="s">
        <v>16</v>
      </c>
      <c r="B330" s="17" t="s">
        <v>64</v>
      </c>
      <c r="C330" s="17" t="s">
        <v>60</v>
      </c>
      <c r="D330" s="17" t="s">
        <v>66</v>
      </c>
      <c r="E330" s="17" t="s">
        <v>1721</v>
      </c>
      <c r="F330" s="17" t="s">
        <v>211</v>
      </c>
      <c r="G330" s="17" t="s">
        <v>315</v>
      </c>
      <c r="H330" s="17" t="s">
        <v>1722</v>
      </c>
      <c r="I330" s="20" t="n">
        <v>246</v>
      </c>
      <c r="J330" s="20" t="n">
        <v>5</v>
      </c>
      <c r="K330" s="25" t="n">
        <f aca="false">IFERROR(J330/I330,0)</f>
        <v>0.0203252032520325</v>
      </c>
      <c r="L330" s="19" t="n">
        <v>29.89</v>
      </c>
      <c r="M330" s="20" t="n">
        <v>0</v>
      </c>
      <c r="N330" s="8" t="n">
        <f aca="false">IFERROR(M330/J330,0)</f>
        <v>0</v>
      </c>
    </row>
    <row r="331" customFormat="false" ht="15" hidden="false" customHeight="false" outlineLevel="0" collapsed="false">
      <c r="A331" s="17" t="s">
        <v>16</v>
      </c>
      <c r="B331" s="17" t="s">
        <v>64</v>
      </c>
      <c r="C331" s="17" t="s">
        <v>60</v>
      </c>
      <c r="D331" s="17" t="s">
        <v>66</v>
      </c>
      <c r="E331" s="17" t="s">
        <v>1723</v>
      </c>
      <c r="F331" s="17" t="s">
        <v>211</v>
      </c>
      <c r="G331" s="17" t="s">
        <v>315</v>
      </c>
      <c r="H331" s="17" t="s">
        <v>1724</v>
      </c>
      <c r="I331" s="20" t="n">
        <v>199</v>
      </c>
      <c r="J331" s="20" t="n">
        <v>0</v>
      </c>
      <c r="K331" s="25" t="n">
        <f aca="false">IFERROR(J331/I331,0)</f>
        <v>0</v>
      </c>
      <c r="L331" s="19" t="n">
        <v>0</v>
      </c>
      <c r="M331" s="20" t="n">
        <v>0</v>
      </c>
      <c r="N331" s="8" t="n">
        <f aca="false">IFERROR(M331/J331,0)</f>
        <v>0</v>
      </c>
    </row>
    <row r="332" customFormat="false" ht="15" hidden="false" customHeight="false" outlineLevel="0" collapsed="false">
      <c r="A332" s="17" t="s">
        <v>16</v>
      </c>
      <c r="B332" s="17" t="s">
        <v>64</v>
      </c>
      <c r="C332" s="17" t="s">
        <v>60</v>
      </c>
      <c r="D332" s="17" t="s">
        <v>66</v>
      </c>
      <c r="E332" s="17" t="s">
        <v>1725</v>
      </c>
      <c r="F332" s="17" t="s">
        <v>557</v>
      </c>
      <c r="G332" s="17" t="s">
        <v>315</v>
      </c>
      <c r="H332" s="17" t="s">
        <v>1726</v>
      </c>
      <c r="I332" s="20" t="n">
        <v>195</v>
      </c>
      <c r="J332" s="20" t="n">
        <v>0</v>
      </c>
      <c r="K332" s="25" t="n">
        <f aca="false">IFERROR(J332/I332,0)</f>
        <v>0</v>
      </c>
      <c r="L332" s="19" t="n">
        <v>0</v>
      </c>
      <c r="M332" s="20" t="n">
        <v>0</v>
      </c>
      <c r="N332" s="8" t="n">
        <f aca="false">IFERROR(M332/J332,0)</f>
        <v>0</v>
      </c>
    </row>
    <row r="333" customFormat="false" ht="15" hidden="false" customHeight="false" outlineLevel="0" collapsed="false">
      <c r="A333" s="17" t="s">
        <v>16</v>
      </c>
      <c r="B333" s="17" t="s">
        <v>64</v>
      </c>
      <c r="C333" s="17" t="s">
        <v>60</v>
      </c>
      <c r="D333" s="17" t="s">
        <v>66</v>
      </c>
      <c r="E333" s="17" t="s">
        <v>1727</v>
      </c>
      <c r="F333" s="17" t="s">
        <v>211</v>
      </c>
      <c r="G333" s="17" t="s">
        <v>315</v>
      </c>
      <c r="H333" s="17" t="s">
        <v>1219</v>
      </c>
      <c r="I333" s="20" t="n">
        <v>192</v>
      </c>
      <c r="J333" s="20" t="n">
        <v>7</v>
      </c>
      <c r="K333" s="25" t="n">
        <f aca="false">IFERROR(J333/I333,0)</f>
        <v>0.0364583333333333</v>
      </c>
      <c r="L333" s="19" t="n">
        <v>48.77</v>
      </c>
      <c r="M333" s="20" t="n">
        <v>1</v>
      </c>
      <c r="N333" s="8" t="n">
        <f aca="false">IFERROR(M333/J333,0)</f>
        <v>0.142857142857143</v>
      </c>
    </row>
    <row r="334" customFormat="false" ht="15" hidden="false" customHeight="false" outlineLevel="0" collapsed="false">
      <c r="A334" s="17" t="s">
        <v>16</v>
      </c>
      <c r="B334" s="17" t="s">
        <v>64</v>
      </c>
      <c r="C334" s="17" t="s">
        <v>60</v>
      </c>
      <c r="D334" s="17" t="s">
        <v>66</v>
      </c>
      <c r="E334" s="17" t="s">
        <v>1728</v>
      </c>
      <c r="F334" s="17" t="s">
        <v>211</v>
      </c>
      <c r="G334" s="17" t="s">
        <v>315</v>
      </c>
      <c r="H334" s="17" t="s">
        <v>1205</v>
      </c>
      <c r="I334" s="20" t="n">
        <v>183</v>
      </c>
      <c r="J334" s="20" t="n">
        <v>2</v>
      </c>
      <c r="K334" s="25" t="n">
        <f aca="false">IFERROR(J334/I334,0)</f>
        <v>0.0109289617486339</v>
      </c>
      <c r="L334" s="19" t="n">
        <v>9.9</v>
      </c>
      <c r="M334" s="20" t="n">
        <v>1</v>
      </c>
      <c r="N334" s="8" t="n">
        <f aca="false">IFERROR(M334/J334,0)</f>
        <v>0.5</v>
      </c>
    </row>
    <row r="335" customFormat="false" ht="15" hidden="false" customHeight="false" outlineLevel="0" collapsed="false">
      <c r="A335" s="17" t="s">
        <v>16</v>
      </c>
      <c r="B335" s="17" t="s">
        <v>64</v>
      </c>
      <c r="C335" s="17" t="s">
        <v>60</v>
      </c>
      <c r="D335" s="17" t="s">
        <v>66</v>
      </c>
      <c r="E335" s="17" t="s">
        <v>1729</v>
      </c>
      <c r="F335" s="17" t="s">
        <v>211</v>
      </c>
      <c r="G335" s="17" t="s">
        <v>315</v>
      </c>
      <c r="H335" s="17" t="s">
        <v>1163</v>
      </c>
      <c r="I335" s="20" t="n">
        <v>176</v>
      </c>
      <c r="J335" s="20" t="n">
        <v>0</v>
      </c>
      <c r="K335" s="25" t="n">
        <f aca="false">IFERROR(J335/I335,0)</f>
        <v>0</v>
      </c>
      <c r="L335" s="19" t="n">
        <v>0</v>
      </c>
      <c r="M335" s="20" t="n">
        <v>0</v>
      </c>
      <c r="N335" s="8" t="n">
        <f aca="false">IFERROR(M335/J335,0)</f>
        <v>0</v>
      </c>
    </row>
    <row r="336" customFormat="false" ht="15" hidden="false" customHeight="false" outlineLevel="0" collapsed="false">
      <c r="A336" s="17" t="s">
        <v>16</v>
      </c>
      <c r="B336" s="17" t="s">
        <v>64</v>
      </c>
      <c r="C336" s="17" t="s">
        <v>60</v>
      </c>
      <c r="D336" s="17" t="s">
        <v>66</v>
      </c>
      <c r="E336" s="17" t="s">
        <v>1730</v>
      </c>
      <c r="F336" s="17" t="s">
        <v>211</v>
      </c>
      <c r="G336" s="17" t="s">
        <v>315</v>
      </c>
      <c r="H336" s="17" t="s">
        <v>1731</v>
      </c>
      <c r="I336" s="20" t="n">
        <v>172</v>
      </c>
      <c r="J336" s="20" t="n">
        <v>5</v>
      </c>
      <c r="K336" s="25" t="n">
        <f aca="false">IFERROR(J336/I336,0)</f>
        <v>0.0290697674418605</v>
      </c>
      <c r="L336" s="19" t="n">
        <v>32.58</v>
      </c>
      <c r="M336" s="20" t="n">
        <v>0</v>
      </c>
      <c r="N336" s="8" t="n">
        <f aca="false">IFERROR(M336/J336,0)</f>
        <v>0</v>
      </c>
    </row>
    <row r="337" customFormat="false" ht="15" hidden="false" customHeight="false" outlineLevel="0" collapsed="false">
      <c r="A337" s="17" t="s">
        <v>16</v>
      </c>
      <c r="B337" s="17" t="s">
        <v>64</v>
      </c>
      <c r="C337" s="17" t="s">
        <v>60</v>
      </c>
      <c r="D337" s="17" t="s">
        <v>66</v>
      </c>
      <c r="E337" s="17" t="s">
        <v>1732</v>
      </c>
      <c r="F337" s="17" t="s">
        <v>211</v>
      </c>
      <c r="G337" s="17" t="s">
        <v>315</v>
      </c>
      <c r="H337" s="17" t="s">
        <v>1733</v>
      </c>
      <c r="I337" s="20" t="n">
        <v>159</v>
      </c>
      <c r="J337" s="20" t="n">
        <v>3</v>
      </c>
      <c r="K337" s="25" t="n">
        <f aca="false">IFERROR(J337/I337,0)</f>
        <v>0.0188679245283019</v>
      </c>
      <c r="L337" s="19" t="n">
        <v>12.67</v>
      </c>
      <c r="M337" s="20" t="n">
        <v>0</v>
      </c>
      <c r="N337" s="8" t="n">
        <f aca="false">IFERROR(M337/J337,0)</f>
        <v>0</v>
      </c>
    </row>
    <row r="338" customFormat="false" ht="15" hidden="false" customHeight="false" outlineLevel="0" collapsed="false">
      <c r="A338" s="17" t="s">
        <v>16</v>
      </c>
      <c r="B338" s="17" t="s">
        <v>64</v>
      </c>
      <c r="C338" s="17" t="s">
        <v>60</v>
      </c>
      <c r="D338" s="17" t="s">
        <v>66</v>
      </c>
      <c r="E338" s="17" t="s">
        <v>1734</v>
      </c>
      <c r="F338" s="17" t="s">
        <v>211</v>
      </c>
      <c r="G338" s="17" t="s">
        <v>315</v>
      </c>
      <c r="H338" s="17" t="s">
        <v>1735</v>
      </c>
      <c r="I338" s="20" t="n">
        <v>146</v>
      </c>
      <c r="J338" s="20" t="n">
        <v>3</v>
      </c>
      <c r="K338" s="25" t="n">
        <f aca="false">IFERROR(J338/I338,0)</f>
        <v>0.0205479452054795</v>
      </c>
      <c r="L338" s="19" t="n">
        <v>18.91</v>
      </c>
      <c r="M338" s="20" t="n">
        <v>0</v>
      </c>
      <c r="N338" s="8" t="n">
        <f aca="false">IFERROR(M338/J338,0)</f>
        <v>0</v>
      </c>
    </row>
    <row r="339" customFormat="false" ht="15" hidden="false" customHeight="false" outlineLevel="0" collapsed="false">
      <c r="A339" s="17" t="s">
        <v>16</v>
      </c>
      <c r="B339" s="17" t="s">
        <v>64</v>
      </c>
      <c r="C339" s="17" t="s">
        <v>60</v>
      </c>
      <c r="D339" s="17" t="s">
        <v>66</v>
      </c>
      <c r="E339" s="17" t="s">
        <v>1736</v>
      </c>
      <c r="F339" s="17" t="s">
        <v>211</v>
      </c>
      <c r="G339" s="17" t="s">
        <v>315</v>
      </c>
      <c r="H339" s="17" t="s">
        <v>1207</v>
      </c>
      <c r="I339" s="20" t="n">
        <v>145</v>
      </c>
      <c r="J339" s="20" t="n">
        <v>0</v>
      </c>
      <c r="K339" s="25" t="n">
        <f aca="false">IFERROR(J339/I339,0)</f>
        <v>0</v>
      </c>
      <c r="L339" s="19" t="n">
        <v>0</v>
      </c>
      <c r="M339" s="20" t="n">
        <v>0</v>
      </c>
      <c r="N339" s="8" t="n">
        <f aca="false">IFERROR(M339/J339,0)</f>
        <v>0</v>
      </c>
    </row>
    <row r="340" customFormat="false" ht="15" hidden="false" customHeight="false" outlineLevel="0" collapsed="false">
      <c r="A340" s="17" t="s">
        <v>16</v>
      </c>
      <c r="B340" s="17" t="s">
        <v>64</v>
      </c>
      <c r="C340" s="17" t="s">
        <v>60</v>
      </c>
      <c r="D340" s="17" t="s">
        <v>66</v>
      </c>
      <c r="E340" s="17" t="s">
        <v>1737</v>
      </c>
      <c r="F340" s="17" t="s">
        <v>211</v>
      </c>
      <c r="G340" s="17" t="s">
        <v>315</v>
      </c>
      <c r="H340" s="17" t="s">
        <v>1738</v>
      </c>
      <c r="I340" s="20" t="n">
        <v>123</v>
      </c>
      <c r="J340" s="20" t="n">
        <v>2</v>
      </c>
      <c r="K340" s="25" t="n">
        <f aca="false">IFERROR(J340/I340,0)</f>
        <v>0.016260162601626</v>
      </c>
      <c r="L340" s="19" t="n">
        <v>12.19</v>
      </c>
      <c r="M340" s="20" t="n">
        <v>1</v>
      </c>
      <c r="N340" s="8" t="n">
        <f aca="false">IFERROR(M340/J340,0)</f>
        <v>0.5</v>
      </c>
    </row>
    <row r="341" customFormat="false" ht="15" hidden="false" customHeight="false" outlineLevel="0" collapsed="false">
      <c r="A341" s="17" t="s">
        <v>16</v>
      </c>
      <c r="B341" s="17" t="s">
        <v>64</v>
      </c>
      <c r="C341" s="17" t="s">
        <v>60</v>
      </c>
      <c r="D341" s="17" t="s">
        <v>66</v>
      </c>
      <c r="E341" s="17" t="s">
        <v>1739</v>
      </c>
      <c r="F341" s="17" t="s">
        <v>211</v>
      </c>
      <c r="G341" s="17" t="s">
        <v>315</v>
      </c>
      <c r="H341" s="17" t="s">
        <v>1740</v>
      </c>
      <c r="I341" s="20" t="n">
        <v>107</v>
      </c>
      <c r="J341" s="20" t="n">
        <v>0</v>
      </c>
      <c r="K341" s="25" t="n">
        <f aca="false">IFERROR(J341/I341,0)</f>
        <v>0</v>
      </c>
      <c r="L341" s="19" t="n">
        <v>0</v>
      </c>
      <c r="M341" s="20" t="n">
        <v>0</v>
      </c>
      <c r="N341" s="8" t="n">
        <f aca="false">IFERROR(M341/J341,0)</f>
        <v>0</v>
      </c>
    </row>
    <row r="342" customFormat="false" ht="15" hidden="false" customHeight="false" outlineLevel="0" collapsed="false">
      <c r="A342" s="17" t="s">
        <v>16</v>
      </c>
      <c r="B342" s="17" t="s">
        <v>64</v>
      </c>
      <c r="C342" s="17" t="s">
        <v>60</v>
      </c>
      <c r="D342" s="17" t="s">
        <v>66</v>
      </c>
      <c r="E342" s="17" t="s">
        <v>1741</v>
      </c>
      <c r="F342" s="17" t="s">
        <v>211</v>
      </c>
      <c r="G342" s="17" t="s">
        <v>315</v>
      </c>
      <c r="H342" s="17" t="s">
        <v>1179</v>
      </c>
      <c r="I342" s="20" t="n">
        <v>106</v>
      </c>
      <c r="J342" s="20" t="n">
        <v>0</v>
      </c>
      <c r="K342" s="25" t="n">
        <f aca="false">IFERROR(J342/I342,0)</f>
        <v>0</v>
      </c>
      <c r="L342" s="19" t="n">
        <v>0</v>
      </c>
      <c r="M342" s="20" t="n">
        <v>0</v>
      </c>
      <c r="N342" s="8" t="n">
        <f aca="false">IFERROR(M342/J342,0)</f>
        <v>0</v>
      </c>
    </row>
    <row r="343" customFormat="false" ht="15" hidden="false" customHeight="false" outlineLevel="0" collapsed="false">
      <c r="A343" s="17" t="s">
        <v>16</v>
      </c>
      <c r="B343" s="17" t="s">
        <v>64</v>
      </c>
      <c r="C343" s="17" t="s">
        <v>66</v>
      </c>
      <c r="D343" s="17" t="s">
        <v>60</v>
      </c>
      <c r="E343" s="17" t="s">
        <v>1742</v>
      </c>
      <c r="F343" s="17" t="s">
        <v>126</v>
      </c>
      <c r="G343" s="17" t="s">
        <v>315</v>
      </c>
      <c r="H343" s="17" t="s">
        <v>1743</v>
      </c>
      <c r="I343" s="20" t="n">
        <v>105</v>
      </c>
      <c r="J343" s="20" t="n">
        <v>2</v>
      </c>
      <c r="K343" s="25" t="n">
        <f aca="false">IFERROR(J343/I343,0)</f>
        <v>0.0190476190476191</v>
      </c>
      <c r="L343" s="19" t="n">
        <v>1.45</v>
      </c>
      <c r="M343" s="20" t="n">
        <v>0</v>
      </c>
      <c r="N343" s="8" t="n">
        <f aca="false">IFERROR(M343/J343,0)</f>
        <v>0</v>
      </c>
    </row>
    <row r="344" customFormat="false" ht="15" hidden="false" customHeight="false" outlineLevel="0" collapsed="false">
      <c r="A344" s="17" t="s">
        <v>16</v>
      </c>
      <c r="B344" s="17" t="s">
        <v>64</v>
      </c>
      <c r="C344" s="17" t="s">
        <v>60</v>
      </c>
      <c r="D344" s="17" t="s">
        <v>66</v>
      </c>
      <c r="E344" s="17" t="s">
        <v>1744</v>
      </c>
      <c r="F344" s="17" t="s">
        <v>211</v>
      </c>
      <c r="G344" s="17" t="s">
        <v>315</v>
      </c>
      <c r="H344" s="17" t="s">
        <v>1745</v>
      </c>
      <c r="I344" s="20" t="n">
        <v>59</v>
      </c>
      <c r="J344" s="20" t="n">
        <v>1</v>
      </c>
      <c r="K344" s="25" t="n">
        <f aca="false">IFERROR(J344/I344,0)</f>
        <v>0.0169491525423729</v>
      </c>
      <c r="L344" s="19" t="n">
        <v>4.95</v>
      </c>
      <c r="M344" s="20" t="n">
        <v>0</v>
      </c>
      <c r="N344" s="8" t="n">
        <f aca="false">IFERROR(M344/J344,0)</f>
        <v>0</v>
      </c>
    </row>
    <row r="345" customFormat="false" ht="15" hidden="false" customHeight="false" outlineLevel="0" collapsed="false">
      <c r="A345" s="17" t="s">
        <v>16</v>
      </c>
      <c r="B345" s="17" t="s">
        <v>64</v>
      </c>
      <c r="C345" s="17" t="s">
        <v>60</v>
      </c>
      <c r="D345" s="17" t="s">
        <v>66</v>
      </c>
      <c r="E345" s="17" t="s">
        <v>1746</v>
      </c>
      <c r="F345" s="17" t="s">
        <v>211</v>
      </c>
      <c r="G345" s="17" t="s">
        <v>315</v>
      </c>
      <c r="H345" s="17" t="s">
        <v>1175</v>
      </c>
      <c r="I345" s="20" t="n">
        <v>57</v>
      </c>
      <c r="J345" s="20" t="n">
        <v>2</v>
      </c>
      <c r="K345" s="25" t="n">
        <f aca="false">IFERROR(J345/I345,0)</f>
        <v>0.0350877192982456</v>
      </c>
      <c r="L345" s="19" t="n">
        <v>12.01</v>
      </c>
      <c r="M345" s="20" t="n">
        <v>0</v>
      </c>
      <c r="N345" s="8" t="n">
        <f aca="false">IFERROR(M345/J345,0)</f>
        <v>0</v>
      </c>
    </row>
    <row r="346" customFormat="false" ht="15" hidden="false" customHeight="false" outlineLevel="0" collapsed="false">
      <c r="A346" s="17" t="s">
        <v>16</v>
      </c>
      <c r="B346" s="17" t="s">
        <v>64</v>
      </c>
      <c r="C346" s="17" t="s">
        <v>60</v>
      </c>
      <c r="D346" s="17" t="s">
        <v>66</v>
      </c>
      <c r="E346" s="17" t="s">
        <v>1747</v>
      </c>
      <c r="F346" s="17" t="s">
        <v>211</v>
      </c>
      <c r="G346" s="17" t="s">
        <v>315</v>
      </c>
      <c r="H346" s="17" t="s">
        <v>1748</v>
      </c>
      <c r="I346" s="20" t="n">
        <v>26</v>
      </c>
      <c r="J346" s="20" t="n">
        <v>0</v>
      </c>
      <c r="K346" s="25" t="n">
        <f aca="false">IFERROR(J346/I346,0)</f>
        <v>0</v>
      </c>
      <c r="L346" s="19" t="n">
        <v>0</v>
      </c>
      <c r="M346" s="20" t="n">
        <v>0</v>
      </c>
      <c r="N346" s="8" t="n">
        <f aca="false">IFERROR(M346/J346,0)</f>
        <v>0</v>
      </c>
    </row>
    <row r="347" customFormat="false" ht="15" hidden="false" customHeight="false" outlineLevel="0" collapsed="false">
      <c r="A347" s="17" t="s">
        <v>16</v>
      </c>
      <c r="B347" s="17" t="s">
        <v>64</v>
      </c>
      <c r="C347" s="17" t="s">
        <v>60</v>
      </c>
      <c r="D347" s="17" t="s">
        <v>66</v>
      </c>
      <c r="E347" s="17" t="s">
        <v>1749</v>
      </c>
      <c r="F347" s="17" t="s">
        <v>211</v>
      </c>
      <c r="G347" s="17" t="s">
        <v>315</v>
      </c>
      <c r="H347" s="17" t="s">
        <v>1750</v>
      </c>
      <c r="I347" s="20" t="n">
        <v>25</v>
      </c>
      <c r="J347" s="20" t="n">
        <v>0</v>
      </c>
      <c r="K347" s="25" t="n">
        <f aca="false">IFERROR(J347/I347,0)</f>
        <v>0</v>
      </c>
      <c r="L347" s="19" t="n">
        <v>0</v>
      </c>
      <c r="M347" s="20" t="n">
        <v>0</v>
      </c>
      <c r="N347" s="8" t="n">
        <f aca="false">IFERROR(M347/J347,0)</f>
        <v>0</v>
      </c>
    </row>
    <row r="348" customFormat="false" ht="15" hidden="false" customHeight="false" outlineLevel="0" collapsed="false">
      <c r="A348" s="17" t="s">
        <v>16</v>
      </c>
      <c r="B348" s="17" t="s">
        <v>64</v>
      </c>
      <c r="C348" s="17" t="s">
        <v>60</v>
      </c>
      <c r="D348" s="17" t="s">
        <v>66</v>
      </c>
      <c r="E348" s="17" t="s">
        <v>1751</v>
      </c>
      <c r="F348" s="17" t="s">
        <v>211</v>
      </c>
      <c r="G348" s="17" t="s">
        <v>315</v>
      </c>
      <c r="H348" s="17" t="s">
        <v>1752</v>
      </c>
      <c r="I348" s="20" t="n">
        <v>9</v>
      </c>
      <c r="J348" s="20" t="n">
        <v>0</v>
      </c>
      <c r="K348" s="25" t="n">
        <f aca="false">IFERROR(J348/I348,0)</f>
        <v>0</v>
      </c>
      <c r="L348" s="19" t="n">
        <v>0</v>
      </c>
      <c r="M348" s="20" t="n">
        <v>0</v>
      </c>
      <c r="N348" s="8" t="n">
        <f aca="false">IFERROR(M348/J348,0)</f>
        <v>0</v>
      </c>
    </row>
    <row r="349" customFormat="false" ht="15" hidden="false" customHeight="false" outlineLevel="0" collapsed="false">
      <c r="A349" s="17" t="s">
        <v>16</v>
      </c>
      <c r="B349" s="17" t="s">
        <v>58</v>
      </c>
      <c r="C349" s="17" t="s">
        <v>60</v>
      </c>
      <c r="D349" s="17" t="s">
        <v>66</v>
      </c>
      <c r="E349" s="17" t="s">
        <v>482</v>
      </c>
      <c r="F349" s="17" t="s">
        <v>115</v>
      </c>
      <c r="G349" s="17" t="s">
        <v>311</v>
      </c>
      <c r="H349" s="17" t="s">
        <v>1339</v>
      </c>
      <c r="I349" s="20" t="n">
        <v>60161</v>
      </c>
      <c r="J349" s="20" t="n">
        <v>501</v>
      </c>
      <c r="K349" s="25" t="n">
        <f aca="false">IFERROR(J349/I349,0)</f>
        <v>0.00832765412808963</v>
      </c>
      <c r="L349" s="19" t="n">
        <v>954.77</v>
      </c>
      <c r="M349" s="20" t="n">
        <v>93</v>
      </c>
      <c r="N349" s="8" t="n">
        <f aca="false">IFERROR(M349/J349,0)</f>
        <v>0.18562874251497</v>
      </c>
    </row>
    <row r="350" customFormat="false" ht="15" hidden="false" customHeight="false" outlineLevel="0" collapsed="false">
      <c r="A350" s="17" t="s">
        <v>16</v>
      </c>
      <c r="B350" s="17" t="s">
        <v>58</v>
      </c>
      <c r="C350" s="17" t="s">
        <v>60</v>
      </c>
      <c r="D350" s="17" t="s">
        <v>66</v>
      </c>
      <c r="E350" s="17" t="s">
        <v>552</v>
      </c>
      <c r="F350" s="17" t="s">
        <v>115</v>
      </c>
      <c r="G350" s="17" t="s">
        <v>315</v>
      </c>
      <c r="H350" s="17" t="s">
        <v>1223</v>
      </c>
      <c r="I350" s="20" t="n">
        <v>43116</v>
      </c>
      <c r="J350" s="20" t="n">
        <v>251</v>
      </c>
      <c r="K350" s="25" t="n">
        <f aca="false">IFERROR(J350/I350,0)</f>
        <v>0.0058215047778087</v>
      </c>
      <c r="L350" s="19" t="n">
        <v>1270.49</v>
      </c>
      <c r="M350" s="20" t="n">
        <v>41</v>
      </c>
      <c r="N350" s="8" t="n">
        <f aca="false">IFERROR(M350/J350,0)</f>
        <v>0.163346613545817</v>
      </c>
    </row>
    <row r="351" customFormat="false" ht="15" hidden="false" customHeight="false" outlineLevel="0" collapsed="false">
      <c r="A351" s="17" t="s">
        <v>16</v>
      </c>
      <c r="B351" s="17" t="s">
        <v>58</v>
      </c>
      <c r="C351" s="17" t="s">
        <v>60</v>
      </c>
      <c r="D351" s="17" t="s">
        <v>66</v>
      </c>
      <c r="E351" s="17" t="s">
        <v>559</v>
      </c>
      <c r="F351" s="17" t="s">
        <v>115</v>
      </c>
      <c r="G351" s="17" t="s">
        <v>311</v>
      </c>
      <c r="H351" s="17" t="s">
        <v>1322</v>
      </c>
      <c r="I351" s="20" t="n">
        <v>30057</v>
      </c>
      <c r="J351" s="20" t="n">
        <v>93</v>
      </c>
      <c r="K351" s="25" t="n">
        <f aca="false">IFERROR(J351/I351,0)</f>
        <v>0.00309412116977742</v>
      </c>
      <c r="L351" s="19" t="n">
        <v>309.79</v>
      </c>
      <c r="M351" s="20" t="n">
        <v>7</v>
      </c>
      <c r="N351" s="8" t="n">
        <f aca="false">IFERROR(M351/J351,0)</f>
        <v>0.0752688172043011</v>
      </c>
    </row>
    <row r="352" customFormat="false" ht="15" hidden="false" customHeight="false" outlineLevel="0" collapsed="false">
      <c r="A352" s="17" t="s">
        <v>16</v>
      </c>
      <c r="B352" s="17" t="s">
        <v>58</v>
      </c>
      <c r="C352" s="17" t="s">
        <v>60</v>
      </c>
      <c r="D352" s="17" t="s">
        <v>66</v>
      </c>
      <c r="E352" s="17" t="s">
        <v>1753</v>
      </c>
      <c r="F352" s="17" t="s">
        <v>115</v>
      </c>
      <c r="G352" s="17" t="s">
        <v>315</v>
      </c>
      <c r="H352" s="17" t="s">
        <v>1754</v>
      </c>
      <c r="I352" s="20" t="n">
        <v>25858</v>
      </c>
      <c r="J352" s="20" t="n">
        <v>53</v>
      </c>
      <c r="K352" s="25" t="n">
        <f aca="false">IFERROR(J352/I352,0)</f>
        <v>0.0020496558125145</v>
      </c>
      <c r="L352" s="19" t="n">
        <v>177.23</v>
      </c>
      <c r="M352" s="20" t="n">
        <v>7</v>
      </c>
      <c r="N352" s="8" t="n">
        <f aca="false">IFERROR(M352/J352,0)</f>
        <v>0.132075471698113</v>
      </c>
    </row>
    <row r="353" customFormat="false" ht="15" hidden="false" customHeight="false" outlineLevel="0" collapsed="false">
      <c r="A353" s="17" t="s">
        <v>16</v>
      </c>
      <c r="B353" s="17" t="s">
        <v>58</v>
      </c>
      <c r="C353" s="17" t="s">
        <v>60</v>
      </c>
      <c r="D353" s="17" t="s">
        <v>66</v>
      </c>
      <c r="E353" s="17" t="s">
        <v>1755</v>
      </c>
      <c r="F353" s="17" t="s">
        <v>115</v>
      </c>
      <c r="G353" s="17" t="s">
        <v>311</v>
      </c>
      <c r="H353" s="17" t="s">
        <v>1223</v>
      </c>
      <c r="I353" s="20" t="n">
        <v>20894</v>
      </c>
      <c r="J353" s="20" t="n">
        <v>55</v>
      </c>
      <c r="K353" s="25" t="n">
        <f aca="false">IFERROR(J353/I353,0)</f>
        <v>0.00263233464152388</v>
      </c>
      <c r="L353" s="19" t="n">
        <v>174.35</v>
      </c>
      <c r="M353" s="20" t="n">
        <v>1</v>
      </c>
      <c r="N353" s="8" t="n">
        <f aca="false">IFERROR(M353/J353,0)</f>
        <v>0.0181818181818182</v>
      </c>
    </row>
    <row r="354" customFormat="false" ht="15" hidden="false" customHeight="false" outlineLevel="0" collapsed="false">
      <c r="A354" s="17" t="s">
        <v>16</v>
      </c>
      <c r="B354" s="17" t="s">
        <v>58</v>
      </c>
      <c r="C354" s="17" t="s">
        <v>60</v>
      </c>
      <c r="D354" s="17" t="s">
        <v>66</v>
      </c>
      <c r="E354" s="17" t="s">
        <v>1756</v>
      </c>
      <c r="F354" s="17" t="s">
        <v>115</v>
      </c>
      <c r="G354" s="17" t="s">
        <v>315</v>
      </c>
      <c r="H354" s="17" t="s">
        <v>1229</v>
      </c>
      <c r="I354" s="20" t="n">
        <v>17169</v>
      </c>
      <c r="J354" s="20" t="n">
        <v>203</v>
      </c>
      <c r="K354" s="25" t="n">
        <f aca="false">IFERROR(J354/I354,0)</f>
        <v>0.0118236356223426</v>
      </c>
      <c r="L354" s="19" t="n">
        <v>348.65</v>
      </c>
      <c r="M354" s="20" t="n">
        <v>47</v>
      </c>
      <c r="N354" s="8" t="n">
        <f aca="false">IFERROR(M354/J354,0)</f>
        <v>0.231527093596059</v>
      </c>
    </row>
    <row r="355" customFormat="false" ht="15" hidden="false" customHeight="false" outlineLevel="0" collapsed="false">
      <c r="A355" s="17" t="s">
        <v>16</v>
      </c>
      <c r="B355" s="17" t="s">
        <v>58</v>
      </c>
      <c r="C355" s="17" t="s">
        <v>60</v>
      </c>
      <c r="D355" s="17" t="s">
        <v>66</v>
      </c>
      <c r="E355" s="17" t="s">
        <v>1757</v>
      </c>
      <c r="F355" s="17" t="s">
        <v>115</v>
      </c>
      <c r="G355" s="17" t="s">
        <v>315</v>
      </c>
      <c r="H355" s="17" t="s">
        <v>1758</v>
      </c>
      <c r="I355" s="20" t="n">
        <v>15203</v>
      </c>
      <c r="J355" s="20" t="n">
        <v>52</v>
      </c>
      <c r="K355" s="25" t="n">
        <f aca="false">IFERROR(J355/I355,0)</f>
        <v>0.00342037755706111</v>
      </c>
      <c r="L355" s="19" t="n">
        <v>150.27</v>
      </c>
      <c r="M355" s="20" t="n">
        <v>5</v>
      </c>
      <c r="N355" s="8" t="n">
        <f aca="false">IFERROR(M355/J355,0)</f>
        <v>0.0961538461538462</v>
      </c>
    </row>
    <row r="356" customFormat="false" ht="15" hidden="false" customHeight="false" outlineLevel="0" collapsed="false">
      <c r="A356" s="17" t="s">
        <v>16</v>
      </c>
      <c r="B356" s="17" t="s">
        <v>58</v>
      </c>
      <c r="C356" s="17" t="s">
        <v>66</v>
      </c>
      <c r="D356" s="17" t="s">
        <v>60</v>
      </c>
      <c r="E356" s="17" t="s">
        <v>1759</v>
      </c>
      <c r="F356" s="17" t="s">
        <v>129</v>
      </c>
      <c r="G356" s="17" t="s">
        <v>315</v>
      </c>
      <c r="H356" s="17" t="s">
        <v>1760</v>
      </c>
      <c r="I356" s="20" t="n">
        <v>11182</v>
      </c>
      <c r="J356" s="20" t="n">
        <v>51</v>
      </c>
      <c r="K356" s="25" t="n">
        <f aca="false">IFERROR(J356/I356,0)</f>
        <v>0.00456090144875693</v>
      </c>
      <c r="L356" s="19" t="n">
        <v>101.93</v>
      </c>
      <c r="M356" s="20" t="n">
        <v>1</v>
      </c>
      <c r="N356" s="8" t="n">
        <f aca="false">IFERROR(M356/J356,0)</f>
        <v>0.0196078431372549</v>
      </c>
    </row>
    <row r="357" customFormat="false" ht="15" hidden="false" customHeight="false" outlineLevel="0" collapsed="false">
      <c r="A357" s="17" t="s">
        <v>16</v>
      </c>
      <c r="B357" s="17" t="s">
        <v>58</v>
      </c>
      <c r="C357" s="17" t="s">
        <v>60</v>
      </c>
      <c r="D357" s="17" t="s">
        <v>66</v>
      </c>
      <c r="E357" s="17" t="s">
        <v>457</v>
      </c>
      <c r="F357" s="17" t="s">
        <v>115</v>
      </c>
      <c r="G357" s="17" t="s">
        <v>315</v>
      </c>
      <c r="H357" s="17" t="s">
        <v>1758</v>
      </c>
      <c r="I357" s="20" t="n">
        <v>8812</v>
      </c>
      <c r="J357" s="20" t="n">
        <v>33</v>
      </c>
      <c r="K357" s="25" t="n">
        <f aca="false">IFERROR(J357/I357,0)</f>
        <v>0.00374489332728098</v>
      </c>
      <c r="L357" s="19" t="n">
        <v>90.85</v>
      </c>
      <c r="M357" s="20" t="n">
        <v>10</v>
      </c>
      <c r="N357" s="8" t="n">
        <f aca="false">IFERROR(M357/J357,0)</f>
        <v>0.303030303030303</v>
      </c>
    </row>
    <row r="358" customFormat="false" ht="15" hidden="false" customHeight="false" outlineLevel="0" collapsed="false">
      <c r="A358" s="17" t="s">
        <v>16</v>
      </c>
      <c r="B358" s="17" t="s">
        <v>58</v>
      </c>
      <c r="C358" s="17" t="s">
        <v>66</v>
      </c>
      <c r="D358" s="17" t="s">
        <v>60</v>
      </c>
      <c r="E358" s="17" t="s">
        <v>494</v>
      </c>
      <c r="F358" s="17" t="s">
        <v>495</v>
      </c>
      <c r="G358" s="17" t="s">
        <v>315</v>
      </c>
      <c r="H358" s="17" t="s">
        <v>1761</v>
      </c>
      <c r="I358" s="20" t="n">
        <v>7644</v>
      </c>
      <c r="J358" s="20" t="n">
        <v>39</v>
      </c>
      <c r="K358" s="25" t="n">
        <f aca="false">IFERROR(J358/I358,0)</f>
        <v>0.00510204081632653</v>
      </c>
      <c r="L358" s="19" t="n">
        <v>99.69</v>
      </c>
      <c r="M358" s="20" t="n">
        <v>6</v>
      </c>
      <c r="N358" s="8" t="n">
        <f aca="false">IFERROR(M358/J358,0)</f>
        <v>0.153846153846154</v>
      </c>
    </row>
    <row r="359" customFormat="false" ht="15" hidden="false" customHeight="false" outlineLevel="0" collapsed="false">
      <c r="A359" s="17" t="s">
        <v>16</v>
      </c>
      <c r="B359" s="17" t="s">
        <v>58</v>
      </c>
      <c r="C359" s="17" t="s">
        <v>60</v>
      </c>
      <c r="D359" s="17" t="s">
        <v>66</v>
      </c>
      <c r="E359" s="17" t="s">
        <v>451</v>
      </c>
      <c r="F359" s="17" t="s">
        <v>115</v>
      </c>
      <c r="G359" s="17" t="s">
        <v>315</v>
      </c>
      <c r="H359" s="17" t="s">
        <v>1308</v>
      </c>
      <c r="I359" s="20" t="n">
        <v>6403</v>
      </c>
      <c r="J359" s="20" t="n">
        <v>43</v>
      </c>
      <c r="K359" s="25" t="n">
        <f aca="false">IFERROR(J359/I359,0)</f>
        <v>0.00671560206153366</v>
      </c>
      <c r="L359" s="19" t="n">
        <v>186.82</v>
      </c>
      <c r="M359" s="20" t="n">
        <v>7</v>
      </c>
      <c r="N359" s="8" t="n">
        <f aca="false">IFERROR(M359/J359,0)</f>
        <v>0.162790697674419</v>
      </c>
    </row>
    <row r="360" customFormat="false" ht="15" hidden="false" customHeight="false" outlineLevel="0" collapsed="false">
      <c r="A360" s="17" t="s">
        <v>16</v>
      </c>
      <c r="B360" s="17" t="s">
        <v>58</v>
      </c>
      <c r="C360" s="17" t="s">
        <v>60</v>
      </c>
      <c r="D360" s="17" t="s">
        <v>66</v>
      </c>
      <c r="E360" s="17" t="s">
        <v>1762</v>
      </c>
      <c r="F360" s="17" t="s">
        <v>115</v>
      </c>
      <c r="G360" s="17" t="s">
        <v>315</v>
      </c>
      <c r="H360" s="17" t="s">
        <v>1395</v>
      </c>
      <c r="I360" s="20" t="n">
        <v>3975</v>
      </c>
      <c r="J360" s="20" t="n">
        <v>19</v>
      </c>
      <c r="K360" s="25" t="n">
        <f aca="false">IFERROR(J360/I360,0)</f>
        <v>0.00477987421383648</v>
      </c>
      <c r="L360" s="19" t="n">
        <v>131.02</v>
      </c>
      <c r="M360" s="20" t="n">
        <v>0</v>
      </c>
      <c r="N360" s="8" t="n">
        <f aca="false">IFERROR(M360/J360,0)</f>
        <v>0</v>
      </c>
    </row>
    <row r="361" customFormat="false" ht="15" hidden="false" customHeight="false" outlineLevel="0" collapsed="false">
      <c r="A361" s="17" t="s">
        <v>16</v>
      </c>
      <c r="B361" s="17" t="s">
        <v>58</v>
      </c>
      <c r="C361" s="17" t="s">
        <v>60</v>
      </c>
      <c r="D361" s="17" t="s">
        <v>66</v>
      </c>
      <c r="E361" s="17" t="s">
        <v>1763</v>
      </c>
      <c r="F361" s="17" t="s">
        <v>115</v>
      </c>
      <c r="G361" s="17" t="s">
        <v>315</v>
      </c>
      <c r="H361" s="17" t="s">
        <v>1326</v>
      </c>
      <c r="I361" s="20" t="n">
        <v>3778</v>
      </c>
      <c r="J361" s="20" t="n">
        <v>8</v>
      </c>
      <c r="K361" s="25" t="n">
        <f aca="false">IFERROR(J361/I361,0)</f>
        <v>0.00211752249867655</v>
      </c>
      <c r="L361" s="19" t="n">
        <v>23.03</v>
      </c>
      <c r="M361" s="20" t="n">
        <v>1</v>
      </c>
      <c r="N361" s="8" t="n">
        <f aca="false">IFERROR(M361/J361,0)</f>
        <v>0.125</v>
      </c>
    </row>
    <row r="362" customFormat="false" ht="15" hidden="false" customHeight="false" outlineLevel="0" collapsed="false">
      <c r="A362" s="17" t="s">
        <v>16</v>
      </c>
      <c r="B362" s="17" t="s">
        <v>58</v>
      </c>
      <c r="C362" s="17" t="s">
        <v>66</v>
      </c>
      <c r="D362" s="17" t="s">
        <v>60</v>
      </c>
      <c r="E362" s="17" t="s">
        <v>512</v>
      </c>
      <c r="F362" s="17" t="s">
        <v>513</v>
      </c>
      <c r="G362" s="17" t="s">
        <v>315</v>
      </c>
      <c r="H362" s="17" t="s">
        <v>1764</v>
      </c>
      <c r="I362" s="20" t="n">
        <v>3608</v>
      </c>
      <c r="J362" s="20" t="n">
        <v>69</v>
      </c>
      <c r="K362" s="25" t="n">
        <f aca="false">IFERROR(J362/I362,0)</f>
        <v>0.0191241685144124</v>
      </c>
      <c r="L362" s="19" t="n">
        <v>129.15</v>
      </c>
      <c r="M362" s="20" t="n">
        <v>2</v>
      </c>
      <c r="N362" s="8" t="n">
        <f aca="false">IFERROR(M362/J362,0)</f>
        <v>0.0289855072463768</v>
      </c>
    </row>
    <row r="363" customFormat="false" ht="15" hidden="false" customHeight="false" outlineLevel="0" collapsed="false">
      <c r="A363" s="17" t="s">
        <v>16</v>
      </c>
      <c r="B363" s="17" t="s">
        <v>58</v>
      </c>
      <c r="C363" s="17" t="s">
        <v>60</v>
      </c>
      <c r="D363" s="17" t="s">
        <v>66</v>
      </c>
      <c r="E363" s="17" t="s">
        <v>464</v>
      </c>
      <c r="F363" s="17" t="s">
        <v>115</v>
      </c>
      <c r="G363" s="17" t="s">
        <v>315</v>
      </c>
      <c r="H363" s="17" t="s">
        <v>1251</v>
      </c>
      <c r="I363" s="20" t="n">
        <v>3534</v>
      </c>
      <c r="J363" s="20" t="n">
        <v>12</v>
      </c>
      <c r="K363" s="25" t="n">
        <f aca="false">IFERROR(J363/I363,0)</f>
        <v>0.0033955857385399</v>
      </c>
      <c r="L363" s="19" t="n">
        <v>53.63</v>
      </c>
      <c r="M363" s="20" t="n">
        <v>2</v>
      </c>
      <c r="N363" s="8" t="n">
        <f aca="false">IFERROR(M363/J363,0)</f>
        <v>0.166666666666667</v>
      </c>
    </row>
    <row r="364" customFormat="false" ht="15" hidden="false" customHeight="false" outlineLevel="0" collapsed="false">
      <c r="A364" s="17" t="s">
        <v>16</v>
      </c>
      <c r="B364" s="17" t="s">
        <v>58</v>
      </c>
      <c r="C364" s="17" t="s">
        <v>60</v>
      </c>
      <c r="D364" s="17" t="s">
        <v>66</v>
      </c>
      <c r="E364" s="17" t="s">
        <v>527</v>
      </c>
      <c r="F364" s="17" t="s">
        <v>115</v>
      </c>
      <c r="G364" s="17" t="s">
        <v>315</v>
      </c>
      <c r="H364" s="17" t="s">
        <v>1300</v>
      </c>
      <c r="I364" s="20" t="n">
        <v>3249</v>
      </c>
      <c r="J364" s="20" t="n">
        <v>5</v>
      </c>
      <c r="K364" s="25" t="n">
        <f aca="false">IFERROR(J364/I364,0)</f>
        <v>0.0015389350569406</v>
      </c>
      <c r="L364" s="19" t="n">
        <v>20.09</v>
      </c>
      <c r="M364" s="20" t="n">
        <v>1</v>
      </c>
      <c r="N364" s="8" t="n">
        <f aca="false">IFERROR(M364/J364,0)</f>
        <v>0.2</v>
      </c>
    </row>
    <row r="365" customFormat="false" ht="15" hidden="false" customHeight="false" outlineLevel="0" collapsed="false">
      <c r="A365" s="17" t="s">
        <v>16</v>
      </c>
      <c r="B365" s="17" t="s">
        <v>58</v>
      </c>
      <c r="C365" s="17" t="s">
        <v>66</v>
      </c>
      <c r="D365" s="17" t="s">
        <v>60</v>
      </c>
      <c r="E365" s="17" t="s">
        <v>1765</v>
      </c>
      <c r="F365" s="17" t="s">
        <v>122</v>
      </c>
      <c r="G365" s="17" t="s">
        <v>315</v>
      </c>
      <c r="H365" s="17" t="s">
        <v>1536</v>
      </c>
      <c r="I365" s="20" t="n">
        <v>3238</v>
      </c>
      <c r="J365" s="20" t="n">
        <v>82</v>
      </c>
      <c r="K365" s="25" t="n">
        <f aca="false">IFERROR(J365/I365,0)</f>
        <v>0.0253242742433601</v>
      </c>
      <c r="L365" s="19" t="n">
        <v>143.04</v>
      </c>
      <c r="M365" s="20" t="n">
        <v>1</v>
      </c>
      <c r="N365" s="8" t="n">
        <f aca="false">IFERROR(M365/J365,0)</f>
        <v>0.0121951219512195</v>
      </c>
    </row>
    <row r="366" customFormat="false" ht="15" hidden="false" customHeight="false" outlineLevel="0" collapsed="false">
      <c r="A366" s="17" t="s">
        <v>16</v>
      </c>
      <c r="B366" s="17" t="s">
        <v>58</v>
      </c>
      <c r="C366" s="17" t="s">
        <v>60</v>
      </c>
      <c r="D366" s="17" t="s">
        <v>66</v>
      </c>
      <c r="E366" s="17" t="s">
        <v>488</v>
      </c>
      <c r="F366" s="17" t="s">
        <v>115</v>
      </c>
      <c r="G366" s="17" t="s">
        <v>315</v>
      </c>
      <c r="H366" s="17" t="s">
        <v>1345</v>
      </c>
      <c r="I366" s="20" t="n">
        <v>3157</v>
      </c>
      <c r="J366" s="20" t="n">
        <v>8</v>
      </c>
      <c r="K366" s="25" t="n">
        <f aca="false">IFERROR(J366/I366,0)</f>
        <v>0.00253405131453912</v>
      </c>
      <c r="L366" s="19" t="n">
        <v>33.64</v>
      </c>
      <c r="M366" s="20" t="n">
        <v>2</v>
      </c>
      <c r="N366" s="8" t="n">
        <f aca="false">IFERROR(M366/J366,0)</f>
        <v>0.25</v>
      </c>
    </row>
    <row r="367" customFormat="false" ht="15" hidden="false" customHeight="false" outlineLevel="0" collapsed="false">
      <c r="A367" s="17" t="s">
        <v>16</v>
      </c>
      <c r="B367" s="17" t="s">
        <v>58</v>
      </c>
      <c r="C367" s="17" t="s">
        <v>60</v>
      </c>
      <c r="D367" s="17" t="s">
        <v>66</v>
      </c>
      <c r="E367" s="17" t="s">
        <v>1766</v>
      </c>
      <c r="F367" s="17" t="s">
        <v>115</v>
      </c>
      <c r="G367" s="17" t="s">
        <v>315</v>
      </c>
      <c r="H367" s="17" t="s">
        <v>1544</v>
      </c>
      <c r="I367" s="20" t="n">
        <v>2838</v>
      </c>
      <c r="J367" s="20" t="n">
        <v>6</v>
      </c>
      <c r="K367" s="25" t="n">
        <f aca="false">IFERROR(J367/I367,0)</f>
        <v>0.00211416490486258</v>
      </c>
      <c r="L367" s="19" t="n">
        <v>12.81</v>
      </c>
      <c r="M367" s="20" t="n">
        <v>0</v>
      </c>
      <c r="N367" s="8" t="n">
        <f aca="false">IFERROR(M367/J367,0)</f>
        <v>0</v>
      </c>
    </row>
    <row r="368" customFormat="false" ht="15" hidden="false" customHeight="false" outlineLevel="0" collapsed="false">
      <c r="A368" s="17" t="s">
        <v>16</v>
      </c>
      <c r="B368" s="17" t="s">
        <v>58</v>
      </c>
      <c r="C368" s="17" t="s">
        <v>60</v>
      </c>
      <c r="D368" s="17" t="s">
        <v>66</v>
      </c>
      <c r="E368" s="17" t="s">
        <v>1767</v>
      </c>
      <c r="F368" s="17" t="s">
        <v>115</v>
      </c>
      <c r="G368" s="17" t="s">
        <v>315</v>
      </c>
      <c r="H368" s="17" t="s">
        <v>1383</v>
      </c>
      <c r="I368" s="20" t="n">
        <v>2835</v>
      </c>
      <c r="J368" s="20" t="n">
        <v>0</v>
      </c>
      <c r="K368" s="25" t="n">
        <f aca="false">IFERROR(J368/I368,0)</f>
        <v>0</v>
      </c>
      <c r="L368" s="19" t="n">
        <v>0</v>
      </c>
      <c r="M368" s="20" t="n">
        <v>0</v>
      </c>
      <c r="N368" s="8" t="n">
        <f aca="false">IFERROR(M368/J368,0)</f>
        <v>0</v>
      </c>
    </row>
    <row r="369" customFormat="false" ht="15" hidden="false" customHeight="false" outlineLevel="0" collapsed="false">
      <c r="A369" s="17" t="s">
        <v>16</v>
      </c>
      <c r="B369" s="17" t="s">
        <v>58</v>
      </c>
      <c r="C369" s="17" t="s">
        <v>60</v>
      </c>
      <c r="D369" s="17" t="s">
        <v>66</v>
      </c>
      <c r="E369" s="17" t="s">
        <v>1768</v>
      </c>
      <c r="F369" s="17" t="s">
        <v>115</v>
      </c>
      <c r="G369" s="17" t="s">
        <v>315</v>
      </c>
      <c r="H369" s="17" t="s">
        <v>1482</v>
      </c>
      <c r="I369" s="20" t="n">
        <v>2616</v>
      </c>
      <c r="J369" s="20" t="n">
        <v>3</v>
      </c>
      <c r="K369" s="25" t="n">
        <f aca="false">IFERROR(J369/I369,0)</f>
        <v>0.00114678899082569</v>
      </c>
      <c r="L369" s="19" t="n">
        <v>6.6</v>
      </c>
      <c r="M369" s="20" t="n">
        <v>0</v>
      </c>
      <c r="N369" s="8" t="n">
        <f aca="false">IFERROR(M369/J369,0)</f>
        <v>0</v>
      </c>
    </row>
    <row r="370" customFormat="false" ht="15" hidden="false" customHeight="false" outlineLevel="0" collapsed="false">
      <c r="A370" s="17" t="s">
        <v>16</v>
      </c>
      <c r="B370" s="17" t="s">
        <v>58</v>
      </c>
      <c r="C370" s="17" t="s">
        <v>60</v>
      </c>
      <c r="D370" s="17" t="s">
        <v>66</v>
      </c>
      <c r="E370" s="17" t="s">
        <v>524</v>
      </c>
      <c r="F370" s="17" t="s">
        <v>525</v>
      </c>
      <c r="G370" s="17" t="s">
        <v>315</v>
      </c>
      <c r="H370" s="17" t="s">
        <v>1242</v>
      </c>
      <c r="I370" s="20" t="n">
        <v>2563</v>
      </c>
      <c r="J370" s="20" t="n">
        <v>12</v>
      </c>
      <c r="K370" s="25" t="n">
        <f aca="false">IFERROR(J370/I370,0)</f>
        <v>0.00468201326570425</v>
      </c>
      <c r="L370" s="19" t="n">
        <v>58.88</v>
      </c>
      <c r="M370" s="20" t="n">
        <v>3</v>
      </c>
      <c r="N370" s="8" t="n">
        <f aca="false">IFERROR(M370/J370,0)</f>
        <v>0.25</v>
      </c>
    </row>
    <row r="371" customFormat="false" ht="15" hidden="false" customHeight="false" outlineLevel="0" collapsed="false">
      <c r="A371" s="17" t="s">
        <v>16</v>
      </c>
      <c r="B371" s="17" t="s">
        <v>58</v>
      </c>
      <c r="C371" s="17" t="s">
        <v>60</v>
      </c>
      <c r="D371" s="17" t="s">
        <v>66</v>
      </c>
      <c r="E371" s="17" t="s">
        <v>1769</v>
      </c>
      <c r="F371" s="17" t="s">
        <v>115</v>
      </c>
      <c r="G371" s="17" t="s">
        <v>351</v>
      </c>
      <c r="H371" s="17" t="s">
        <v>1770</v>
      </c>
      <c r="I371" s="20" t="n">
        <v>2537</v>
      </c>
      <c r="J371" s="20" t="n">
        <v>4</v>
      </c>
      <c r="K371" s="25" t="n">
        <f aca="false">IFERROR(J371/I371,0)</f>
        <v>0.00157666535277887</v>
      </c>
      <c r="L371" s="19" t="n">
        <v>3.6</v>
      </c>
      <c r="M371" s="20" t="n">
        <v>1</v>
      </c>
      <c r="N371" s="8" t="n">
        <f aca="false">IFERROR(M371/J371,0)</f>
        <v>0.25</v>
      </c>
    </row>
    <row r="372" customFormat="false" ht="15" hidden="false" customHeight="false" outlineLevel="0" collapsed="false">
      <c r="A372" s="17" t="s">
        <v>16</v>
      </c>
      <c r="B372" s="17" t="s">
        <v>58</v>
      </c>
      <c r="C372" s="17" t="s">
        <v>60</v>
      </c>
      <c r="D372" s="17" t="s">
        <v>66</v>
      </c>
      <c r="E372" s="17" t="s">
        <v>1771</v>
      </c>
      <c r="F372" s="17" t="s">
        <v>115</v>
      </c>
      <c r="G372" s="17" t="s">
        <v>315</v>
      </c>
      <c r="H372" s="17" t="s">
        <v>1395</v>
      </c>
      <c r="I372" s="20" t="n">
        <v>2174</v>
      </c>
      <c r="J372" s="20" t="n">
        <v>22</v>
      </c>
      <c r="K372" s="25" t="n">
        <f aca="false">IFERROR(J372/I372,0)</f>
        <v>0.0101195952161914</v>
      </c>
      <c r="L372" s="19" t="n">
        <v>133.62</v>
      </c>
      <c r="M372" s="20" t="n">
        <v>3</v>
      </c>
      <c r="N372" s="8" t="n">
        <f aca="false">IFERROR(M372/J372,0)</f>
        <v>0.136363636363636</v>
      </c>
    </row>
    <row r="373" customFormat="false" ht="15" hidden="false" customHeight="false" outlineLevel="0" collapsed="false">
      <c r="A373" s="17" t="s">
        <v>16</v>
      </c>
      <c r="B373" s="17" t="s">
        <v>58</v>
      </c>
      <c r="C373" s="17" t="s">
        <v>60</v>
      </c>
      <c r="D373" s="17" t="s">
        <v>66</v>
      </c>
      <c r="E373" s="17" t="s">
        <v>1772</v>
      </c>
      <c r="F373" s="17" t="s">
        <v>115</v>
      </c>
      <c r="G373" s="17" t="s">
        <v>311</v>
      </c>
      <c r="H373" s="17" t="s">
        <v>1770</v>
      </c>
      <c r="I373" s="20" t="n">
        <v>1944</v>
      </c>
      <c r="J373" s="20" t="n">
        <v>6</v>
      </c>
      <c r="K373" s="25" t="n">
        <f aca="false">IFERROR(J373/I373,0)</f>
        <v>0.00308641975308642</v>
      </c>
      <c r="L373" s="19" t="n">
        <v>1.62</v>
      </c>
      <c r="M373" s="20" t="n">
        <v>1</v>
      </c>
      <c r="N373" s="8" t="n">
        <f aca="false">IFERROR(M373/J373,0)</f>
        <v>0.166666666666667</v>
      </c>
    </row>
    <row r="374" customFormat="false" ht="15" hidden="false" customHeight="false" outlineLevel="0" collapsed="false">
      <c r="A374" s="17" t="s">
        <v>16</v>
      </c>
      <c r="B374" s="17" t="s">
        <v>58</v>
      </c>
      <c r="C374" s="17" t="s">
        <v>60</v>
      </c>
      <c r="D374" s="17" t="s">
        <v>66</v>
      </c>
      <c r="E374" s="17" t="s">
        <v>448</v>
      </c>
      <c r="F374" s="17" t="s">
        <v>115</v>
      </c>
      <c r="G374" s="17" t="s">
        <v>315</v>
      </c>
      <c r="H374" s="17" t="s">
        <v>1773</v>
      </c>
      <c r="I374" s="20" t="n">
        <v>1869</v>
      </c>
      <c r="J374" s="20" t="n">
        <v>34</v>
      </c>
      <c r="K374" s="25" t="n">
        <f aca="false">IFERROR(J374/I374,0)</f>
        <v>0.0181915462814339</v>
      </c>
      <c r="L374" s="19" t="n">
        <v>212.65</v>
      </c>
      <c r="M374" s="20" t="n">
        <v>6</v>
      </c>
      <c r="N374" s="8" t="n">
        <f aca="false">IFERROR(M374/J374,0)</f>
        <v>0.176470588235294</v>
      </c>
    </row>
    <row r="375" customFormat="false" ht="15" hidden="false" customHeight="false" outlineLevel="0" collapsed="false">
      <c r="A375" s="17" t="s">
        <v>16</v>
      </c>
      <c r="B375" s="17" t="s">
        <v>58</v>
      </c>
      <c r="C375" s="17" t="s">
        <v>60</v>
      </c>
      <c r="D375" s="17" t="s">
        <v>66</v>
      </c>
      <c r="E375" s="17" t="s">
        <v>1774</v>
      </c>
      <c r="F375" s="17" t="s">
        <v>115</v>
      </c>
      <c r="G375" s="17" t="s">
        <v>315</v>
      </c>
      <c r="H375" s="17" t="s">
        <v>1265</v>
      </c>
      <c r="I375" s="20" t="n">
        <v>1727</v>
      </c>
      <c r="J375" s="20" t="n">
        <v>13</v>
      </c>
      <c r="K375" s="25" t="n">
        <f aca="false">IFERROR(J375/I375,0)</f>
        <v>0.00752750434279097</v>
      </c>
      <c r="L375" s="19" t="n">
        <v>89.18</v>
      </c>
      <c r="M375" s="20" t="n">
        <v>3</v>
      </c>
      <c r="N375" s="8" t="n">
        <f aca="false">IFERROR(M375/J375,0)</f>
        <v>0.230769230769231</v>
      </c>
    </row>
    <row r="376" customFormat="false" ht="15" hidden="false" customHeight="false" outlineLevel="0" collapsed="false">
      <c r="A376" s="17" t="s">
        <v>16</v>
      </c>
      <c r="B376" s="17" t="s">
        <v>58</v>
      </c>
      <c r="C376" s="17" t="s">
        <v>60</v>
      </c>
      <c r="D376" s="17" t="s">
        <v>66</v>
      </c>
      <c r="E376" s="17" t="s">
        <v>519</v>
      </c>
      <c r="F376" s="17" t="s">
        <v>115</v>
      </c>
      <c r="G376" s="17" t="s">
        <v>315</v>
      </c>
      <c r="H376" s="17" t="s">
        <v>1775</v>
      </c>
      <c r="I376" s="20" t="n">
        <v>1517</v>
      </c>
      <c r="J376" s="20" t="n">
        <v>4</v>
      </c>
      <c r="K376" s="25" t="n">
        <f aca="false">IFERROR(J376/I376,0)</f>
        <v>0.002636783124588</v>
      </c>
      <c r="L376" s="19" t="n">
        <v>22.28</v>
      </c>
      <c r="M376" s="20" t="n">
        <v>0</v>
      </c>
      <c r="N376" s="8" t="n">
        <f aca="false">IFERROR(M376/J376,0)</f>
        <v>0</v>
      </c>
    </row>
    <row r="377" customFormat="false" ht="15" hidden="false" customHeight="false" outlineLevel="0" collapsed="false">
      <c r="A377" s="17" t="s">
        <v>16</v>
      </c>
      <c r="B377" s="17" t="s">
        <v>58</v>
      </c>
      <c r="C377" s="17" t="s">
        <v>66</v>
      </c>
      <c r="D377" s="17" t="s">
        <v>60</v>
      </c>
      <c r="E377" s="17" t="s">
        <v>1776</v>
      </c>
      <c r="F377" s="17" t="s">
        <v>1777</v>
      </c>
      <c r="G377" s="17" t="s">
        <v>315</v>
      </c>
      <c r="H377" s="17" t="s">
        <v>1778</v>
      </c>
      <c r="I377" s="20" t="n">
        <v>1501</v>
      </c>
      <c r="J377" s="20" t="n">
        <v>6</v>
      </c>
      <c r="K377" s="25" t="n">
        <f aca="false">IFERROR(J377/I377,0)</f>
        <v>0.00399733510992672</v>
      </c>
      <c r="L377" s="19" t="n">
        <v>21.82</v>
      </c>
      <c r="M377" s="20" t="n">
        <v>0</v>
      </c>
      <c r="N377" s="8" t="n">
        <f aca="false">IFERROR(M377/J377,0)</f>
        <v>0</v>
      </c>
    </row>
    <row r="378" customFormat="false" ht="15" hidden="false" customHeight="false" outlineLevel="0" collapsed="false">
      <c r="A378" s="17" t="s">
        <v>16</v>
      </c>
      <c r="B378" s="17" t="s">
        <v>58</v>
      </c>
      <c r="C378" s="17" t="s">
        <v>60</v>
      </c>
      <c r="D378" s="17" t="s">
        <v>66</v>
      </c>
      <c r="E378" s="17" t="s">
        <v>466</v>
      </c>
      <c r="F378" s="17" t="s">
        <v>115</v>
      </c>
      <c r="G378" s="17" t="s">
        <v>315</v>
      </c>
      <c r="H378" s="17" t="s">
        <v>1779</v>
      </c>
      <c r="I378" s="20" t="n">
        <v>1227</v>
      </c>
      <c r="J378" s="20" t="n">
        <v>11</v>
      </c>
      <c r="K378" s="25" t="n">
        <f aca="false">IFERROR(J378/I378,0)</f>
        <v>0.00896495517522412</v>
      </c>
      <c r="L378" s="19" t="n">
        <v>71.61</v>
      </c>
      <c r="M378" s="20" t="n">
        <v>2</v>
      </c>
      <c r="N378" s="8" t="n">
        <f aca="false">IFERROR(M378/J378,0)</f>
        <v>0.181818181818182</v>
      </c>
    </row>
    <row r="379" customFormat="false" ht="15" hidden="false" customHeight="false" outlineLevel="0" collapsed="false">
      <c r="A379" s="17" t="s">
        <v>16</v>
      </c>
      <c r="B379" s="17" t="s">
        <v>58</v>
      </c>
      <c r="C379" s="17" t="s">
        <v>60</v>
      </c>
      <c r="D379" s="17" t="s">
        <v>66</v>
      </c>
      <c r="E379" s="17" t="s">
        <v>480</v>
      </c>
      <c r="F379" s="17" t="s">
        <v>115</v>
      </c>
      <c r="G379" s="17" t="s">
        <v>315</v>
      </c>
      <c r="H379" s="17" t="s">
        <v>1780</v>
      </c>
      <c r="I379" s="20" t="n">
        <v>1149</v>
      </c>
      <c r="J379" s="20" t="n">
        <v>16</v>
      </c>
      <c r="K379" s="25" t="n">
        <f aca="false">IFERROR(J379/I379,0)</f>
        <v>0.0139251523063534</v>
      </c>
      <c r="L379" s="19" t="n">
        <v>104.34</v>
      </c>
      <c r="M379" s="20" t="n">
        <v>2</v>
      </c>
      <c r="N379" s="8" t="n">
        <f aca="false">IFERROR(M379/J379,0)</f>
        <v>0.125</v>
      </c>
    </row>
    <row r="380" customFormat="false" ht="15" hidden="false" customHeight="false" outlineLevel="0" collapsed="false">
      <c r="A380" s="17" t="s">
        <v>16</v>
      </c>
      <c r="B380" s="17" t="s">
        <v>58</v>
      </c>
      <c r="C380" s="17" t="s">
        <v>60</v>
      </c>
      <c r="D380" s="17" t="s">
        <v>66</v>
      </c>
      <c r="E380" s="17" t="s">
        <v>1781</v>
      </c>
      <c r="F380" s="17" t="s">
        <v>115</v>
      </c>
      <c r="G380" s="17" t="s">
        <v>315</v>
      </c>
      <c r="H380" s="17" t="s">
        <v>1782</v>
      </c>
      <c r="I380" s="20" t="n">
        <v>1053</v>
      </c>
      <c r="J380" s="20" t="n">
        <v>21</v>
      </c>
      <c r="K380" s="25" t="n">
        <f aca="false">IFERROR(J380/I380,0)</f>
        <v>0.0199430199430199</v>
      </c>
      <c r="L380" s="19" t="n">
        <v>120.05</v>
      </c>
      <c r="M380" s="20" t="n">
        <v>3</v>
      </c>
      <c r="N380" s="8" t="n">
        <f aca="false">IFERROR(M380/J380,0)</f>
        <v>0.142857142857143</v>
      </c>
    </row>
    <row r="381" customFormat="false" ht="15" hidden="false" customHeight="false" outlineLevel="0" collapsed="false">
      <c r="A381" s="17" t="s">
        <v>16</v>
      </c>
      <c r="B381" s="17" t="s">
        <v>58</v>
      </c>
      <c r="C381" s="17" t="s">
        <v>60</v>
      </c>
      <c r="D381" s="17" t="s">
        <v>66</v>
      </c>
      <c r="E381" s="17" t="s">
        <v>446</v>
      </c>
      <c r="F381" s="17" t="s">
        <v>115</v>
      </c>
      <c r="G381" s="17" t="s">
        <v>315</v>
      </c>
      <c r="H381" s="17" t="s">
        <v>1234</v>
      </c>
      <c r="I381" s="20" t="n">
        <v>1036</v>
      </c>
      <c r="J381" s="20" t="n">
        <v>12</v>
      </c>
      <c r="K381" s="25" t="n">
        <f aca="false">IFERROR(J381/I381,0)</f>
        <v>0.0115830115830116</v>
      </c>
      <c r="L381" s="19" t="n">
        <v>87.59</v>
      </c>
      <c r="M381" s="20" t="n">
        <v>3</v>
      </c>
      <c r="N381" s="8" t="n">
        <f aca="false">IFERROR(M381/J381,0)</f>
        <v>0.25</v>
      </c>
    </row>
    <row r="382" customFormat="false" ht="15" hidden="false" customHeight="false" outlineLevel="0" collapsed="false">
      <c r="A382" s="17" t="s">
        <v>16</v>
      </c>
      <c r="B382" s="17" t="s">
        <v>58</v>
      </c>
      <c r="C382" s="17" t="s">
        <v>60</v>
      </c>
      <c r="D382" s="17" t="s">
        <v>66</v>
      </c>
      <c r="E382" s="17" t="s">
        <v>470</v>
      </c>
      <c r="F382" s="17" t="s">
        <v>115</v>
      </c>
      <c r="G382" s="17" t="s">
        <v>315</v>
      </c>
      <c r="H382" s="17" t="s">
        <v>1783</v>
      </c>
      <c r="I382" s="20" t="n">
        <v>852</v>
      </c>
      <c r="J382" s="20" t="n">
        <v>6</v>
      </c>
      <c r="K382" s="25" t="n">
        <f aca="false">IFERROR(J382/I382,0)</f>
        <v>0.00704225352112676</v>
      </c>
      <c r="L382" s="19" t="n">
        <v>33.01</v>
      </c>
      <c r="M382" s="20" t="n">
        <v>1</v>
      </c>
      <c r="N382" s="8" t="n">
        <f aca="false">IFERROR(M382/J382,0)</f>
        <v>0.166666666666667</v>
      </c>
    </row>
    <row r="383" customFormat="false" ht="15" hidden="false" customHeight="false" outlineLevel="0" collapsed="false">
      <c r="A383" s="17" t="s">
        <v>16</v>
      </c>
      <c r="B383" s="17" t="s">
        <v>58</v>
      </c>
      <c r="C383" s="17" t="s">
        <v>66</v>
      </c>
      <c r="D383" s="17" t="s">
        <v>60</v>
      </c>
      <c r="E383" s="17" t="s">
        <v>521</v>
      </c>
      <c r="F383" s="17" t="s">
        <v>522</v>
      </c>
      <c r="G383" s="17" t="s">
        <v>315</v>
      </c>
      <c r="H383" s="17" t="s">
        <v>1784</v>
      </c>
      <c r="I383" s="20" t="n">
        <v>843</v>
      </c>
      <c r="J383" s="20" t="n">
        <v>14</v>
      </c>
      <c r="K383" s="25" t="n">
        <f aca="false">IFERROR(J383/I383,0)</f>
        <v>0.0166073546856465</v>
      </c>
      <c r="L383" s="19" t="n">
        <v>57.9</v>
      </c>
      <c r="M383" s="20" t="n">
        <v>4</v>
      </c>
      <c r="N383" s="8" t="n">
        <f aca="false">IFERROR(M383/J383,0)</f>
        <v>0.285714285714286</v>
      </c>
    </row>
    <row r="384" customFormat="false" ht="15" hidden="false" customHeight="false" outlineLevel="0" collapsed="false">
      <c r="A384" s="17" t="s">
        <v>16</v>
      </c>
      <c r="B384" s="17" t="s">
        <v>58</v>
      </c>
      <c r="C384" s="17" t="s">
        <v>60</v>
      </c>
      <c r="D384" s="17" t="s">
        <v>66</v>
      </c>
      <c r="E384" s="17" t="s">
        <v>1785</v>
      </c>
      <c r="F384" s="17" t="s">
        <v>115</v>
      </c>
      <c r="G384" s="17" t="s">
        <v>315</v>
      </c>
      <c r="H384" s="17" t="s">
        <v>1786</v>
      </c>
      <c r="I384" s="20" t="n">
        <v>833</v>
      </c>
      <c r="J384" s="20" t="n">
        <v>8</v>
      </c>
      <c r="K384" s="25" t="n">
        <f aca="false">IFERROR(J384/I384,0)</f>
        <v>0.00960384153661465</v>
      </c>
      <c r="L384" s="19" t="n">
        <v>53.34</v>
      </c>
      <c r="M384" s="20" t="n">
        <v>1</v>
      </c>
      <c r="N384" s="8" t="n">
        <f aca="false">IFERROR(M384/J384,0)</f>
        <v>0.125</v>
      </c>
    </row>
    <row r="385" customFormat="false" ht="15" hidden="false" customHeight="false" outlineLevel="0" collapsed="false">
      <c r="A385" s="17" t="s">
        <v>16</v>
      </c>
      <c r="B385" s="17" t="s">
        <v>58</v>
      </c>
      <c r="C385" s="17" t="s">
        <v>60</v>
      </c>
      <c r="D385" s="17" t="s">
        <v>66</v>
      </c>
      <c r="E385" s="17" t="s">
        <v>455</v>
      </c>
      <c r="F385" s="17" t="s">
        <v>115</v>
      </c>
      <c r="G385" s="17" t="s">
        <v>315</v>
      </c>
      <c r="H385" s="17" t="s">
        <v>1289</v>
      </c>
      <c r="I385" s="20" t="n">
        <v>770</v>
      </c>
      <c r="J385" s="20" t="n">
        <v>17</v>
      </c>
      <c r="K385" s="25" t="n">
        <f aca="false">IFERROR(J385/I385,0)</f>
        <v>0.0220779220779221</v>
      </c>
      <c r="L385" s="19" t="n">
        <v>123.24</v>
      </c>
      <c r="M385" s="20" t="n">
        <v>4</v>
      </c>
      <c r="N385" s="8" t="n">
        <f aca="false">IFERROR(M385/J385,0)</f>
        <v>0.235294117647059</v>
      </c>
    </row>
    <row r="386" customFormat="false" ht="15" hidden="false" customHeight="false" outlineLevel="0" collapsed="false">
      <c r="A386" s="17" t="s">
        <v>16</v>
      </c>
      <c r="B386" s="17" t="s">
        <v>58</v>
      </c>
      <c r="C386" s="17" t="s">
        <v>60</v>
      </c>
      <c r="D386" s="17" t="s">
        <v>66</v>
      </c>
      <c r="E386" s="17" t="s">
        <v>1787</v>
      </c>
      <c r="F386" s="17" t="s">
        <v>115</v>
      </c>
      <c r="G386" s="17" t="s">
        <v>315</v>
      </c>
      <c r="H386" s="17" t="s">
        <v>1418</v>
      </c>
      <c r="I386" s="20" t="n">
        <v>715</v>
      </c>
      <c r="J386" s="20" t="n">
        <v>0</v>
      </c>
      <c r="K386" s="25" t="n">
        <f aca="false">IFERROR(J386/I386,0)</f>
        <v>0</v>
      </c>
      <c r="L386" s="19" t="n">
        <v>0</v>
      </c>
      <c r="M386" s="20" t="n">
        <v>0</v>
      </c>
      <c r="N386" s="8" t="n">
        <f aca="false">IFERROR(M386/J386,0)</f>
        <v>0</v>
      </c>
    </row>
    <row r="387" customFormat="false" ht="15" hidden="false" customHeight="false" outlineLevel="0" collapsed="false">
      <c r="A387" s="17" t="s">
        <v>16</v>
      </c>
      <c r="B387" s="17" t="s">
        <v>58</v>
      </c>
      <c r="C387" s="17" t="s">
        <v>60</v>
      </c>
      <c r="D387" s="17" t="s">
        <v>66</v>
      </c>
      <c r="E387" s="17" t="s">
        <v>1788</v>
      </c>
      <c r="F387" s="17" t="s">
        <v>115</v>
      </c>
      <c r="G387" s="17" t="s">
        <v>315</v>
      </c>
      <c r="H387" s="17" t="s">
        <v>1789</v>
      </c>
      <c r="I387" s="20" t="n">
        <v>713</v>
      </c>
      <c r="J387" s="20" t="n">
        <v>11</v>
      </c>
      <c r="K387" s="25" t="n">
        <f aca="false">IFERROR(J387/I387,0)</f>
        <v>0.0154277699859748</v>
      </c>
      <c r="L387" s="19" t="n">
        <v>80.08</v>
      </c>
      <c r="M387" s="20" t="n">
        <v>1</v>
      </c>
      <c r="N387" s="8" t="n">
        <f aca="false">IFERROR(M387/J387,0)</f>
        <v>0.0909090909090909</v>
      </c>
    </row>
    <row r="388" customFormat="false" ht="15" hidden="false" customHeight="false" outlineLevel="0" collapsed="false">
      <c r="A388" s="17" t="s">
        <v>16</v>
      </c>
      <c r="B388" s="17" t="s">
        <v>58</v>
      </c>
      <c r="C388" s="17" t="s">
        <v>60</v>
      </c>
      <c r="D388" s="17" t="s">
        <v>66</v>
      </c>
      <c r="E388" s="17" t="s">
        <v>1790</v>
      </c>
      <c r="F388" s="17" t="s">
        <v>115</v>
      </c>
      <c r="G388" s="17" t="s">
        <v>315</v>
      </c>
      <c r="H388" s="17" t="s">
        <v>1260</v>
      </c>
      <c r="I388" s="20" t="n">
        <v>677</v>
      </c>
      <c r="J388" s="20" t="n">
        <v>51</v>
      </c>
      <c r="K388" s="25" t="n">
        <f aca="false">IFERROR(J388/I388,0)</f>
        <v>0.0753323485967504</v>
      </c>
      <c r="L388" s="19" t="n">
        <v>69.26</v>
      </c>
      <c r="M388" s="20" t="n">
        <v>18</v>
      </c>
      <c r="N388" s="8" t="n">
        <f aca="false">IFERROR(M388/J388,0)</f>
        <v>0.352941176470588</v>
      </c>
    </row>
    <row r="389" customFormat="false" ht="15" hidden="false" customHeight="false" outlineLevel="0" collapsed="false">
      <c r="A389" s="17" t="s">
        <v>16</v>
      </c>
      <c r="B389" s="17" t="s">
        <v>58</v>
      </c>
      <c r="C389" s="17" t="s">
        <v>66</v>
      </c>
      <c r="D389" s="17" t="s">
        <v>60</v>
      </c>
      <c r="E389" s="17" t="s">
        <v>1791</v>
      </c>
      <c r="F389" s="17" t="s">
        <v>119</v>
      </c>
      <c r="G389" s="17" t="s">
        <v>315</v>
      </c>
      <c r="H389" s="17" t="s">
        <v>1792</v>
      </c>
      <c r="I389" s="20" t="n">
        <v>671</v>
      </c>
      <c r="J389" s="20" t="n">
        <v>10</v>
      </c>
      <c r="K389" s="25" t="n">
        <f aca="false">IFERROR(J389/I389,0)</f>
        <v>0.014903129657228</v>
      </c>
      <c r="L389" s="19" t="n">
        <v>38.23</v>
      </c>
      <c r="M389" s="20" t="n">
        <v>0</v>
      </c>
      <c r="N389" s="8" t="n">
        <f aca="false">IFERROR(M389/J389,0)</f>
        <v>0</v>
      </c>
    </row>
    <row r="390" customFormat="false" ht="15" hidden="false" customHeight="false" outlineLevel="0" collapsed="false">
      <c r="A390" s="17" t="s">
        <v>16</v>
      </c>
      <c r="B390" s="17" t="s">
        <v>58</v>
      </c>
      <c r="C390" s="17" t="s">
        <v>60</v>
      </c>
      <c r="D390" s="17" t="s">
        <v>66</v>
      </c>
      <c r="E390" s="17" t="s">
        <v>497</v>
      </c>
      <c r="F390" s="17" t="s">
        <v>115</v>
      </c>
      <c r="G390" s="17" t="s">
        <v>315</v>
      </c>
      <c r="H390" s="17" t="s">
        <v>1359</v>
      </c>
      <c r="I390" s="20" t="n">
        <v>650</v>
      </c>
      <c r="J390" s="20" t="n">
        <v>2</v>
      </c>
      <c r="K390" s="25" t="n">
        <f aca="false">IFERROR(J390/I390,0)</f>
        <v>0.00307692307692308</v>
      </c>
      <c r="L390" s="19" t="n">
        <v>12.64</v>
      </c>
      <c r="M390" s="20" t="n">
        <v>0</v>
      </c>
      <c r="N390" s="8" t="n">
        <f aca="false">IFERROR(M390/J390,0)</f>
        <v>0</v>
      </c>
    </row>
    <row r="391" customFormat="false" ht="15" hidden="false" customHeight="false" outlineLevel="0" collapsed="false">
      <c r="A391" s="17" t="s">
        <v>16</v>
      </c>
      <c r="B391" s="17" t="s">
        <v>58</v>
      </c>
      <c r="C391" s="17" t="s">
        <v>60</v>
      </c>
      <c r="D391" s="17" t="s">
        <v>66</v>
      </c>
      <c r="E391" s="17" t="s">
        <v>1793</v>
      </c>
      <c r="F391" s="17" t="s">
        <v>115</v>
      </c>
      <c r="G391" s="17" t="s">
        <v>315</v>
      </c>
      <c r="H391" s="17" t="s">
        <v>1225</v>
      </c>
      <c r="I391" s="20" t="n">
        <v>623</v>
      </c>
      <c r="J391" s="20" t="n">
        <v>28</v>
      </c>
      <c r="K391" s="25" t="n">
        <f aca="false">IFERROR(J391/I391,0)</f>
        <v>0.0449438202247191</v>
      </c>
      <c r="L391" s="19" t="n">
        <v>176.1</v>
      </c>
      <c r="M391" s="20" t="n">
        <v>1</v>
      </c>
      <c r="N391" s="8" t="n">
        <f aca="false">IFERROR(M391/J391,0)</f>
        <v>0.0357142857142857</v>
      </c>
    </row>
    <row r="392" customFormat="false" ht="15" hidden="false" customHeight="false" outlineLevel="0" collapsed="false">
      <c r="A392" s="17" t="s">
        <v>16</v>
      </c>
      <c r="B392" s="17" t="s">
        <v>58</v>
      </c>
      <c r="C392" s="17" t="s">
        <v>60</v>
      </c>
      <c r="D392" s="17" t="s">
        <v>66</v>
      </c>
      <c r="E392" s="17" t="s">
        <v>490</v>
      </c>
      <c r="F392" s="17" t="s">
        <v>115</v>
      </c>
      <c r="G392" s="17" t="s">
        <v>315</v>
      </c>
      <c r="H392" s="17" t="s">
        <v>1794</v>
      </c>
      <c r="I392" s="20" t="n">
        <v>481</v>
      </c>
      <c r="J392" s="20" t="n">
        <v>4</v>
      </c>
      <c r="K392" s="25" t="n">
        <f aca="false">IFERROR(J392/I392,0)</f>
        <v>0.00831600831600832</v>
      </c>
      <c r="L392" s="19" t="n">
        <v>21.45</v>
      </c>
      <c r="M392" s="20" t="n">
        <v>0</v>
      </c>
      <c r="N392" s="8" t="n">
        <f aca="false">IFERROR(M392/J392,0)</f>
        <v>0</v>
      </c>
    </row>
    <row r="393" customFormat="false" ht="15" hidden="false" customHeight="false" outlineLevel="0" collapsed="false">
      <c r="A393" s="17" t="s">
        <v>16</v>
      </c>
      <c r="B393" s="17" t="s">
        <v>58</v>
      </c>
      <c r="C393" s="17" t="s">
        <v>60</v>
      </c>
      <c r="D393" s="17" t="s">
        <v>66</v>
      </c>
      <c r="E393" s="17" t="s">
        <v>1795</v>
      </c>
      <c r="F393" s="17" t="s">
        <v>115</v>
      </c>
      <c r="G393" s="17" t="s">
        <v>315</v>
      </c>
      <c r="H393" s="17" t="s">
        <v>1796</v>
      </c>
      <c r="I393" s="20" t="n">
        <v>465</v>
      </c>
      <c r="J393" s="20" t="n">
        <v>12</v>
      </c>
      <c r="K393" s="25" t="n">
        <f aca="false">IFERROR(J393/I393,0)</f>
        <v>0.0258064516129032</v>
      </c>
      <c r="L393" s="19" t="n">
        <v>79.6</v>
      </c>
      <c r="M393" s="20" t="n">
        <v>3</v>
      </c>
      <c r="N393" s="8" t="n">
        <f aca="false">IFERROR(M393/J393,0)</f>
        <v>0.25</v>
      </c>
    </row>
    <row r="394" customFormat="false" ht="15" hidden="false" customHeight="false" outlineLevel="0" collapsed="false">
      <c r="A394" s="17" t="s">
        <v>16</v>
      </c>
      <c r="B394" s="17" t="s">
        <v>58</v>
      </c>
      <c r="C394" s="17" t="s">
        <v>60</v>
      </c>
      <c r="D394" s="17" t="s">
        <v>66</v>
      </c>
      <c r="E394" s="17" t="s">
        <v>1797</v>
      </c>
      <c r="F394" s="17" t="s">
        <v>115</v>
      </c>
      <c r="G394" s="17" t="s">
        <v>315</v>
      </c>
      <c r="H394" s="17" t="s">
        <v>1798</v>
      </c>
      <c r="I394" s="20" t="n">
        <v>436</v>
      </c>
      <c r="J394" s="20" t="n">
        <v>11</v>
      </c>
      <c r="K394" s="25" t="n">
        <f aca="false">IFERROR(J394/I394,0)</f>
        <v>0.0252293577981651</v>
      </c>
      <c r="L394" s="19" t="n">
        <v>61.29</v>
      </c>
      <c r="M394" s="20" t="n">
        <v>1</v>
      </c>
      <c r="N394" s="8" t="n">
        <f aca="false">IFERROR(M394/J394,0)</f>
        <v>0.0909090909090909</v>
      </c>
    </row>
    <row r="395" customFormat="false" ht="15" hidden="false" customHeight="false" outlineLevel="0" collapsed="false">
      <c r="A395" s="17" t="s">
        <v>16</v>
      </c>
      <c r="B395" s="17" t="s">
        <v>58</v>
      </c>
      <c r="C395" s="17" t="s">
        <v>60</v>
      </c>
      <c r="D395" s="17" t="s">
        <v>66</v>
      </c>
      <c r="E395" s="17" t="s">
        <v>1799</v>
      </c>
      <c r="F395" s="17" t="s">
        <v>115</v>
      </c>
      <c r="G395" s="17" t="s">
        <v>315</v>
      </c>
      <c r="H395" s="17" t="s">
        <v>1800</v>
      </c>
      <c r="I395" s="20" t="n">
        <v>429</v>
      </c>
      <c r="J395" s="20" t="n">
        <v>13</v>
      </c>
      <c r="K395" s="25" t="n">
        <f aca="false">IFERROR(J395/I395,0)</f>
        <v>0.0303030303030303</v>
      </c>
      <c r="L395" s="19" t="n">
        <v>111.14</v>
      </c>
      <c r="M395" s="20" t="n">
        <v>1</v>
      </c>
      <c r="N395" s="8" t="n">
        <f aca="false">IFERROR(M395/J395,0)</f>
        <v>0.0769230769230769</v>
      </c>
    </row>
    <row r="396" customFormat="false" ht="15" hidden="false" customHeight="false" outlineLevel="0" collapsed="false">
      <c r="A396" s="17" t="s">
        <v>16</v>
      </c>
      <c r="B396" s="17" t="s">
        <v>58</v>
      </c>
      <c r="C396" s="17" t="s">
        <v>60</v>
      </c>
      <c r="D396" s="17" t="s">
        <v>66</v>
      </c>
      <c r="E396" s="17" t="s">
        <v>1801</v>
      </c>
      <c r="F396" s="17" t="s">
        <v>115</v>
      </c>
      <c r="G396" s="17" t="s">
        <v>315</v>
      </c>
      <c r="H396" s="17" t="s">
        <v>1802</v>
      </c>
      <c r="I396" s="20" t="n">
        <v>416</v>
      </c>
      <c r="J396" s="20" t="n">
        <v>3</v>
      </c>
      <c r="K396" s="25" t="n">
        <f aca="false">IFERROR(J396/I396,0)</f>
        <v>0.00721153846153846</v>
      </c>
      <c r="L396" s="19" t="n">
        <v>12.4</v>
      </c>
      <c r="M396" s="20" t="n">
        <v>1</v>
      </c>
      <c r="N396" s="8" t="n">
        <f aca="false">IFERROR(M396/J396,0)</f>
        <v>0.333333333333333</v>
      </c>
    </row>
    <row r="397" customFormat="false" ht="15" hidden="false" customHeight="false" outlineLevel="0" collapsed="false">
      <c r="A397" s="17" t="s">
        <v>16</v>
      </c>
      <c r="B397" s="17" t="s">
        <v>58</v>
      </c>
      <c r="C397" s="17" t="s">
        <v>60</v>
      </c>
      <c r="D397" s="17" t="s">
        <v>66</v>
      </c>
      <c r="E397" s="17" t="s">
        <v>536</v>
      </c>
      <c r="F397" s="17" t="s">
        <v>115</v>
      </c>
      <c r="G397" s="17" t="s">
        <v>315</v>
      </c>
      <c r="H397" s="17" t="s">
        <v>1298</v>
      </c>
      <c r="I397" s="20" t="n">
        <v>374</v>
      </c>
      <c r="J397" s="20" t="n">
        <v>1</v>
      </c>
      <c r="K397" s="25" t="n">
        <f aca="false">IFERROR(J397/I397,0)</f>
        <v>0.00267379679144385</v>
      </c>
      <c r="L397" s="19" t="n">
        <v>5.48</v>
      </c>
      <c r="M397" s="20" t="n">
        <v>0</v>
      </c>
      <c r="N397" s="8" t="n">
        <f aca="false">IFERROR(M397/J397,0)</f>
        <v>0</v>
      </c>
    </row>
    <row r="398" customFormat="false" ht="15" hidden="false" customHeight="false" outlineLevel="0" collapsed="false">
      <c r="A398" s="17" t="s">
        <v>16</v>
      </c>
      <c r="B398" s="17" t="s">
        <v>58</v>
      </c>
      <c r="C398" s="17" t="s">
        <v>60</v>
      </c>
      <c r="D398" s="17" t="s">
        <v>66</v>
      </c>
      <c r="E398" s="17" t="s">
        <v>453</v>
      </c>
      <c r="F398" s="17" t="s">
        <v>115</v>
      </c>
      <c r="G398" s="17" t="s">
        <v>315</v>
      </c>
      <c r="H398" s="17" t="s">
        <v>1283</v>
      </c>
      <c r="I398" s="20" t="n">
        <v>368</v>
      </c>
      <c r="J398" s="20" t="n">
        <v>13</v>
      </c>
      <c r="K398" s="25" t="n">
        <f aca="false">IFERROR(J398/I398,0)</f>
        <v>0.0353260869565217</v>
      </c>
      <c r="L398" s="19" t="n">
        <v>95.14</v>
      </c>
      <c r="M398" s="20" t="n">
        <v>3</v>
      </c>
      <c r="N398" s="8" t="n">
        <f aca="false">IFERROR(M398/J398,0)</f>
        <v>0.230769230769231</v>
      </c>
    </row>
    <row r="399" customFormat="false" ht="15" hidden="false" customHeight="false" outlineLevel="0" collapsed="false">
      <c r="A399" s="17" t="s">
        <v>16</v>
      </c>
      <c r="B399" s="17" t="s">
        <v>58</v>
      </c>
      <c r="C399" s="17" t="s">
        <v>60</v>
      </c>
      <c r="D399" s="17" t="s">
        <v>66</v>
      </c>
      <c r="E399" s="17" t="s">
        <v>1803</v>
      </c>
      <c r="F399" s="17" t="s">
        <v>115</v>
      </c>
      <c r="G399" s="17" t="s">
        <v>315</v>
      </c>
      <c r="H399" s="17" t="s">
        <v>1312</v>
      </c>
      <c r="I399" s="20" t="n">
        <v>365</v>
      </c>
      <c r="J399" s="20" t="n">
        <v>2</v>
      </c>
      <c r="K399" s="25" t="n">
        <f aca="false">IFERROR(J399/I399,0)</f>
        <v>0.00547945205479452</v>
      </c>
      <c r="L399" s="19" t="n">
        <v>4.65</v>
      </c>
      <c r="M399" s="20" t="n">
        <v>0</v>
      </c>
      <c r="N399" s="8" t="n">
        <f aca="false">IFERROR(M399/J399,0)</f>
        <v>0</v>
      </c>
    </row>
    <row r="400" customFormat="false" ht="15" hidden="false" customHeight="false" outlineLevel="0" collapsed="false">
      <c r="A400" s="17" t="s">
        <v>16</v>
      </c>
      <c r="B400" s="17" t="s">
        <v>58</v>
      </c>
      <c r="C400" s="17" t="s">
        <v>66</v>
      </c>
      <c r="D400" s="17" t="s">
        <v>60</v>
      </c>
      <c r="E400" s="17" t="s">
        <v>1804</v>
      </c>
      <c r="F400" s="17" t="s">
        <v>212</v>
      </c>
      <c r="G400" s="17" t="s">
        <v>315</v>
      </c>
      <c r="H400" s="17" t="s">
        <v>1274</v>
      </c>
      <c r="I400" s="20" t="n">
        <v>359</v>
      </c>
      <c r="J400" s="20" t="n">
        <v>3</v>
      </c>
      <c r="K400" s="25" t="n">
        <f aca="false">IFERROR(J400/I400,0)</f>
        <v>0.00835654596100279</v>
      </c>
      <c r="L400" s="19" t="n">
        <v>6.52</v>
      </c>
      <c r="M400" s="20" t="n">
        <v>1</v>
      </c>
      <c r="N400" s="8" t="n">
        <f aca="false">IFERROR(M400/J400,0)</f>
        <v>0.333333333333333</v>
      </c>
    </row>
    <row r="401" customFormat="false" ht="15" hidden="false" customHeight="false" outlineLevel="0" collapsed="false">
      <c r="A401" s="17" t="s">
        <v>16</v>
      </c>
      <c r="B401" s="17" t="s">
        <v>58</v>
      </c>
      <c r="C401" s="17" t="s">
        <v>60</v>
      </c>
      <c r="D401" s="17" t="s">
        <v>66</v>
      </c>
      <c r="E401" s="17" t="s">
        <v>1805</v>
      </c>
      <c r="F401" s="17" t="s">
        <v>115</v>
      </c>
      <c r="G401" s="17" t="s">
        <v>315</v>
      </c>
      <c r="H401" s="17" t="s">
        <v>1806</v>
      </c>
      <c r="I401" s="20" t="n">
        <v>310</v>
      </c>
      <c r="J401" s="20" t="n">
        <v>10</v>
      </c>
      <c r="K401" s="25" t="n">
        <f aca="false">IFERROR(J401/I401,0)</f>
        <v>0.032258064516129</v>
      </c>
      <c r="L401" s="19" t="n">
        <v>85.5</v>
      </c>
      <c r="M401" s="20" t="n">
        <v>5</v>
      </c>
      <c r="N401" s="8" t="n">
        <f aca="false">IFERROR(M401/J401,0)</f>
        <v>0.5</v>
      </c>
    </row>
    <row r="402" customFormat="false" ht="15" hidden="false" customHeight="false" outlineLevel="0" collapsed="false">
      <c r="A402" s="17" t="s">
        <v>16</v>
      </c>
      <c r="B402" s="17" t="s">
        <v>58</v>
      </c>
      <c r="C402" s="17" t="s">
        <v>60</v>
      </c>
      <c r="D402" s="17" t="s">
        <v>66</v>
      </c>
      <c r="E402" s="17" t="s">
        <v>1807</v>
      </c>
      <c r="F402" s="17" t="s">
        <v>115</v>
      </c>
      <c r="G402" s="17" t="s">
        <v>315</v>
      </c>
      <c r="H402" s="17" t="s">
        <v>1808</v>
      </c>
      <c r="I402" s="20" t="n">
        <v>280</v>
      </c>
      <c r="J402" s="20" t="n">
        <v>10</v>
      </c>
      <c r="K402" s="25" t="n">
        <f aca="false">IFERROR(J402/I402,0)</f>
        <v>0.0357142857142857</v>
      </c>
      <c r="L402" s="19" t="n">
        <v>68.59</v>
      </c>
      <c r="M402" s="20" t="n">
        <v>0</v>
      </c>
      <c r="N402" s="8" t="n">
        <f aca="false">IFERROR(M402/J402,0)</f>
        <v>0</v>
      </c>
    </row>
    <row r="403" customFormat="false" ht="15" hidden="false" customHeight="false" outlineLevel="0" collapsed="false">
      <c r="A403" s="17" t="s">
        <v>16</v>
      </c>
      <c r="B403" s="17" t="s">
        <v>58</v>
      </c>
      <c r="C403" s="17" t="s">
        <v>66</v>
      </c>
      <c r="D403" s="17" t="s">
        <v>60</v>
      </c>
      <c r="E403" s="17" t="s">
        <v>1809</v>
      </c>
      <c r="F403" s="17" t="s">
        <v>1810</v>
      </c>
      <c r="G403" s="17" t="s">
        <v>315</v>
      </c>
      <c r="H403" s="17" t="s">
        <v>1811</v>
      </c>
      <c r="I403" s="20" t="n">
        <v>276</v>
      </c>
      <c r="J403" s="20" t="n">
        <v>0</v>
      </c>
      <c r="K403" s="25" t="n">
        <f aca="false">IFERROR(J403/I403,0)</f>
        <v>0</v>
      </c>
      <c r="L403" s="19" t="n">
        <v>0</v>
      </c>
      <c r="M403" s="20" t="n">
        <v>0</v>
      </c>
      <c r="N403" s="8" t="n">
        <f aca="false">IFERROR(M403/J403,0)</f>
        <v>0</v>
      </c>
    </row>
    <row r="404" customFormat="false" ht="15" hidden="false" customHeight="false" outlineLevel="0" collapsed="false">
      <c r="A404" s="17" t="s">
        <v>16</v>
      </c>
      <c r="B404" s="17" t="s">
        <v>58</v>
      </c>
      <c r="C404" s="17" t="s">
        <v>60</v>
      </c>
      <c r="D404" s="17" t="s">
        <v>66</v>
      </c>
      <c r="E404" s="17" t="s">
        <v>1812</v>
      </c>
      <c r="F404" s="17" t="s">
        <v>115</v>
      </c>
      <c r="G404" s="17" t="s">
        <v>315</v>
      </c>
      <c r="H404" s="17" t="s">
        <v>1419</v>
      </c>
      <c r="I404" s="20" t="n">
        <v>269</v>
      </c>
      <c r="J404" s="20" t="n">
        <v>2</v>
      </c>
      <c r="K404" s="25" t="n">
        <f aca="false">IFERROR(J404/I404,0)</f>
        <v>0.00743494423791822</v>
      </c>
      <c r="L404" s="19" t="n">
        <v>13.71</v>
      </c>
      <c r="M404" s="20" t="n">
        <v>0</v>
      </c>
      <c r="N404" s="8" t="n">
        <f aca="false">IFERROR(M404/J404,0)</f>
        <v>0</v>
      </c>
    </row>
    <row r="405" customFormat="false" ht="15" hidden="false" customHeight="false" outlineLevel="0" collapsed="false">
      <c r="A405" s="17" t="s">
        <v>16</v>
      </c>
      <c r="B405" s="17" t="s">
        <v>58</v>
      </c>
      <c r="C405" s="17" t="s">
        <v>60</v>
      </c>
      <c r="D405" s="17" t="s">
        <v>66</v>
      </c>
      <c r="E405" s="17" t="s">
        <v>1813</v>
      </c>
      <c r="F405" s="17" t="s">
        <v>115</v>
      </c>
      <c r="G405" s="17" t="s">
        <v>315</v>
      </c>
      <c r="H405" s="17" t="s">
        <v>1256</v>
      </c>
      <c r="I405" s="20" t="n">
        <v>262</v>
      </c>
      <c r="J405" s="20" t="n">
        <v>0</v>
      </c>
      <c r="K405" s="25" t="n">
        <f aca="false">IFERROR(J405/I405,0)</f>
        <v>0</v>
      </c>
      <c r="L405" s="19" t="n">
        <v>0</v>
      </c>
      <c r="M405" s="20" t="n">
        <v>0</v>
      </c>
      <c r="N405" s="8" t="n">
        <f aca="false">IFERROR(M405/J405,0)</f>
        <v>0</v>
      </c>
    </row>
    <row r="406" customFormat="false" ht="15" hidden="false" customHeight="false" outlineLevel="0" collapsed="false">
      <c r="A406" s="17" t="s">
        <v>16</v>
      </c>
      <c r="B406" s="17" t="s">
        <v>58</v>
      </c>
      <c r="C406" s="17" t="s">
        <v>60</v>
      </c>
      <c r="D406" s="17" t="s">
        <v>66</v>
      </c>
      <c r="E406" s="17" t="s">
        <v>474</v>
      </c>
      <c r="F406" s="17" t="s">
        <v>115</v>
      </c>
      <c r="G406" s="17" t="s">
        <v>315</v>
      </c>
      <c r="H406" s="17" t="s">
        <v>1814</v>
      </c>
      <c r="I406" s="20" t="n">
        <v>249</v>
      </c>
      <c r="J406" s="20" t="n">
        <v>5</v>
      </c>
      <c r="K406" s="25" t="n">
        <f aca="false">IFERROR(J406/I406,0)</f>
        <v>0.0200803212851406</v>
      </c>
      <c r="L406" s="19" t="n">
        <v>36.61</v>
      </c>
      <c r="M406" s="20" t="n">
        <v>1</v>
      </c>
      <c r="N406" s="8" t="n">
        <f aca="false">IFERROR(M406/J406,0)</f>
        <v>0.2</v>
      </c>
    </row>
    <row r="407" customFormat="false" ht="15" hidden="false" customHeight="false" outlineLevel="0" collapsed="false">
      <c r="A407" s="17" t="s">
        <v>16</v>
      </c>
      <c r="B407" s="17" t="s">
        <v>58</v>
      </c>
      <c r="C407" s="17" t="s">
        <v>60</v>
      </c>
      <c r="D407" s="17" t="s">
        <v>66</v>
      </c>
      <c r="E407" s="17" t="s">
        <v>1815</v>
      </c>
      <c r="F407" s="17" t="s">
        <v>115</v>
      </c>
      <c r="G407" s="17" t="s">
        <v>315</v>
      </c>
      <c r="H407" s="17" t="s">
        <v>1337</v>
      </c>
      <c r="I407" s="20" t="n">
        <v>214</v>
      </c>
      <c r="J407" s="20" t="n">
        <v>0</v>
      </c>
      <c r="K407" s="25" t="n">
        <f aca="false">IFERROR(J407/I407,0)</f>
        <v>0</v>
      </c>
      <c r="L407" s="19" t="n">
        <v>0</v>
      </c>
      <c r="M407" s="20" t="n">
        <v>0</v>
      </c>
      <c r="N407" s="8" t="n">
        <f aca="false">IFERROR(M407/J407,0)</f>
        <v>0</v>
      </c>
    </row>
    <row r="408" customFormat="false" ht="15" hidden="false" customHeight="false" outlineLevel="0" collapsed="false">
      <c r="A408" s="17" t="s">
        <v>16</v>
      </c>
      <c r="B408" s="17" t="s">
        <v>58</v>
      </c>
      <c r="C408" s="17" t="s">
        <v>60</v>
      </c>
      <c r="D408" s="17" t="s">
        <v>66</v>
      </c>
      <c r="E408" s="17" t="s">
        <v>476</v>
      </c>
      <c r="F408" s="17" t="s">
        <v>115</v>
      </c>
      <c r="G408" s="17" t="s">
        <v>315</v>
      </c>
      <c r="H408" s="17" t="s">
        <v>1322</v>
      </c>
      <c r="I408" s="20" t="n">
        <v>199</v>
      </c>
      <c r="J408" s="20" t="n">
        <v>10</v>
      </c>
      <c r="K408" s="25" t="n">
        <f aca="false">IFERROR(J408/I408,0)</f>
        <v>0.050251256281407</v>
      </c>
      <c r="L408" s="19" t="n">
        <v>45.54</v>
      </c>
      <c r="M408" s="20" t="n">
        <v>3</v>
      </c>
      <c r="N408" s="8" t="n">
        <f aca="false">IFERROR(M408/J408,0)</f>
        <v>0.3</v>
      </c>
    </row>
    <row r="409" customFormat="false" ht="15" hidden="false" customHeight="false" outlineLevel="0" collapsed="false">
      <c r="A409" s="17" t="s">
        <v>16</v>
      </c>
      <c r="B409" s="17" t="s">
        <v>58</v>
      </c>
      <c r="C409" s="17" t="s">
        <v>60</v>
      </c>
      <c r="D409" s="17" t="s">
        <v>66</v>
      </c>
      <c r="E409" s="17" t="s">
        <v>538</v>
      </c>
      <c r="F409" s="17" t="s">
        <v>115</v>
      </c>
      <c r="G409" s="17" t="s">
        <v>315</v>
      </c>
      <c r="H409" s="17" t="s">
        <v>1247</v>
      </c>
      <c r="I409" s="20" t="n">
        <v>186</v>
      </c>
      <c r="J409" s="20" t="n">
        <v>1</v>
      </c>
      <c r="K409" s="25" t="n">
        <f aca="false">IFERROR(J409/I409,0)</f>
        <v>0.00537634408602151</v>
      </c>
      <c r="L409" s="19" t="n">
        <v>5.48</v>
      </c>
      <c r="M409" s="20" t="n">
        <v>0</v>
      </c>
      <c r="N409" s="8" t="n">
        <f aca="false">IFERROR(M409/J409,0)</f>
        <v>0</v>
      </c>
    </row>
    <row r="410" customFormat="false" ht="15" hidden="false" customHeight="false" outlineLevel="0" collapsed="false">
      <c r="A410" s="17" t="s">
        <v>16</v>
      </c>
      <c r="B410" s="17" t="s">
        <v>58</v>
      </c>
      <c r="C410" s="17" t="s">
        <v>60</v>
      </c>
      <c r="D410" s="17" t="s">
        <v>66</v>
      </c>
      <c r="E410" s="17" t="s">
        <v>499</v>
      </c>
      <c r="F410" s="17" t="s">
        <v>115</v>
      </c>
      <c r="G410" s="17" t="s">
        <v>315</v>
      </c>
      <c r="H410" s="17" t="s">
        <v>1816</v>
      </c>
      <c r="I410" s="20" t="n">
        <v>181</v>
      </c>
      <c r="J410" s="20" t="n">
        <v>2</v>
      </c>
      <c r="K410" s="25" t="n">
        <f aca="false">IFERROR(J410/I410,0)</f>
        <v>0.0110497237569061</v>
      </c>
      <c r="L410" s="19" t="n">
        <v>7.06</v>
      </c>
      <c r="M410" s="20" t="n">
        <v>1</v>
      </c>
      <c r="N410" s="8" t="n">
        <f aca="false">IFERROR(M410/J410,0)</f>
        <v>0.5</v>
      </c>
    </row>
    <row r="411" customFormat="false" ht="15" hidden="false" customHeight="false" outlineLevel="0" collapsed="false">
      <c r="A411" s="17" t="s">
        <v>16</v>
      </c>
      <c r="B411" s="17" t="s">
        <v>58</v>
      </c>
      <c r="C411" s="17" t="s">
        <v>60</v>
      </c>
      <c r="D411" s="17" t="s">
        <v>66</v>
      </c>
      <c r="E411" s="17" t="s">
        <v>1817</v>
      </c>
      <c r="F411" s="17" t="s">
        <v>115</v>
      </c>
      <c r="G411" s="17" t="s">
        <v>315</v>
      </c>
      <c r="H411" s="17" t="s">
        <v>1818</v>
      </c>
      <c r="I411" s="20" t="n">
        <v>157</v>
      </c>
      <c r="J411" s="20" t="n">
        <v>1</v>
      </c>
      <c r="K411" s="25" t="n">
        <f aca="false">IFERROR(J411/I411,0)</f>
        <v>0.00636942675159236</v>
      </c>
      <c r="L411" s="19" t="n">
        <v>5.45</v>
      </c>
      <c r="M411" s="20" t="n">
        <v>0</v>
      </c>
      <c r="N411" s="8" t="n">
        <f aca="false">IFERROR(M411/J411,0)</f>
        <v>0</v>
      </c>
    </row>
    <row r="412" customFormat="false" ht="15" hidden="false" customHeight="false" outlineLevel="0" collapsed="false">
      <c r="A412" s="17" t="s">
        <v>16</v>
      </c>
      <c r="B412" s="17" t="s">
        <v>58</v>
      </c>
      <c r="C412" s="17" t="s">
        <v>60</v>
      </c>
      <c r="D412" s="17" t="s">
        <v>66</v>
      </c>
      <c r="E412" s="17" t="s">
        <v>1819</v>
      </c>
      <c r="F412" s="17" t="s">
        <v>115</v>
      </c>
      <c r="G412" s="17" t="s">
        <v>315</v>
      </c>
      <c r="H412" s="17" t="s">
        <v>1820</v>
      </c>
      <c r="I412" s="20" t="n">
        <v>146</v>
      </c>
      <c r="J412" s="20" t="n">
        <v>1</v>
      </c>
      <c r="K412" s="25" t="n">
        <f aca="false">IFERROR(J412/I412,0)</f>
        <v>0.00684931506849315</v>
      </c>
      <c r="L412" s="19" t="n">
        <v>3.74</v>
      </c>
      <c r="M412" s="20" t="n">
        <v>0</v>
      </c>
      <c r="N412" s="8" t="n">
        <f aca="false">IFERROR(M412/J412,0)</f>
        <v>0</v>
      </c>
    </row>
    <row r="413" customFormat="false" ht="15" hidden="false" customHeight="false" outlineLevel="0" collapsed="false">
      <c r="A413" s="17" t="s">
        <v>16</v>
      </c>
      <c r="B413" s="17" t="s">
        <v>58</v>
      </c>
      <c r="C413" s="17" t="s">
        <v>60</v>
      </c>
      <c r="D413" s="17" t="s">
        <v>66</v>
      </c>
      <c r="E413" s="17" t="s">
        <v>1821</v>
      </c>
      <c r="F413" s="17" t="s">
        <v>115</v>
      </c>
      <c r="G413" s="17" t="s">
        <v>315</v>
      </c>
      <c r="H413" s="17" t="s">
        <v>1822</v>
      </c>
      <c r="I413" s="20" t="n">
        <v>145</v>
      </c>
      <c r="J413" s="20" t="n">
        <v>0</v>
      </c>
      <c r="K413" s="25" t="n">
        <f aca="false">IFERROR(J413/I413,0)</f>
        <v>0</v>
      </c>
      <c r="L413" s="19" t="n">
        <v>0</v>
      </c>
      <c r="M413" s="20" t="n">
        <v>0</v>
      </c>
      <c r="N413" s="8" t="n">
        <f aca="false">IFERROR(M413/J413,0)</f>
        <v>0</v>
      </c>
    </row>
    <row r="414" customFormat="false" ht="15" hidden="false" customHeight="false" outlineLevel="0" collapsed="false">
      <c r="A414" s="17" t="s">
        <v>16</v>
      </c>
      <c r="B414" s="17" t="s">
        <v>58</v>
      </c>
      <c r="C414" s="17" t="s">
        <v>60</v>
      </c>
      <c r="D414" s="17" t="s">
        <v>60</v>
      </c>
      <c r="E414" s="17" t="s">
        <v>468</v>
      </c>
      <c r="F414" s="17" t="s">
        <v>115</v>
      </c>
      <c r="G414" s="17" t="s">
        <v>315</v>
      </c>
      <c r="H414" s="17" t="s">
        <v>1428</v>
      </c>
      <c r="I414" s="20" t="n">
        <v>131</v>
      </c>
      <c r="J414" s="20" t="n">
        <v>5</v>
      </c>
      <c r="K414" s="25" t="n">
        <f aca="false">IFERROR(J414/I414,0)</f>
        <v>0.0381679389312977</v>
      </c>
      <c r="L414" s="19" t="n">
        <v>36.54</v>
      </c>
      <c r="M414" s="20" t="n">
        <v>1</v>
      </c>
      <c r="N414" s="8" t="n">
        <f aca="false">IFERROR(M414/J414,0)</f>
        <v>0.2</v>
      </c>
    </row>
    <row r="415" customFormat="false" ht="15" hidden="false" customHeight="false" outlineLevel="0" collapsed="false">
      <c r="A415" s="17" t="s">
        <v>16</v>
      </c>
      <c r="B415" s="17" t="s">
        <v>58</v>
      </c>
      <c r="C415" s="17" t="s">
        <v>66</v>
      </c>
      <c r="D415" s="17" t="s">
        <v>60</v>
      </c>
      <c r="E415" s="17" t="s">
        <v>1823</v>
      </c>
      <c r="F415" s="17" t="s">
        <v>122</v>
      </c>
      <c r="G415" s="17" t="s">
        <v>315</v>
      </c>
      <c r="H415" s="17" t="s">
        <v>1824</v>
      </c>
      <c r="I415" s="20" t="n">
        <v>124</v>
      </c>
      <c r="J415" s="20" t="n">
        <v>2</v>
      </c>
      <c r="K415" s="25" t="n">
        <f aca="false">IFERROR(J415/I415,0)</f>
        <v>0.0161290322580645</v>
      </c>
      <c r="L415" s="19" t="n">
        <v>1.14</v>
      </c>
      <c r="M415" s="20" t="n">
        <v>0</v>
      </c>
      <c r="N415" s="8" t="n">
        <f aca="false">IFERROR(M415/J415,0)</f>
        <v>0</v>
      </c>
    </row>
    <row r="416" customFormat="false" ht="15" hidden="false" customHeight="false" outlineLevel="0" collapsed="false">
      <c r="A416" s="17" t="s">
        <v>16</v>
      </c>
      <c r="B416" s="17" t="s">
        <v>58</v>
      </c>
      <c r="C416" s="17" t="s">
        <v>60</v>
      </c>
      <c r="D416" s="17" t="s">
        <v>66</v>
      </c>
      <c r="E416" s="17" t="s">
        <v>532</v>
      </c>
      <c r="F416" s="17" t="s">
        <v>115</v>
      </c>
      <c r="G416" s="17" t="s">
        <v>315</v>
      </c>
      <c r="H416" s="17" t="s">
        <v>1825</v>
      </c>
      <c r="I416" s="20" t="n">
        <v>121</v>
      </c>
      <c r="J416" s="20" t="n">
        <v>1</v>
      </c>
      <c r="K416" s="25" t="n">
        <f aca="false">IFERROR(J416/I416,0)</f>
        <v>0.00826446280991736</v>
      </c>
      <c r="L416" s="19" t="n">
        <v>5.69</v>
      </c>
      <c r="M416" s="20" t="n">
        <v>0</v>
      </c>
      <c r="N416" s="8" t="n">
        <f aca="false">IFERROR(M416/J416,0)</f>
        <v>0</v>
      </c>
    </row>
    <row r="417" customFormat="false" ht="15" hidden="false" customHeight="false" outlineLevel="0" collapsed="false">
      <c r="A417" s="17" t="s">
        <v>16</v>
      </c>
      <c r="B417" s="17" t="s">
        <v>58</v>
      </c>
      <c r="C417" s="17" t="s">
        <v>60</v>
      </c>
      <c r="D417" s="17" t="s">
        <v>66</v>
      </c>
      <c r="E417" s="17" t="s">
        <v>1826</v>
      </c>
      <c r="F417" s="17" t="s">
        <v>115</v>
      </c>
      <c r="G417" s="17" t="s">
        <v>315</v>
      </c>
      <c r="H417" s="17" t="s">
        <v>1827</v>
      </c>
      <c r="I417" s="20" t="n">
        <v>114</v>
      </c>
      <c r="J417" s="20" t="n">
        <v>4</v>
      </c>
      <c r="K417" s="25" t="n">
        <f aca="false">IFERROR(J417/I417,0)</f>
        <v>0.0350877192982456</v>
      </c>
      <c r="L417" s="19" t="n">
        <v>21.45</v>
      </c>
      <c r="M417" s="20" t="n">
        <v>0</v>
      </c>
      <c r="N417" s="8" t="n">
        <f aca="false">IFERROR(M417/J417,0)</f>
        <v>0</v>
      </c>
    </row>
    <row r="418" customFormat="false" ht="15" hidden="false" customHeight="false" outlineLevel="0" collapsed="false">
      <c r="A418" s="17" t="s">
        <v>16</v>
      </c>
      <c r="B418" s="17" t="s">
        <v>58</v>
      </c>
      <c r="C418" s="17" t="s">
        <v>60</v>
      </c>
      <c r="D418" s="17" t="s">
        <v>66</v>
      </c>
      <c r="E418" s="17" t="s">
        <v>1828</v>
      </c>
      <c r="F418" s="17" t="s">
        <v>115</v>
      </c>
      <c r="G418" s="17" t="s">
        <v>315</v>
      </c>
      <c r="H418" s="17" t="s">
        <v>1432</v>
      </c>
      <c r="I418" s="20" t="n">
        <v>107</v>
      </c>
      <c r="J418" s="20" t="n">
        <v>0</v>
      </c>
      <c r="K418" s="25" t="n">
        <f aca="false">IFERROR(J418/I418,0)</f>
        <v>0</v>
      </c>
      <c r="L418" s="19" t="n">
        <v>0</v>
      </c>
      <c r="M418" s="20" t="n">
        <v>0</v>
      </c>
      <c r="N418" s="8" t="n">
        <f aca="false">IFERROR(M418/J418,0)</f>
        <v>0</v>
      </c>
    </row>
    <row r="419" customFormat="false" ht="15" hidden="false" customHeight="false" outlineLevel="0" collapsed="false">
      <c r="A419" s="17" t="s">
        <v>16</v>
      </c>
      <c r="B419" s="17" t="s">
        <v>58</v>
      </c>
      <c r="C419" s="17" t="s">
        <v>60</v>
      </c>
      <c r="D419" s="17" t="s">
        <v>66</v>
      </c>
      <c r="E419" s="17" t="s">
        <v>1829</v>
      </c>
      <c r="F419" s="17" t="s">
        <v>115</v>
      </c>
      <c r="G419" s="17" t="s">
        <v>315</v>
      </c>
      <c r="H419" s="17" t="s">
        <v>1365</v>
      </c>
      <c r="I419" s="20" t="n">
        <v>100</v>
      </c>
      <c r="J419" s="20" t="n">
        <v>2</v>
      </c>
      <c r="K419" s="25" t="n">
        <f aca="false">IFERROR(J419/I419,0)</f>
        <v>0.02</v>
      </c>
      <c r="L419" s="19" t="n">
        <v>12.24</v>
      </c>
      <c r="M419" s="20" t="n">
        <v>2</v>
      </c>
      <c r="N419" s="8" t="n">
        <f aca="false">IFERROR(M419/J419,0)</f>
        <v>1</v>
      </c>
    </row>
    <row r="420" customFormat="false" ht="15" hidden="false" customHeight="false" outlineLevel="0" collapsed="false">
      <c r="A420" s="17" t="s">
        <v>16</v>
      </c>
      <c r="B420" s="17" t="s">
        <v>58</v>
      </c>
      <c r="C420" s="17" t="s">
        <v>60</v>
      </c>
      <c r="D420" s="17" t="s">
        <v>66</v>
      </c>
      <c r="E420" s="17" t="s">
        <v>478</v>
      </c>
      <c r="F420" s="17" t="s">
        <v>115</v>
      </c>
      <c r="G420" s="17" t="s">
        <v>315</v>
      </c>
      <c r="H420" s="17" t="s">
        <v>1830</v>
      </c>
      <c r="I420" s="20" t="n">
        <v>95</v>
      </c>
      <c r="J420" s="20" t="n">
        <v>4</v>
      </c>
      <c r="K420" s="25" t="n">
        <f aca="false">IFERROR(J420/I420,0)</f>
        <v>0.0421052631578947</v>
      </c>
      <c r="L420" s="19" t="n">
        <v>19.19</v>
      </c>
      <c r="M420" s="20" t="n">
        <v>2</v>
      </c>
      <c r="N420" s="8" t="n">
        <f aca="false">IFERROR(M420/J420,0)</f>
        <v>0.5</v>
      </c>
    </row>
    <row r="421" customFormat="false" ht="15" hidden="false" customHeight="false" outlineLevel="0" collapsed="false">
      <c r="A421" s="17" t="s">
        <v>16</v>
      </c>
      <c r="B421" s="17" t="s">
        <v>58</v>
      </c>
      <c r="C421" s="17" t="s">
        <v>60</v>
      </c>
      <c r="D421" s="17" t="s">
        <v>66</v>
      </c>
      <c r="E421" s="17" t="s">
        <v>1831</v>
      </c>
      <c r="F421" s="17" t="s">
        <v>115</v>
      </c>
      <c r="G421" s="17" t="s">
        <v>315</v>
      </c>
      <c r="H421" s="17" t="s">
        <v>1758</v>
      </c>
      <c r="I421" s="20" t="n">
        <v>91</v>
      </c>
      <c r="J421" s="20" t="n">
        <v>0</v>
      </c>
      <c r="K421" s="25" t="n">
        <f aca="false">IFERROR(J421/I421,0)</f>
        <v>0</v>
      </c>
      <c r="L421" s="19" t="n">
        <v>0</v>
      </c>
      <c r="M421" s="20" t="n">
        <v>0</v>
      </c>
      <c r="N421" s="8" t="n">
        <f aca="false">IFERROR(M421/J421,0)</f>
        <v>0</v>
      </c>
    </row>
    <row r="422" customFormat="false" ht="15" hidden="false" customHeight="false" outlineLevel="0" collapsed="false">
      <c r="A422" s="17" t="s">
        <v>16</v>
      </c>
      <c r="B422" s="17" t="s">
        <v>58</v>
      </c>
      <c r="C422" s="17" t="s">
        <v>60</v>
      </c>
      <c r="D422" s="17" t="s">
        <v>66</v>
      </c>
      <c r="E422" s="17" t="s">
        <v>1832</v>
      </c>
      <c r="F422" s="17" t="s">
        <v>115</v>
      </c>
      <c r="G422" s="17" t="s">
        <v>315</v>
      </c>
      <c r="H422" s="17" t="s">
        <v>1484</v>
      </c>
      <c r="I422" s="20" t="n">
        <v>85</v>
      </c>
      <c r="J422" s="20" t="n">
        <v>3</v>
      </c>
      <c r="K422" s="25" t="n">
        <f aca="false">IFERROR(J422/I422,0)</f>
        <v>0.0352941176470588</v>
      </c>
      <c r="L422" s="19" t="n">
        <v>14.83</v>
      </c>
      <c r="M422" s="20" t="n">
        <v>0</v>
      </c>
      <c r="N422" s="8" t="n">
        <f aca="false">IFERROR(M422/J422,0)</f>
        <v>0</v>
      </c>
    </row>
    <row r="423" customFormat="false" ht="15" hidden="false" customHeight="false" outlineLevel="0" collapsed="false">
      <c r="A423" s="17" t="s">
        <v>16</v>
      </c>
      <c r="B423" s="17" t="s">
        <v>58</v>
      </c>
      <c r="C423" s="17" t="s">
        <v>60</v>
      </c>
      <c r="D423" s="17" t="s">
        <v>66</v>
      </c>
      <c r="E423" s="17" t="s">
        <v>1833</v>
      </c>
      <c r="F423" s="17" t="s">
        <v>115</v>
      </c>
      <c r="G423" s="17" t="s">
        <v>315</v>
      </c>
      <c r="H423" s="17" t="s">
        <v>1834</v>
      </c>
      <c r="I423" s="20" t="n">
        <v>81</v>
      </c>
      <c r="J423" s="20" t="n">
        <v>0</v>
      </c>
      <c r="K423" s="25" t="n">
        <f aca="false">IFERROR(J423/I423,0)</f>
        <v>0</v>
      </c>
      <c r="L423" s="19" t="n">
        <v>0</v>
      </c>
      <c r="M423" s="20" t="n">
        <v>0</v>
      </c>
      <c r="N423" s="8" t="n">
        <f aca="false">IFERROR(M423/J423,0)</f>
        <v>0</v>
      </c>
    </row>
    <row r="424" customFormat="false" ht="15" hidden="false" customHeight="false" outlineLevel="0" collapsed="false">
      <c r="A424" s="17" t="s">
        <v>16</v>
      </c>
      <c r="B424" s="17" t="s">
        <v>58</v>
      </c>
      <c r="C424" s="17" t="s">
        <v>60</v>
      </c>
      <c r="D424" s="17" t="s">
        <v>66</v>
      </c>
      <c r="E424" s="17" t="s">
        <v>1835</v>
      </c>
      <c r="F424" s="17" t="s">
        <v>115</v>
      </c>
      <c r="G424" s="17" t="s">
        <v>315</v>
      </c>
      <c r="H424" s="17" t="s">
        <v>1231</v>
      </c>
      <c r="I424" s="20" t="n">
        <v>80</v>
      </c>
      <c r="J424" s="20" t="n">
        <v>0</v>
      </c>
      <c r="K424" s="25" t="n">
        <f aca="false">IFERROR(J424/I424,0)</f>
        <v>0</v>
      </c>
      <c r="L424" s="19" t="n">
        <v>0</v>
      </c>
      <c r="M424" s="20" t="n">
        <v>0</v>
      </c>
      <c r="N424" s="8" t="n">
        <f aca="false">IFERROR(M424/J424,0)</f>
        <v>0</v>
      </c>
    </row>
    <row r="425" customFormat="false" ht="15" hidden="false" customHeight="false" outlineLevel="0" collapsed="false">
      <c r="A425" s="17" t="s">
        <v>16</v>
      </c>
      <c r="B425" s="17" t="s">
        <v>58</v>
      </c>
      <c r="C425" s="17" t="s">
        <v>60</v>
      </c>
      <c r="D425" s="17" t="s">
        <v>66</v>
      </c>
      <c r="E425" s="17" t="s">
        <v>1836</v>
      </c>
      <c r="F425" s="17" t="s">
        <v>115</v>
      </c>
      <c r="G425" s="17" t="s">
        <v>315</v>
      </c>
      <c r="H425" s="17" t="s">
        <v>1837</v>
      </c>
      <c r="I425" s="20" t="n">
        <v>72</v>
      </c>
      <c r="J425" s="20" t="n">
        <v>1</v>
      </c>
      <c r="K425" s="25" t="n">
        <f aca="false">IFERROR(J425/I425,0)</f>
        <v>0.0138888888888889</v>
      </c>
      <c r="L425" s="19" t="n">
        <v>6.45</v>
      </c>
      <c r="M425" s="20" t="n">
        <v>0</v>
      </c>
      <c r="N425" s="8" t="n">
        <f aca="false">IFERROR(M425/J425,0)</f>
        <v>0</v>
      </c>
    </row>
    <row r="426" customFormat="false" ht="15" hidden="false" customHeight="false" outlineLevel="0" collapsed="false">
      <c r="A426" s="17" t="s">
        <v>16</v>
      </c>
      <c r="B426" s="17" t="s">
        <v>58</v>
      </c>
      <c r="C426" s="17" t="s">
        <v>60</v>
      </c>
      <c r="D426" s="17" t="s">
        <v>66</v>
      </c>
      <c r="E426" s="17" t="s">
        <v>1838</v>
      </c>
      <c r="F426" s="17" t="s">
        <v>115</v>
      </c>
      <c r="G426" s="17" t="s">
        <v>315</v>
      </c>
      <c r="H426" s="17" t="s">
        <v>1839</v>
      </c>
      <c r="I426" s="20" t="n">
        <v>71</v>
      </c>
      <c r="J426" s="20" t="n">
        <v>0</v>
      </c>
      <c r="K426" s="25" t="n">
        <f aca="false">IFERROR(J426/I426,0)</f>
        <v>0</v>
      </c>
      <c r="L426" s="19" t="n">
        <v>0</v>
      </c>
      <c r="M426" s="20" t="n">
        <v>0</v>
      </c>
      <c r="N426" s="8" t="n">
        <f aca="false">IFERROR(M426/J426,0)</f>
        <v>0</v>
      </c>
    </row>
    <row r="427" customFormat="false" ht="15" hidden="false" customHeight="false" outlineLevel="0" collapsed="false">
      <c r="A427" s="17" t="s">
        <v>16</v>
      </c>
      <c r="B427" s="17" t="s">
        <v>58</v>
      </c>
      <c r="C427" s="17" t="s">
        <v>60</v>
      </c>
      <c r="D427" s="17" t="s">
        <v>66</v>
      </c>
      <c r="E427" s="17" t="s">
        <v>1840</v>
      </c>
      <c r="F427" s="17" t="s">
        <v>115</v>
      </c>
      <c r="G427" s="17" t="s">
        <v>315</v>
      </c>
      <c r="H427" s="17" t="s">
        <v>1841</v>
      </c>
      <c r="I427" s="20" t="n">
        <v>66</v>
      </c>
      <c r="J427" s="20" t="n">
        <v>0</v>
      </c>
      <c r="K427" s="25" t="n">
        <f aca="false">IFERROR(J427/I427,0)</f>
        <v>0</v>
      </c>
      <c r="L427" s="19" t="n">
        <v>0</v>
      </c>
      <c r="M427" s="20" t="n">
        <v>0</v>
      </c>
      <c r="N427" s="8" t="n">
        <f aca="false">IFERROR(M427/J427,0)</f>
        <v>0</v>
      </c>
    </row>
    <row r="428" customFormat="false" ht="15" hidden="false" customHeight="false" outlineLevel="0" collapsed="false">
      <c r="A428" s="17" t="s">
        <v>16</v>
      </c>
      <c r="B428" s="17" t="s">
        <v>58</v>
      </c>
      <c r="C428" s="17" t="s">
        <v>60</v>
      </c>
      <c r="D428" s="17" t="s">
        <v>66</v>
      </c>
      <c r="E428" s="17" t="s">
        <v>1842</v>
      </c>
      <c r="F428" s="17" t="s">
        <v>115</v>
      </c>
      <c r="G428" s="17" t="s">
        <v>315</v>
      </c>
      <c r="H428" s="17" t="s">
        <v>1291</v>
      </c>
      <c r="I428" s="20" t="n">
        <v>66</v>
      </c>
      <c r="J428" s="20" t="n">
        <v>0</v>
      </c>
      <c r="K428" s="25" t="n">
        <f aca="false">IFERROR(J428/I428,0)</f>
        <v>0</v>
      </c>
      <c r="L428" s="19" t="n">
        <v>0</v>
      </c>
      <c r="M428" s="20" t="n">
        <v>0</v>
      </c>
      <c r="N428" s="8" t="n">
        <f aca="false">IFERROR(M428/J428,0)</f>
        <v>0</v>
      </c>
    </row>
    <row r="429" customFormat="false" ht="15" hidden="false" customHeight="false" outlineLevel="0" collapsed="false">
      <c r="A429" s="17" t="s">
        <v>16</v>
      </c>
      <c r="B429" s="17" t="s">
        <v>58</v>
      </c>
      <c r="C429" s="17" t="s">
        <v>60</v>
      </c>
      <c r="D429" s="17" t="s">
        <v>66</v>
      </c>
      <c r="E429" s="17" t="s">
        <v>1843</v>
      </c>
      <c r="F429" s="17" t="s">
        <v>115</v>
      </c>
      <c r="G429" s="17" t="s">
        <v>315</v>
      </c>
      <c r="H429" s="17" t="s">
        <v>1446</v>
      </c>
      <c r="I429" s="20" t="n">
        <v>62</v>
      </c>
      <c r="J429" s="20" t="n">
        <v>2</v>
      </c>
      <c r="K429" s="25" t="n">
        <f aca="false">IFERROR(J429/I429,0)</f>
        <v>0.032258064516129</v>
      </c>
      <c r="L429" s="19" t="n">
        <v>7.48</v>
      </c>
      <c r="M429" s="20" t="n">
        <v>0</v>
      </c>
      <c r="N429" s="8" t="n">
        <f aca="false">IFERROR(M429/J429,0)</f>
        <v>0</v>
      </c>
    </row>
    <row r="430" customFormat="false" ht="15" hidden="false" customHeight="false" outlineLevel="0" collapsed="false">
      <c r="A430" s="17" t="s">
        <v>16</v>
      </c>
      <c r="B430" s="17" t="s">
        <v>58</v>
      </c>
      <c r="C430" s="17" t="s">
        <v>60</v>
      </c>
      <c r="D430" s="17" t="s">
        <v>66</v>
      </c>
      <c r="E430" s="17" t="s">
        <v>1844</v>
      </c>
      <c r="F430" s="17" t="s">
        <v>115</v>
      </c>
      <c r="G430" s="17" t="s">
        <v>315</v>
      </c>
      <c r="H430" s="17" t="s">
        <v>1456</v>
      </c>
      <c r="I430" s="20" t="n">
        <v>59</v>
      </c>
      <c r="J430" s="20" t="n">
        <v>0</v>
      </c>
      <c r="K430" s="25" t="n">
        <f aca="false">IFERROR(J430/I430,0)</f>
        <v>0</v>
      </c>
      <c r="L430" s="19" t="n">
        <v>0</v>
      </c>
      <c r="M430" s="20" t="n">
        <v>0</v>
      </c>
      <c r="N430" s="8" t="n">
        <f aca="false">IFERROR(M430/J430,0)</f>
        <v>0</v>
      </c>
    </row>
    <row r="431" customFormat="false" ht="15" hidden="false" customHeight="false" outlineLevel="0" collapsed="false">
      <c r="A431" s="17" t="s">
        <v>16</v>
      </c>
      <c r="B431" s="17" t="s">
        <v>58</v>
      </c>
      <c r="C431" s="17" t="s">
        <v>60</v>
      </c>
      <c r="D431" s="17" t="s">
        <v>66</v>
      </c>
      <c r="E431" s="17" t="s">
        <v>1845</v>
      </c>
      <c r="F431" s="17" t="s">
        <v>115</v>
      </c>
      <c r="G431" s="17" t="s">
        <v>315</v>
      </c>
      <c r="H431" s="17" t="s">
        <v>1846</v>
      </c>
      <c r="I431" s="20" t="n">
        <v>56</v>
      </c>
      <c r="J431" s="20" t="n">
        <v>0</v>
      </c>
      <c r="K431" s="25" t="n">
        <f aca="false">IFERROR(J431/I431,0)</f>
        <v>0</v>
      </c>
      <c r="L431" s="19" t="n">
        <v>0</v>
      </c>
      <c r="M431" s="20" t="n">
        <v>0</v>
      </c>
      <c r="N431" s="8" t="n">
        <f aca="false">IFERROR(M431/J431,0)</f>
        <v>0</v>
      </c>
    </row>
    <row r="432" customFormat="false" ht="15" hidden="false" customHeight="false" outlineLevel="0" collapsed="false">
      <c r="A432" s="17" t="s">
        <v>16</v>
      </c>
      <c r="B432" s="17" t="s">
        <v>58</v>
      </c>
      <c r="C432" s="17" t="s">
        <v>60</v>
      </c>
      <c r="D432" s="17" t="s">
        <v>66</v>
      </c>
      <c r="E432" s="17" t="s">
        <v>1847</v>
      </c>
      <c r="F432" s="17" t="s">
        <v>115</v>
      </c>
      <c r="G432" s="17" t="s">
        <v>315</v>
      </c>
      <c r="H432" s="17" t="s">
        <v>1504</v>
      </c>
      <c r="I432" s="20" t="n">
        <v>53</v>
      </c>
      <c r="J432" s="20" t="n">
        <v>0</v>
      </c>
      <c r="K432" s="25" t="n">
        <f aca="false">IFERROR(J432/I432,0)</f>
        <v>0</v>
      </c>
      <c r="L432" s="19" t="n">
        <v>0</v>
      </c>
      <c r="M432" s="20" t="n">
        <v>0</v>
      </c>
      <c r="N432" s="8" t="n">
        <f aca="false">IFERROR(M432/J432,0)</f>
        <v>0</v>
      </c>
    </row>
    <row r="433" customFormat="false" ht="15" hidden="false" customHeight="false" outlineLevel="0" collapsed="false">
      <c r="A433" s="17" t="s">
        <v>16</v>
      </c>
      <c r="B433" s="17" t="s">
        <v>58</v>
      </c>
      <c r="C433" s="17" t="s">
        <v>60</v>
      </c>
      <c r="D433" s="17" t="s">
        <v>66</v>
      </c>
      <c r="E433" s="17" t="s">
        <v>1848</v>
      </c>
      <c r="F433" s="17" t="s">
        <v>115</v>
      </c>
      <c r="G433" s="17" t="s">
        <v>315</v>
      </c>
      <c r="H433" s="17" t="s">
        <v>1849</v>
      </c>
      <c r="I433" s="20" t="n">
        <v>44</v>
      </c>
      <c r="J433" s="20" t="n">
        <v>2</v>
      </c>
      <c r="K433" s="25" t="n">
        <f aca="false">IFERROR(J433/I433,0)</f>
        <v>0.0454545454545455</v>
      </c>
      <c r="L433" s="19" t="n">
        <v>11.86</v>
      </c>
      <c r="M433" s="20" t="n">
        <v>0</v>
      </c>
      <c r="N433" s="8" t="n">
        <f aca="false">IFERROR(M433/J433,0)</f>
        <v>0</v>
      </c>
    </row>
    <row r="434" customFormat="false" ht="15" hidden="false" customHeight="false" outlineLevel="0" collapsed="false">
      <c r="A434" s="17" t="s">
        <v>16</v>
      </c>
      <c r="B434" s="17" t="s">
        <v>58</v>
      </c>
      <c r="C434" s="17" t="s">
        <v>60</v>
      </c>
      <c r="D434" s="17" t="s">
        <v>66</v>
      </c>
      <c r="E434" s="17" t="s">
        <v>534</v>
      </c>
      <c r="F434" s="17" t="s">
        <v>115</v>
      </c>
      <c r="G434" s="17" t="s">
        <v>315</v>
      </c>
      <c r="H434" s="17" t="s">
        <v>1850</v>
      </c>
      <c r="I434" s="20" t="n">
        <v>44</v>
      </c>
      <c r="J434" s="20" t="n">
        <v>1</v>
      </c>
      <c r="K434" s="25" t="n">
        <f aca="false">IFERROR(J434/I434,0)</f>
        <v>0.0227272727272727</v>
      </c>
      <c r="L434" s="19" t="n">
        <v>5.58</v>
      </c>
      <c r="M434" s="20" t="n">
        <v>0</v>
      </c>
      <c r="N434" s="8" t="n">
        <f aca="false">IFERROR(M434/J434,0)</f>
        <v>0</v>
      </c>
    </row>
    <row r="435" customFormat="false" ht="15" hidden="false" customHeight="false" outlineLevel="0" collapsed="false">
      <c r="A435" s="17" t="s">
        <v>16</v>
      </c>
      <c r="B435" s="17" t="s">
        <v>58</v>
      </c>
      <c r="C435" s="17" t="s">
        <v>60</v>
      </c>
      <c r="D435" s="17" t="s">
        <v>66</v>
      </c>
      <c r="E435" s="17" t="s">
        <v>1851</v>
      </c>
      <c r="F435" s="17" t="s">
        <v>115</v>
      </c>
      <c r="G435" s="17" t="s">
        <v>315</v>
      </c>
      <c r="H435" s="17" t="s">
        <v>1278</v>
      </c>
      <c r="I435" s="20" t="n">
        <v>44</v>
      </c>
      <c r="J435" s="20" t="n">
        <v>0</v>
      </c>
      <c r="K435" s="25" t="n">
        <f aca="false">IFERROR(J435/I435,0)</f>
        <v>0</v>
      </c>
      <c r="L435" s="19" t="n">
        <v>0</v>
      </c>
      <c r="M435" s="20" t="n">
        <v>0</v>
      </c>
      <c r="N435" s="8" t="n">
        <f aca="false">IFERROR(M435/J435,0)</f>
        <v>0</v>
      </c>
    </row>
    <row r="436" customFormat="false" ht="15" hidden="false" customHeight="false" outlineLevel="0" collapsed="false">
      <c r="A436" s="17" t="s">
        <v>16</v>
      </c>
      <c r="B436" s="17" t="s">
        <v>58</v>
      </c>
      <c r="C436" s="17" t="s">
        <v>60</v>
      </c>
      <c r="D436" s="17" t="s">
        <v>66</v>
      </c>
      <c r="E436" s="17" t="s">
        <v>1852</v>
      </c>
      <c r="F436" s="17" t="s">
        <v>115</v>
      </c>
      <c r="G436" s="17" t="s">
        <v>315</v>
      </c>
      <c r="H436" s="17" t="s">
        <v>1454</v>
      </c>
      <c r="I436" s="20" t="n">
        <v>40</v>
      </c>
      <c r="J436" s="20" t="n">
        <v>0</v>
      </c>
      <c r="K436" s="25" t="n">
        <f aca="false">IFERROR(J436/I436,0)</f>
        <v>0</v>
      </c>
      <c r="L436" s="19" t="n">
        <v>0</v>
      </c>
      <c r="M436" s="20" t="n">
        <v>0</v>
      </c>
      <c r="N436" s="8" t="n">
        <f aca="false">IFERROR(M436/J436,0)</f>
        <v>0</v>
      </c>
    </row>
    <row r="437" customFormat="false" ht="15" hidden="false" customHeight="false" outlineLevel="0" collapsed="false">
      <c r="A437" s="17" t="s">
        <v>16</v>
      </c>
      <c r="B437" s="17" t="s">
        <v>58</v>
      </c>
      <c r="C437" s="17" t="s">
        <v>60</v>
      </c>
      <c r="D437" s="17" t="s">
        <v>66</v>
      </c>
      <c r="E437" s="17" t="s">
        <v>1853</v>
      </c>
      <c r="F437" s="17" t="s">
        <v>1854</v>
      </c>
      <c r="G437" s="17" t="s">
        <v>315</v>
      </c>
      <c r="H437" s="17" t="s">
        <v>1422</v>
      </c>
      <c r="I437" s="20" t="n">
        <v>40</v>
      </c>
      <c r="J437" s="20" t="n">
        <v>0</v>
      </c>
      <c r="K437" s="25" t="n">
        <f aca="false">IFERROR(J437/I437,0)</f>
        <v>0</v>
      </c>
      <c r="L437" s="19" t="n">
        <v>0</v>
      </c>
      <c r="M437" s="20" t="n">
        <v>0</v>
      </c>
      <c r="N437" s="8" t="n">
        <f aca="false">IFERROR(M437/J437,0)</f>
        <v>0</v>
      </c>
    </row>
    <row r="438" customFormat="false" ht="15" hidden="false" customHeight="false" outlineLevel="0" collapsed="false">
      <c r="A438" s="17" t="s">
        <v>16</v>
      </c>
      <c r="B438" s="17" t="s">
        <v>58</v>
      </c>
      <c r="C438" s="17" t="s">
        <v>60</v>
      </c>
      <c r="D438" s="17" t="s">
        <v>66</v>
      </c>
      <c r="E438" s="17" t="s">
        <v>1855</v>
      </c>
      <c r="F438" s="17" t="s">
        <v>115</v>
      </c>
      <c r="G438" s="17" t="s">
        <v>315</v>
      </c>
      <c r="H438" s="17" t="s">
        <v>1476</v>
      </c>
      <c r="I438" s="20" t="n">
        <v>39</v>
      </c>
      <c r="J438" s="20" t="n">
        <v>0</v>
      </c>
      <c r="K438" s="25" t="n">
        <f aca="false">IFERROR(J438/I438,0)</f>
        <v>0</v>
      </c>
      <c r="L438" s="19" t="n">
        <v>0</v>
      </c>
      <c r="M438" s="20" t="n">
        <v>0</v>
      </c>
      <c r="N438" s="8" t="n">
        <f aca="false">IFERROR(M438/J438,0)</f>
        <v>0</v>
      </c>
    </row>
    <row r="439" customFormat="false" ht="15" hidden="false" customHeight="false" outlineLevel="0" collapsed="false">
      <c r="A439" s="17" t="s">
        <v>16</v>
      </c>
      <c r="B439" s="17" t="s">
        <v>58</v>
      </c>
      <c r="C439" s="17" t="s">
        <v>60</v>
      </c>
      <c r="D439" s="17" t="s">
        <v>66</v>
      </c>
      <c r="E439" s="17" t="s">
        <v>1856</v>
      </c>
      <c r="F439" s="17" t="s">
        <v>115</v>
      </c>
      <c r="G439" s="17" t="s">
        <v>315</v>
      </c>
      <c r="H439" s="17" t="s">
        <v>1857</v>
      </c>
      <c r="I439" s="20" t="n">
        <v>36</v>
      </c>
      <c r="J439" s="20" t="n">
        <v>0</v>
      </c>
      <c r="K439" s="25" t="n">
        <f aca="false">IFERROR(J439/I439,0)</f>
        <v>0</v>
      </c>
      <c r="L439" s="19" t="n">
        <v>0</v>
      </c>
      <c r="M439" s="20" t="n">
        <v>0</v>
      </c>
      <c r="N439" s="8" t="n">
        <f aca="false">IFERROR(M439/J439,0)</f>
        <v>0</v>
      </c>
    </row>
    <row r="440" customFormat="false" ht="15" hidden="false" customHeight="false" outlineLevel="0" collapsed="false">
      <c r="A440" s="17" t="s">
        <v>16</v>
      </c>
      <c r="B440" s="17" t="s">
        <v>58</v>
      </c>
      <c r="C440" s="17" t="s">
        <v>60</v>
      </c>
      <c r="D440" s="17" t="s">
        <v>66</v>
      </c>
      <c r="E440" s="17" t="s">
        <v>1858</v>
      </c>
      <c r="F440" s="17" t="s">
        <v>115</v>
      </c>
      <c r="G440" s="17" t="s">
        <v>315</v>
      </c>
      <c r="H440" s="17" t="s">
        <v>1859</v>
      </c>
      <c r="I440" s="20" t="n">
        <v>35</v>
      </c>
      <c r="J440" s="20" t="n">
        <v>0</v>
      </c>
      <c r="K440" s="25" t="n">
        <f aca="false">IFERROR(J440/I440,0)</f>
        <v>0</v>
      </c>
      <c r="L440" s="19" t="n">
        <v>0</v>
      </c>
      <c r="M440" s="20" t="n">
        <v>0</v>
      </c>
      <c r="N440" s="8" t="n">
        <f aca="false">IFERROR(M440/J440,0)</f>
        <v>0</v>
      </c>
    </row>
    <row r="441" customFormat="false" ht="15" hidden="false" customHeight="false" outlineLevel="0" collapsed="false">
      <c r="A441" s="17" t="s">
        <v>16</v>
      </c>
      <c r="B441" s="17" t="s">
        <v>58</v>
      </c>
      <c r="C441" s="17" t="s">
        <v>60</v>
      </c>
      <c r="D441" s="17" t="s">
        <v>66</v>
      </c>
      <c r="E441" s="17" t="s">
        <v>484</v>
      </c>
      <c r="F441" s="17" t="s">
        <v>115</v>
      </c>
      <c r="G441" s="17" t="s">
        <v>315</v>
      </c>
      <c r="H441" s="17" t="s">
        <v>1480</v>
      </c>
      <c r="I441" s="20" t="n">
        <v>31</v>
      </c>
      <c r="J441" s="20" t="n">
        <v>2</v>
      </c>
      <c r="K441" s="25" t="n">
        <f aca="false">IFERROR(J441/I441,0)</f>
        <v>0.0645161290322581</v>
      </c>
      <c r="L441" s="19" t="n">
        <v>12.42</v>
      </c>
      <c r="M441" s="20" t="n">
        <v>0</v>
      </c>
      <c r="N441" s="8" t="n">
        <f aca="false">IFERROR(M441/J441,0)</f>
        <v>0</v>
      </c>
    </row>
    <row r="442" customFormat="false" ht="15" hidden="false" customHeight="false" outlineLevel="0" collapsed="false">
      <c r="A442" s="17" t="s">
        <v>16</v>
      </c>
      <c r="B442" s="17" t="s">
        <v>58</v>
      </c>
      <c r="C442" s="17" t="s">
        <v>60</v>
      </c>
      <c r="D442" s="17" t="s">
        <v>66</v>
      </c>
      <c r="E442" s="17" t="s">
        <v>1860</v>
      </c>
      <c r="F442" s="17" t="s">
        <v>115</v>
      </c>
      <c r="G442" s="17" t="s">
        <v>315</v>
      </c>
      <c r="H442" s="17" t="s">
        <v>1861</v>
      </c>
      <c r="I442" s="20" t="n">
        <v>31</v>
      </c>
      <c r="J442" s="20" t="n">
        <v>0</v>
      </c>
      <c r="K442" s="25" t="n">
        <f aca="false">IFERROR(J442/I442,0)</f>
        <v>0</v>
      </c>
      <c r="L442" s="19" t="n">
        <v>0</v>
      </c>
      <c r="M442" s="20" t="n">
        <v>0</v>
      </c>
      <c r="N442" s="8" t="n">
        <f aca="false">IFERROR(M442/J442,0)</f>
        <v>0</v>
      </c>
    </row>
    <row r="443" customFormat="false" ht="15" hidden="false" customHeight="false" outlineLevel="0" collapsed="false">
      <c r="A443" s="17" t="s">
        <v>16</v>
      </c>
      <c r="B443" s="17" t="s">
        <v>58</v>
      </c>
      <c r="C443" s="17" t="s">
        <v>60</v>
      </c>
      <c r="D443" s="17" t="s">
        <v>66</v>
      </c>
      <c r="E443" s="17" t="s">
        <v>1862</v>
      </c>
      <c r="F443" s="17" t="s">
        <v>115</v>
      </c>
      <c r="G443" s="17" t="s">
        <v>315</v>
      </c>
      <c r="H443" s="17" t="s">
        <v>1863</v>
      </c>
      <c r="I443" s="20" t="n">
        <v>24</v>
      </c>
      <c r="J443" s="20" t="n">
        <v>0</v>
      </c>
      <c r="K443" s="25" t="n">
        <f aca="false">IFERROR(J443/I443,0)</f>
        <v>0</v>
      </c>
      <c r="L443" s="19" t="n">
        <v>0</v>
      </c>
      <c r="M443" s="20" t="n">
        <v>0</v>
      </c>
      <c r="N443" s="8" t="n">
        <f aca="false">IFERROR(M443/J443,0)</f>
        <v>0</v>
      </c>
    </row>
    <row r="444" customFormat="false" ht="15" hidden="false" customHeight="false" outlineLevel="0" collapsed="false">
      <c r="A444" s="17" t="s">
        <v>16</v>
      </c>
      <c r="B444" s="17" t="s">
        <v>58</v>
      </c>
      <c r="C444" s="17" t="s">
        <v>60</v>
      </c>
      <c r="D444" s="17" t="s">
        <v>66</v>
      </c>
      <c r="E444" s="17" t="s">
        <v>1864</v>
      </c>
      <c r="F444" s="17" t="s">
        <v>462</v>
      </c>
      <c r="G444" s="17" t="s">
        <v>315</v>
      </c>
      <c r="H444" s="17" t="s">
        <v>1865</v>
      </c>
      <c r="I444" s="20" t="n">
        <v>24</v>
      </c>
      <c r="J444" s="20" t="n">
        <v>0</v>
      </c>
      <c r="K444" s="25" t="n">
        <f aca="false">IFERROR(J444/I444,0)</f>
        <v>0</v>
      </c>
      <c r="L444" s="19" t="n">
        <v>0</v>
      </c>
      <c r="M444" s="20" t="n">
        <v>0</v>
      </c>
      <c r="N444" s="8" t="n">
        <f aca="false">IFERROR(M444/J444,0)</f>
        <v>0</v>
      </c>
    </row>
    <row r="445" customFormat="false" ht="15" hidden="false" customHeight="false" outlineLevel="0" collapsed="false">
      <c r="A445" s="17" t="s">
        <v>16</v>
      </c>
      <c r="B445" s="17" t="s">
        <v>58</v>
      </c>
      <c r="C445" s="17" t="s">
        <v>60</v>
      </c>
      <c r="D445" s="17" t="s">
        <v>66</v>
      </c>
      <c r="E445" s="17" t="s">
        <v>1866</v>
      </c>
      <c r="F445" s="17" t="s">
        <v>1854</v>
      </c>
      <c r="G445" s="17" t="s">
        <v>315</v>
      </c>
      <c r="H445" s="17" t="s">
        <v>1361</v>
      </c>
      <c r="I445" s="20" t="n">
        <v>22</v>
      </c>
      <c r="J445" s="20" t="n">
        <v>2</v>
      </c>
      <c r="K445" s="25" t="n">
        <f aca="false">IFERROR(J445/I445,0)</f>
        <v>0.0909090909090909</v>
      </c>
      <c r="L445" s="19" t="n">
        <v>9.94</v>
      </c>
      <c r="M445" s="20" t="n">
        <v>0</v>
      </c>
      <c r="N445" s="8" t="n">
        <f aca="false">IFERROR(M445/J445,0)</f>
        <v>0</v>
      </c>
    </row>
    <row r="446" customFormat="false" ht="15" hidden="false" customHeight="false" outlineLevel="0" collapsed="false">
      <c r="A446" s="17" t="s">
        <v>16</v>
      </c>
      <c r="B446" s="17" t="s">
        <v>58</v>
      </c>
      <c r="C446" s="17" t="s">
        <v>60</v>
      </c>
      <c r="D446" s="17" t="s">
        <v>66</v>
      </c>
      <c r="E446" s="17" t="s">
        <v>1867</v>
      </c>
      <c r="F446" s="17" t="s">
        <v>115</v>
      </c>
      <c r="G446" s="17" t="s">
        <v>315</v>
      </c>
      <c r="H446" s="17" t="s">
        <v>1335</v>
      </c>
      <c r="I446" s="20" t="n">
        <v>22</v>
      </c>
      <c r="J446" s="20" t="n">
        <v>0</v>
      </c>
      <c r="K446" s="25" t="n">
        <f aca="false">IFERROR(J446/I446,0)</f>
        <v>0</v>
      </c>
      <c r="L446" s="19" t="n">
        <v>0</v>
      </c>
      <c r="M446" s="20" t="n">
        <v>0</v>
      </c>
      <c r="N446" s="8" t="n">
        <f aca="false">IFERROR(M446/J446,0)</f>
        <v>0</v>
      </c>
    </row>
    <row r="447" customFormat="false" ht="15" hidden="false" customHeight="false" outlineLevel="0" collapsed="false">
      <c r="A447" s="17" t="s">
        <v>16</v>
      </c>
      <c r="B447" s="17" t="s">
        <v>58</v>
      </c>
      <c r="C447" s="17" t="s">
        <v>60</v>
      </c>
      <c r="D447" s="17" t="s">
        <v>66</v>
      </c>
      <c r="E447" s="17" t="s">
        <v>1868</v>
      </c>
      <c r="F447" s="17" t="s">
        <v>115</v>
      </c>
      <c r="G447" s="17" t="s">
        <v>315</v>
      </c>
      <c r="H447" s="17" t="s">
        <v>1869</v>
      </c>
      <c r="I447" s="20" t="n">
        <v>18</v>
      </c>
      <c r="J447" s="20" t="n">
        <v>1</v>
      </c>
      <c r="K447" s="25" t="n">
        <f aca="false">IFERROR(J447/I447,0)</f>
        <v>0.0555555555555556</v>
      </c>
      <c r="L447" s="19" t="n">
        <v>1</v>
      </c>
      <c r="M447" s="20" t="n">
        <v>1</v>
      </c>
      <c r="N447" s="8" t="n">
        <f aca="false">IFERROR(M447/J447,0)</f>
        <v>1</v>
      </c>
    </row>
    <row r="448" customFormat="false" ht="15" hidden="false" customHeight="false" outlineLevel="0" collapsed="false">
      <c r="A448" s="17" t="s">
        <v>16</v>
      </c>
      <c r="B448" s="17" t="s">
        <v>58</v>
      </c>
      <c r="C448" s="17" t="s">
        <v>60</v>
      </c>
      <c r="D448" s="17" t="s">
        <v>66</v>
      </c>
      <c r="E448" s="17" t="s">
        <v>501</v>
      </c>
      <c r="F448" s="17" t="s">
        <v>115</v>
      </c>
      <c r="G448" s="17" t="s">
        <v>315</v>
      </c>
      <c r="H448" s="17" t="s">
        <v>1444</v>
      </c>
      <c r="I448" s="20" t="n">
        <v>16</v>
      </c>
      <c r="J448" s="20" t="n">
        <v>1</v>
      </c>
      <c r="K448" s="25" t="n">
        <f aca="false">IFERROR(J448/I448,0)</f>
        <v>0.0625</v>
      </c>
      <c r="L448" s="19" t="n">
        <v>6.79</v>
      </c>
      <c r="M448" s="20" t="n">
        <v>1</v>
      </c>
      <c r="N448" s="8" t="n">
        <f aca="false">IFERROR(M448/J448,0)</f>
        <v>1</v>
      </c>
    </row>
    <row r="449" customFormat="false" ht="15" hidden="false" customHeight="false" outlineLevel="0" collapsed="false">
      <c r="A449" s="17" t="s">
        <v>16</v>
      </c>
      <c r="B449" s="17" t="s">
        <v>58</v>
      </c>
      <c r="C449" s="17" t="s">
        <v>60</v>
      </c>
      <c r="D449" s="17" t="s">
        <v>66</v>
      </c>
      <c r="E449" s="17" t="s">
        <v>1870</v>
      </c>
      <c r="F449" s="17" t="s">
        <v>115</v>
      </c>
      <c r="G449" s="17" t="s">
        <v>315</v>
      </c>
      <c r="H449" s="17" t="s">
        <v>1462</v>
      </c>
      <c r="I449" s="20" t="n">
        <v>15</v>
      </c>
      <c r="J449" s="20" t="n">
        <v>0</v>
      </c>
      <c r="K449" s="25" t="n">
        <f aca="false">IFERROR(J449/I449,0)</f>
        <v>0</v>
      </c>
      <c r="L449" s="19" t="n">
        <v>0</v>
      </c>
      <c r="M449" s="20" t="n">
        <v>0</v>
      </c>
      <c r="N449" s="8" t="n">
        <f aca="false">IFERROR(M449/J449,0)</f>
        <v>0</v>
      </c>
    </row>
    <row r="450" customFormat="false" ht="15" hidden="false" customHeight="false" outlineLevel="0" collapsed="false">
      <c r="A450" s="17" t="s">
        <v>16</v>
      </c>
      <c r="B450" s="17" t="s">
        <v>58</v>
      </c>
      <c r="C450" s="17" t="s">
        <v>60</v>
      </c>
      <c r="D450" s="17" t="s">
        <v>66</v>
      </c>
      <c r="E450" s="17" t="s">
        <v>1871</v>
      </c>
      <c r="F450" s="17" t="s">
        <v>115</v>
      </c>
      <c r="G450" s="17" t="s">
        <v>315</v>
      </c>
      <c r="H450" s="17" t="s">
        <v>1872</v>
      </c>
      <c r="I450" s="20" t="n">
        <v>12</v>
      </c>
      <c r="J450" s="20" t="n">
        <v>0</v>
      </c>
      <c r="K450" s="25" t="n">
        <f aca="false">IFERROR(J450/I450,0)</f>
        <v>0</v>
      </c>
      <c r="L450" s="19" t="n">
        <v>0</v>
      </c>
      <c r="M450" s="20" t="n">
        <v>0</v>
      </c>
      <c r="N450" s="8" t="n">
        <f aca="false">IFERROR(M450/J450,0)</f>
        <v>0</v>
      </c>
    </row>
    <row r="451" customFormat="false" ht="15" hidden="false" customHeight="false" outlineLevel="0" collapsed="false">
      <c r="A451" s="17" t="s">
        <v>16</v>
      </c>
      <c r="B451" s="17" t="s">
        <v>58</v>
      </c>
      <c r="C451" s="17" t="s">
        <v>60</v>
      </c>
      <c r="D451" s="17" t="s">
        <v>66</v>
      </c>
      <c r="E451" s="17" t="s">
        <v>1873</v>
      </c>
      <c r="F451" s="17" t="s">
        <v>115</v>
      </c>
      <c r="G451" s="17" t="s">
        <v>315</v>
      </c>
      <c r="H451" s="17" t="s">
        <v>1499</v>
      </c>
      <c r="I451" s="20" t="n">
        <v>10</v>
      </c>
      <c r="J451" s="20" t="n">
        <v>1</v>
      </c>
      <c r="K451" s="25" t="n">
        <f aca="false">IFERROR(J451/I451,0)</f>
        <v>0.1</v>
      </c>
      <c r="L451" s="19" t="n">
        <v>4.17</v>
      </c>
      <c r="M451" s="20" t="n">
        <v>0</v>
      </c>
      <c r="N451" s="8" t="n">
        <f aca="false">IFERROR(M451/J451,0)</f>
        <v>0</v>
      </c>
    </row>
    <row r="452" customFormat="false" ht="15" hidden="false" customHeight="false" outlineLevel="0" collapsed="false">
      <c r="A452" s="17" t="s">
        <v>16</v>
      </c>
      <c r="B452" s="17" t="s">
        <v>58</v>
      </c>
      <c r="C452" s="17" t="s">
        <v>60</v>
      </c>
      <c r="D452" s="17" t="s">
        <v>66</v>
      </c>
      <c r="E452" s="17" t="s">
        <v>1874</v>
      </c>
      <c r="F452" s="17" t="s">
        <v>115</v>
      </c>
      <c r="G452" s="17" t="s">
        <v>315</v>
      </c>
      <c r="H452" s="17" t="s">
        <v>1875</v>
      </c>
      <c r="I452" s="20" t="n">
        <v>8</v>
      </c>
      <c r="J452" s="20" t="n">
        <v>0</v>
      </c>
      <c r="K452" s="25" t="n">
        <f aca="false">IFERROR(J452/I452,0)</f>
        <v>0</v>
      </c>
      <c r="L452" s="19" t="n">
        <v>0</v>
      </c>
      <c r="M452" s="20" t="n">
        <v>0</v>
      </c>
      <c r="N452" s="8" t="n">
        <f aca="false">IFERROR(M452/J452,0)</f>
        <v>0</v>
      </c>
    </row>
    <row r="453" customFormat="false" ht="15" hidden="false" customHeight="false" outlineLevel="0" collapsed="false">
      <c r="A453" s="17" t="s">
        <v>16</v>
      </c>
      <c r="B453" s="17" t="s">
        <v>58</v>
      </c>
      <c r="C453" s="17" t="s">
        <v>60</v>
      </c>
      <c r="D453" s="17" t="s">
        <v>66</v>
      </c>
      <c r="E453" s="17" t="s">
        <v>1876</v>
      </c>
      <c r="F453" s="17" t="s">
        <v>115</v>
      </c>
      <c r="G453" s="17" t="s">
        <v>315</v>
      </c>
      <c r="H453" s="17" t="s">
        <v>1877</v>
      </c>
      <c r="I453" s="20" t="n">
        <v>7</v>
      </c>
      <c r="J453" s="20" t="n">
        <v>0</v>
      </c>
      <c r="K453" s="25" t="n">
        <f aca="false">IFERROR(J453/I453,0)</f>
        <v>0</v>
      </c>
      <c r="L453" s="19" t="n">
        <v>0</v>
      </c>
      <c r="M453" s="20" t="n">
        <v>0</v>
      </c>
      <c r="N453" s="8" t="n">
        <f aca="false">IFERROR(M453/J453,0)</f>
        <v>0</v>
      </c>
    </row>
    <row r="454" customFormat="false" ht="15" hidden="false" customHeight="false" outlineLevel="0" collapsed="false">
      <c r="A454" s="17" t="s">
        <v>16</v>
      </c>
      <c r="B454" s="17" t="s">
        <v>58</v>
      </c>
      <c r="C454" s="17" t="s">
        <v>60</v>
      </c>
      <c r="D454" s="17" t="s">
        <v>66</v>
      </c>
      <c r="E454" s="17" t="s">
        <v>1878</v>
      </c>
      <c r="F454" s="17" t="s">
        <v>115</v>
      </c>
      <c r="G454" s="17" t="s">
        <v>315</v>
      </c>
      <c r="H454" s="17" t="s">
        <v>1879</v>
      </c>
      <c r="I454" s="20" t="n">
        <v>6</v>
      </c>
      <c r="J454" s="20" t="n">
        <v>0</v>
      </c>
      <c r="K454" s="25" t="n">
        <f aca="false">IFERROR(J454/I454,0)</f>
        <v>0</v>
      </c>
      <c r="L454" s="19" t="n">
        <v>0</v>
      </c>
      <c r="M454" s="20" t="n">
        <v>0</v>
      </c>
      <c r="N454" s="8" t="n">
        <f aca="false">IFERROR(M454/J454,0)</f>
        <v>0</v>
      </c>
    </row>
    <row r="455" customFormat="false" ht="15" hidden="false" customHeight="false" outlineLevel="0" collapsed="false">
      <c r="A455" s="17" t="s">
        <v>16</v>
      </c>
      <c r="B455" s="17" t="s">
        <v>58</v>
      </c>
      <c r="C455" s="17" t="s">
        <v>60</v>
      </c>
      <c r="D455" s="17" t="s">
        <v>66</v>
      </c>
      <c r="E455" s="17" t="s">
        <v>1880</v>
      </c>
      <c r="F455" s="17" t="s">
        <v>115</v>
      </c>
      <c r="G455" s="17" t="s">
        <v>315</v>
      </c>
      <c r="H455" s="17" t="s">
        <v>1403</v>
      </c>
      <c r="I455" s="20" t="n">
        <v>6</v>
      </c>
      <c r="J455" s="20" t="n">
        <v>0</v>
      </c>
      <c r="K455" s="25" t="n">
        <f aca="false">IFERROR(J455/I455,0)</f>
        <v>0</v>
      </c>
      <c r="L455" s="19" t="n">
        <v>0</v>
      </c>
      <c r="M455" s="20" t="n">
        <v>0</v>
      </c>
      <c r="N455" s="8" t="n">
        <f aca="false">IFERROR(M455/J455,0)</f>
        <v>0</v>
      </c>
    </row>
    <row r="456" customFormat="false" ht="15" hidden="false" customHeight="false" outlineLevel="0" collapsed="false">
      <c r="A456" s="17" t="s">
        <v>16</v>
      </c>
      <c r="B456" s="17" t="s">
        <v>58</v>
      </c>
      <c r="C456" s="17" t="s">
        <v>60</v>
      </c>
      <c r="D456" s="17" t="s">
        <v>66</v>
      </c>
      <c r="E456" s="17" t="s">
        <v>1881</v>
      </c>
      <c r="F456" s="17" t="s">
        <v>115</v>
      </c>
      <c r="G456" s="17" t="s">
        <v>315</v>
      </c>
      <c r="H456" s="17" t="s">
        <v>1414</v>
      </c>
      <c r="I456" s="20" t="n">
        <v>5</v>
      </c>
      <c r="J456" s="20" t="n">
        <v>0</v>
      </c>
      <c r="K456" s="25" t="n">
        <f aca="false">IFERROR(J456/I456,0)</f>
        <v>0</v>
      </c>
      <c r="L456" s="19" t="n">
        <v>0</v>
      </c>
      <c r="M456" s="20" t="n">
        <v>0</v>
      </c>
      <c r="N456" s="8" t="n">
        <f aca="false">IFERROR(M456/J456,0)</f>
        <v>0</v>
      </c>
    </row>
    <row r="457" customFormat="false" ht="15" hidden="false" customHeight="false" outlineLevel="0" collapsed="false">
      <c r="A457" s="17" t="s">
        <v>16</v>
      </c>
      <c r="B457" s="17" t="s">
        <v>58</v>
      </c>
      <c r="C457" s="17" t="s">
        <v>60</v>
      </c>
      <c r="D457" s="17" t="s">
        <v>66</v>
      </c>
      <c r="E457" s="17" t="s">
        <v>1882</v>
      </c>
      <c r="F457" s="17" t="s">
        <v>115</v>
      </c>
      <c r="G457" s="17" t="s">
        <v>315</v>
      </c>
      <c r="H457" s="17" t="s">
        <v>1363</v>
      </c>
      <c r="I457" s="20" t="n">
        <v>4</v>
      </c>
      <c r="J457" s="20" t="n">
        <v>0</v>
      </c>
      <c r="K457" s="25" t="n">
        <f aca="false">IFERROR(J457/I457,0)</f>
        <v>0</v>
      </c>
      <c r="L457" s="19" t="n">
        <v>0</v>
      </c>
      <c r="M457" s="20" t="n">
        <v>0</v>
      </c>
      <c r="N457" s="8" t="n">
        <f aca="false">IFERROR(M457/J457,0)</f>
        <v>0</v>
      </c>
    </row>
    <row r="458" customFormat="false" ht="15" hidden="false" customHeight="false" outlineLevel="0" collapsed="false">
      <c r="A458" s="17" t="s">
        <v>16</v>
      </c>
      <c r="B458" s="17" t="s">
        <v>58</v>
      </c>
      <c r="C458" s="17" t="s">
        <v>60</v>
      </c>
      <c r="D458" s="17" t="s">
        <v>66</v>
      </c>
      <c r="E458" s="17" t="s">
        <v>1883</v>
      </c>
      <c r="F458" s="17" t="s">
        <v>115</v>
      </c>
      <c r="G458" s="17" t="s">
        <v>315</v>
      </c>
      <c r="H458" s="17" t="s">
        <v>1884</v>
      </c>
      <c r="I458" s="20" t="n">
        <v>4</v>
      </c>
      <c r="J458" s="20" t="n">
        <v>0</v>
      </c>
      <c r="K458" s="25" t="n">
        <f aca="false">IFERROR(J458/I458,0)</f>
        <v>0</v>
      </c>
      <c r="L458" s="19" t="n">
        <v>0</v>
      </c>
      <c r="M458" s="20" t="n">
        <v>0</v>
      </c>
      <c r="N458" s="8" t="n">
        <f aca="false">IFERROR(M458/J458,0)</f>
        <v>0</v>
      </c>
    </row>
    <row r="459" customFormat="false" ht="15" hidden="false" customHeight="false" outlineLevel="0" collapsed="false">
      <c r="A459" s="17" t="s">
        <v>16</v>
      </c>
      <c r="B459" s="17" t="s">
        <v>58</v>
      </c>
      <c r="C459" s="17" t="s">
        <v>66</v>
      </c>
      <c r="D459" s="17" t="s">
        <v>60</v>
      </c>
      <c r="E459" s="17" t="s">
        <v>1885</v>
      </c>
      <c r="F459" s="17" t="s">
        <v>119</v>
      </c>
      <c r="G459" s="17" t="s">
        <v>315</v>
      </c>
      <c r="H459" s="17" t="s">
        <v>1886</v>
      </c>
      <c r="I459" s="20" t="n">
        <v>4</v>
      </c>
      <c r="J459" s="20" t="n">
        <v>0</v>
      </c>
      <c r="K459" s="25" t="n">
        <f aca="false">IFERROR(J459/I459,0)</f>
        <v>0</v>
      </c>
      <c r="L459" s="19" t="n">
        <v>0</v>
      </c>
      <c r="M459" s="20" t="n">
        <v>0</v>
      </c>
      <c r="N459" s="8" t="n">
        <f aca="false">IFERROR(M459/J459,0)</f>
        <v>0</v>
      </c>
    </row>
    <row r="460" customFormat="false" ht="15" hidden="false" customHeight="false" outlineLevel="0" collapsed="false">
      <c r="A460" s="17" t="s">
        <v>16</v>
      </c>
      <c r="B460" s="17" t="s">
        <v>58</v>
      </c>
      <c r="C460" s="17" t="s">
        <v>60</v>
      </c>
      <c r="D460" s="17" t="s">
        <v>66</v>
      </c>
      <c r="E460" s="17" t="s">
        <v>1887</v>
      </c>
      <c r="F460" s="17" t="s">
        <v>115</v>
      </c>
      <c r="G460" s="17" t="s">
        <v>315</v>
      </c>
      <c r="H460" s="17" t="s">
        <v>1888</v>
      </c>
      <c r="I460" s="20" t="n">
        <v>2</v>
      </c>
      <c r="J460" s="20" t="n">
        <v>0</v>
      </c>
      <c r="K460" s="25" t="n">
        <f aca="false">IFERROR(J460/I460,0)</f>
        <v>0</v>
      </c>
      <c r="L460" s="19" t="n">
        <v>0</v>
      </c>
      <c r="M460" s="20" t="n">
        <v>0</v>
      </c>
      <c r="N460" s="8" t="n">
        <f aca="false">IFERROR(M460/J460,0)</f>
        <v>0</v>
      </c>
    </row>
    <row r="461" customFormat="false" ht="15" hidden="false" customHeight="false" outlineLevel="0" collapsed="false">
      <c r="A461" s="17" t="s">
        <v>16</v>
      </c>
      <c r="B461" s="17" t="s">
        <v>58</v>
      </c>
      <c r="C461" s="17" t="s">
        <v>60</v>
      </c>
      <c r="D461" s="17" t="s">
        <v>66</v>
      </c>
      <c r="E461" s="17" t="s">
        <v>1889</v>
      </c>
      <c r="F461" s="17" t="s">
        <v>115</v>
      </c>
      <c r="G461" s="17" t="s">
        <v>315</v>
      </c>
      <c r="H461" s="17" t="s">
        <v>1890</v>
      </c>
      <c r="I461" s="20" t="n">
        <v>2</v>
      </c>
      <c r="J461" s="20" t="n">
        <v>0</v>
      </c>
      <c r="K461" s="25" t="n">
        <f aca="false">IFERROR(J461/I461,0)</f>
        <v>0</v>
      </c>
      <c r="L461" s="19" t="n">
        <v>0</v>
      </c>
      <c r="M461" s="20" t="n">
        <v>0</v>
      </c>
      <c r="N461" s="8" t="n">
        <f aca="false">IFERROR(M461/J461,0)</f>
        <v>0</v>
      </c>
    </row>
    <row r="462" customFormat="false" ht="15" hidden="false" customHeight="false" outlineLevel="0" collapsed="false">
      <c r="A462" s="17" t="s">
        <v>16</v>
      </c>
      <c r="B462" s="17" t="s">
        <v>58</v>
      </c>
      <c r="C462" s="17" t="s">
        <v>60</v>
      </c>
      <c r="D462" s="17" t="s">
        <v>66</v>
      </c>
      <c r="E462" s="17" t="s">
        <v>1891</v>
      </c>
      <c r="F462" s="17" t="s">
        <v>115</v>
      </c>
      <c r="G462" s="17" t="s">
        <v>315</v>
      </c>
      <c r="H462" s="17" t="s">
        <v>1892</v>
      </c>
      <c r="I462" s="20" t="n">
        <v>2</v>
      </c>
      <c r="J462" s="20" t="n">
        <v>0</v>
      </c>
      <c r="K462" s="25" t="n">
        <f aca="false">IFERROR(J462/I462,0)</f>
        <v>0</v>
      </c>
      <c r="L462" s="19" t="n">
        <v>0</v>
      </c>
      <c r="M462" s="20" t="n">
        <v>0</v>
      </c>
      <c r="N462" s="8" t="n">
        <f aca="false">IFERROR(M462/J462,0)</f>
        <v>0</v>
      </c>
    </row>
    <row r="463" customFormat="false" ht="15" hidden="false" customHeight="false" outlineLevel="0" collapsed="false">
      <c r="A463" s="17" t="s">
        <v>16</v>
      </c>
      <c r="B463" s="17" t="s">
        <v>58</v>
      </c>
      <c r="C463" s="17" t="s">
        <v>60</v>
      </c>
      <c r="D463" s="17" t="s">
        <v>66</v>
      </c>
      <c r="E463" s="17" t="s">
        <v>1893</v>
      </c>
      <c r="F463" s="17" t="s">
        <v>115</v>
      </c>
      <c r="G463" s="17" t="s">
        <v>315</v>
      </c>
      <c r="H463" s="17" t="s">
        <v>1894</v>
      </c>
      <c r="I463" s="20" t="n">
        <v>1</v>
      </c>
      <c r="J463" s="20" t="n">
        <v>0</v>
      </c>
      <c r="K463" s="25" t="n">
        <f aca="false">IFERROR(J463/I463,0)</f>
        <v>0</v>
      </c>
      <c r="L463" s="19" t="n">
        <v>0</v>
      </c>
      <c r="M463" s="20" t="n">
        <v>0</v>
      </c>
      <c r="N463" s="8" t="n">
        <f aca="false">IFERROR(M463/J463,0)</f>
        <v>0</v>
      </c>
    </row>
    <row r="464" customFormat="false" ht="15" hidden="false" customHeight="false" outlineLevel="0" collapsed="false">
      <c r="A464" s="17" t="s">
        <v>16</v>
      </c>
      <c r="B464" s="17" t="s">
        <v>58</v>
      </c>
      <c r="C464" s="17" t="s">
        <v>60</v>
      </c>
      <c r="D464" s="17" t="s">
        <v>66</v>
      </c>
      <c r="E464" s="17" t="s">
        <v>1895</v>
      </c>
      <c r="F464" s="17" t="s">
        <v>115</v>
      </c>
      <c r="G464" s="17" t="s">
        <v>315</v>
      </c>
      <c r="H464" s="17" t="s">
        <v>1310</v>
      </c>
      <c r="I464" s="20" t="n">
        <v>1</v>
      </c>
      <c r="J464" s="20" t="n">
        <v>0</v>
      </c>
      <c r="K464" s="25" t="n">
        <f aca="false">IFERROR(J464/I464,0)</f>
        <v>0</v>
      </c>
      <c r="L464" s="19" t="n">
        <v>0</v>
      </c>
      <c r="M464" s="20" t="n">
        <v>0</v>
      </c>
      <c r="N464" s="8" t="n">
        <f aca="false">IFERROR(M464/J464,0)</f>
        <v>0</v>
      </c>
    </row>
    <row r="465" customFormat="false" ht="15" hidden="false" customHeight="false" outlineLevel="0" collapsed="false">
      <c r="A465" s="17" t="s">
        <v>16</v>
      </c>
      <c r="B465" s="17" t="s">
        <v>58</v>
      </c>
      <c r="C465" s="17" t="s">
        <v>60</v>
      </c>
      <c r="D465" s="17" t="s">
        <v>66</v>
      </c>
      <c r="E465" s="17" t="s">
        <v>1896</v>
      </c>
      <c r="F465" s="17" t="s">
        <v>115</v>
      </c>
      <c r="G465" s="17" t="s">
        <v>315</v>
      </c>
      <c r="H465" s="17" t="s">
        <v>1897</v>
      </c>
      <c r="I465" s="20" t="n">
        <v>1</v>
      </c>
      <c r="J465" s="20" t="n">
        <v>0</v>
      </c>
      <c r="K465" s="25" t="n">
        <f aca="false">IFERROR(J465/I465,0)</f>
        <v>0</v>
      </c>
      <c r="L465" s="19" t="n">
        <v>0</v>
      </c>
      <c r="M465" s="20" t="n">
        <v>0</v>
      </c>
      <c r="N465" s="8" t="n">
        <f aca="false">IFERROR(M465/J465,0)</f>
        <v>0</v>
      </c>
    </row>
    <row r="466" customFormat="false" ht="15" hidden="false" customHeight="false" outlineLevel="0" collapsed="false">
      <c r="A466" s="17" t="s">
        <v>16</v>
      </c>
      <c r="B466" s="17" t="s">
        <v>58</v>
      </c>
      <c r="C466" s="17" t="s">
        <v>60</v>
      </c>
      <c r="D466" s="17" t="s">
        <v>66</v>
      </c>
      <c r="E466" s="17" t="s">
        <v>1898</v>
      </c>
      <c r="F466" s="17" t="s">
        <v>115</v>
      </c>
      <c r="G466" s="17" t="s">
        <v>315</v>
      </c>
      <c r="H466" s="17" t="s">
        <v>1899</v>
      </c>
      <c r="I466" s="20" t="n">
        <v>0</v>
      </c>
      <c r="J466" s="20" t="n">
        <v>0</v>
      </c>
      <c r="K466" s="25" t="n">
        <f aca="false">IFERROR(J466/I466,0)</f>
        <v>0</v>
      </c>
      <c r="L466" s="19" t="n">
        <v>0</v>
      </c>
      <c r="M466" s="20" t="n">
        <v>0</v>
      </c>
      <c r="N466" s="8" t="n">
        <f aca="false">IFERROR(M466/J466,0)</f>
        <v>0</v>
      </c>
    </row>
    <row r="467" customFormat="false" ht="15" hidden="false" customHeight="false" outlineLevel="0" collapsed="false">
      <c r="A467" s="17" t="s">
        <v>16</v>
      </c>
      <c r="B467" s="17" t="s">
        <v>58</v>
      </c>
      <c r="C467" s="17" t="s">
        <v>60</v>
      </c>
      <c r="D467" s="17" t="s">
        <v>66</v>
      </c>
      <c r="E467" s="17" t="s">
        <v>1900</v>
      </c>
      <c r="F467" s="17" t="s">
        <v>115</v>
      </c>
      <c r="G467" s="17" t="s">
        <v>315</v>
      </c>
      <c r="H467" s="17" t="s">
        <v>1901</v>
      </c>
      <c r="I467" s="20" t="n">
        <v>0</v>
      </c>
      <c r="J467" s="20" t="n">
        <v>0</v>
      </c>
      <c r="K467" s="25" t="n">
        <f aca="false">IFERROR(J467/I467,0)</f>
        <v>0</v>
      </c>
      <c r="L467" s="19" t="n">
        <v>0</v>
      </c>
      <c r="M467" s="20" t="n">
        <v>0</v>
      </c>
      <c r="N467" s="8" t="n">
        <f aca="false">IFERROR(M467/J467,0)</f>
        <v>0</v>
      </c>
    </row>
    <row r="468" customFormat="false" ht="15" hidden="false" customHeight="false" outlineLevel="0" collapsed="false">
      <c r="A468" s="17" t="s">
        <v>16</v>
      </c>
      <c r="B468" s="17" t="s">
        <v>58</v>
      </c>
      <c r="C468" s="17" t="s">
        <v>60</v>
      </c>
      <c r="D468" s="17" t="s">
        <v>66</v>
      </c>
      <c r="E468" s="17" t="s">
        <v>1902</v>
      </c>
      <c r="F468" s="17" t="s">
        <v>115</v>
      </c>
      <c r="G468" s="17" t="s">
        <v>315</v>
      </c>
      <c r="H468" s="17" t="s">
        <v>1903</v>
      </c>
      <c r="I468" s="20" t="n">
        <v>0</v>
      </c>
      <c r="J468" s="20" t="n">
        <v>0</v>
      </c>
      <c r="K468" s="25" t="n">
        <f aca="false">IFERROR(J468/I468,0)</f>
        <v>0</v>
      </c>
      <c r="L468" s="19" t="n">
        <v>0</v>
      </c>
      <c r="M468" s="20" t="n">
        <v>0</v>
      </c>
      <c r="N468" s="8" t="n">
        <f aca="false">IFERROR(M468/J468,0)</f>
        <v>0</v>
      </c>
    </row>
    <row r="469" customFormat="false" ht="15" hidden="false" customHeight="false" outlineLevel="0" collapsed="false">
      <c r="A469" s="17" t="s">
        <v>16</v>
      </c>
      <c r="B469" s="17" t="s">
        <v>58</v>
      </c>
      <c r="C469" s="17" t="s">
        <v>60</v>
      </c>
      <c r="D469" s="17" t="s">
        <v>66</v>
      </c>
      <c r="E469" s="17" t="s">
        <v>1904</v>
      </c>
      <c r="F469" s="17" t="s">
        <v>115</v>
      </c>
      <c r="G469" s="17" t="s">
        <v>315</v>
      </c>
      <c r="H469" s="17" t="s">
        <v>1905</v>
      </c>
      <c r="I469" s="20" t="n">
        <v>0</v>
      </c>
      <c r="J469" s="20" t="n">
        <v>0</v>
      </c>
      <c r="K469" s="25" t="n">
        <f aca="false">IFERROR(J469/I469,0)</f>
        <v>0</v>
      </c>
      <c r="L469" s="19" t="n">
        <v>0</v>
      </c>
      <c r="M469" s="20" t="n">
        <v>0</v>
      </c>
      <c r="N469" s="8" t="n">
        <f aca="false">IFERROR(M469/J469,0)</f>
        <v>0</v>
      </c>
    </row>
    <row r="470" customFormat="false" ht="15" hidden="false" customHeight="false" outlineLevel="0" collapsed="false">
      <c r="A470" s="17" t="s">
        <v>16</v>
      </c>
      <c r="B470" s="17" t="s">
        <v>58</v>
      </c>
      <c r="C470" s="17" t="s">
        <v>60</v>
      </c>
      <c r="D470" s="17" t="s">
        <v>66</v>
      </c>
      <c r="E470" s="17" t="s">
        <v>1906</v>
      </c>
      <c r="F470" s="17" t="s">
        <v>115</v>
      </c>
      <c r="G470" s="17" t="s">
        <v>315</v>
      </c>
      <c r="H470" s="17" t="s">
        <v>1472</v>
      </c>
      <c r="I470" s="20" t="n">
        <v>0</v>
      </c>
      <c r="J470" s="20" t="n">
        <v>0</v>
      </c>
      <c r="K470" s="25" t="n">
        <f aca="false">IFERROR(J470/I470,0)</f>
        <v>0</v>
      </c>
      <c r="L470" s="19" t="n">
        <v>0</v>
      </c>
      <c r="M470" s="20" t="n">
        <v>0</v>
      </c>
      <c r="N470" s="8" t="n">
        <f aca="false">IFERROR(M470/J470,0)</f>
        <v>0</v>
      </c>
    </row>
    <row r="471" customFormat="false" ht="15" hidden="false" customHeight="false" outlineLevel="0" collapsed="false">
      <c r="A471" s="17" t="s">
        <v>16</v>
      </c>
      <c r="B471" s="17" t="s">
        <v>58</v>
      </c>
      <c r="C471" s="17" t="s">
        <v>60</v>
      </c>
      <c r="D471" s="17" t="s">
        <v>66</v>
      </c>
      <c r="E471" s="17" t="s">
        <v>1907</v>
      </c>
      <c r="F471" s="17" t="s">
        <v>115</v>
      </c>
      <c r="G471" s="17" t="s">
        <v>315</v>
      </c>
      <c r="H471" s="17" t="s">
        <v>1908</v>
      </c>
      <c r="I471" s="20" t="n">
        <v>0</v>
      </c>
      <c r="J471" s="20" t="n">
        <v>0</v>
      </c>
      <c r="K471" s="25" t="n">
        <f aca="false">IFERROR(J471/I471,0)</f>
        <v>0</v>
      </c>
      <c r="L471" s="19" t="n">
        <v>0</v>
      </c>
      <c r="M471" s="20" t="n">
        <v>0</v>
      </c>
      <c r="N471" s="8" t="n">
        <f aca="false">IFERROR(M471/J471,0)</f>
        <v>0</v>
      </c>
    </row>
    <row r="472" customFormat="false" ht="15" hidden="false" customHeight="false" outlineLevel="0" collapsed="false">
      <c r="A472" s="17" t="s">
        <v>16</v>
      </c>
      <c r="B472" s="17" t="s">
        <v>58</v>
      </c>
      <c r="C472" s="17" t="s">
        <v>60</v>
      </c>
      <c r="D472" s="17" t="s">
        <v>66</v>
      </c>
      <c r="E472" s="17" t="s">
        <v>1909</v>
      </c>
      <c r="F472" s="17" t="s">
        <v>115</v>
      </c>
      <c r="G472" s="17" t="s">
        <v>315</v>
      </c>
      <c r="H472" s="17" t="s">
        <v>1494</v>
      </c>
      <c r="I472" s="20" t="n">
        <v>0</v>
      </c>
      <c r="J472" s="20" t="n">
        <v>0</v>
      </c>
      <c r="K472" s="25" t="n">
        <f aca="false">IFERROR(J472/I472,0)</f>
        <v>0</v>
      </c>
      <c r="L472" s="19" t="n">
        <v>0</v>
      </c>
      <c r="M472" s="20" t="n">
        <v>0</v>
      </c>
      <c r="N472" s="8" t="n">
        <f aca="false">IFERROR(M472/J472,0)</f>
        <v>0</v>
      </c>
    </row>
    <row r="473" customFormat="false" ht="15" hidden="false" customHeight="false" outlineLevel="0" collapsed="false">
      <c r="A473" s="17" t="s">
        <v>16</v>
      </c>
      <c r="B473" s="17" t="s">
        <v>58</v>
      </c>
      <c r="C473" s="17" t="s">
        <v>60</v>
      </c>
      <c r="D473" s="17" t="s">
        <v>66</v>
      </c>
      <c r="E473" s="17" t="s">
        <v>1910</v>
      </c>
      <c r="F473" s="17" t="s">
        <v>115</v>
      </c>
      <c r="G473" s="17" t="s">
        <v>315</v>
      </c>
      <c r="H473" s="17" t="s">
        <v>1442</v>
      </c>
      <c r="I473" s="20" t="n">
        <v>0</v>
      </c>
      <c r="J473" s="20" t="n">
        <v>0</v>
      </c>
      <c r="K473" s="25" t="n">
        <f aca="false">IFERROR(J473/I473,0)</f>
        <v>0</v>
      </c>
      <c r="L473" s="19" t="n">
        <v>0</v>
      </c>
      <c r="M473" s="20" t="n">
        <v>0</v>
      </c>
      <c r="N473" s="8" t="n">
        <f aca="false">IFERROR(M473/J473,0)</f>
        <v>0</v>
      </c>
    </row>
    <row r="474" customFormat="false" ht="15" hidden="false" customHeight="false" outlineLevel="0" collapsed="false">
      <c r="A474" s="17" t="s">
        <v>16</v>
      </c>
      <c r="B474" s="17" t="s">
        <v>62</v>
      </c>
      <c r="C474" s="17" t="s">
        <v>60</v>
      </c>
      <c r="D474" s="17" t="s">
        <v>66</v>
      </c>
      <c r="E474" s="17" t="s">
        <v>442</v>
      </c>
      <c r="F474" s="17" t="s">
        <v>118</v>
      </c>
      <c r="G474" s="17" t="s">
        <v>315</v>
      </c>
      <c r="H474" s="17" t="s">
        <v>1911</v>
      </c>
      <c r="I474" s="20" t="n">
        <v>64809</v>
      </c>
      <c r="J474" s="20" t="n">
        <v>274</v>
      </c>
      <c r="K474" s="25" t="n">
        <f aca="false">IFERROR(J474/I474,0)</f>
        <v>0.00422780786619142</v>
      </c>
      <c r="L474" s="19" t="n">
        <v>766.54</v>
      </c>
      <c r="M474" s="20" t="n">
        <v>19</v>
      </c>
      <c r="N474" s="8" t="n">
        <f aca="false">IFERROR(M474/J474,0)</f>
        <v>0.0693430656934307</v>
      </c>
    </row>
    <row r="475" customFormat="false" ht="15" hidden="false" customHeight="false" outlineLevel="0" collapsed="false">
      <c r="A475" s="17" t="s">
        <v>16</v>
      </c>
      <c r="B475" s="17" t="s">
        <v>62</v>
      </c>
      <c r="C475" s="17" t="s">
        <v>60</v>
      </c>
      <c r="D475" s="17" t="s">
        <v>66</v>
      </c>
      <c r="E475" s="17" t="s">
        <v>1912</v>
      </c>
      <c r="F475" s="17" t="s">
        <v>118</v>
      </c>
      <c r="G475" s="17" t="s">
        <v>311</v>
      </c>
      <c r="H475" s="17" t="s">
        <v>1544</v>
      </c>
      <c r="I475" s="20" t="n">
        <v>62265</v>
      </c>
      <c r="J475" s="20" t="n">
        <v>156</v>
      </c>
      <c r="K475" s="25" t="n">
        <f aca="false">IFERROR(J475/I475,0)</f>
        <v>0.00250542038063117</v>
      </c>
      <c r="L475" s="19" t="n">
        <v>372.05</v>
      </c>
      <c r="M475" s="20" t="n">
        <v>19</v>
      </c>
      <c r="N475" s="8" t="n">
        <f aca="false">IFERROR(M475/J475,0)</f>
        <v>0.121794871794872</v>
      </c>
    </row>
    <row r="476" customFormat="false" ht="15" hidden="false" customHeight="false" outlineLevel="0" collapsed="false">
      <c r="A476" s="17" t="s">
        <v>16</v>
      </c>
      <c r="B476" s="17" t="s">
        <v>62</v>
      </c>
      <c r="C476" s="17" t="s">
        <v>60</v>
      </c>
      <c r="D476" s="17" t="s">
        <v>66</v>
      </c>
      <c r="E476" s="17" t="s">
        <v>566</v>
      </c>
      <c r="F476" s="17" t="s">
        <v>118</v>
      </c>
      <c r="G476" s="17" t="s">
        <v>311</v>
      </c>
      <c r="H476" s="17" t="s">
        <v>1531</v>
      </c>
      <c r="I476" s="20" t="n">
        <v>45296</v>
      </c>
      <c r="J476" s="20" t="n">
        <v>124</v>
      </c>
      <c r="K476" s="25" t="n">
        <f aca="false">IFERROR(J476/I476,0)</f>
        <v>0.0027375485694101</v>
      </c>
      <c r="L476" s="19" t="n">
        <v>337.92</v>
      </c>
      <c r="M476" s="20" t="n">
        <v>8</v>
      </c>
      <c r="N476" s="8" t="n">
        <f aca="false">IFERROR(M476/J476,0)</f>
        <v>0.0645161290322581</v>
      </c>
    </row>
    <row r="477" customFormat="false" ht="15" hidden="false" customHeight="false" outlineLevel="0" collapsed="false">
      <c r="A477" s="17" t="s">
        <v>16</v>
      </c>
      <c r="B477" s="17" t="s">
        <v>62</v>
      </c>
      <c r="C477" s="17" t="s">
        <v>60</v>
      </c>
      <c r="D477" s="17" t="s">
        <v>66</v>
      </c>
      <c r="E477" s="17" t="s">
        <v>1913</v>
      </c>
      <c r="F477" s="17" t="s">
        <v>118</v>
      </c>
      <c r="G477" s="17" t="s">
        <v>315</v>
      </c>
      <c r="H477" s="17" t="s">
        <v>1531</v>
      </c>
      <c r="I477" s="20" t="n">
        <v>43793</v>
      </c>
      <c r="J477" s="20" t="n">
        <v>126</v>
      </c>
      <c r="K477" s="25" t="n">
        <f aca="false">IFERROR(J477/I477,0)</f>
        <v>0.00287717215080036</v>
      </c>
      <c r="L477" s="19" t="n">
        <v>458.88</v>
      </c>
      <c r="M477" s="20" t="n">
        <v>17</v>
      </c>
      <c r="N477" s="8" t="n">
        <f aca="false">IFERROR(M477/J477,0)</f>
        <v>0.134920634920635</v>
      </c>
    </row>
    <row r="478" customFormat="false" ht="15" hidden="false" customHeight="false" outlineLevel="0" collapsed="false">
      <c r="A478" s="17" t="s">
        <v>16</v>
      </c>
      <c r="B478" s="17" t="s">
        <v>62</v>
      </c>
      <c r="C478" s="17" t="s">
        <v>60</v>
      </c>
      <c r="D478" s="17" t="s">
        <v>66</v>
      </c>
      <c r="E478" s="17" t="s">
        <v>1914</v>
      </c>
      <c r="F478" s="17" t="s">
        <v>118</v>
      </c>
      <c r="G478" s="17" t="s">
        <v>315</v>
      </c>
      <c r="H478" s="17" t="s">
        <v>1915</v>
      </c>
      <c r="I478" s="20" t="n">
        <v>32238</v>
      </c>
      <c r="J478" s="20" t="n">
        <v>78</v>
      </c>
      <c r="K478" s="25" t="n">
        <f aca="false">IFERROR(J478/I478,0)</f>
        <v>0.00241950493206775</v>
      </c>
      <c r="L478" s="19" t="n">
        <v>334.35</v>
      </c>
      <c r="M478" s="20" t="n">
        <v>9</v>
      </c>
      <c r="N478" s="8" t="n">
        <f aca="false">IFERROR(M478/J478,0)</f>
        <v>0.115384615384615</v>
      </c>
    </row>
    <row r="479" customFormat="false" ht="15" hidden="false" customHeight="false" outlineLevel="0" collapsed="false">
      <c r="A479" s="17" t="s">
        <v>16</v>
      </c>
      <c r="B479" s="17" t="s">
        <v>62</v>
      </c>
      <c r="C479" s="17" t="s">
        <v>60</v>
      </c>
      <c r="D479" s="17" t="s">
        <v>66</v>
      </c>
      <c r="E479" s="17" t="s">
        <v>1916</v>
      </c>
      <c r="F479" s="17" t="s">
        <v>118</v>
      </c>
      <c r="G479" s="17" t="s">
        <v>315</v>
      </c>
      <c r="H479" s="17" t="s">
        <v>1917</v>
      </c>
      <c r="I479" s="20" t="n">
        <v>12852</v>
      </c>
      <c r="J479" s="20" t="n">
        <v>30</v>
      </c>
      <c r="K479" s="25" t="n">
        <f aca="false">IFERROR(J479/I479,0)</f>
        <v>0.00233426704014939</v>
      </c>
      <c r="L479" s="19" t="n">
        <v>62.27</v>
      </c>
      <c r="M479" s="20" t="n">
        <v>2</v>
      </c>
      <c r="N479" s="8" t="n">
        <f aca="false">IFERROR(M479/J479,0)</f>
        <v>0.0666666666666667</v>
      </c>
    </row>
    <row r="480" customFormat="false" ht="15" hidden="false" customHeight="false" outlineLevel="0" collapsed="false">
      <c r="A480" s="17" t="s">
        <v>16</v>
      </c>
      <c r="B480" s="17" t="s">
        <v>62</v>
      </c>
      <c r="C480" s="17" t="s">
        <v>60</v>
      </c>
      <c r="D480" s="17" t="s">
        <v>66</v>
      </c>
      <c r="E480" s="17" t="s">
        <v>568</v>
      </c>
      <c r="F480" s="17" t="s">
        <v>118</v>
      </c>
      <c r="G480" s="17" t="s">
        <v>315</v>
      </c>
      <c r="H480" s="17" t="s">
        <v>1918</v>
      </c>
      <c r="I480" s="20" t="n">
        <v>12388</v>
      </c>
      <c r="J480" s="20" t="n">
        <v>36</v>
      </c>
      <c r="K480" s="25" t="n">
        <f aca="false">IFERROR(J480/I480,0)</f>
        <v>0.00290603810138844</v>
      </c>
      <c r="L480" s="19" t="n">
        <v>53.31</v>
      </c>
      <c r="M480" s="20" t="n">
        <v>4</v>
      </c>
      <c r="N480" s="8" t="n">
        <f aca="false">IFERROR(M480/J480,0)</f>
        <v>0.111111111111111</v>
      </c>
    </row>
    <row r="481" customFormat="false" ht="15" hidden="false" customHeight="false" outlineLevel="0" collapsed="false">
      <c r="A481" s="17" t="s">
        <v>16</v>
      </c>
      <c r="B481" s="17" t="s">
        <v>62</v>
      </c>
      <c r="C481" s="17" t="s">
        <v>66</v>
      </c>
      <c r="D481" s="17" t="s">
        <v>60</v>
      </c>
      <c r="E481" s="17" t="s">
        <v>1919</v>
      </c>
      <c r="F481" s="17" t="s">
        <v>1920</v>
      </c>
      <c r="G481" s="17" t="s">
        <v>315</v>
      </c>
      <c r="H481" s="17" t="s">
        <v>1921</v>
      </c>
      <c r="I481" s="20" t="n">
        <v>8539</v>
      </c>
      <c r="J481" s="20" t="n">
        <v>17</v>
      </c>
      <c r="K481" s="25" t="n">
        <f aca="false">IFERROR(J481/I481,0)</f>
        <v>0.00199086544091814</v>
      </c>
      <c r="L481" s="19" t="n">
        <v>33.94</v>
      </c>
      <c r="M481" s="20" t="n">
        <v>0</v>
      </c>
      <c r="N481" s="8" t="n">
        <f aca="false">IFERROR(M481/J481,0)</f>
        <v>0</v>
      </c>
    </row>
    <row r="482" customFormat="false" ht="15" hidden="false" customHeight="false" outlineLevel="0" collapsed="false">
      <c r="A482" s="17" t="s">
        <v>16</v>
      </c>
      <c r="B482" s="17" t="s">
        <v>62</v>
      </c>
      <c r="C482" s="17" t="s">
        <v>60</v>
      </c>
      <c r="D482" s="17" t="s">
        <v>66</v>
      </c>
      <c r="E482" s="17" t="s">
        <v>1922</v>
      </c>
      <c r="F482" s="17" t="s">
        <v>118</v>
      </c>
      <c r="G482" s="17" t="s">
        <v>315</v>
      </c>
      <c r="H482" s="17" t="s">
        <v>1542</v>
      </c>
      <c r="I482" s="20" t="n">
        <v>3942</v>
      </c>
      <c r="J482" s="20" t="n">
        <v>2</v>
      </c>
      <c r="K482" s="25" t="n">
        <f aca="false">IFERROR(J482/I482,0)</f>
        <v>0.000507356671740233</v>
      </c>
      <c r="L482" s="19" t="n">
        <v>7.2</v>
      </c>
      <c r="M482" s="20" t="n">
        <v>1</v>
      </c>
      <c r="N482" s="8" t="n">
        <f aca="false">IFERROR(M482/J482,0)</f>
        <v>0.5</v>
      </c>
    </row>
    <row r="483" customFormat="false" ht="15" hidden="false" customHeight="false" outlineLevel="0" collapsed="false">
      <c r="A483" s="17" t="s">
        <v>16</v>
      </c>
      <c r="B483" s="17" t="s">
        <v>62</v>
      </c>
      <c r="C483" s="17" t="s">
        <v>60</v>
      </c>
      <c r="D483" s="17" t="s">
        <v>66</v>
      </c>
      <c r="E483" s="17" t="s">
        <v>1923</v>
      </c>
      <c r="F483" s="17" t="s">
        <v>118</v>
      </c>
      <c r="G483" s="17" t="s">
        <v>311</v>
      </c>
      <c r="H483" s="17" t="s">
        <v>1924</v>
      </c>
      <c r="I483" s="20" t="n">
        <v>3132</v>
      </c>
      <c r="J483" s="20" t="n">
        <v>2</v>
      </c>
      <c r="K483" s="25" t="n">
        <f aca="false">IFERROR(J483/I483,0)</f>
        <v>0.000638569604086846</v>
      </c>
      <c r="L483" s="19" t="n">
        <v>1.19</v>
      </c>
      <c r="M483" s="20" t="n">
        <v>0</v>
      </c>
      <c r="N483" s="8" t="n">
        <f aca="false">IFERROR(M483/J483,0)</f>
        <v>0</v>
      </c>
    </row>
    <row r="484" customFormat="false" ht="15" hidden="false" customHeight="false" outlineLevel="0" collapsed="false">
      <c r="A484" s="17" t="s">
        <v>16</v>
      </c>
      <c r="B484" s="17" t="s">
        <v>62</v>
      </c>
      <c r="C484" s="17" t="s">
        <v>60</v>
      </c>
      <c r="D484" s="17" t="s">
        <v>66</v>
      </c>
      <c r="E484" s="17" t="s">
        <v>1925</v>
      </c>
      <c r="F484" s="17" t="s">
        <v>118</v>
      </c>
      <c r="G484" s="17" t="s">
        <v>315</v>
      </c>
      <c r="H484" s="17" t="s">
        <v>1926</v>
      </c>
      <c r="I484" s="20" t="n">
        <v>2916</v>
      </c>
      <c r="J484" s="20" t="n">
        <v>7</v>
      </c>
      <c r="K484" s="25" t="n">
        <f aca="false">IFERROR(J484/I484,0)</f>
        <v>0.00240054869684499</v>
      </c>
      <c r="L484" s="19" t="n">
        <v>12.78</v>
      </c>
      <c r="M484" s="20" t="n">
        <v>0</v>
      </c>
      <c r="N484" s="8" t="n">
        <f aca="false">IFERROR(M484/J484,0)</f>
        <v>0</v>
      </c>
    </row>
    <row r="485" customFormat="false" ht="15" hidden="false" customHeight="false" outlineLevel="0" collapsed="false">
      <c r="A485" s="17" t="s">
        <v>16</v>
      </c>
      <c r="B485" s="17" t="s">
        <v>62</v>
      </c>
      <c r="C485" s="17" t="s">
        <v>66</v>
      </c>
      <c r="D485" s="17" t="s">
        <v>60</v>
      </c>
      <c r="E485" s="17" t="s">
        <v>1927</v>
      </c>
      <c r="F485" s="17" t="s">
        <v>1920</v>
      </c>
      <c r="G485" s="17" t="s">
        <v>315</v>
      </c>
      <c r="H485" s="17" t="s">
        <v>1928</v>
      </c>
      <c r="I485" s="20" t="n">
        <v>2849</v>
      </c>
      <c r="J485" s="20" t="n">
        <v>42</v>
      </c>
      <c r="K485" s="25" t="n">
        <f aca="false">IFERROR(J485/I485,0)</f>
        <v>0.0147420147420147</v>
      </c>
      <c r="L485" s="19" t="n">
        <v>135.09</v>
      </c>
      <c r="M485" s="20" t="n">
        <v>4</v>
      </c>
      <c r="N485" s="8" t="n">
        <f aca="false">IFERROR(M485/J485,0)</f>
        <v>0.0952380952380952</v>
      </c>
    </row>
    <row r="486" customFormat="false" ht="15" hidden="false" customHeight="false" outlineLevel="0" collapsed="false">
      <c r="A486" s="17" t="s">
        <v>16</v>
      </c>
      <c r="B486" s="17" t="s">
        <v>62</v>
      </c>
      <c r="C486" s="17" t="s">
        <v>60</v>
      </c>
      <c r="D486" s="17" t="s">
        <v>66</v>
      </c>
      <c r="E486" s="17" t="s">
        <v>1929</v>
      </c>
      <c r="F486" s="17" t="s">
        <v>118</v>
      </c>
      <c r="G486" s="17" t="s">
        <v>351</v>
      </c>
      <c r="H486" s="17" t="s">
        <v>1924</v>
      </c>
      <c r="I486" s="20" t="n">
        <v>2829</v>
      </c>
      <c r="J486" s="20" t="n">
        <v>3</v>
      </c>
      <c r="K486" s="25" t="n">
        <f aca="false">IFERROR(J486/I486,0)</f>
        <v>0.00106044538706257</v>
      </c>
      <c r="L486" s="19" t="n">
        <v>2.28</v>
      </c>
      <c r="M486" s="20" t="n">
        <v>0</v>
      </c>
      <c r="N486" s="8" t="n">
        <f aca="false">IFERROR(M486/J486,0)</f>
        <v>0</v>
      </c>
    </row>
    <row r="487" customFormat="false" ht="15" hidden="false" customHeight="false" outlineLevel="0" collapsed="false">
      <c r="A487" s="17" t="s">
        <v>16</v>
      </c>
      <c r="B487" s="17" t="s">
        <v>62</v>
      </c>
      <c r="C487" s="17" t="s">
        <v>60</v>
      </c>
      <c r="D487" s="17" t="s">
        <v>66</v>
      </c>
      <c r="E487" s="17" t="s">
        <v>1930</v>
      </c>
      <c r="F487" s="17" t="s">
        <v>118</v>
      </c>
      <c r="G487" s="17" t="s">
        <v>315</v>
      </c>
      <c r="H487" s="17" t="s">
        <v>1529</v>
      </c>
      <c r="I487" s="20" t="n">
        <v>2088</v>
      </c>
      <c r="J487" s="20" t="n">
        <v>3</v>
      </c>
      <c r="K487" s="25" t="n">
        <f aca="false">IFERROR(J487/I487,0)</f>
        <v>0.0014367816091954</v>
      </c>
      <c r="L487" s="19" t="n">
        <v>5.61</v>
      </c>
      <c r="M487" s="20" t="n">
        <v>0</v>
      </c>
      <c r="N487" s="8" t="n">
        <f aca="false">IFERROR(M487/J487,0)</f>
        <v>0</v>
      </c>
    </row>
    <row r="488" customFormat="false" ht="15" hidden="false" customHeight="false" outlineLevel="0" collapsed="false">
      <c r="A488" s="17" t="s">
        <v>16</v>
      </c>
      <c r="B488" s="17" t="s">
        <v>62</v>
      </c>
      <c r="C488" s="17" t="s">
        <v>66</v>
      </c>
      <c r="D488" s="17" t="s">
        <v>60</v>
      </c>
      <c r="E488" s="17" t="s">
        <v>509</v>
      </c>
      <c r="F488" s="17" t="s">
        <v>510</v>
      </c>
      <c r="G488" s="17" t="s">
        <v>315</v>
      </c>
      <c r="H488" s="17" t="s">
        <v>1931</v>
      </c>
      <c r="I488" s="20" t="n">
        <v>2029</v>
      </c>
      <c r="J488" s="20" t="n">
        <v>31</v>
      </c>
      <c r="K488" s="25" t="n">
        <f aca="false">IFERROR(J488/I488,0)</f>
        <v>0.0152784622966979</v>
      </c>
      <c r="L488" s="19" t="n">
        <v>70.85</v>
      </c>
      <c r="M488" s="20" t="n">
        <v>4</v>
      </c>
      <c r="N488" s="8" t="n">
        <f aca="false">IFERROR(M488/J488,0)</f>
        <v>0.129032258064516</v>
      </c>
    </row>
    <row r="489" customFormat="false" ht="15" hidden="false" customHeight="false" outlineLevel="0" collapsed="false">
      <c r="A489" s="17" t="s">
        <v>16</v>
      </c>
      <c r="B489" s="17" t="s">
        <v>62</v>
      </c>
      <c r="C489" s="17" t="s">
        <v>60</v>
      </c>
      <c r="D489" s="17" t="s">
        <v>66</v>
      </c>
      <c r="E489" s="17" t="s">
        <v>1932</v>
      </c>
      <c r="F489" s="17" t="s">
        <v>118</v>
      </c>
      <c r="G489" s="17" t="s">
        <v>315</v>
      </c>
      <c r="H489" s="17" t="s">
        <v>1933</v>
      </c>
      <c r="I489" s="20" t="n">
        <v>1694</v>
      </c>
      <c r="J489" s="20" t="n">
        <v>14</v>
      </c>
      <c r="K489" s="25" t="n">
        <f aca="false">IFERROR(J489/I489,0)</f>
        <v>0.00826446280991736</v>
      </c>
      <c r="L489" s="19" t="n">
        <v>15.12</v>
      </c>
      <c r="M489" s="20" t="n">
        <v>0</v>
      </c>
      <c r="N489" s="8" t="n">
        <f aca="false">IFERROR(M489/J489,0)</f>
        <v>0</v>
      </c>
    </row>
    <row r="490" customFormat="false" ht="15" hidden="false" customHeight="false" outlineLevel="0" collapsed="false">
      <c r="A490" s="17" t="s">
        <v>16</v>
      </c>
      <c r="B490" s="17" t="s">
        <v>62</v>
      </c>
      <c r="C490" s="17" t="s">
        <v>60</v>
      </c>
      <c r="D490" s="17" t="s">
        <v>66</v>
      </c>
      <c r="E490" s="17" t="s">
        <v>1934</v>
      </c>
      <c r="F490" s="17" t="s">
        <v>118</v>
      </c>
      <c r="G490" s="17" t="s">
        <v>315</v>
      </c>
      <c r="H490" s="17" t="s">
        <v>1935</v>
      </c>
      <c r="I490" s="20" t="n">
        <v>1570</v>
      </c>
      <c r="J490" s="20" t="n">
        <v>16</v>
      </c>
      <c r="K490" s="25" t="n">
        <f aca="false">IFERROR(J490/I490,0)</f>
        <v>0.0101910828025478</v>
      </c>
      <c r="L490" s="19" t="n">
        <v>18.28</v>
      </c>
      <c r="M490" s="20" t="n">
        <v>0</v>
      </c>
      <c r="N490" s="8" t="n">
        <f aca="false">IFERROR(M490/J490,0)</f>
        <v>0</v>
      </c>
    </row>
    <row r="491" customFormat="false" ht="15" hidden="false" customHeight="false" outlineLevel="0" collapsed="false">
      <c r="A491" s="17" t="s">
        <v>16</v>
      </c>
      <c r="B491" s="17" t="s">
        <v>62</v>
      </c>
      <c r="C491" s="17" t="s">
        <v>60</v>
      </c>
      <c r="D491" s="17" t="s">
        <v>66</v>
      </c>
      <c r="E491" s="17" t="s">
        <v>1936</v>
      </c>
      <c r="F491" s="17" t="s">
        <v>1937</v>
      </c>
      <c r="G491" s="17" t="s">
        <v>315</v>
      </c>
      <c r="H491" s="17" t="s">
        <v>1569</v>
      </c>
      <c r="I491" s="20" t="n">
        <v>1413</v>
      </c>
      <c r="J491" s="20" t="n">
        <v>5</v>
      </c>
      <c r="K491" s="25" t="n">
        <f aca="false">IFERROR(J491/I491,0)</f>
        <v>0.00353857041755131</v>
      </c>
      <c r="L491" s="19" t="n">
        <v>19.29</v>
      </c>
      <c r="M491" s="20" t="n">
        <v>1</v>
      </c>
      <c r="N491" s="8" t="n">
        <f aca="false">IFERROR(M491/J491,0)</f>
        <v>0.2</v>
      </c>
    </row>
    <row r="492" customFormat="false" ht="15" hidden="false" customHeight="false" outlineLevel="0" collapsed="false">
      <c r="A492" s="17" t="s">
        <v>16</v>
      </c>
      <c r="B492" s="17" t="s">
        <v>62</v>
      </c>
      <c r="C492" s="17" t="s">
        <v>66</v>
      </c>
      <c r="D492" s="17" t="s">
        <v>60</v>
      </c>
      <c r="E492" s="17" t="s">
        <v>1938</v>
      </c>
      <c r="F492" s="17" t="s">
        <v>1920</v>
      </c>
      <c r="G492" s="17" t="s">
        <v>315</v>
      </c>
      <c r="H492" s="17" t="s">
        <v>1939</v>
      </c>
      <c r="I492" s="20" t="n">
        <v>1406</v>
      </c>
      <c r="J492" s="20" t="n">
        <v>0</v>
      </c>
      <c r="K492" s="25" t="n">
        <f aca="false">IFERROR(J492/I492,0)</f>
        <v>0</v>
      </c>
      <c r="L492" s="19" t="n">
        <v>0</v>
      </c>
      <c r="M492" s="20" t="n">
        <v>0</v>
      </c>
      <c r="N492" s="8" t="n">
        <f aca="false">IFERROR(M492/J492,0)</f>
        <v>0</v>
      </c>
    </row>
    <row r="493" customFormat="false" ht="15" hidden="false" customHeight="false" outlineLevel="0" collapsed="false">
      <c r="A493" s="17" t="s">
        <v>16</v>
      </c>
      <c r="B493" s="17" t="s">
        <v>62</v>
      </c>
      <c r="C493" s="17" t="s">
        <v>60</v>
      </c>
      <c r="D493" s="17" t="s">
        <v>66</v>
      </c>
      <c r="E493" s="17" t="s">
        <v>554</v>
      </c>
      <c r="F493" s="17" t="s">
        <v>118</v>
      </c>
      <c r="G493" s="17" t="s">
        <v>315</v>
      </c>
      <c r="H493" s="17" t="s">
        <v>1940</v>
      </c>
      <c r="I493" s="20" t="n">
        <v>1402</v>
      </c>
      <c r="J493" s="20" t="n">
        <v>48</v>
      </c>
      <c r="K493" s="25" t="n">
        <f aca="false">IFERROR(J493/I493,0)</f>
        <v>0.0342368045649073</v>
      </c>
      <c r="L493" s="19" t="n">
        <v>178.37</v>
      </c>
      <c r="M493" s="20" t="n">
        <v>7</v>
      </c>
      <c r="N493" s="8" t="n">
        <f aca="false">IFERROR(M493/J493,0)</f>
        <v>0.145833333333333</v>
      </c>
    </row>
    <row r="494" customFormat="false" ht="15" hidden="false" customHeight="false" outlineLevel="0" collapsed="false">
      <c r="A494" s="17" t="s">
        <v>16</v>
      </c>
      <c r="B494" s="17" t="s">
        <v>62</v>
      </c>
      <c r="C494" s="17" t="s">
        <v>60</v>
      </c>
      <c r="D494" s="17" t="s">
        <v>66</v>
      </c>
      <c r="E494" s="17" t="s">
        <v>1941</v>
      </c>
      <c r="F494" s="17" t="s">
        <v>118</v>
      </c>
      <c r="G494" s="17" t="s">
        <v>315</v>
      </c>
      <c r="H494" s="17" t="s">
        <v>1279</v>
      </c>
      <c r="I494" s="20" t="n">
        <v>1401</v>
      </c>
      <c r="J494" s="20" t="n">
        <v>30</v>
      </c>
      <c r="K494" s="25" t="n">
        <f aca="false">IFERROR(J494/I494,0)</f>
        <v>0.0214132762312634</v>
      </c>
      <c r="L494" s="19" t="n">
        <v>159.49</v>
      </c>
      <c r="M494" s="20" t="n">
        <v>2</v>
      </c>
      <c r="N494" s="8" t="n">
        <f aca="false">IFERROR(M494/J494,0)</f>
        <v>0.0666666666666667</v>
      </c>
    </row>
    <row r="495" customFormat="false" ht="15" hidden="false" customHeight="false" outlineLevel="0" collapsed="false">
      <c r="A495" s="17" t="s">
        <v>16</v>
      </c>
      <c r="B495" s="17" t="s">
        <v>62</v>
      </c>
      <c r="C495" s="17" t="s">
        <v>66</v>
      </c>
      <c r="D495" s="17" t="s">
        <v>60</v>
      </c>
      <c r="E495" s="17" t="s">
        <v>1942</v>
      </c>
      <c r="F495" s="17" t="s">
        <v>1920</v>
      </c>
      <c r="G495" s="17" t="s">
        <v>315</v>
      </c>
      <c r="H495" s="17" t="s">
        <v>1943</v>
      </c>
      <c r="I495" s="20" t="n">
        <v>1242</v>
      </c>
      <c r="J495" s="20" t="n">
        <v>9</v>
      </c>
      <c r="K495" s="25" t="n">
        <f aca="false">IFERROR(J495/I495,0)</f>
        <v>0.0072463768115942</v>
      </c>
      <c r="L495" s="19" t="n">
        <v>46.9</v>
      </c>
      <c r="M495" s="20" t="n">
        <v>2</v>
      </c>
      <c r="N495" s="8" t="n">
        <f aca="false">IFERROR(M495/J495,0)</f>
        <v>0.222222222222222</v>
      </c>
    </row>
    <row r="496" customFormat="false" ht="15" hidden="false" customHeight="false" outlineLevel="0" collapsed="false">
      <c r="A496" s="17" t="s">
        <v>16</v>
      </c>
      <c r="B496" s="17" t="s">
        <v>62</v>
      </c>
      <c r="C496" s="17" t="s">
        <v>60</v>
      </c>
      <c r="D496" s="17" t="s">
        <v>66</v>
      </c>
      <c r="E496" s="17" t="s">
        <v>540</v>
      </c>
      <c r="F496" s="17" t="s">
        <v>118</v>
      </c>
      <c r="G496" s="17" t="s">
        <v>315</v>
      </c>
      <c r="H496" s="17" t="s">
        <v>1529</v>
      </c>
      <c r="I496" s="20" t="n">
        <v>1151</v>
      </c>
      <c r="J496" s="20" t="n">
        <v>14</v>
      </c>
      <c r="K496" s="25" t="n">
        <f aca="false">IFERROR(J496/I496,0)</f>
        <v>0.0121633362293658</v>
      </c>
      <c r="L496" s="19" t="n">
        <v>42.7</v>
      </c>
      <c r="M496" s="20" t="n">
        <v>2</v>
      </c>
      <c r="N496" s="8" t="n">
        <f aca="false">IFERROR(M496/J496,0)</f>
        <v>0.142857142857143</v>
      </c>
    </row>
    <row r="497" customFormat="false" ht="15" hidden="false" customHeight="false" outlineLevel="0" collapsed="false">
      <c r="A497" s="17" t="s">
        <v>16</v>
      </c>
      <c r="B497" s="17" t="s">
        <v>62</v>
      </c>
      <c r="C497" s="17" t="s">
        <v>60</v>
      </c>
      <c r="D497" s="17" t="s">
        <v>66</v>
      </c>
      <c r="E497" s="17" t="s">
        <v>1944</v>
      </c>
      <c r="F497" s="17" t="s">
        <v>118</v>
      </c>
      <c r="G497" s="17" t="s">
        <v>315</v>
      </c>
      <c r="H497" s="17" t="s">
        <v>1945</v>
      </c>
      <c r="I497" s="20" t="n">
        <v>1052</v>
      </c>
      <c r="J497" s="20" t="n">
        <v>13</v>
      </c>
      <c r="K497" s="25" t="n">
        <f aca="false">IFERROR(J497/I497,0)</f>
        <v>0.0123574144486692</v>
      </c>
      <c r="L497" s="19" t="n">
        <v>73.9</v>
      </c>
      <c r="M497" s="20" t="n">
        <v>2</v>
      </c>
      <c r="N497" s="8" t="n">
        <f aca="false">IFERROR(M497/J497,0)</f>
        <v>0.153846153846154</v>
      </c>
    </row>
    <row r="498" customFormat="false" ht="15" hidden="false" customHeight="false" outlineLevel="0" collapsed="false">
      <c r="A498" s="17" t="s">
        <v>16</v>
      </c>
      <c r="B498" s="17" t="s">
        <v>62</v>
      </c>
      <c r="C498" s="17" t="s">
        <v>60</v>
      </c>
      <c r="D498" s="17" t="s">
        <v>66</v>
      </c>
      <c r="E498" s="17" t="s">
        <v>1946</v>
      </c>
      <c r="F498" s="17" t="s">
        <v>118</v>
      </c>
      <c r="G498" s="17" t="s">
        <v>315</v>
      </c>
      <c r="H498" s="17" t="s">
        <v>1947</v>
      </c>
      <c r="I498" s="20" t="n">
        <v>862</v>
      </c>
      <c r="J498" s="20" t="n">
        <v>0</v>
      </c>
      <c r="K498" s="25" t="n">
        <f aca="false">IFERROR(J498/I498,0)</f>
        <v>0</v>
      </c>
      <c r="L498" s="19" t="n">
        <v>0</v>
      </c>
      <c r="M498" s="20" t="n">
        <v>0</v>
      </c>
      <c r="N498" s="8" t="n">
        <f aca="false">IFERROR(M498/J498,0)</f>
        <v>0</v>
      </c>
    </row>
    <row r="499" customFormat="false" ht="15" hidden="false" customHeight="false" outlineLevel="0" collapsed="false">
      <c r="A499" s="17" t="s">
        <v>16</v>
      </c>
      <c r="B499" s="17" t="s">
        <v>62</v>
      </c>
      <c r="C499" s="17" t="s">
        <v>60</v>
      </c>
      <c r="D499" s="17" t="s">
        <v>66</v>
      </c>
      <c r="E499" s="17" t="s">
        <v>1948</v>
      </c>
      <c r="F499" s="17" t="s">
        <v>118</v>
      </c>
      <c r="G499" s="17" t="s">
        <v>315</v>
      </c>
      <c r="H499" s="17" t="s">
        <v>1949</v>
      </c>
      <c r="I499" s="20" t="n">
        <v>860</v>
      </c>
      <c r="J499" s="20" t="n">
        <v>2</v>
      </c>
      <c r="K499" s="25" t="n">
        <f aca="false">IFERROR(J499/I499,0)</f>
        <v>0.00232558139534884</v>
      </c>
      <c r="L499" s="19" t="n">
        <v>3.78</v>
      </c>
      <c r="M499" s="20" t="n">
        <v>0</v>
      </c>
      <c r="N499" s="8" t="n">
        <f aca="false">IFERROR(M499/J499,0)</f>
        <v>0</v>
      </c>
    </row>
    <row r="500" customFormat="false" ht="15" hidden="false" customHeight="false" outlineLevel="0" collapsed="false">
      <c r="A500" s="17" t="s">
        <v>16</v>
      </c>
      <c r="B500" s="17" t="s">
        <v>62</v>
      </c>
      <c r="C500" s="17" t="s">
        <v>60</v>
      </c>
      <c r="D500" s="17" t="s">
        <v>66</v>
      </c>
      <c r="E500" s="17" t="s">
        <v>1950</v>
      </c>
      <c r="F500" s="17" t="s">
        <v>118</v>
      </c>
      <c r="G500" s="17" t="s">
        <v>315</v>
      </c>
      <c r="H500" s="17" t="s">
        <v>1951</v>
      </c>
      <c r="I500" s="20" t="n">
        <v>760</v>
      </c>
      <c r="J500" s="20" t="n">
        <v>0</v>
      </c>
      <c r="K500" s="25" t="n">
        <f aca="false">IFERROR(J500/I500,0)</f>
        <v>0</v>
      </c>
      <c r="L500" s="19" t="n">
        <v>0</v>
      </c>
      <c r="M500" s="20" t="n">
        <v>0</v>
      </c>
      <c r="N500" s="8" t="n">
        <f aca="false">IFERROR(M500/J500,0)</f>
        <v>0</v>
      </c>
    </row>
    <row r="501" customFormat="false" ht="15" hidden="false" customHeight="false" outlineLevel="0" collapsed="false">
      <c r="A501" s="17" t="s">
        <v>16</v>
      </c>
      <c r="B501" s="17" t="s">
        <v>62</v>
      </c>
      <c r="C501" s="17" t="s">
        <v>60</v>
      </c>
      <c r="D501" s="17" t="s">
        <v>66</v>
      </c>
      <c r="E501" s="17" t="s">
        <v>1952</v>
      </c>
      <c r="F501" s="17" t="s">
        <v>118</v>
      </c>
      <c r="G501" s="17" t="s">
        <v>315</v>
      </c>
      <c r="H501" s="17" t="s">
        <v>1612</v>
      </c>
      <c r="I501" s="20" t="n">
        <v>673</v>
      </c>
      <c r="J501" s="20" t="n">
        <v>1</v>
      </c>
      <c r="K501" s="25" t="n">
        <f aca="false">IFERROR(J501/I501,0)</f>
        <v>0.00148588410104012</v>
      </c>
      <c r="L501" s="19" t="n">
        <v>2.51</v>
      </c>
      <c r="M501" s="20" t="n">
        <v>0</v>
      </c>
      <c r="N501" s="8" t="n">
        <f aca="false">IFERROR(M501/J501,0)</f>
        <v>0</v>
      </c>
    </row>
    <row r="502" customFormat="false" ht="15" hidden="false" customHeight="false" outlineLevel="0" collapsed="false">
      <c r="A502" s="17" t="s">
        <v>16</v>
      </c>
      <c r="B502" s="17" t="s">
        <v>62</v>
      </c>
      <c r="C502" s="17" t="s">
        <v>60</v>
      </c>
      <c r="D502" s="17" t="s">
        <v>66</v>
      </c>
      <c r="E502" s="17" t="s">
        <v>1953</v>
      </c>
      <c r="F502" s="17" t="s">
        <v>118</v>
      </c>
      <c r="G502" s="17" t="s">
        <v>315</v>
      </c>
      <c r="H502" s="17" t="s">
        <v>1954</v>
      </c>
      <c r="I502" s="20" t="n">
        <v>547</v>
      </c>
      <c r="J502" s="20" t="n">
        <v>24</v>
      </c>
      <c r="K502" s="25" t="n">
        <f aca="false">IFERROR(J502/I502,0)</f>
        <v>0.0438756855575868</v>
      </c>
      <c r="L502" s="19" t="n">
        <v>157.64</v>
      </c>
      <c r="M502" s="20" t="n">
        <v>4</v>
      </c>
      <c r="N502" s="8" t="n">
        <f aca="false">IFERROR(M502/J502,0)</f>
        <v>0.166666666666667</v>
      </c>
    </row>
    <row r="503" customFormat="false" ht="15" hidden="false" customHeight="false" outlineLevel="0" collapsed="false">
      <c r="A503" s="17" t="s">
        <v>16</v>
      </c>
      <c r="B503" s="17" t="s">
        <v>62</v>
      </c>
      <c r="C503" s="17" t="s">
        <v>60</v>
      </c>
      <c r="D503" s="17" t="s">
        <v>66</v>
      </c>
      <c r="E503" s="17" t="s">
        <v>1955</v>
      </c>
      <c r="F503" s="17" t="s">
        <v>118</v>
      </c>
      <c r="G503" s="17" t="s">
        <v>315</v>
      </c>
      <c r="H503" s="17" t="s">
        <v>1956</v>
      </c>
      <c r="I503" s="20" t="n">
        <v>449</v>
      </c>
      <c r="J503" s="20" t="n">
        <v>5</v>
      </c>
      <c r="K503" s="25" t="n">
        <f aca="false">IFERROR(J503/I503,0)</f>
        <v>0.0111358574610245</v>
      </c>
      <c r="L503" s="19" t="n">
        <v>31.88</v>
      </c>
      <c r="M503" s="20" t="n">
        <v>0</v>
      </c>
      <c r="N503" s="8" t="n">
        <f aca="false">IFERROR(M503/J503,0)</f>
        <v>0</v>
      </c>
    </row>
    <row r="504" customFormat="false" ht="15" hidden="false" customHeight="false" outlineLevel="0" collapsed="false">
      <c r="A504" s="17" t="s">
        <v>16</v>
      </c>
      <c r="B504" s="17" t="s">
        <v>62</v>
      </c>
      <c r="C504" s="17" t="s">
        <v>60</v>
      </c>
      <c r="D504" s="17" t="s">
        <v>66</v>
      </c>
      <c r="E504" s="17" t="s">
        <v>1957</v>
      </c>
      <c r="F504" s="17" t="s">
        <v>118</v>
      </c>
      <c r="G504" s="17" t="s">
        <v>311</v>
      </c>
      <c r="H504" s="17" t="s">
        <v>1958</v>
      </c>
      <c r="I504" s="20" t="n">
        <v>406</v>
      </c>
      <c r="J504" s="20" t="n">
        <v>1</v>
      </c>
      <c r="K504" s="25" t="n">
        <f aca="false">IFERROR(J504/I504,0)</f>
        <v>0.00246305418719212</v>
      </c>
      <c r="L504" s="19" t="n">
        <v>1.69</v>
      </c>
      <c r="M504" s="20" t="n">
        <v>0</v>
      </c>
      <c r="N504" s="8" t="n">
        <f aca="false">IFERROR(M504/J504,0)</f>
        <v>0</v>
      </c>
    </row>
    <row r="505" customFormat="false" ht="15" hidden="false" customHeight="false" outlineLevel="0" collapsed="false">
      <c r="A505" s="17" t="s">
        <v>16</v>
      </c>
      <c r="B505" s="17" t="s">
        <v>62</v>
      </c>
      <c r="C505" s="17" t="s">
        <v>60</v>
      </c>
      <c r="D505" s="17" t="s">
        <v>66</v>
      </c>
      <c r="E505" s="17" t="s">
        <v>1959</v>
      </c>
      <c r="F505" s="17" t="s">
        <v>1960</v>
      </c>
      <c r="G505" s="17" t="s">
        <v>315</v>
      </c>
      <c r="H505" s="17" t="s">
        <v>1270</v>
      </c>
      <c r="I505" s="20" t="n">
        <v>396</v>
      </c>
      <c r="J505" s="20" t="n">
        <v>0</v>
      </c>
      <c r="K505" s="25" t="n">
        <f aca="false">IFERROR(J505/I505,0)</f>
        <v>0</v>
      </c>
      <c r="L505" s="19" t="n">
        <v>0</v>
      </c>
      <c r="M505" s="20" t="n">
        <v>0</v>
      </c>
      <c r="N505" s="8" t="n">
        <f aca="false">IFERROR(M505/J505,0)</f>
        <v>0</v>
      </c>
    </row>
    <row r="506" customFormat="false" ht="15" hidden="false" customHeight="false" outlineLevel="0" collapsed="false">
      <c r="A506" s="17" t="s">
        <v>16</v>
      </c>
      <c r="B506" s="17" t="s">
        <v>62</v>
      </c>
      <c r="C506" s="17" t="s">
        <v>60</v>
      </c>
      <c r="D506" s="17" t="s">
        <v>66</v>
      </c>
      <c r="E506" s="17" t="s">
        <v>1961</v>
      </c>
      <c r="F506" s="17" t="s">
        <v>118</v>
      </c>
      <c r="G506" s="17" t="s">
        <v>315</v>
      </c>
      <c r="H506" s="17" t="s">
        <v>1962</v>
      </c>
      <c r="I506" s="20" t="n">
        <v>394</v>
      </c>
      <c r="J506" s="20" t="n">
        <v>7</v>
      </c>
      <c r="K506" s="25" t="n">
        <f aca="false">IFERROR(J506/I506,0)</f>
        <v>0.0177664974619289</v>
      </c>
      <c r="L506" s="19" t="n">
        <v>38.78</v>
      </c>
      <c r="M506" s="20" t="n">
        <v>0</v>
      </c>
      <c r="N506" s="8" t="n">
        <f aca="false">IFERROR(M506/J506,0)</f>
        <v>0</v>
      </c>
    </row>
    <row r="507" customFormat="false" ht="15" hidden="false" customHeight="false" outlineLevel="0" collapsed="false">
      <c r="A507" s="17" t="s">
        <v>16</v>
      </c>
      <c r="B507" s="17" t="s">
        <v>62</v>
      </c>
      <c r="C507" s="17" t="s">
        <v>60</v>
      </c>
      <c r="D507" s="17" t="s">
        <v>66</v>
      </c>
      <c r="E507" s="17" t="s">
        <v>1963</v>
      </c>
      <c r="F507" s="17" t="s">
        <v>118</v>
      </c>
      <c r="G507" s="17" t="s">
        <v>315</v>
      </c>
      <c r="H507" s="17" t="s">
        <v>1964</v>
      </c>
      <c r="I507" s="20" t="n">
        <v>380</v>
      </c>
      <c r="J507" s="20" t="n">
        <v>3</v>
      </c>
      <c r="K507" s="25" t="n">
        <f aca="false">IFERROR(J507/I507,0)</f>
        <v>0.00789473684210526</v>
      </c>
      <c r="L507" s="19" t="n">
        <v>3.12</v>
      </c>
      <c r="M507" s="20" t="n">
        <v>0</v>
      </c>
      <c r="N507" s="8" t="n">
        <f aca="false">IFERROR(M507/J507,0)</f>
        <v>0</v>
      </c>
    </row>
    <row r="508" customFormat="false" ht="15" hidden="false" customHeight="false" outlineLevel="0" collapsed="false">
      <c r="A508" s="17" t="s">
        <v>16</v>
      </c>
      <c r="B508" s="17" t="s">
        <v>62</v>
      </c>
      <c r="C508" s="17" t="s">
        <v>60</v>
      </c>
      <c r="D508" s="17" t="s">
        <v>66</v>
      </c>
      <c r="E508" s="17" t="s">
        <v>1965</v>
      </c>
      <c r="F508" s="17" t="s">
        <v>118</v>
      </c>
      <c r="G508" s="17" t="s">
        <v>315</v>
      </c>
      <c r="H508" s="17" t="s">
        <v>1966</v>
      </c>
      <c r="I508" s="20" t="n">
        <v>338</v>
      </c>
      <c r="J508" s="20" t="n">
        <v>14</v>
      </c>
      <c r="K508" s="25" t="n">
        <f aca="false">IFERROR(J508/I508,0)</f>
        <v>0.0414201183431953</v>
      </c>
      <c r="L508" s="19" t="n">
        <v>85</v>
      </c>
      <c r="M508" s="20" t="n">
        <v>2</v>
      </c>
      <c r="N508" s="8" t="n">
        <f aca="false">IFERROR(M508/J508,0)</f>
        <v>0.142857142857143</v>
      </c>
    </row>
    <row r="509" customFormat="false" ht="15" hidden="false" customHeight="false" outlineLevel="0" collapsed="false">
      <c r="A509" s="17" t="s">
        <v>16</v>
      </c>
      <c r="B509" s="17" t="s">
        <v>62</v>
      </c>
      <c r="C509" s="17" t="s">
        <v>60</v>
      </c>
      <c r="D509" s="17" t="s">
        <v>66</v>
      </c>
      <c r="E509" s="17" t="s">
        <v>1967</v>
      </c>
      <c r="F509" s="17" t="s">
        <v>118</v>
      </c>
      <c r="G509" s="17" t="s">
        <v>315</v>
      </c>
      <c r="H509" s="17" t="s">
        <v>1968</v>
      </c>
      <c r="I509" s="20" t="n">
        <v>330</v>
      </c>
      <c r="J509" s="20" t="n">
        <v>14</v>
      </c>
      <c r="K509" s="25" t="n">
        <f aca="false">IFERROR(J509/I509,0)</f>
        <v>0.0424242424242424</v>
      </c>
      <c r="L509" s="19" t="n">
        <v>90.08</v>
      </c>
      <c r="M509" s="20" t="n">
        <v>2</v>
      </c>
      <c r="N509" s="8" t="n">
        <f aca="false">IFERROR(M509/J509,0)</f>
        <v>0.142857142857143</v>
      </c>
    </row>
    <row r="510" customFormat="false" ht="15" hidden="false" customHeight="false" outlineLevel="0" collapsed="false">
      <c r="A510" s="17" t="s">
        <v>16</v>
      </c>
      <c r="B510" s="17" t="s">
        <v>62</v>
      </c>
      <c r="C510" s="17" t="s">
        <v>60</v>
      </c>
      <c r="D510" s="17" t="s">
        <v>66</v>
      </c>
      <c r="E510" s="17" t="s">
        <v>1969</v>
      </c>
      <c r="F510" s="17" t="s">
        <v>118</v>
      </c>
      <c r="G510" s="17" t="s">
        <v>315</v>
      </c>
      <c r="H510" s="17" t="s">
        <v>1608</v>
      </c>
      <c r="I510" s="20" t="n">
        <v>277</v>
      </c>
      <c r="J510" s="20" t="n">
        <v>0</v>
      </c>
      <c r="K510" s="25" t="n">
        <f aca="false">IFERROR(J510/I510,0)</f>
        <v>0</v>
      </c>
      <c r="L510" s="19" t="n">
        <v>0</v>
      </c>
      <c r="M510" s="20" t="n">
        <v>0</v>
      </c>
      <c r="N510" s="8" t="n">
        <f aca="false">IFERROR(M510/J510,0)</f>
        <v>0</v>
      </c>
    </row>
    <row r="511" customFormat="false" ht="15" hidden="false" customHeight="false" outlineLevel="0" collapsed="false">
      <c r="A511" s="17" t="s">
        <v>16</v>
      </c>
      <c r="B511" s="17" t="s">
        <v>62</v>
      </c>
      <c r="C511" s="17" t="s">
        <v>60</v>
      </c>
      <c r="D511" s="17" t="s">
        <v>66</v>
      </c>
      <c r="E511" s="17" t="s">
        <v>1970</v>
      </c>
      <c r="F511" s="17" t="s">
        <v>118</v>
      </c>
      <c r="G511" s="17" t="s">
        <v>315</v>
      </c>
      <c r="H511" s="17" t="s">
        <v>1548</v>
      </c>
      <c r="I511" s="20" t="n">
        <v>264</v>
      </c>
      <c r="J511" s="20" t="n">
        <v>1</v>
      </c>
      <c r="K511" s="25" t="n">
        <f aca="false">IFERROR(J511/I511,0)</f>
        <v>0.00378787878787879</v>
      </c>
      <c r="L511" s="19" t="n">
        <v>1.27</v>
      </c>
      <c r="M511" s="20" t="n">
        <v>0</v>
      </c>
      <c r="N511" s="8" t="n">
        <f aca="false">IFERROR(M511/J511,0)</f>
        <v>0</v>
      </c>
    </row>
    <row r="512" customFormat="false" ht="15" hidden="false" customHeight="false" outlineLevel="0" collapsed="false">
      <c r="A512" s="17" t="s">
        <v>16</v>
      </c>
      <c r="B512" s="17" t="s">
        <v>62</v>
      </c>
      <c r="C512" s="17" t="s">
        <v>60</v>
      </c>
      <c r="D512" s="17" t="s">
        <v>66</v>
      </c>
      <c r="E512" s="17" t="s">
        <v>1971</v>
      </c>
      <c r="F512" s="17" t="s">
        <v>118</v>
      </c>
      <c r="G512" s="17" t="s">
        <v>315</v>
      </c>
      <c r="H512" s="17" t="s">
        <v>1593</v>
      </c>
      <c r="I512" s="20" t="n">
        <v>247</v>
      </c>
      <c r="J512" s="20" t="n">
        <v>3</v>
      </c>
      <c r="K512" s="25" t="n">
        <f aca="false">IFERROR(J512/I512,0)</f>
        <v>0.0121457489878543</v>
      </c>
      <c r="L512" s="19" t="n">
        <v>16.26</v>
      </c>
      <c r="M512" s="20" t="n">
        <v>0</v>
      </c>
      <c r="N512" s="8" t="n">
        <f aca="false">IFERROR(M512/J512,0)</f>
        <v>0</v>
      </c>
    </row>
    <row r="513" customFormat="false" ht="15" hidden="false" customHeight="false" outlineLevel="0" collapsed="false">
      <c r="A513" s="17" t="s">
        <v>16</v>
      </c>
      <c r="B513" s="17" t="s">
        <v>62</v>
      </c>
      <c r="C513" s="17" t="s">
        <v>60</v>
      </c>
      <c r="D513" s="17" t="s">
        <v>66</v>
      </c>
      <c r="E513" s="17" t="s">
        <v>1972</v>
      </c>
      <c r="F513" s="17" t="s">
        <v>118</v>
      </c>
      <c r="G513" s="17" t="s">
        <v>315</v>
      </c>
      <c r="H513" s="17" t="s">
        <v>1973</v>
      </c>
      <c r="I513" s="20" t="n">
        <v>243</v>
      </c>
      <c r="J513" s="20" t="n">
        <v>0</v>
      </c>
      <c r="K513" s="25" t="n">
        <f aca="false">IFERROR(J513/I513,0)</f>
        <v>0</v>
      </c>
      <c r="L513" s="19" t="n">
        <v>0</v>
      </c>
      <c r="M513" s="20" t="n">
        <v>0</v>
      </c>
      <c r="N513" s="8" t="n">
        <f aca="false">IFERROR(M513/J513,0)</f>
        <v>0</v>
      </c>
    </row>
    <row r="514" customFormat="false" ht="15" hidden="false" customHeight="false" outlineLevel="0" collapsed="false">
      <c r="A514" s="17" t="s">
        <v>16</v>
      </c>
      <c r="B514" s="17" t="s">
        <v>62</v>
      </c>
      <c r="C514" s="17" t="s">
        <v>60</v>
      </c>
      <c r="D514" s="17" t="s">
        <v>66</v>
      </c>
      <c r="E514" s="17" t="s">
        <v>1974</v>
      </c>
      <c r="F514" s="17" t="s">
        <v>118</v>
      </c>
      <c r="G514" s="17" t="s">
        <v>315</v>
      </c>
      <c r="H514" s="17" t="s">
        <v>1975</v>
      </c>
      <c r="I514" s="20" t="n">
        <v>236</v>
      </c>
      <c r="J514" s="20" t="n">
        <v>2</v>
      </c>
      <c r="K514" s="25" t="n">
        <f aca="false">IFERROR(J514/I514,0)</f>
        <v>0.00847457627118644</v>
      </c>
      <c r="L514" s="19" t="n">
        <v>8.08</v>
      </c>
      <c r="M514" s="20" t="n">
        <v>0</v>
      </c>
      <c r="N514" s="8" t="n">
        <f aca="false">IFERROR(M514/J514,0)</f>
        <v>0</v>
      </c>
    </row>
    <row r="515" customFormat="false" ht="15" hidden="false" customHeight="false" outlineLevel="0" collapsed="false">
      <c r="A515" s="17" t="s">
        <v>16</v>
      </c>
      <c r="B515" s="17" t="s">
        <v>62</v>
      </c>
      <c r="C515" s="17" t="s">
        <v>60</v>
      </c>
      <c r="D515" s="17" t="s">
        <v>66</v>
      </c>
      <c r="E515" s="17" t="s">
        <v>1976</v>
      </c>
      <c r="F515" s="17" t="s">
        <v>118</v>
      </c>
      <c r="G515" s="17" t="s">
        <v>315</v>
      </c>
      <c r="H515" s="17" t="s">
        <v>1977</v>
      </c>
      <c r="I515" s="20" t="n">
        <v>207</v>
      </c>
      <c r="J515" s="20" t="n">
        <v>0</v>
      </c>
      <c r="K515" s="25" t="n">
        <f aca="false">IFERROR(J515/I515,0)</f>
        <v>0</v>
      </c>
      <c r="L515" s="19" t="n">
        <v>0</v>
      </c>
      <c r="M515" s="20" t="n">
        <v>0</v>
      </c>
      <c r="N515" s="8" t="n">
        <f aca="false">IFERROR(M515/J515,0)</f>
        <v>0</v>
      </c>
    </row>
    <row r="516" customFormat="false" ht="15" hidden="false" customHeight="false" outlineLevel="0" collapsed="false">
      <c r="A516" s="17" t="s">
        <v>16</v>
      </c>
      <c r="B516" s="17" t="s">
        <v>62</v>
      </c>
      <c r="C516" s="17" t="s">
        <v>60</v>
      </c>
      <c r="D516" s="17" t="s">
        <v>66</v>
      </c>
      <c r="E516" s="17" t="s">
        <v>1978</v>
      </c>
      <c r="F516" s="17" t="s">
        <v>118</v>
      </c>
      <c r="G516" s="17" t="s">
        <v>315</v>
      </c>
      <c r="H516" s="17" t="s">
        <v>1423</v>
      </c>
      <c r="I516" s="20" t="n">
        <v>201</v>
      </c>
      <c r="J516" s="20" t="n">
        <v>7</v>
      </c>
      <c r="K516" s="25" t="n">
        <f aca="false">IFERROR(J516/I516,0)</f>
        <v>0.0348258706467662</v>
      </c>
      <c r="L516" s="19" t="n">
        <v>47.37</v>
      </c>
      <c r="M516" s="20" t="n">
        <v>0</v>
      </c>
      <c r="N516" s="8" t="n">
        <f aca="false">IFERROR(M516/J516,0)</f>
        <v>0</v>
      </c>
    </row>
    <row r="517" customFormat="false" ht="15" hidden="false" customHeight="false" outlineLevel="0" collapsed="false">
      <c r="A517" s="17" t="s">
        <v>16</v>
      </c>
      <c r="B517" s="17" t="s">
        <v>62</v>
      </c>
      <c r="C517" s="17" t="s">
        <v>60</v>
      </c>
      <c r="D517" s="17" t="s">
        <v>66</v>
      </c>
      <c r="E517" s="17" t="s">
        <v>1979</v>
      </c>
      <c r="F517" s="17" t="s">
        <v>118</v>
      </c>
      <c r="G517" s="17" t="s">
        <v>315</v>
      </c>
      <c r="H517" s="17" t="s">
        <v>1980</v>
      </c>
      <c r="I517" s="20" t="n">
        <v>186</v>
      </c>
      <c r="J517" s="20" t="n">
        <v>12</v>
      </c>
      <c r="K517" s="25" t="n">
        <f aca="false">IFERROR(J517/I517,0)</f>
        <v>0.0645161290322581</v>
      </c>
      <c r="L517" s="19" t="n">
        <v>86.23</v>
      </c>
      <c r="M517" s="20" t="n">
        <v>1</v>
      </c>
      <c r="N517" s="8" t="n">
        <f aca="false">IFERROR(M517/J517,0)</f>
        <v>0.0833333333333333</v>
      </c>
    </row>
    <row r="518" customFormat="false" ht="15" hidden="false" customHeight="false" outlineLevel="0" collapsed="false">
      <c r="A518" s="17" t="s">
        <v>16</v>
      </c>
      <c r="B518" s="17" t="s">
        <v>62</v>
      </c>
      <c r="C518" s="17" t="s">
        <v>60</v>
      </c>
      <c r="D518" s="17" t="s">
        <v>66</v>
      </c>
      <c r="E518" s="17" t="s">
        <v>1981</v>
      </c>
      <c r="F518" s="17" t="s">
        <v>118</v>
      </c>
      <c r="G518" s="17" t="s">
        <v>315</v>
      </c>
      <c r="H518" s="17" t="s">
        <v>1982</v>
      </c>
      <c r="I518" s="20" t="n">
        <v>181</v>
      </c>
      <c r="J518" s="20" t="n">
        <v>3</v>
      </c>
      <c r="K518" s="25" t="n">
        <f aca="false">IFERROR(J518/I518,0)</f>
        <v>0.0165745856353591</v>
      </c>
      <c r="L518" s="19" t="n">
        <v>21.57</v>
      </c>
      <c r="M518" s="20" t="n">
        <v>1</v>
      </c>
      <c r="N518" s="8" t="n">
        <f aca="false">IFERROR(M518/J518,0)</f>
        <v>0.333333333333333</v>
      </c>
    </row>
    <row r="519" customFormat="false" ht="15" hidden="false" customHeight="false" outlineLevel="0" collapsed="false">
      <c r="A519" s="17" t="s">
        <v>16</v>
      </c>
      <c r="B519" s="17" t="s">
        <v>62</v>
      </c>
      <c r="C519" s="17" t="s">
        <v>60</v>
      </c>
      <c r="D519" s="17" t="s">
        <v>66</v>
      </c>
      <c r="E519" s="17" t="s">
        <v>1983</v>
      </c>
      <c r="F519" s="17" t="s">
        <v>118</v>
      </c>
      <c r="G519" s="17" t="s">
        <v>315</v>
      </c>
      <c r="H519" s="17" t="s">
        <v>1984</v>
      </c>
      <c r="I519" s="20" t="n">
        <v>180</v>
      </c>
      <c r="J519" s="20" t="n">
        <v>2</v>
      </c>
      <c r="K519" s="25" t="n">
        <f aca="false">IFERROR(J519/I519,0)</f>
        <v>0.0111111111111111</v>
      </c>
      <c r="L519" s="19" t="n">
        <v>10.58</v>
      </c>
      <c r="M519" s="20" t="n">
        <v>0</v>
      </c>
      <c r="N519" s="8" t="n">
        <f aca="false">IFERROR(M519/J519,0)</f>
        <v>0</v>
      </c>
    </row>
    <row r="520" customFormat="false" ht="15" hidden="false" customHeight="false" outlineLevel="0" collapsed="false">
      <c r="A520" s="17" t="s">
        <v>16</v>
      </c>
      <c r="B520" s="17" t="s">
        <v>62</v>
      </c>
      <c r="C520" s="17" t="s">
        <v>60</v>
      </c>
      <c r="D520" s="17" t="s">
        <v>66</v>
      </c>
      <c r="E520" s="17" t="s">
        <v>1985</v>
      </c>
      <c r="F520" s="17" t="s">
        <v>118</v>
      </c>
      <c r="G520" s="17" t="s">
        <v>315</v>
      </c>
      <c r="H520" s="17" t="s">
        <v>1624</v>
      </c>
      <c r="I520" s="20" t="n">
        <v>175</v>
      </c>
      <c r="J520" s="20" t="n">
        <v>0</v>
      </c>
      <c r="K520" s="25" t="n">
        <f aca="false">IFERROR(J520/I520,0)</f>
        <v>0</v>
      </c>
      <c r="L520" s="19" t="n">
        <v>0</v>
      </c>
      <c r="M520" s="20" t="n">
        <v>0</v>
      </c>
      <c r="N520" s="8" t="n">
        <f aca="false">IFERROR(M520/J520,0)</f>
        <v>0</v>
      </c>
    </row>
    <row r="521" customFormat="false" ht="15" hidden="false" customHeight="false" outlineLevel="0" collapsed="false">
      <c r="A521" s="17" t="s">
        <v>16</v>
      </c>
      <c r="B521" s="17" t="s">
        <v>62</v>
      </c>
      <c r="C521" s="17" t="s">
        <v>66</v>
      </c>
      <c r="D521" s="17" t="s">
        <v>60</v>
      </c>
      <c r="E521" s="17" t="s">
        <v>1986</v>
      </c>
      <c r="F521" s="17" t="s">
        <v>1920</v>
      </c>
      <c r="G521" s="17" t="s">
        <v>315</v>
      </c>
      <c r="H521" s="17" t="s">
        <v>1987</v>
      </c>
      <c r="I521" s="20" t="n">
        <v>172</v>
      </c>
      <c r="J521" s="20" t="n">
        <v>0</v>
      </c>
      <c r="K521" s="25" t="n">
        <f aca="false">IFERROR(J521/I521,0)</f>
        <v>0</v>
      </c>
      <c r="L521" s="19" t="n">
        <v>0</v>
      </c>
      <c r="M521" s="20" t="n">
        <v>0</v>
      </c>
      <c r="N521" s="8" t="n">
        <f aca="false">IFERROR(M521/J521,0)</f>
        <v>0</v>
      </c>
    </row>
    <row r="522" customFormat="false" ht="15" hidden="false" customHeight="false" outlineLevel="0" collapsed="false">
      <c r="A522" s="17" t="s">
        <v>16</v>
      </c>
      <c r="B522" s="17" t="s">
        <v>62</v>
      </c>
      <c r="C522" s="17" t="s">
        <v>60</v>
      </c>
      <c r="D522" s="17" t="s">
        <v>66</v>
      </c>
      <c r="E522" s="17" t="s">
        <v>1988</v>
      </c>
      <c r="F522" s="17" t="s">
        <v>118</v>
      </c>
      <c r="G522" s="17" t="s">
        <v>315</v>
      </c>
      <c r="H522" s="17" t="s">
        <v>1379</v>
      </c>
      <c r="I522" s="20" t="n">
        <v>156</v>
      </c>
      <c r="J522" s="20" t="n">
        <v>1</v>
      </c>
      <c r="K522" s="25" t="n">
        <f aca="false">IFERROR(J522/I522,0)</f>
        <v>0.00641025641025641</v>
      </c>
      <c r="L522" s="19" t="n">
        <v>4.25</v>
      </c>
      <c r="M522" s="20" t="n">
        <v>0</v>
      </c>
      <c r="N522" s="8" t="n">
        <f aca="false">IFERROR(M522/J522,0)</f>
        <v>0</v>
      </c>
    </row>
    <row r="523" customFormat="false" ht="15" hidden="false" customHeight="false" outlineLevel="0" collapsed="false">
      <c r="A523" s="17" t="s">
        <v>16</v>
      </c>
      <c r="B523" s="17" t="s">
        <v>62</v>
      </c>
      <c r="C523" s="17" t="s">
        <v>60</v>
      </c>
      <c r="D523" s="17" t="s">
        <v>66</v>
      </c>
      <c r="E523" s="17" t="s">
        <v>1989</v>
      </c>
      <c r="F523" s="17" t="s">
        <v>118</v>
      </c>
      <c r="G523" s="17" t="s">
        <v>315</v>
      </c>
      <c r="H523" s="17" t="s">
        <v>1605</v>
      </c>
      <c r="I523" s="20" t="n">
        <v>154</v>
      </c>
      <c r="J523" s="20" t="n">
        <v>1</v>
      </c>
      <c r="K523" s="25" t="n">
        <f aca="false">IFERROR(J523/I523,0)</f>
        <v>0.00649350649350649</v>
      </c>
      <c r="L523" s="19" t="n">
        <v>4.89</v>
      </c>
      <c r="M523" s="20" t="n">
        <v>0</v>
      </c>
      <c r="N523" s="8" t="n">
        <f aca="false">IFERROR(M523/J523,0)</f>
        <v>0</v>
      </c>
    </row>
    <row r="524" customFormat="false" ht="15" hidden="false" customHeight="false" outlineLevel="0" collapsed="false">
      <c r="A524" s="17" t="s">
        <v>16</v>
      </c>
      <c r="B524" s="17" t="s">
        <v>62</v>
      </c>
      <c r="C524" s="17" t="s">
        <v>60</v>
      </c>
      <c r="D524" s="17" t="s">
        <v>66</v>
      </c>
      <c r="E524" s="17" t="s">
        <v>1990</v>
      </c>
      <c r="F524" s="17" t="s">
        <v>118</v>
      </c>
      <c r="G524" s="17" t="s">
        <v>315</v>
      </c>
      <c r="H524" s="17" t="s">
        <v>1991</v>
      </c>
      <c r="I524" s="20" t="n">
        <v>152</v>
      </c>
      <c r="J524" s="20" t="n">
        <v>0</v>
      </c>
      <c r="K524" s="25" t="n">
        <f aca="false">IFERROR(J524/I524,0)</f>
        <v>0</v>
      </c>
      <c r="L524" s="19" t="n">
        <v>0</v>
      </c>
      <c r="M524" s="20" t="n">
        <v>0</v>
      </c>
      <c r="N524" s="8" t="n">
        <f aca="false">IFERROR(M524/J524,0)</f>
        <v>0</v>
      </c>
    </row>
    <row r="525" customFormat="false" ht="15" hidden="false" customHeight="false" outlineLevel="0" collapsed="false">
      <c r="A525" s="17" t="s">
        <v>16</v>
      </c>
      <c r="B525" s="17" t="s">
        <v>62</v>
      </c>
      <c r="C525" s="17" t="s">
        <v>60</v>
      </c>
      <c r="D525" s="17" t="s">
        <v>66</v>
      </c>
      <c r="E525" s="17" t="s">
        <v>1992</v>
      </c>
      <c r="F525" s="17" t="s">
        <v>118</v>
      </c>
      <c r="G525" s="17" t="s">
        <v>315</v>
      </c>
      <c r="H525" s="17" t="s">
        <v>1993</v>
      </c>
      <c r="I525" s="20" t="n">
        <v>151</v>
      </c>
      <c r="J525" s="20" t="n">
        <v>5</v>
      </c>
      <c r="K525" s="25" t="n">
        <f aca="false">IFERROR(J525/I525,0)</f>
        <v>0.033112582781457</v>
      </c>
      <c r="L525" s="19" t="n">
        <v>32.86</v>
      </c>
      <c r="M525" s="20" t="n">
        <v>1</v>
      </c>
      <c r="N525" s="8" t="n">
        <f aca="false">IFERROR(M525/J525,0)</f>
        <v>0.2</v>
      </c>
    </row>
    <row r="526" customFormat="false" ht="15" hidden="false" customHeight="false" outlineLevel="0" collapsed="false">
      <c r="A526" s="17" t="s">
        <v>16</v>
      </c>
      <c r="B526" s="17" t="s">
        <v>62</v>
      </c>
      <c r="C526" s="17" t="s">
        <v>60</v>
      </c>
      <c r="D526" s="17" t="s">
        <v>66</v>
      </c>
      <c r="E526" s="17" t="s">
        <v>1994</v>
      </c>
      <c r="F526" s="17" t="s">
        <v>1995</v>
      </c>
      <c r="G526" s="17" t="s">
        <v>315</v>
      </c>
      <c r="H526" s="17" t="s">
        <v>1328</v>
      </c>
      <c r="I526" s="20" t="n">
        <v>137</v>
      </c>
      <c r="J526" s="20" t="n">
        <v>0</v>
      </c>
      <c r="K526" s="25" t="n">
        <f aca="false">IFERROR(J526/I526,0)</f>
        <v>0</v>
      </c>
      <c r="L526" s="19" t="n">
        <v>0</v>
      </c>
      <c r="M526" s="20" t="n">
        <v>0</v>
      </c>
      <c r="N526" s="8" t="n">
        <f aca="false">IFERROR(M526/J526,0)</f>
        <v>0</v>
      </c>
    </row>
    <row r="527" customFormat="false" ht="15" hidden="false" customHeight="false" outlineLevel="0" collapsed="false">
      <c r="A527" s="17" t="s">
        <v>16</v>
      </c>
      <c r="B527" s="17" t="s">
        <v>62</v>
      </c>
      <c r="C527" s="17" t="s">
        <v>60</v>
      </c>
      <c r="D527" s="17" t="s">
        <v>66</v>
      </c>
      <c r="E527" s="17" t="s">
        <v>1996</v>
      </c>
      <c r="F527" s="17" t="s">
        <v>118</v>
      </c>
      <c r="G527" s="17" t="s">
        <v>315</v>
      </c>
      <c r="H527" s="17" t="s">
        <v>1997</v>
      </c>
      <c r="I527" s="20" t="n">
        <v>129</v>
      </c>
      <c r="J527" s="20" t="n">
        <v>3</v>
      </c>
      <c r="K527" s="25" t="n">
        <f aca="false">IFERROR(J527/I527,0)</f>
        <v>0.0232558139534884</v>
      </c>
      <c r="L527" s="19" t="n">
        <v>15.09</v>
      </c>
      <c r="M527" s="20" t="n">
        <v>0</v>
      </c>
      <c r="N527" s="8" t="n">
        <f aca="false">IFERROR(M527/J527,0)</f>
        <v>0</v>
      </c>
    </row>
    <row r="528" customFormat="false" ht="15" hidden="false" customHeight="false" outlineLevel="0" collapsed="false">
      <c r="A528" s="17" t="s">
        <v>16</v>
      </c>
      <c r="B528" s="17" t="s">
        <v>62</v>
      </c>
      <c r="C528" s="17" t="s">
        <v>60</v>
      </c>
      <c r="D528" s="17" t="s">
        <v>66</v>
      </c>
      <c r="E528" s="17" t="s">
        <v>1998</v>
      </c>
      <c r="F528" s="17" t="s">
        <v>118</v>
      </c>
      <c r="G528" s="17" t="s">
        <v>315</v>
      </c>
      <c r="H528" s="17" t="s">
        <v>1599</v>
      </c>
      <c r="I528" s="20" t="n">
        <v>125</v>
      </c>
      <c r="J528" s="20" t="n">
        <v>1</v>
      </c>
      <c r="K528" s="25" t="n">
        <f aca="false">IFERROR(J528/I528,0)</f>
        <v>0.008</v>
      </c>
      <c r="L528" s="19" t="n">
        <v>5.51</v>
      </c>
      <c r="M528" s="20" t="n">
        <v>0</v>
      </c>
      <c r="N528" s="8" t="n">
        <f aca="false">IFERROR(M528/J528,0)</f>
        <v>0</v>
      </c>
    </row>
    <row r="529" customFormat="false" ht="15" hidden="false" customHeight="false" outlineLevel="0" collapsed="false">
      <c r="A529" s="17" t="s">
        <v>16</v>
      </c>
      <c r="B529" s="17" t="s">
        <v>62</v>
      </c>
      <c r="C529" s="17" t="s">
        <v>60</v>
      </c>
      <c r="D529" s="17" t="s">
        <v>66</v>
      </c>
      <c r="E529" s="17" t="s">
        <v>1999</v>
      </c>
      <c r="F529" s="17" t="s">
        <v>118</v>
      </c>
      <c r="G529" s="17" t="s">
        <v>315</v>
      </c>
      <c r="H529" s="17" t="s">
        <v>2000</v>
      </c>
      <c r="I529" s="20" t="n">
        <v>123</v>
      </c>
      <c r="J529" s="20" t="n">
        <v>3</v>
      </c>
      <c r="K529" s="25" t="n">
        <f aca="false">IFERROR(J529/I529,0)</f>
        <v>0.024390243902439</v>
      </c>
      <c r="L529" s="19" t="n">
        <v>21.9</v>
      </c>
      <c r="M529" s="20" t="n">
        <v>0</v>
      </c>
      <c r="N529" s="8" t="n">
        <f aca="false">IFERROR(M529/J529,0)</f>
        <v>0</v>
      </c>
    </row>
    <row r="530" customFormat="false" ht="15" hidden="false" customHeight="false" outlineLevel="0" collapsed="false">
      <c r="A530" s="17" t="s">
        <v>16</v>
      </c>
      <c r="B530" s="17" t="s">
        <v>62</v>
      </c>
      <c r="C530" s="17" t="s">
        <v>66</v>
      </c>
      <c r="D530" s="17" t="s">
        <v>60</v>
      </c>
      <c r="E530" s="17" t="s">
        <v>2001</v>
      </c>
      <c r="F530" s="17" t="s">
        <v>136</v>
      </c>
      <c r="G530" s="17" t="s">
        <v>315</v>
      </c>
      <c r="H530" s="17" t="s">
        <v>1591</v>
      </c>
      <c r="I530" s="20" t="n">
        <v>118</v>
      </c>
      <c r="J530" s="20" t="n">
        <v>1</v>
      </c>
      <c r="K530" s="25" t="n">
        <f aca="false">IFERROR(J530/I530,0)</f>
        <v>0.00847457627118644</v>
      </c>
      <c r="L530" s="19" t="n">
        <v>5.78</v>
      </c>
      <c r="M530" s="20" t="n">
        <v>0</v>
      </c>
      <c r="N530" s="8" t="n">
        <f aca="false">IFERROR(M530/J530,0)</f>
        <v>0</v>
      </c>
    </row>
    <row r="531" customFormat="false" ht="15" hidden="false" customHeight="false" outlineLevel="0" collapsed="false">
      <c r="A531" s="17" t="s">
        <v>16</v>
      </c>
      <c r="B531" s="17" t="s">
        <v>62</v>
      </c>
      <c r="C531" s="17" t="s">
        <v>60</v>
      </c>
      <c r="D531" s="17" t="s">
        <v>66</v>
      </c>
      <c r="E531" s="17" t="s">
        <v>2002</v>
      </c>
      <c r="F531" s="17" t="s">
        <v>118</v>
      </c>
      <c r="G531" s="17" t="s">
        <v>315</v>
      </c>
      <c r="H531" s="17" t="s">
        <v>1629</v>
      </c>
      <c r="I531" s="20" t="n">
        <v>118</v>
      </c>
      <c r="J531" s="20" t="n">
        <v>1</v>
      </c>
      <c r="K531" s="25" t="n">
        <f aca="false">IFERROR(J531/I531,0)</f>
        <v>0.00847457627118644</v>
      </c>
      <c r="L531" s="19" t="n">
        <v>4.89</v>
      </c>
      <c r="M531" s="20" t="n">
        <v>0</v>
      </c>
      <c r="N531" s="8" t="n">
        <f aca="false">IFERROR(M531/J531,0)</f>
        <v>0</v>
      </c>
    </row>
    <row r="532" customFormat="false" ht="15" hidden="false" customHeight="false" outlineLevel="0" collapsed="false">
      <c r="A532" s="17" t="s">
        <v>16</v>
      </c>
      <c r="B532" s="17" t="s">
        <v>62</v>
      </c>
      <c r="C532" s="17" t="s">
        <v>66</v>
      </c>
      <c r="D532" s="17" t="s">
        <v>60</v>
      </c>
      <c r="E532" s="17" t="s">
        <v>2003</v>
      </c>
      <c r="F532" s="17" t="s">
        <v>125</v>
      </c>
      <c r="G532" s="17" t="s">
        <v>315</v>
      </c>
      <c r="H532" s="17" t="s">
        <v>2004</v>
      </c>
      <c r="I532" s="20" t="n">
        <v>118</v>
      </c>
      <c r="J532" s="20" t="n">
        <v>0</v>
      </c>
      <c r="K532" s="25" t="n">
        <f aca="false">IFERROR(J532/I532,0)</f>
        <v>0</v>
      </c>
      <c r="L532" s="19" t="n">
        <v>0</v>
      </c>
      <c r="M532" s="20" t="n">
        <v>0</v>
      </c>
      <c r="N532" s="8" t="n">
        <f aca="false">IFERROR(M532/J532,0)</f>
        <v>0</v>
      </c>
    </row>
    <row r="533" customFormat="false" ht="15" hidden="false" customHeight="false" outlineLevel="0" collapsed="false">
      <c r="A533" s="17" t="s">
        <v>16</v>
      </c>
      <c r="B533" s="17" t="s">
        <v>62</v>
      </c>
      <c r="C533" s="17" t="s">
        <v>60</v>
      </c>
      <c r="D533" s="17" t="s">
        <v>66</v>
      </c>
      <c r="E533" s="17" t="s">
        <v>2005</v>
      </c>
      <c r="F533" s="17" t="s">
        <v>118</v>
      </c>
      <c r="G533" s="17" t="s">
        <v>315</v>
      </c>
      <c r="H533" s="17" t="s">
        <v>1597</v>
      </c>
      <c r="I533" s="20" t="n">
        <v>109</v>
      </c>
      <c r="J533" s="20" t="n">
        <v>0</v>
      </c>
      <c r="K533" s="25" t="n">
        <f aca="false">IFERROR(J533/I533,0)</f>
        <v>0</v>
      </c>
      <c r="L533" s="19" t="n">
        <v>0</v>
      </c>
      <c r="M533" s="20" t="n">
        <v>0</v>
      </c>
      <c r="N533" s="8" t="n">
        <f aca="false">IFERROR(M533/J533,0)</f>
        <v>0</v>
      </c>
    </row>
    <row r="534" customFormat="false" ht="15" hidden="false" customHeight="false" outlineLevel="0" collapsed="false">
      <c r="A534" s="17" t="s">
        <v>16</v>
      </c>
      <c r="B534" s="17" t="s">
        <v>62</v>
      </c>
      <c r="C534" s="17" t="s">
        <v>60</v>
      </c>
      <c r="D534" s="17" t="s">
        <v>66</v>
      </c>
      <c r="E534" s="17" t="s">
        <v>2006</v>
      </c>
      <c r="F534" s="17" t="s">
        <v>2007</v>
      </c>
      <c r="G534" s="17" t="s">
        <v>315</v>
      </c>
      <c r="H534" s="17" t="s">
        <v>1620</v>
      </c>
      <c r="I534" s="20" t="n">
        <v>102</v>
      </c>
      <c r="J534" s="20" t="n">
        <v>5</v>
      </c>
      <c r="K534" s="25" t="n">
        <f aca="false">IFERROR(J534/I534,0)</f>
        <v>0.0490196078431373</v>
      </c>
      <c r="L534" s="19" t="n">
        <v>16.32</v>
      </c>
      <c r="M534" s="20" t="n">
        <v>1</v>
      </c>
      <c r="N534" s="8" t="n">
        <f aca="false">IFERROR(M534/J534,0)</f>
        <v>0.2</v>
      </c>
    </row>
    <row r="535" customFormat="false" ht="15" hidden="false" customHeight="false" outlineLevel="0" collapsed="false">
      <c r="A535" s="17" t="s">
        <v>16</v>
      </c>
      <c r="B535" s="17" t="s">
        <v>62</v>
      </c>
      <c r="C535" s="17" t="s">
        <v>60</v>
      </c>
      <c r="D535" s="17" t="s">
        <v>66</v>
      </c>
      <c r="E535" s="17" t="s">
        <v>2008</v>
      </c>
      <c r="F535" s="17" t="s">
        <v>118</v>
      </c>
      <c r="G535" s="17" t="s">
        <v>315</v>
      </c>
      <c r="H535" s="17" t="s">
        <v>2009</v>
      </c>
      <c r="I535" s="20" t="n">
        <v>102</v>
      </c>
      <c r="J535" s="20" t="n">
        <v>4</v>
      </c>
      <c r="K535" s="25" t="n">
        <f aca="false">IFERROR(J535/I535,0)</f>
        <v>0.0392156862745098</v>
      </c>
      <c r="L535" s="19" t="n">
        <v>14.76</v>
      </c>
      <c r="M535" s="20" t="n">
        <v>0</v>
      </c>
      <c r="N535" s="8" t="n">
        <f aca="false">IFERROR(M535/J535,0)</f>
        <v>0</v>
      </c>
    </row>
    <row r="536" customFormat="false" ht="15" hidden="false" customHeight="false" outlineLevel="0" collapsed="false">
      <c r="A536" s="17" t="s">
        <v>16</v>
      </c>
      <c r="B536" s="17" t="s">
        <v>62</v>
      </c>
      <c r="C536" s="17" t="s">
        <v>60</v>
      </c>
      <c r="D536" s="17" t="s">
        <v>66</v>
      </c>
      <c r="E536" s="17" t="s">
        <v>2010</v>
      </c>
      <c r="F536" s="17" t="s">
        <v>118</v>
      </c>
      <c r="G536" s="17" t="s">
        <v>315</v>
      </c>
      <c r="H536" s="17" t="s">
        <v>1639</v>
      </c>
      <c r="I536" s="20" t="n">
        <v>96</v>
      </c>
      <c r="J536" s="20" t="n">
        <v>0</v>
      </c>
      <c r="K536" s="25" t="n">
        <f aca="false">IFERROR(J536/I536,0)</f>
        <v>0</v>
      </c>
      <c r="L536" s="19" t="n">
        <v>0</v>
      </c>
      <c r="M536" s="20" t="n">
        <v>0</v>
      </c>
      <c r="N536" s="8" t="n">
        <f aca="false">IFERROR(M536/J536,0)</f>
        <v>0</v>
      </c>
    </row>
    <row r="537" customFormat="false" ht="15" hidden="false" customHeight="false" outlineLevel="0" collapsed="false">
      <c r="A537" s="17" t="s">
        <v>16</v>
      </c>
      <c r="B537" s="17" t="s">
        <v>62</v>
      </c>
      <c r="C537" s="17" t="s">
        <v>66</v>
      </c>
      <c r="D537" s="17" t="s">
        <v>66</v>
      </c>
      <c r="E537" s="17" t="s">
        <v>564</v>
      </c>
      <c r="F537" s="17" t="s">
        <v>116</v>
      </c>
      <c r="G537" s="17" t="s">
        <v>315</v>
      </c>
      <c r="H537" s="17" t="s">
        <v>2011</v>
      </c>
      <c r="I537" s="20" t="n">
        <v>86</v>
      </c>
      <c r="J537" s="20" t="n">
        <v>4</v>
      </c>
      <c r="K537" s="25" t="n">
        <f aca="false">IFERROR(J537/I537,0)</f>
        <v>0.0465116279069767</v>
      </c>
      <c r="L537" s="19" t="n">
        <v>5.45</v>
      </c>
      <c r="M537" s="20" t="n">
        <v>1</v>
      </c>
      <c r="N537" s="8" t="n">
        <f aca="false">IFERROR(M537/J537,0)</f>
        <v>0.25</v>
      </c>
    </row>
    <row r="538" customFormat="false" ht="15" hidden="false" customHeight="false" outlineLevel="0" collapsed="false">
      <c r="A538" s="17" t="s">
        <v>16</v>
      </c>
      <c r="B538" s="17" t="s">
        <v>62</v>
      </c>
      <c r="C538" s="17" t="s">
        <v>60</v>
      </c>
      <c r="D538" s="17" t="s">
        <v>66</v>
      </c>
      <c r="E538" s="17" t="s">
        <v>2012</v>
      </c>
      <c r="F538" s="17" t="s">
        <v>118</v>
      </c>
      <c r="G538" s="17" t="s">
        <v>315</v>
      </c>
      <c r="H538" s="17" t="s">
        <v>1343</v>
      </c>
      <c r="I538" s="20" t="n">
        <v>80</v>
      </c>
      <c r="J538" s="20" t="n">
        <v>1</v>
      </c>
      <c r="K538" s="25" t="n">
        <f aca="false">IFERROR(J538/I538,0)</f>
        <v>0.0125</v>
      </c>
      <c r="L538" s="19" t="n">
        <v>1.2</v>
      </c>
      <c r="M538" s="20" t="n">
        <v>0</v>
      </c>
      <c r="N538" s="8" t="n">
        <f aca="false">IFERROR(M538/J538,0)</f>
        <v>0</v>
      </c>
    </row>
    <row r="539" customFormat="false" ht="15" hidden="false" customHeight="false" outlineLevel="0" collapsed="false">
      <c r="A539" s="17" t="s">
        <v>16</v>
      </c>
      <c r="B539" s="17" t="s">
        <v>62</v>
      </c>
      <c r="C539" s="17" t="s">
        <v>60</v>
      </c>
      <c r="D539" s="17" t="s">
        <v>66</v>
      </c>
      <c r="E539" s="17" t="s">
        <v>544</v>
      </c>
      <c r="F539" s="17" t="s">
        <v>118</v>
      </c>
      <c r="G539" s="17" t="s">
        <v>315</v>
      </c>
      <c r="H539" s="17" t="s">
        <v>2013</v>
      </c>
      <c r="I539" s="20" t="n">
        <v>79</v>
      </c>
      <c r="J539" s="20" t="n">
        <v>1</v>
      </c>
      <c r="K539" s="25" t="n">
        <f aca="false">IFERROR(J539/I539,0)</f>
        <v>0.0126582278481013</v>
      </c>
      <c r="L539" s="19" t="n">
        <v>3.87</v>
      </c>
      <c r="M539" s="20" t="n">
        <v>0</v>
      </c>
      <c r="N539" s="8" t="n">
        <f aca="false">IFERROR(M539/J539,0)</f>
        <v>0</v>
      </c>
    </row>
    <row r="540" customFormat="false" ht="15" hidden="false" customHeight="false" outlineLevel="0" collapsed="false">
      <c r="A540" s="17" t="s">
        <v>16</v>
      </c>
      <c r="B540" s="17" t="s">
        <v>62</v>
      </c>
      <c r="C540" s="17" t="s">
        <v>60</v>
      </c>
      <c r="D540" s="17" t="s">
        <v>66</v>
      </c>
      <c r="E540" s="17" t="s">
        <v>2014</v>
      </c>
      <c r="F540" s="17" t="s">
        <v>118</v>
      </c>
      <c r="G540" s="17" t="s">
        <v>315</v>
      </c>
      <c r="H540" s="17" t="s">
        <v>1637</v>
      </c>
      <c r="I540" s="20" t="n">
        <v>67</v>
      </c>
      <c r="J540" s="20" t="n">
        <v>1</v>
      </c>
      <c r="K540" s="25" t="n">
        <f aca="false">IFERROR(J540/I540,0)</f>
        <v>0.0149253731343284</v>
      </c>
      <c r="L540" s="19" t="n">
        <v>2.31</v>
      </c>
      <c r="M540" s="20" t="n">
        <v>0</v>
      </c>
      <c r="N540" s="8" t="n">
        <f aca="false">IFERROR(M540/J540,0)</f>
        <v>0</v>
      </c>
    </row>
    <row r="541" customFormat="false" ht="15" hidden="false" customHeight="false" outlineLevel="0" collapsed="false">
      <c r="A541" s="17" t="s">
        <v>16</v>
      </c>
      <c r="B541" s="17" t="s">
        <v>62</v>
      </c>
      <c r="C541" s="17" t="s">
        <v>60</v>
      </c>
      <c r="D541" s="17" t="s">
        <v>60</v>
      </c>
      <c r="E541" s="17" t="s">
        <v>2015</v>
      </c>
      <c r="F541" s="17" t="s">
        <v>118</v>
      </c>
      <c r="G541" s="17" t="s">
        <v>315</v>
      </c>
      <c r="H541" s="17" t="s">
        <v>2016</v>
      </c>
      <c r="I541" s="20" t="n">
        <v>59</v>
      </c>
      <c r="J541" s="20" t="n">
        <v>1</v>
      </c>
      <c r="K541" s="25" t="n">
        <f aca="false">IFERROR(J541/I541,0)</f>
        <v>0.0169491525423729</v>
      </c>
      <c r="L541" s="19" t="n">
        <v>5.03</v>
      </c>
      <c r="M541" s="20" t="n">
        <v>0</v>
      </c>
      <c r="N541" s="8" t="n">
        <f aca="false">IFERROR(M541/J541,0)</f>
        <v>0</v>
      </c>
    </row>
    <row r="542" customFormat="false" ht="15" hidden="false" customHeight="false" outlineLevel="0" collapsed="false">
      <c r="A542" s="17" t="s">
        <v>16</v>
      </c>
      <c r="B542" s="17" t="s">
        <v>62</v>
      </c>
      <c r="C542" s="17" t="s">
        <v>60</v>
      </c>
      <c r="D542" s="17" t="s">
        <v>66</v>
      </c>
      <c r="E542" s="17" t="s">
        <v>2017</v>
      </c>
      <c r="F542" s="17" t="s">
        <v>118</v>
      </c>
      <c r="G542" s="17" t="s">
        <v>315</v>
      </c>
      <c r="H542" s="17" t="s">
        <v>1614</v>
      </c>
      <c r="I542" s="20" t="n">
        <v>48</v>
      </c>
      <c r="J542" s="20" t="n">
        <v>1</v>
      </c>
      <c r="K542" s="25" t="n">
        <f aca="false">IFERROR(J542/I542,0)</f>
        <v>0.0208333333333333</v>
      </c>
      <c r="L542" s="19" t="n">
        <v>4.95</v>
      </c>
      <c r="M542" s="20" t="n">
        <v>0</v>
      </c>
      <c r="N542" s="8" t="n">
        <f aca="false">IFERROR(M542/J542,0)</f>
        <v>0</v>
      </c>
    </row>
    <row r="543" customFormat="false" ht="15" hidden="false" customHeight="false" outlineLevel="0" collapsed="false">
      <c r="A543" s="17" t="s">
        <v>16</v>
      </c>
      <c r="B543" s="17" t="s">
        <v>62</v>
      </c>
      <c r="C543" s="17" t="s">
        <v>60</v>
      </c>
      <c r="D543" s="17" t="s">
        <v>66</v>
      </c>
      <c r="E543" s="17" t="s">
        <v>2018</v>
      </c>
      <c r="F543" s="17" t="s">
        <v>118</v>
      </c>
      <c r="G543" s="17" t="s">
        <v>315</v>
      </c>
      <c r="H543" s="17" t="s">
        <v>2019</v>
      </c>
      <c r="I543" s="20" t="n">
        <v>45</v>
      </c>
      <c r="J543" s="20" t="n">
        <v>2</v>
      </c>
      <c r="K543" s="25" t="n">
        <f aca="false">IFERROR(J543/I543,0)</f>
        <v>0.0444444444444444</v>
      </c>
      <c r="L543" s="19" t="n">
        <v>11.08</v>
      </c>
      <c r="M543" s="20" t="n">
        <v>0</v>
      </c>
      <c r="N543" s="8" t="n">
        <f aca="false">IFERROR(M543/J543,0)</f>
        <v>0</v>
      </c>
    </row>
    <row r="544" customFormat="false" ht="15" hidden="false" customHeight="false" outlineLevel="0" collapsed="false">
      <c r="A544" s="17" t="s">
        <v>16</v>
      </c>
      <c r="B544" s="17" t="s">
        <v>62</v>
      </c>
      <c r="C544" s="17" t="s">
        <v>60</v>
      </c>
      <c r="D544" s="17" t="s">
        <v>66</v>
      </c>
      <c r="E544" s="17" t="s">
        <v>2020</v>
      </c>
      <c r="F544" s="17" t="s">
        <v>2007</v>
      </c>
      <c r="G544" s="17" t="s">
        <v>315</v>
      </c>
      <c r="H544" s="17" t="s">
        <v>1551</v>
      </c>
      <c r="I544" s="20" t="n">
        <v>44</v>
      </c>
      <c r="J544" s="20" t="n">
        <v>0</v>
      </c>
      <c r="K544" s="25" t="n">
        <f aca="false">IFERROR(J544/I544,0)</f>
        <v>0</v>
      </c>
      <c r="L544" s="19" t="n">
        <v>0</v>
      </c>
      <c r="M544" s="20" t="n">
        <v>0</v>
      </c>
      <c r="N544" s="8" t="n">
        <f aca="false">IFERROR(M544/J544,0)</f>
        <v>0</v>
      </c>
    </row>
    <row r="545" customFormat="false" ht="15" hidden="false" customHeight="false" outlineLevel="0" collapsed="false">
      <c r="A545" s="17" t="s">
        <v>16</v>
      </c>
      <c r="B545" s="17" t="s">
        <v>62</v>
      </c>
      <c r="C545" s="17" t="s">
        <v>66</v>
      </c>
      <c r="D545" s="17" t="s">
        <v>60</v>
      </c>
      <c r="E545" s="17" t="s">
        <v>2021</v>
      </c>
      <c r="F545" s="17" t="s">
        <v>2022</v>
      </c>
      <c r="G545" s="17" t="s">
        <v>315</v>
      </c>
      <c r="H545" s="17" t="s">
        <v>2023</v>
      </c>
      <c r="I545" s="20" t="n">
        <v>39</v>
      </c>
      <c r="J545" s="20" t="n">
        <v>0</v>
      </c>
      <c r="K545" s="25" t="n">
        <f aca="false">IFERROR(J545/I545,0)</f>
        <v>0</v>
      </c>
      <c r="L545" s="19" t="n">
        <v>0</v>
      </c>
      <c r="M545" s="20" t="n">
        <v>0</v>
      </c>
      <c r="N545" s="8" t="n">
        <f aca="false">IFERROR(M545/J545,0)</f>
        <v>0</v>
      </c>
    </row>
    <row r="546" customFormat="false" ht="15" hidden="false" customHeight="false" outlineLevel="0" collapsed="false">
      <c r="A546" s="17" t="s">
        <v>16</v>
      </c>
      <c r="B546" s="17" t="s">
        <v>62</v>
      </c>
      <c r="C546" s="17" t="s">
        <v>60</v>
      </c>
      <c r="D546" s="17" t="s">
        <v>66</v>
      </c>
      <c r="E546" s="17" t="s">
        <v>2024</v>
      </c>
      <c r="F546" s="17" t="s">
        <v>118</v>
      </c>
      <c r="G546" s="17" t="s">
        <v>315</v>
      </c>
      <c r="H546" s="17" t="s">
        <v>2025</v>
      </c>
      <c r="I546" s="20" t="n">
        <v>31</v>
      </c>
      <c r="J546" s="20" t="n">
        <v>2</v>
      </c>
      <c r="K546" s="25" t="n">
        <f aca="false">IFERROR(J546/I546,0)</f>
        <v>0.0645161290322581</v>
      </c>
      <c r="L546" s="19" t="n">
        <v>11.74</v>
      </c>
      <c r="M546" s="20" t="n">
        <v>1</v>
      </c>
      <c r="N546" s="8" t="n">
        <f aca="false">IFERROR(M546/J546,0)</f>
        <v>0.5</v>
      </c>
    </row>
    <row r="547" customFormat="false" ht="15" hidden="false" customHeight="false" outlineLevel="0" collapsed="false">
      <c r="A547" s="17" t="s">
        <v>16</v>
      </c>
      <c r="B547" s="17" t="s">
        <v>62</v>
      </c>
      <c r="C547" s="17" t="s">
        <v>60</v>
      </c>
      <c r="D547" s="17" t="s">
        <v>66</v>
      </c>
      <c r="E547" s="17" t="s">
        <v>2026</v>
      </c>
      <c r="F547" s="17" t="s">
        <v>118</v>
      </c>
      <c r="G547" s="17" t="s">
        <v>315</v>
      </c>
      <c r="H547" s="17" t="s">
        <v>2027</v>
      </c>
      <c r="I547" s="20" t="n">
        <v>30</v>
      </c>
      <c r="J547" s="20" t="n">
        <v>2</v>
      </c>
      <c r="K547" s="25" t="n">
        <f aca="false">IFERROR(J547/I547,0)</f>
        <v>0.0666666666666667</v>
      </c>
      <c r="L547" s="19" t="n">
        <v>9.9</v>
      </c>
      <c r="M547" s="20" t="n">
        <v>0</v>
      </c>
      <c r="N547" s="8" t="n">
        <f aca="false">IFERROR(M547/J547,0)</f>
        <v>0</v>
      </c>
    </row>
    <row r="548" customFormat="false" ht="15" hidden="false" customHeight="false" outlineLevel="0" collapsed="false">
      <c r="A548" s="17" t="s">
        <v>16</v>
      </c>
      <c r="B548" s="17" t="s">
        <v>62</v>
      </c>
      <c r="C548" s="17" t="s">
        <v>60</v>
      </c>
      <c r="D548" s="17" t="s">
        <v>66</v>
      </c>
      <c r="E548" s="17" t="s">
        <v>2028</v>
      </c>
      <c r="F548" s="17" t="s">
        <v>118</v>
      </c>
      <c r="G548" s="17" t="s">
        <v>315</v>
      </c>
      <c r="H548" s="17" t="s">
        <v>2029</v>
      </c>
      <c r="I548" s="20" t="n">
        <v>29</v>
      </c>
      <c r="J548" s="20" t="n">
        <v>2</v>
      </c>
      <c r="K548" s="25" t="n">
        <f aca="false">IFERROR(J548/I548,0)</f>
        <v>0.0689655172413793</v>
      </c>
      <c r="L548" s="19" t="n">
        <v>9.74</v>
      </c>
      <c r="M548" s="20" t="n">
        <v>0</v>
      </c>
      <c r="N548" s="8" t="n">
        <f aca="false">IFERROR(M548/J548,0)</f>
        <v>0</v>
      </c>
    </row>
    <row r="549" customFormat="false" ht="15" hidden="false" customHeight="false" outlineLevel="0" collapsed="false">
      <c r="A549" s="17" t="s">
        <v>16</v>
      </c>
      <c r="B549" s="17" t="s">
        <v>62</v>
      </c>
      <c r="C549" s="17" t="s">
        <v>60</v>
      </c>
      <c r="D549" s="17" t="s">
        <v>60</v>
      </c>
      <c r="E549" s="17" t="s">
        <v>2030</v>
      </c>
      <c r="F549" s="17" t="s">
        <v>118</v>
      </c>
      <c r="G549" s="17" t="s">
        <v>315</v>
      </c>
      <c r="H549" s="17" t="s">
        <v>2031</v>
      </c>
      <c r="I549" s="20" t="n">
        <v>29</v>
      </c>
      <c r="J549" s="20" t="n">
        <v>0</v>
      </c>
      <c r="K549" s="25" t="n">
        <f aca="false">IFERROR(J549/I549,0)</f>
        <v>0</v>
      </c>
      <c r="L549" s="19" t="n">
        <v>0</v>
      </c>
      <c r="M549" s="20" t="n">
        <v>0</v>
      </c>
      <c r="N549" s="8" t="n">
        <f aca="false">IFERROR(M549/J549,0)</f>
        <v>0</v>
      </c>
    </row>
    <row r="550" customFormat="false" ht="15" hidden="false" customHeight="false" outlineLevel="0" collapsed="false">
      <c r="A550" s="17" t="s">
        <v>16</v>
      </c>
      <c r="B550" s="17" t="s">
        <v>62</v>
      </c>
      <c r="C550" s="17" t="s">
        <v>60</v>
      </c>
      <c r="D550" s="17" t="s">
        <v>66</v>
      </c>
      <c r="E550" s="17" t="s">
        <v>2032</v>
      </c>
      <c r="F550" s="17" t="s">
        <v>118</v>
      </c>
      <c r="G550" s="17" t="s">
        <v>315</v>
      </c>
      <c r="H550" s="17" t="s">
        <v>1581</v>
      </c>
      <c r="I550" s="20" t="n">
        <v>23</v>
      </c>
      <c r="J550" s="20" t="n">
        <v>0</v>
      </c>
      <c r="K550" s="25" t="n">
        <f aca="false">IFERROR(J550/I550,0)</f>
        <v>0</v>
      </c>
      <c r="L550" s="19" t="n">
        <v>0</v>
      </c>
      <c r="M550" s="20" t="n">
        <v>0</v>
      </c>
      <c r="N550" s="8" t="n">
        <f aca="false">IFERROR(M550/J550,0)</f>
        <v>0</v>
      </c>
    </row>
    <row r="551" customFormat="false" ht="15" hidden="false" customHeight="false" outlineLevel="0" collapsed="false">
      <c r="A551" s="17" t="s">
        <v>16</v>
      </c>
      <c r="B551" s="17" t="s">
        <v>62</v>
      </c>
      <c r="C551" s="17" t="s">
        <v>60</v>
      </c>
      <c r="D551" s="17" t="s">
        <v>66</v>
      </c>
      <c r="E551" s="17" t="s">
        <v>2033</v>
      </c>
      <c r="F551" s="17" t="s">
        <v>118</v>
      </c>
      <c r="G551" s="17" t="s">
        <v>315</v>
      </c>
      <c r="H551" s="17" t="s">
        <v>2034</v>
      </c>
      <c r="I551" s="20" t="n">
        <v>21</v>
      </c>
      <c r="J551" s="20" t="n">
        <v>0</v>
      </c>
      <c r="K551" s="25" t="n">
        <f aca="false">IFERROR(J551/I551,0)</f>
        <v>0</v>
      </c>
      <c r="L551" s="19" t="n">
        <v>0</v>
      </c>
      <c r="M551" s="20" t="n">
        <v>0</v>
      </c>
      <c r="N551" s="8" t="n">
        <f aca="false">IFERROR(M551/J551,0)</f>
        <v>0</v>
      </c>
    </row>
    <row r="552" customFormat="false" ht="15" hidden="false" customHeight="false" outlineLevel="0" collapsed="false">
      <c r="A552" s="17" t="s">
        <v>16</v>
      </c>
      <c r="B552" s="17" t="s">
        <v>62</v>
      </c>
      <c r="C552" s="17" t="s">
        <v>60</v>
      </c>
      <c r="D552" s="17" t="s">
        <v>66</v>
      </c>
      <c r="E552" s="17" t="s">
        <v>2035</v>
      </c>
      <c r="F552" s="17" t="s">
        <v>118</v>
      </c>
      <c r="G552" s="17" t="s">
        <v>315</v>
      </c>
      <c r="H552" s="17" t="s">
        <v>1240</v>
      </c>
      <c r="I552" s="20" t="n">
        <v>20</v>
      </c>
      <c r="J552" s="20" t="n">
        <v>0</v>
      </c>
      <c r="K552" s="25" t="n">
        <f aca="false">IFERROR(J552/I552,0)</f>
        <v>0</v>
      </c>
      <c r="L552" s="19" t="n">
        <v>0</v>
      </c>
      <c r="M552" s="20" t="n">
        <v>0</v>
      </c>
      <c r="N552" s="8" t="n">
        <f aca="false">IFERROR(M552/J552,0)</f>
        <v>0</v>
      </c>
    </row>
    <row r="553" customFormat="false" ht="15" hidden="false" customHeight="false" outlineLevel="0" collapsed="false">
      <c r="A553" s="17" t="s">
        <v>16</v>
      </c>
      <c r="B553" s="17" t="s">
        <v>62</v>
      </c>
      <c r="C553" s="17" t="s">
        <v>60</v>
      </c>
      <c r="D553" s="17" t="s">
        <v>66</v>
      </c>
      <c r="E553" s="17" t="s">
        <v>2036</v>
      </c>
      <c r="F553" s="17" t="s">
        <v>118</v>
      </c>
      <c r="G553" s="17" t="s">
        <v>315</v>
      </c>
      <c r="H553" s="17" t="s">
        <v>2037</v>
      </c>
      <c r="I553" s="20" t="n">
        <v>17</v>
      </c>
      <c r="J553" s="20" t="n">
        <v>1</v>
      </c>
      <c r="K553" s="25" t="n">
        <f aca="false">IFERROR(J553/I553,0)</f>
        <v>0.0588235294117647</v>
      </c>
      <c r="L553" s="19" t="n">
        <v>4.95</v>
      </c>
      <c r="M553" s="20" t="n">
        <v>0</v>
      </c>
      <c r="N553" s="8" t="n">
        <f aca="false">IFERROR(M553/J553,0)</f>
        <v>0</v>
      </c>
    </row>
    <row r="554" customFormat="false" ht="15" hidden="false" customHeight="false" outlineLevel="0" collapsed="false">
      <c r="A554" s="17" t="s">
        <v>16</v>
      </c>
      <c r="B554" s="17" t="s">
        <v>62</v>
      </c>
      <c r="C554" s="17" t="s">
        <v>60</v>
      </c>
      <c r="D554" s="17" t="s">
        <v>66</v>
      </c>
      <c r="E554" s="17" t="s">
        <v>2038</v>
      </c>
      <c r="F554" s="17" t="s">
        <v>118</v>
      </c>
      <c r="G554" s="17" t="s">
        <v>315</v>
      </c>
      <c r="H554" s="17" t="s">
        <v>1635</v>
      </c>
      <c r="I554" s="20" t="n">
        <v>17</v>
      </c>
      <c r="J554" s="20" t="n">
        <v>0</v>
      </c>
      <c r="K554" s="25" t="n">
        <f aca="false">IFERROR(J554/I554,0)</f>
        <v>0</v>
      </c>
      <c r="L554" s="19" t="n">
        <v>0</v>
      </c>
      <c r="M554" s="20" t="n">
        <v>0</v>
      </c>
      <c r="N554" s="8" t="n">
        <f aca="false">IFERROR(M554/J554,0)</f>
        <v>0</v>
      </c>
    </row>
    <row r="555" customFormat="false" ht="15" hidden="false" customHeight="false" outlineLevel="0" collapsed="false">
      <c r="A555" s="17" t="s">
        <v>16</v>
      </c>
      <c r="B555" s="17" t="s">
        <v>62</v>
      </c>
      <c r="C555" s="17" t="s">
        <v>60</v>
      </c>
      <c r="D555" s="17" t="s">
        <v>66</v>
      </c>
      <c r="E555" s="17" t="s">
        <v>2039</v>
      </c>
      <c r="F555" s="17" t="s">
        <v>118</v>
      </c>
      <c r="G555" s="17" t="s">
        <v>315</v>
      </c>
      <c r="H555" s="17" t="s">
        <v>2040</v>
      </c>
      <c r="I555" s="20" t="n">
        <v>16</v>
      </c>
      <c r="J555" s="20" t="n">
        <v>0</v>
      </c>
      <c r="K555" s="25" t="n">
        <f aca="false">IFERROR(J555/I555,0)</f>
        <v>0</v>
      </c>
      <c r="L555" s="19" t="n">
        <v>0</v>
      </c>
      <c r="M555" s="20" t="n">
        <v>0</v>
      </c>
      <c r="N555" s="8" t="n">
        <f aca="false">IFERROR(M555/J555,0)</f>
        <v>0</v>
      </c>
    </row>
    <row r="556" customFormat="false" ht="15" hidden="false" customHeight="false" outlineLevel="0" collapsed="false">
      <c r="A556" s="17" t="s">
        <v>16</v>
      </c>
      <c r="B556" s="17" t="s">
        <v>62</v>
      </c>
      <c r="C556" s="17" t="s">
        <v>60</v>
      </c>
      <c r="D556" s="17" t="s">
        <v>66</v>
      </c>
      <c r="E556" s="17" t="s">
        <v>2041</v>
      </c>
      <c r="F556" s="17" t="s">
        <v>118</v>
      </c>
      <c r="G556" s="17" t="s">
        <v>315</v>
      </c>
      <c r="H556" s="17" t="s">
        <v>1585</v>
      </c>
      <c r="I556" s="20" t="n">
        <v>13</v>
      </c>
      <c r="J556" s="20" t="n">
        <v>0</v>
      </c>
      <c r="K556" s="25" t="n">
        <f aca="false">IFERROR(J556/I556,0)</f>
        <v>0</v>
      </c>
      <c r="L556" s="19" t="n">
        <v>0</v>
      </c>
      <c r="M556" s="20" t="n">
        <v>0</v>
      </c>
      <c r="N556" s="8" t="n">
        <f aca="false">IFERROR(M556/J556,0)</f>
        <v>0</v>
      </c>
    </row>
    <row r="557" customFormat="false" ht="15" hidden="false" customHeight="false" outlineLevel="0" collapsed="false">
      <c r="A557" s="17" t="s">
        <v>16</v>
      </c>
      <c r="B557" s="17" t="s">
        <v>62</v>
      </c>
      <c r="C557" s="17" t="s">
        <v>60</v>
      </c>
      <c r="D557" s="17" t="s">
        <v>66</v>
      </c>
      <c r="E557" s="17" t="s">
        <v>2042</v>
      </c>
      <c r="F557" s="17" t="s">
        <v>118</v>
      </c>
      <c r="G557" s="17" t="s">
        <v>315</v>
      </c>
      <c r="H557" s="17" t="s">
        <v>1540</v>
      </c>
      <c r="I557" s="20" t="n">
        <v>10</v>
      </c>
      <c r="J557" s="20" t="n">
        <v>0</v>
      </c>
      <c r="K557" s="25" t="n">
        <f aca="false">IFERROR(J557/I557,0)</f>
        <v>0</v>
      </c>
      <c r="L557" s="19" t="n">
        <v>0</v>
      </c>
      <c r="M557" s="20" t="n">
        <v>0</v>
      </c>
      <c r="N557" s="8" t="n">
        <f aca="false">IFERROR(M557/J557,0)</f>
        <v>0</v>
      </c>
    </row>
    <row r="558" customFormat="false" ht="15" hidden="false" customHeight="false" outlineLevel="0" collapsed="false">
      <c r="A558" s="17" t="s">
        <v>16</v>
      </c>
      <c r="B558" s="17" t="s">
        <v>62</v>
      </c>
      <c r="C558" s="17" t="s">
        <v>60</v>
      </c>
      <c r="D558" s="17" t="s">
        <v>66</v>
      </c>
      <c r="E558" s="17" t="s">
        <v>2043</v>
      </c>
      <c r="F558" s="17" t="s">
        <v>2044</v>
      </c>
      <c r="G558" s="17" t="s">
        <v>315</v>
      </c>
      <c r="H558" s="17" t="s">
        <v>2045</v>
      </c>
      <c r="I558" s="20" t="n">
        <v>9</v>
      </c>
      <c r="J558" s="20" t="n">
        <v>0</v>
      </c>
      <c r="K558" s="25" t="n">
        <f aca="false">IFERROR(J558/I558,0)</f>
        <v>0</v>
      </c>
      <c r="L558" s="19" t="n">
        <v>0</v>
      </c>
      <c r="M558" s="20" t="n">
        <v>0</v>
      </c>
      <c r="N558" s="8" t="n">
        <f aca="false">IFERROR(M558/J558,0)</f>
        <v>0</v>
      </c>
    </row>
    <row r="559" customFormat="false" ht="15" hidden="false" customHeight="false" outlineLevel="0" collapsed="false">
      <c r="A559" s="17" t="s">
        <v>16</v>
      </c>
      <c r="B559" s="17" t="s">
        <v>62</v>
      </c>
      <c r="C559" s="17" t="s">
        <v>66</v>
      </c>
      <c r="D559" s="17" t="s">
        <v>60</v>
      </c>
      <c r="E559" s="17" t="s">
        <v>2046</v>
      </c>
      <c r="F559" s="17" t="s">
        <v>1920</v>
      </c>
      <c r="G559" s="17" t="s">
        <v>315</v>
      </c>
      <c r="H559" s="17" t="s">
        <v>1649</v>
      </c>
      <c r="I559" s="20" t="n">
        <v>7</v>
      </c>
      <c r="J559" s="20" t="n">
        <v>0</v>
      </c>
      <c r="K559" s="25" t="n">
        <f aca="false">IFERROR(J559/I559,0)</f>
        <v>0</v>
      </c>
      <c r="L559" s="19" t="n">
        <v>0</v>
      </c>
      <c r="M559" s="20" t="n">
        <v>0</v>
      </c>
      <c r="N559" s="8" t="n">
        <f aca="false">IFERROR(M559/J559,0)</f>
        <v>0</v>
      </c>
    </row>
    <row r="560" customFormat="false" ht="15" hidden="false" customHeight="false" outlineLevel="0" collapsed="false">
      <c r="A560" s="17" t="s">
        <v>16</v>
      </c>
      <c r="B560" s="17" t="s">
        <v>62</v>
      </c>
      <c r="C560" s="17" t="s">
        <v>66</v>
      </c>
      <c r="D560" s="17" t="s">
        <v>60</v>
      </c>
      <c r="E560" s="17" t="s">
        <v>2047</v>
      </c>
      <c r="F560" s="17" t="s">
        <v>1920</v>
      </c>
      <c r="G560" s="17" t="s">
        <v>315</v>
      </c>
      <c r="H560" s="17" t="s">
        <v>1658</v>
      </c>
      <c r="I560" s="20" t="n">
        <v>7</v>
      </c>
      <c r="J560" s="20" t="n">
        <v>0</v>
      </c>
      <c r="K560" s="25" t="n">
        <f aca="false">IFERROR(J560/I560,0)</f>
        <v>0</v>
      </c>
      <c r="L560" s="19" t="n">
        <v>0</v>
      </c>
      <c r="M560" s="20" t="n">
        <v>0</v>
      </c>
      <c r="N560" s="8" t="n">
        <f aca="false">IFERROR(M560/J560,0)</f>
        <v>0</v>
      </c>
    </row>
    <row r="561" customFormat="false" ht="15" hidden="false" customHeight="false" outlineLevel="0" collapsed="false">
      <c r="A561" s="17" t="s">
        <v>16</v>
      </c>
      <c r="B561" s="17" t="s">
        <v>62</v>
      </c>
      <c r="C561" s="17" t="s">
        <v>60</v>
      </c>
      <c r="D561" s="17" t="s">
        <v>66</v>
      </c>
      <c r="E561" s="17" t="s">
        <v>2048</v>
      </c>
      <c r="F561" s="17" t="s">
        <v>118</v>
      </c>
      <c r="G561" s="17" t="s">
        <v>315</v>
      </c>
      <c r="H561" s="17" t="s">
        <v>2049</v>
      </c>
      <c r="I561" s="20" t="n">
        <v>6</v>
      </c>
      <c r="J561" s="20" t="n">
        <v>0</v>
      </c>
      <c r="K561" s="25" t="n">
        <f aca="false">IFERROR(J561/I561,0)</f>
        <v>0</v>
      </c>
      <c r="L561" s="19" t="n">
        <v>0</v>
      </c>
      <c r="M561" s="20" t="n">
        <v>0</v>
      </c>
      <c r="N561" s="8" t="n">
        <f aca="false">IFERROR(M561/J561,0)</f>
        <v>0</v>
      </c>
    </row>
    <row r="562" customFormat="false" ht="15" hidden="false" customHeight="false" outlineLevel="0" collapsed="false">
      <c r="A562" s="17" t="s">
        <v>16</v>
      </c>
      <c r="B562" s="17" t="s">
        <v>62</v>
      </c>
      <c r="C562" s="17" t="s">
        <v>60</v>
      </c>
      <c r="D562" s="17" t="s">
        <v>66</v>
      </c>
      <c r="E562" s="17" t="s">
        <v>2050</v>
      </c>
      <c r="F562" s="17" t="s">
        <v>118</v>
      </c>
      <c r="G562" s="17" t="s">
        <v>315</v>
      </c>
      <c r="H562" s="17" t="s">
        <v>2051</v>
      </c>
      <c r="I562" s="20" t="n">
        <v>5</v>
      </c>
      <c r="J562" s="20" t="n">
        <v>0</v>
      </c>
      <c r="K562" s="25" t="n">
        <f aca="false">IFERROR(J562/I562,0)</f>
        <v>0</v>
      </c>
      <c r="L562" s="19" t="n">
        <v>0</v>
      </c>
      <c r="M562" s="20" t="n">
        <v>0</v>
      </c>
      <c r="N562" s="8" t="n">
        <f aca="false">IFERROR(M562/J562,0)</f>
        <v>0</v>
      </c>
    </row>
    <row r="563" customFormat="false" ht="15" hidden="false" customHeight="false" outlineLevel="0" collapsed="false">
      <c r="A563" s="17" t="s">
        <v>16</v>
      </c>
      <c r="B563" s="17" t="s">
        <v>62</v>
      </c>
      <c r="C563" s="17" t="s">
        <v>66</v>
      </c>
      <c r="D563" s="17" t="s">
        <v>60</v>
      </c>
      <c r="E563" s="17" t="s">
        <v>2052</v>
      </c>
      <c r="F563" s="17" t="s">
        <v>2053</v>
      </c>
      <c r="G563" s="17" t="s">
        <v>315</v>
      </c>
      <c r="H563" s="17" t="s">
        <v>2054</v>
      </c>
      <c r="I563" s="20" t="n">
        <v>5</v>
      </c>
      <c r="J563" s="20" t="n">
        <v>0</v>
      </c>
      <c r="K563" s="25" t="n">
        <f aca="false">IFERROR(J563/I563,0)</f>
        <v>0</v>
      </c>
      <c r="L563" s="19" t="n">
        <v>0</v>
      </c>
      <c r="M563" s="20" t="n">
        <v>0</v>
      </c>
      <c r="N563" s="8" t="n">
        <f aca="false">IFERROR(M563/J563,0)</f>
        <v>0</v>
      </c>
    </row>
    <row r="564" customFormat="false" ht="15" hidden="false" customHeight="false" outlineLevel="0" collapsed="false">
      <c r="A564" s="17" t="s">
        <v>16</v>
      </c>
      <c r="B564" s="17" t="s">
        <v>62</v>
      </c>
      <c r="C564" s="17" t="s">
        <v>60</v>
      </c>
      <c r="D564" s="17" t="s">
        <v>66</v>
      </c>
      <c r="E564" s="17" t="s">
        <v>2055</v>
      </c>
      <c r="F564" s="17" t="s">
        <v>118</v>
      </c>
      <c r="G564" s="17" t="s">
        <v>315</v>
      </c>
      <c r="H564" s="17" t="s">
        <v>2056</v>
      </c>
      <c r="I564" s="20" t="n">
        <v>3</v>
      </c>
      <c r="J564" s="20" t="n">
        <v>0</v>
      </c>
      <c r="K564" s="25" t="n">
        <f aca="false">IFERROR(J564/I564,0)</f>
        <v>0</v>
      </c>
      <c r="L564" s="19" t="n">
        <v>0</v>
      </c>
      <c r="M564" s="20" t="n">
        <v>0</v>
      </c>
      <c r="N564" s="8" t="n">
        <f aca="false">IFERROR(M564/J564,0)</f>
        <v>0</v>
      </c>
    </row>
    <row r="565" customFormat="false" ht="15" hidden="false" customHeight="false" outlineLevel="0" collapsed="false">
      <c r="A565" s="17" t="s">
        <v>16</v>
      </c>
      <c r="B565" s="17" t="s">
        <v>62</v>
      </c>
      <c r="C565" s="17" t="s">
        <v>60</v>
      </c>
      <c r="D565" s="17" t="s">
        <v>66</v>
      </c>
      <c r="E565" s="17" t="s">
        <v>2057</v>
      </c>
      <c r="F565" s="17" t="s">
        <v>118</v>
      </c>
      <c r="G565" s="17" t="s">
        <v>315</v>
      </c>
      <c r="H565" s="17" t="s">
        <v>2058</v>
      </c>
      <c r="I565" s="20" t="n">
        <v>2</v>
      </c>
      <c r="J565" s="20" t="n">
        <v>0</v>
      </c>
      <c r="K565" s="25" t="n">
        <f aca="false">IFERROR(J565/I565,0)</f>
        <v>0</v>
      </c>
      <c r="L565" s="19" t="n">
        <v>0</v>
      </c>
      <c r="M565" s="20" t="n">
        <v>0</v>
      </c>
      <c r="N565" s="8" t="n">
        <f aca="false">IFERROR(M565/J565,0)</f>
        <v>0</v>
      </c>
    </row>
    <row r="566" customFormat="false" ht="15" hidden="false" customHeight="false" outlineLevel="0" collapsed="false">
      <c r="A566" s="17" t="s">
        <v>16</v>
      </c>
      <c r="B566" s="17" t="s">
        <v>62</v>
      </c>
      <c r="C566" s="17" t="s">
        <v>60</v>
      </c>
      <c r="D566" s="17" t="s">
        <v>66</v>
      </c>
      <c r="E566" s="17" t="s">
        <v>2059</v>
      </c>
      <c r="F566" s="17" t="s">
        <v>118</v>
      </c>
      <c r="G566" s="17" t="s">
        <v>315</v>
      </c>
      <c r="H566" s="17" t="s">
        <v>1641</v>
      </c>
      <c r="I566" s="20" t="n">
        <v>2</v>
      </c>
      <c r="J566" s="20" t="n">
        <v>0</v>
      </c>
      <c r="K566" s="25" t="n">
        <f aca="false">IFERROR(J566/I566,0)</f>
        <v>0</v>
      </c>
      <c r="L566" s="19" t="n">
        <v>0</v>
      </c>
      <c r="M566" s="20" t="n">
        <v>0</v>
      </c>
      <c r="N566" s="8" t="n">
        <f aca="false">IFERROR(M566/J566,0)</f>
        <v>0</v>
      </c>
    </row>
    <row r="567" customFormat="false" ht="15" hidden="false" customHeight="false" outlineLevel="0" collapsed="false">
      <c r="A567" s="17" t="s">
        <v>16</v>
      </c>
      <c r="B567" s="17" t="s">
        <v>62</v>
      </c>
      <c r="C567" s="17" t="s">
        <v>66</v>
      </c>
      <c r="D567" s="17" t="s">
        <v>60</v>
      </c>
      <c r="E567" s="17" t="s">
        <v>2060</v>
      </c>
      <c r="F567" s="17" t="s">
        <v>1920</v>
      </c>
      <c r="G567" s="17" t="s">
        <v>315</v>
      </c>
      <c r="H567" s="17" t="s">
        <v>2061</v>
      </c>
      <c r="I567" s="20" t="n">
        <v>2</v>
      </c>
      <c r="J567" s="20" t="n">
        <v>0</v>
      </c>
      <c r="K567" s="25" t="n">
        <f aca="false">IFERROR(J567/I567,0)</f>
        <v>0</v>
      </c>
      <c r="L567" s="19" t="n">
        <v>0</v>
      </c>
      <c r="M567" s="20" t="n">
        <v>0</v>
      </c>
      <c r="N567" s="8" t="n">
        <f aca="false">IFERROR(M567/J567,0)</f>
        <v>0</v>
      </c>
    </row>
    <row r="568" customFormat="false" ht="15" hidden="false" customHeight="false" outlineLevel="0" collapsed="false">
      <c r="A568" s="17" t="s">
        <v>16</v>
      </c>
      <c r="B568" s="17" t="s">
        <v>62</v>
      </c>
      <c r="C568" s="17" t="s">
        <v>60</v>
      </c>
      <c r="D568" s="17" t="s">
        <v>66</v>
      </c>
      <c r="E568" s="17" t="s">
        <v>2062</v>
      </c>
      <c r="F568" s="17" t="s">
        <v>118</v>
      </c>
      <c r="G568" s="17" t="s">
        <v>315</v>
      </c>
      <c r="H568" s="17" t="s">
        <v>2063</v>
      </c>
      <c r="I568" s="20" t="n">
        <v>1</v>
      </c>
      <c r="J568" s="20" t="n">
        <v>0</v>
      </c>
      <c r="K568" s="25" t="n">
        <f aca="false">IFERROR(J568/I568,0)</f>
        <v>0</v>
      </c>
      <c r="L568" s="19" t="n">
        <v>0</v>
      </c>
      <c r="M568" s="20" t="n">
        <v>0</v>
      </c>
      <c r="N568" s="8" t="n">
        <f aca="false">IFERROR(M568/J568,0)</f>
        <v>0</v>
      </c>
    </row>
    <row r="569" customFormat="false" ht="15" hidden="false" customHeight="false" outlineLevel="0" collapsed="false">
      <c r="A569" s="17" t="s">
        <v>16</v>
      </c>
      <c r="B569" s="17" t="s">
        <v>62</v>
      </c>
      <c r="C569" s="17" t="s">
        <v>60</v>
      </c>
      <c r="D569" s="17" t="s">
        <v>66</v>
      </c>
      <c r="E569" s="17" t="s">
        <v>2064</v>
      </c>
      <c r="F569" s="17" t="s">
        <v>118</v>
      </c>
      <c r="G569" s="17" t="s">
        <v>315</v>
      </c>
      <c r="H569" s="17" t="s">
        <v>2065</v>
      </c>
      <c r="I569" s="20" t="n">
        <v>0</v>
      </c>
      <c r="J569" s="20" t="n">
        <v>0</v>
      </c>
      <c r="K569" s="25" t="n">
        <f aca="false">IFERROR(J569/I569,0)</f>
        <v>0</v>
      </c>
      <c r="L569" s="19" t="n">
        <v>0</v>
      </c>
      <c r="M569" s="20" t="n">
        <v>0</v>
      </c>
      <c r="N569" s="8" t="n">
        <f aca="false">IFERROR(M569/J569,0)</f>
        <v>0</v>
      </c>
    </row>
    <row r="570" customFormat="false" ht="15" hidden="false" customHeight="false" outlineLevel="0" collapsed="false">
      <c r="A570" s="17" t="s">
        <v>16</v>
      </c>
      <c r="B570" s="17" t="s">
        <v>62</v>
      </c>
      <c r="C570" s="17" t="s">
        <v>66</v>
      </c>
      <c r="D570" s="17" t="s">
        <v>60</v>
      </c>
      <c r="E570" s="17" t="s">
        <v>2066</v>
      </c>
      <c r="F570" s="17" t="s">
        <v>2067</v>
      </c>
      <c r="G570" s="17" t="s">
        <v>315</v>
      </c>
      <c r="H570" s="17" t="s">
        <v>2068</v>
      </c>
      <c r="I570" s="20" t="n">
        <v>0</v>
      </c>
      <c r="J570" s="20" t="n">
        <v>0</v>
      </c>
      <c r="K570" s="25" t="n">
        <f aca="false">IFERROR(J570/I570,0)</f>
        <v>0</v>
      </c>
      <c r="L570" s="19" t="n">
        <v>0</v>
      </c>
      <c r="M570" s="20" t="n">
        <v>0</v>
      </c>
      <c r="N570" s="8" t="n">
        <f aca="false">IFERROR(M570/J570,0)</f>
        <v>0</v>
      </c>
    </row>
    <row r="571" customFormat="false" ht="15" hidden="false" customHeight="false" outlineLevel="0" collapsed="false">
      <c r="A571" s="17" t="s">
        <v>16</v>
      </c>
      <c r="B571" s="17" t="s">
        <v>69</v>
      </c>
      <c r="C571" s="17" t="s">
        <v>60</v>
      </c>
      <c r="D571" s="17" t="s">
        <v>66</v>
      </c>
      <c r="E571" s="17" t="s">
        <v>2069</v>
      </c>
      <c r="F571" s="17" t="s">
        <v>530</v>
      </c>
      <c r="G571" s="17" t="s">
        <v>315</v>
      </c>
      <c r="H571" s="17" t="s">
        <v>2070</v>
      </c>
      <c r="I571" s="20" t="n">
        <v>1631</v>
      </c>
      <c r="J571" s="20" t="n">
        <v>8</v>
      </c>
      <c r="K571" s="25" t="n">
        <f aca="false">IFERROR(J571/I571,0)</f>
        <v>0.00490496627835684</v>
      </c>
      <c r="L571" s="19" t="n">
        <v>26</v>
      </c>
      <c r="M571" s="20" t="n">
        <v>1</v>
      </c>
      <c r="N571" s="8" t="n">
        <f aca="false">IFERROR(M571/J571,0)</f>
        <v>0.125</v>
      </c>
    </row>
    <row r="572" customFormat="false" ht="15" hidden="false" customHeight="false" outlineLevel="0" collapsed="false">
      <c r="A572" s="17" t="s">
        <v>16</v>
      </c>
      <c r="B572" s="17" t="s">
        <v>69</v>
      </c>
      <c r="C572" s="17" t="s">
        <v>60</v>
      </c>
      <c r="D572" s="17" t="s">
        <v>66</v>
      </c>
      <c r="E572" s="17" t="s">
        <v>2071</v>
      </c>
      <c r="F572" s="17" t="s">
        <v>530</v>
      </c>
      <c r="G572" s="17" t="s">
        <v>315</v>
      </c>
      <c r="H572" s="17" t="s">
        <v>1669</v>
      </c>
      <c r="I572" s="20" t="n">
        <v>1177</v>
      </c>
      <c r="J572" s="20" t="n">
        <v>5</v>
      </c>
      <c r="K572" s="25" t="n">
        <f aca="false">IFERROR(J572/I572,0)</f>
        <v>0.00424808836023789</v>
      </c>
      <c r="L572" s="19" t="n">
        <v>7.75</v>
      </c>
      <c r="M572" s="20" t="n">
        <v>0</v>
      </c>
      <c r="N572" s="8" t="n">
        <f aca="false">IFERROR(M572/J572,0)</f>
        <v>0</v>
      </c>
    </row>
    <row r="573" customFormat="false" ht="15" hidden="false" customHeight="false" outlineLevel="0" collapsed="false">
      <c r="A573" s="17" t="s">
        <v>16</v>
      </c>
      <c r="B573" s="17" t="s">
        <v>69</v>
      </c>
      <c r="C573" s="17" t="s">
        <v>60</v>
      </c>
      <c r="D573" s="17" t="s">
        <v>66</v>
      </c>
      <c r="E573" s="17" t="s">
        <v>2072</v>
      </c>
      <c r="F573" s="17" t="s">
        <v>530</v>
      </c>
      <c r="G573" s="17" t="s">
        <v>315</v>
      </c>
      <c r="H573" s="17" t="s">
        <v>1676</v>
      </c>
      <c r="I573" s="20" t="n">
        <v>708</v>
      </c>
      <c r="J573" s="20" t="n">
        <v>0</v>
      </c>
      <c r="K573" s="25" t="n">
        <f aca="false">IFERROR(J573/I573,0)</f>
        <v>0</v>
      </c>
      <c r="L573" s="19" t="n">
        <v>0</v>
      </c>
      <c r="M573" s="20" t="n">
        <v>0</v>
      </c>
      <c r="N573" s="8" t="n">
        <f aca="false">IFERROR(M573/J573,0)</f>
        <v>0</v>
      </c>
    </row>
    <row r="574" customFormat="false" ht="15" hidden="false" customHeight="false" outlineLevel="0" collapsed="false">
      <c r="A574" s="17" t="s">
        <v>16</v>
      </c>
      <c r="B574" s="17" t="s">
        <v>69</v>
      </c>
      <c r="C574" s="17" t="s">
        <v>60</v>
      </c>
      <c r="D574" s="17" t="s">
        <v>66</v>
      </c>
      <c r="E574" s="17" t="s">
        <v>2073</v>
      </c>
      <c r="F574" s="17" t="s">
        <v>530</v>
      </c>
      <c r="G574" s="17" t="s">
        <v>315</v>
      </c>
      <c r="H574" s="17" t="s">
        <v>1665</v>
      </c>
      <c r="I574" s="20" t="n">
        <v>525</v>
      </c>
      <c r="J574" s="20" t="n">
        <v>11</v>
      </c>
      <c r="K574" s="25" t="n">
        <f aca="false">IFERROR(J574/I574,0)</f>
        <v>0.020952380952381</v>
      </c>
      <c r="L574" s="19" t="n">
        <v>54.53</v>
      </c>
      <c r="M574" s="20" t="n">
        <v>3</v>
      </c>
      <c r="N574" s="8" t="n">
        <f aca="false">IFERROR(M574/J574,0)</f>
        <v>0.272727272727273</v>
      </c>
    </row>
    <row r="575" customFormat="false" ht="15" hidden="false" customHeight="false" outlineLevel="0" collapsed="false">
      <c r="A575" s="17" t="s">
        <v>16</v>
      </c>
      <c r="B575" s="17" t="s">
        <v>69</v>
      </c>
      <c r="C575" s="17" t="s">
        <v>60</v>
      </c>
      <c r="D575" s="17" t="s">
        <v>66</v>
      </c>
      <c r="E575" s="17" t="s">
        <v>2074</v>
      </c>
      <c r="F575" s="17" t="s">
        <v>530</v>
      </c>
      <c r="G575" s="17" t="s">
        <v>315</v>
      </c>
      <c r="H575" s="17" t="s">
        <v>2075</v>
      </c>
      <c r="I575" s="20" t="n">
        <v>288</v>
      </c>
      <c r="J575" s="20" t="n">
        <v>1</v>
      </c>
      <c r="K575" s="25" t="n">
        <f aca="false">IFERROR(J575/I575,0)</f>
        <v>0.00347222222222222</v>
      </c>
      <c r="L575" s="19" t="n">
        <v>1.27</v>
      </c>
      <c r="M575" s="20" t="n">
        <v>0</v>
      </c>
      <c r="N575" s="8" t="n">
        <f aca="false">IFERROR(M575/J575,0)</f>
        <v>0</v>
      </c>
    </row>
    <row r="576" customFormat="false" ht="15" hidden="false" customHeight="false" outlineLevel="0" collapsed="false">
      <c r="A576" s="17" t="s">
        <v>16</v>
      </c>
      <c r="B576" s="17" t="s">
        <v>69</v>
      </c>
      <c r="C576" s="17" t="s">
        <v>60</v>
      </c>
      <c r="D576" s="17" t="s">
        <v>66</v>
      </c>
      <c r="E576" s="17" t="s">
        <v>529</v>
      </c>
      <c r="F576" s="17" t="s">
        <v>530</v>
      </c>
      <c r="G576" s="17" t="s">
        <v>315</v>
      </c>
      <c r="H576" s="17" t="s">
        <v>2076</v>
      </c>
      <c r="I576" s="20" t="n">
        <v>282</v>
      </c>
      <c r="J576" s="20" t="n">
        <v>7</v>
      </c>
      <c r="K576" s="25" t="n">
        <f aca="false">IFERROR(J576/I576,0)</f>
        <v>0.024822695035461</v>
      </c>
      <c r="L576" s="19" t="n">
        <v>38.26</v>
      </c>
      <c r="M576" s="20" t="n">
        <v>1</v>
      </c>
      <c r="N576" s="8" t="n">
        <f aca="false">IFERROR(M576/J576,0)</f>
        <v>0.142857142857143</v>
      </c>
    </row>
    <row r="577" customFormat="false" ht="15" hidden="false" customHeight="false" outlineLevel="0" collapsed="false">
      <c r="A577" s="17" t="s">
        <v>16</v>
      </c>
      <c r="B577" s="17" t="s">
        <v>69</v>
      </c>
      <c r="C577" s="17" t="s">
        <v>66</v>
      </c>
      <c r="D577" s="17" t="s">
        <v>60</v>
      </c>
      <c r="E577" s="17" t="s">
        <v>2077</v>
      </c>
      <c r="F577" s="17" t="s">
        <v>130</v>
      </c>
      <c r="G577" s="17" t="s">
        <v>315</v>
      </c>
      <c r="H577" s="17" t="s">
        <v>2078</v>
      </c>
      <c r="I577" s="20" t="n">
        <v>29</v>
      </c>
      <c r="J577" s="20" t="n">
        <v>0</v>
      </c>
      <c r="K577" s="25" t="n">
        <f aca="false">IFERROR(J577/I577,0)</f>
        <v>0</v>
      </c>
      <c r="L577" s="19" t="n">
        <v>0</v>
      </c>
      <c r="M577" s="20" t="n">
        <v>0</v>
      </c>
      <c r="N577" s="8" t="n">
        <f aca="false">IFERROR(M577/J577,0)</f>
        <v>0</v>
      </c>
    </row>
    <row r="578" customFormat="false" ht="15" hidden="false" customHeight="false" outlineLevel="0" collapsed="false">
      <c r="A578" s="17" t="s">
        <v>16</v>
      </c>
      <c r="B578" s="17" t="s">
        <v>69</v>
      </c>
      <c r="C578" s="17" t="s">
        <v>60</v>
      </c>
      <c r="D578" s="17" t="s">
        <v>66</v>
      </c>
      <c r="E578" s="17" t="s">
        <v>2079</v>
      </c>
      <c r="F578" s="17" t="s">
        <v>530</v>
      </c>
      <c r="G578" s="17" t="s">
        <v>315</v>
      </c>
      <c r="H578" s="17" t="s">
        <v>1670</v>
      </c>
      <c r="I578" s="20" t="n">
        <v>2</v>
      </c>
      <c r="J578" s="20" t="n">
        <v>0</v>
      </c>
      <c r="K578" s="25" t="n">
        <f aca="false">IFERROR(J578/I578,0)</f>
        <v>0</v>
      </c>
      <c r="L578" s="19" t="n">
        <v>0</v>
      </c>
      <c r="M578" s="20" t="n">
        <v>0</v>
      </c>
      <c r="N578" s="8" t="n">
        <f aca="false">IFERROR(M578/J578,0)</f>
        <v>0</v>
      </c>
    </row>
    <row r="579" customFormat="false" ht="15" hidden="false" customHeight="false" outlineLevel="0" collapsed="false">
      <c r="A579" s="17" t="s">
        <v>17</v>
      </c>
      <c r="B579" s="17" t="s">
        <v>64</v>
      </c>
      <c r="C579" s="17" t="s">
        <v>66</v>
      </c>
      <c r="D579" s="17" t="s">
        <v>66</v>
      </c>
      <c r="E579" s="17" t="s">
        <v>590</v>
      </c>
      <c r="F579" s="17" t="s">
        <v>148</v>
      </c>
      <c r="G579" s="17" t="s">
        <v>311</v>
      </c>
      <c r="H579" s="17" t="s">
        <v>2080</v>
      </c>
      <c r="I579" s="20" t="n">
        <v>14647</v>
      </c>
      <c r="J579" s="20" t="n">
        <v>92</v>
      </c>
      <c r="K579" s="25" t="n">
        <f aca="false">IFERROR(J579/I579,0)</f>
        <v>0.00628114972349287</v>
      </c>
      <c r="L579" s="19" t="n">
        <v>92.87</v>
      </c>
      <c r="M579" s="20" t="n">
        <v>14</v>
      </c>
      <c r="N579" s="8" t="n">
        <f aca="false">IFERROR(M579/J579,0)</f>
        <v>0.152173913043478</v>
      </c>
    </row>
    <row r="580" customFormat="false" ht="15" hidden="false" customHeight="false" outlineLevel="0" collapsed="false">
      <c r="A580" s="17" t="s">
        <v>17</v>
      </c>
      <c r="B580" s="17" t="s">
        <v>64</v>
      </c>
      <c r="C580" s="17" t="s">
        <v>60</v>
      </c>
      <c r="D580" s="17" t="s">
        <v>66</v>
      </c>
      <c r="E580" s="17" t="s">
        <v>2081</v>
      </c>
      <c r="F580" s="17" t="s">
        <v>143</v>
      </c>
      <c r="G580" s="17" t="s">
        <v>315</v>
      </c>
      <c r="H580" s="17" t="s">
        <v>2082</v>
      </c>
      <c r="I580" s="20" t="n">
        <v>13761</v>
      </c>
      <c r="J580" s="20" t="n">
        <v>145</v>
      </c>
      <c r="K580" s="25" t="n">
        <f aca="false">IFERROR(J580/I580,0)</f>
        <v>0.0105370249255141</v>
      </c>
      <c r="L580" s="19" t="n">
        <v>339.96</v>
      </c>
      <c r="M580" s="20" t="n">
        <v>29</v>
      </c>
      <c r="N580" s="8" t="n">
        <f aca="false">IFERROR(M580/J580,0)</f>
        <v>0.2</v>
      </c>
    </row>
    <row r="581" customFormat="false" ht="15" hidden="false" customHeight="false" outlineLevel="0" collapsed="false">
      <c r="A581" s="17" t="s">
        <v>17</v>
      </c>
      <c r="B581" s="17" t="s">
        <v>64</v>
      </c>
      <c r="C581" s="17" t="s">
        <v>66</v>
      </c>
      <c r="D581" s="17" t="s">
        <v>66</v>
      </c>
      <c r="E581" s="17" t="s">
        <v>2083</v>
      </c>
      <c r="F581" s="17" t="s">
        <v>148</v>
      </c>
      <c r="G581" s="17" t="s">
        <v>351</v>
      </c>
      <c r="H581" s="17" t="s">
        <v>2082</v>
      </c>
      <c r="I581" s="20" t="n">
        <v>12757</v>
      </c>
      <c r="J581" s="20" t="n">
        <v>44</v>
      </c>
      <c r="K581" s="25" t="n">
        <f aca="false">IFERROR(J581/I581,0)</f>
        <v>0.00344908677588775</v>
      </c>
      <c r="L581" s="19" t="n">
        <v>72.26</v>
      </c>
      <c r="M581" s="20" t="n">
        <v>5</v>
      </c>
      <c r="N581" s="8" t="n">
        <f aca="false">IFERROR(M581/J581,0)</f>
        <v>0.113636363636364</v>
      </c>
    </row>
    <row r="582" customFormat="false" ht="15" hidden="false" customHeight="false" outlineLevel="0" collapsed="false">
      <c r="A582" s="17" t="s">
        <v>17</v>
      </c>
      <c r="B582" s="17" t="s">
        <v>64</v>
      </c>
      <c r="C582" s="17" t="s">
        <v>66</v>
      </c>
      <c r="D582" s="17" t="s">
        <v>60</v>
      </c>
      <c r="E582" s="17" t="s">
        <v>644</v>
      </c>
      <c r="F582" s="17" t="s">
        <v>645</v>
      </c>
      <c r="G582" s="17" t="s">
        <v>311</v>
      </c>
      <c r="H582" s="17" t="s">
        <v>2084</v>
      </c>
      <c r="I582" s="20" t="n">
        <v>11976</v>
      </c>
      <c r="J582" s="20" t="n">
        <v>36</v>
      </c>
      <c r="K582" s="25" t="n">
        <f aca="false">IFERROR(J582/I582,0)</f>
        <v>0.0030060120240481</v>
      </c>
      <c r="L582" s="19" t="n">
        <v>22.39</v>
      </c>
      <c r="M582" s="20" t="n">
        <v>1</v>
      </c>
      <c r="N582" s="8" t="n">
        <f aca="false">IFERROR(M582/J582,0)</f>
        <v>0.0277777777777778</v>
      </c>
    </row>
    <row r="583" customFormat="false" ht="15" hidden="false" customHeight="false" outlineLevel="0" collapsed="false">
      <c r="A583" s="17" t="s">
        <v>17</v>
      </c>
      <c r="B583" s="17" t="s">
        <v>64</v>
      </c>
      <c r="C583" s="17" t="s">
        <v>66</v>
      </c>
      <c r="D583" s="17" t="s">
        <v>66</v>
      </c>
      <c r="E583" s="17" t="s">
        <v>2085</v>
      </c>
      <c r="F583" s="17" t="s">
        <v>148</v>
      </c>
      <c r="G583" s="17" t="s">
        <v>311</v>
      </c>
      <c r="H583" s="17" t="s">
        <v>2086</v>
      </c>
      <c r="I583" s="20" t="n">
        <v>11401</v>
      </c>
      <c r="J583" s="20" t="n">
        <v>111</v>
      </c>
      <c r="K583" s="25" t="n">
        <f aca="false">IFERROR(J583/I583,0)</f>
        <v>0.00973598807122182</v>
      </c>
      <c r="L583" s="19" t="n">
        <v>109.32</v>
      </c>
      <c r="M583" s="20" t="n">
        <v>17</v>
      </c>
      <c r="N583" s="8" t="n">
        <f aca="false">IFERROR(M583/J583,0)</f>
        <v>0.153153153153153</v>
      </c>
    </row>
    <row r="584" customFormat="false" ht="15" hidden="false" customHeight="false" outlineLevel="0" collapsed="false">
      <c r="A584" s="17" t="s">
        <v>17</v>
      </c>
      <c r="B584" s="17" t="s">
        <v>64</v>
      </c>
      <c r="C584" s="17" t="s">
        <v>60</v>
      </c>
      <c r="D584" s="17" t="s">
        <v>60</v>
      </c>
      <c r="E584" s="17" t="s">
        <v>2087</v>
      </c>
      <c r="F584" s="17" t="s">
        <v>143</v>
      </c>
      <c r="G584" s="17" t="s">
        <v>315</v>
      </c>
      <c r="H584" s="17" t="s">
        <v>2088</v>
      </c>
      <c r="I584" s="20" t="n">
        <v>9740</v>
      </c>
      <c r="J584" s="20" t="n">
        <v>30</v>
      </c>
      <c r="K584" s="25" t="n">
        <f aca="false">IFERROR(J584/I584,0)</f>
        <v>0.00308008213552361</v>
      </c>
      <c r="L584" s="19" t="n">
        <v>49.56</v>
      </c>
      <c r="M584" s="20" t="n">
        <v>3</v>
      </c>
      <c r="N584" s="8" t="n">
        <f aca="false">IFERROR(M584/J584,0)</f>
        <v>0.1</v>
      </c>
    </row>
    <row r="585" customFormat="false" ht="15" hidden="false" customHeight="false" outlineLevel="0" collapsed="false">
      <c r="A585" s="17" t="s">
        <v>17</v>
      </c>
      <c r="B585" s="17" t="s">
        <v>64</v>
      </c>
      <c r="C585" s="17" t="s">
        <v>60</v>
      </c>
      <c r="D585" s="17" t="s">
        <v>66</v>
      </c>
      <c r="E585" s="17" t="s">
        <v>2089</v>
      </c>
      <c r="F585" s="17" t="s">
        <v>143</v>
      </c>
      <c r="G585" s="17" t="s">
        <v>315</v>
      </c>
      <c r="H585" s="17" t="s">
        <v>2090</v>
      </c>
      <c r="I585" s="20" t="n">
        <v>7424</v>
      </c>
      <c r="J585" s="20" t="n">
        <v>21</v>
      </c>
      <c r="K585" s="25" t="n">
        <f aca="false">IFERROR(J585/I585,0)</f>
        <v>0.00282866379310345</v>
      </c>
      <c r="L585" s="19" t="n">
        <v>45.34</v>
      </c>
      <c r="M585" s="20" t="n">
        <v>4</v>
      </c>
      <c r="N585" s="8" t="n">
        <f aca="false">IFERROR(M585/J585,0)</f>
        <v>0.19047619047619</v>
      </c>
    </row>
    <row r="586" customFormat="false" ht="15" hidden="false" customHeight="false" outlineLevel="0" collapsed="false">
      <c r="A586" s="17" t="s">
        <v>17</v>
      </c>
      <c r="B586" s="17" t="s">
        <v>64</v>
      </c>
      <c r="C586" s="17" t="s">
        <v>60</v>
      </c>
      <c r="D586" s="17" t="s">
        <v>66</v>
      </c>
      <c r="E586" s="17" t="s">
        <v>602</v>
      </c>
      <c r="F586" s="17" t="s">
        <v>143</v>
      </c>
      <c r="G586" s="17" t="s">
        <v>315</v>
      </c>
      <c r="H586" s="17" t="s">
        <v>2091</v>
      </c>
      <c r="I586" s="20" t="n">
        <v>4467</v>
      </c>
      <c r="J586" s="20" t="n">
        <v>161</v>
      </c>
      <c r="K586" s="25" t="n">
        <f aca="false">IFERROR(J586/I586,0)</f>
        <v>0.0360420864114618</v>
      </c>
      <c r="L586" s="19" t="n">
        <v>514.21</v>
      </c>
      <c r="M586" s="20" t="n">
        <v>46</v>
      </c>
      <c r="N586" s="8" t="n">
        <f aca="false">IFERROR(M586/J586,0)</f>
        <v>0.285714285714286</v>
      </c>
    </row>
    <row r="587" customFormat="false" ht="15" hidden="false" customHeight="false" outlineLevel="0" collapsed="false">
      <c r="A587" s="17" t="s">
        <v>17</v>
      </c>
      <c r="B587" s="17" t="s">
        <v>64</v>
      </c>
      <c r="C587" s="17" t="s">
        <v>60</v>
      </c>
      <c r="D587" s="17" t="s">
        <v>66</v>
      </c>
      <c r="E587" s="17" t="s">
        <v>598</v>
      </c>
      <c r="F587" s="17" t="s">
        <v>143</v>
      </c>
      <c r="G587" s="17" t="s">
        <v>315</v>
      </c>
      <c r="H587" s="17" t="s">
        <v>2092</v>
      </c>
      <c r="I587" s="20" t="n">
        <v>3696</v>
      </c>
      <c r="J587" s="20" t="n">
        <v>64</v>
      </c>
      <c r="K587" s="25" t="n">
        <f aca="false">IFERROR(J587/I587,0)</f>
        <v>0.0173160173160173</v>
      </c>
      <c r="L587" s="19" t="n">
        <v>194.56</v>
      </c>
      <c r="M587" s="20" t="n">
        <v>11</v>
      </c>
      <c r="N587" s="8" t="n">
        <f aca="false">IFERROR(M587/J587,0)</f>
        <v>0.171875</v>
      </c>
    </row>
    <row r="588" customFormat="false" ht="15" hidden="false" customHeight="false" outlineLevel="0" collapsed="false">
      <c r="A588" s="17" t="s">
        <v>17</v>
      </c>
      <c r="B588" s="17" t="s">
        <v>64</v>
      </c>
      <c r="C588" s="17" t="s">
        <v>60</v>
      </c>
      <c r="D588" s="17" t="s">
        <v>66</v>
      </c>
      <c r="E588" s="17" t="s">
        <v>2093</v>
      </c>
      <c r="F588" s="17" t="s">
        <v>143</v>
      </c>
      <c r="G588" s="17" t="s">
        <v>315</v>
      </c>
      <c r="H588" s="17" t="s">
        <v>2094</v>
      </c>
      <c r="I588" s="20" t="n">
        <v>2596</v>
      </c>
      <c r="J588" s="20" t="n">
        <v>6</v>
      </c>
      <c r="K588" s="25" t="n">
        <f aca="false">IFERROR(J588/I588,0)</f>
        <v>0.00231124807395994</v>
      </c>
      <c r="L588" s="19" t="n">
        <v>6.72</v>
      </c>
      <c r="M588" s="20" t="n">
        <v>1</v>
      </c>
      <c r="N588" s="8" t="n">
        <f aca="false">IFERROR(M588/J588,0)</f>
        <v>0.166666666666667</v>
      </c>
    </row>
    <row r="589" customFormat="false" ht="15" hidden="false" customHeight="false" outlineLevel="0" collapsed="false">
      <c r="A589" s="17" t="s">
        <v>17</v>
      </c>
      <c r="B589" s="17" t="s">
        <v>64</v>
      </c>
      <c r="C589" s="17" t="s">
        <v>60</v>
      </c>
      <c r="D589" s="17" t="s">
        <v>60</v>
      </c>
      <c r="E589" s="17" t="s">
        <v>2095</v>
      </c>
      <c r="F589" s="17" t="s">
        <v>143</v>
      </c>
      <c r="G589" s="17" t="s">
        <v>315</v>
      </c>
      <c r="H589" s="17" t="s">
        <v>2096</v>
      </c>
      <c r="I589" s="20" t="n">
        <v>1912</v>
      </c>
      <c r="J589" s="20" t="n">
        <v>9</v>
      </c>
      <c r="K589" s="25" t="n">
        <f aca="false">IFERROR(J589/I589,0)</f>
        <v>0.0047071129707113</v>
      </c>
      <c r="L589" s="19" t="n">
        <v>19.05</v>
      </c>
      <c r="M589" s="20" t="n">
        <v>1</v>
      </c>
      <c r="N589" s="8" t="n">
        <f aca="false">IFERROR(M589/J589,0)</f>
        <v>0.111111111111111</v>
      </c>
    </row>
    <row r="590" customFormat="false" ht="15" hidden="false" customHeight="false" outlineLevel="0" collapsed="false">
      <c r="A590" s="17" t="s">
        <v>17</v>
      </c>
      <c r="B590" s="17" t="s">
        <v>64</v>
      </c>
      <c r="C590" s="17" t="s">
        <v>66</v>
      </c>
      <c r="D590" s="17" t="s">
        <v>66</v>
      </c>
      <c r="E590" s="17" t="s">
        <v>2097</v>
      </c>
      <c r="F590" s="17" t="s">
        <v>2098</v>
      </c>
      <c r="G590" s="17" t="s">
        <v>311</v>
      </c>
      <c r="H590" s="17" t="s">
        <v>2099</v>
      </c>
      <c r="I590" s="20" t="n">
        <v>1665</v>
      </c>
      <c r="J590" s="20" t="n">
        <v>6</v>
      </c>
      <c r="K590" s="25" t="n">
        <f aca="false">IFERROR(J590/I590,0)</f>
        <v>0.0036036036036036</v>
      </c>
      <c r="L590" s="19" t="n">
        <v>3.34</v>
      </c>
      <c r="M590" s="20" t="n">
        <v>1</v>
      </c>
      <c r="N590" s="8" t="n">
        <f aca="false">IFERROR(M590/J590,0)</f>
        <v>0.166666666666667</v>
      </c>
    </row>
    <row r="591" customFormat="false" ht="15" hidden="false" customHeight="false" outlineLevel="0" collapsed="false">
      <c r="A591" s="17" t="s">
        <v>17</v>
      </c>
      <c r="B591" s="17" t="s">
        <v>64</v>
      </c>
      <c r="C591" s="17" t="s">
        <v>66</v>
      </c>
      <c r="D591" s="17" t="s">
        <v>60</v>
      </c>
      <c r="E591" s="17" t="s">
        <v>2100</v>
      </c>
      <c r="F591" s="17" t="s">
        <v>224</v>
      </c>
      <c r="G591" s="17" t="s">
        <v>315</v>
      </c>
      <c r="H591" s="17" t="s">
        <v>2101</v>
      </c>
      <c r="I591" s="20" t="n">
        <v>1475</v>
      </c>
      <c r="J591" s="20" t="n">
        <v>5</v>
      </c>
      <c r="K591" s="25" t="n">
        <f aca="false">IFERROR(J591/I591,0)</f>
        <v>0.00338983050847458</v>
      </c>
      <c r="L591" s="19" t="n">
        <v>3.74</v>
      </c>
      <c r="M591" s="20" t="n">
        <v>0</v>
      </c>
      <c r="N591" s="8" t="n">
        <f aca="false">IFERROR(M591/J591,0)</f>
        <v>0</v>
      </c>
    </row>
    <row r="592" customFormat="false" ht="15" hidden="false" customHeight="false" outlineLevel="0" collapsed="false">
      <c r="A592" s="17" t="s">
        <v>17</v>
      </c>
      <c r="B592" s="17" t="s">
        <v>64</v>
      </c>
      <c r="C592" s="17" t="s">
        <v>60</v>
      </c>
      <c r="D592" s="17" t="s">
        <v>66</v>
      </c>
      <c r="E592" s="17" t="s">
        <v>600</v>
      </c>
      <c r="F592" s="17" t="s">
        <v>143</v>
      </c>
      <c r="G592" s="17" t="s">
        <v>315</v>
      </c>
      <c r="H592" s="17" t="s">
        <v>2102</v>
      </c>
      <c r="I592" s="20" t="n">
        <v>1412</v>
      </c>
      <c r="J592" s="20" t="n">
        <v>56</v>
      </c>
      <c r="K592" s="25" t="n">
        <f aca="false">IFERROR(J592/I592,0)</f>
        <v>0.0396600566572238</v>
      </c>
      <c r="L592" s="19" t="n">
        <v>183.6</v>
      </c>
      <c r="M592" s="20" t="n">
        <v>11</v>
      </c>
      <c r="N592" s="8" t="n">
        <f aca="false">IFERROR(M592/J592,0)</f>
        <v>0.196428571428571</v>
      </c>
    </row>
    <row r="593" customFormat="false" ht="15" hidden="false" customHeight="false" outlineLevel="0" collapsed="false">
      <c r="A593" s="17" t="s">
        <v>17</v>
      </c>
      <c r="B593" s="17" t="s">
        <v>64</v>
      </c>
      <c r="C593" s="17" t="s">
        <v>60</v>
      </c>
      <c r="D593" s="17" t="s">
        <v>66</v>
      </c>
      <c r="E593" s="17" t="s">
        <v>699</v>
      </c>
      <c r="F593" s="17" t="s">
        <v>143</v>
      </c>
      <c r="G593" s="17" t="s">
        <v>315</v>
      </c>
      <c r="H593" s="17" t="s">
        <v>2103</v>
      </c>
      <c r="I593" s="20" t="n">
        <v>1252</v>
      </c>
      <c r="J593" s="20" t="n">
        <v>31</v>
      </c>
      <c r="K593" s="25" t="n">
        <f aca="false">IFERROR(J593/I593,0)</f>
        <v>0.0247603833865815</v>
      </c>
      <c r="L593" s="19" t="n">
        <v>64.24</v>
      </c>
      <c r="M593" s="20" t="n">
        <v>6</v>
      </c>
      <c r="N593" s="8" t="n">
        <f aca="false">IFERROR(M593/J593,0)</f>
        <v>0.193548387096774</v>
      </c>
    </row>
    <row r="594" customFormat="false" ht="15" hidden="false" customHeight="false" outlineLevel="0" collapsed="false">
      <c r="A594" s="17" t="s">
        <v>17</v>
      </c>
      <c r="B594" s="17" t="s">
        <v>64</v>
      </c>
      <c r="C594" s="17" t="s">
        <v>60</v>
      </c>
      <c r="D594" s="17" t="s">
        <v>66</v>
      </c>
      <c r="E594" s="17" t="s">
        <v>2104</v>
      </c>
      <c r="F594" s="17" t="s">
        <v>143</v>
      </c>
      <c r="G594" s="17" t="s">
        <v>315</v>
      </c>
      <c r="H594" s="17" t="s">
        <v>2105</v>
      </c>
      <c r="I594" s="20" t="n">
        <v>1249</v>
      </c>
      <c r="J594" s="20" t="n">
        <v>7</v>
      </c>
      <c r="K594" s="25" t="n">
        <f aca="false">IFERROR(J594/I594,0)</f>
        <v>0.0056044835868695</v>
      </c>
      <c r="L594" s="19" t="n">
        <v>10.44</v>
      </c>
      <c r="M594" s="20" t="n">
        <v>1</v>
      </c>
      <c r="N594" s="8" t="n">
        <f aca="false">IFERROR(M594/J594,0)</f>
        <v>0.142857142857143</v>
      </c>
    </row>
    <row r="595" customFormat="false" ht="15" hidden="false" customHeight="false" outlineLevel="0" collapsed="false">
      <c r="A595" s="17" t="s">
        <v>17</v>
      </c>
      <c r="B595" s="17" t="s">
        <v>64</v>
      </c>
      <c r="C595" s="17" t="s">
        <v>60</v>
      </c>
      <c r="D595" s="17" t="s">
        <v>66</v>
      </c>
      <c r="E595" s="17" t="s">
        <v>629</v>
      </c>
      <c r="F595" s="17" t="s">
        <v>143</v>
      </c>
      <c r="G595" s="17" t="s">
        <v>315</v>
      </c>
      <c r="H595" s="17" t="s">
        <v>2106</v>
      </c>
      <c r="I595" s="20" t="n">
        <v>1240</v>
      </c>
      <c r="J595" s="20" t="n">
        <v>57</v>
      </c>
      <c r="K595" s="25" t="n">
        <f aca="false">IFERROR(J595/I595,0)</f>
        <v>0.0459677419354839</v>
      </c>
      <c r="L595" s="19" t="n">
        <v>158.35</v>
      </c>
      <c r="M595" s="20" t="n">
        <v>14</v>
      </c>
      <c r="N595" s="8" t="n">
        <f aca="false">IFERROR(M595/J595,0)</f>
        <v>0.245614035087719</v>
      </c>
    </row>
    <row r="596" customFormat="false" ht="15" hidden="false" customHeight="false" outlineLevel="0" collapsed="false">
      <c r="A596" s="17" t="s">
        <v>17</v>
      </c>
      <c r="B596" s="17" t="s">
        <v>64</v>
      </c>
      <c r="C596" s="17" t="s">
        <v>60</v>
      </c>
      <c r="D596" s="17" t="s">
        <v>60</v>
      </c>
      <c r="E596" s="17" t="s">
        <v>615</v>
      </c>
      <c r="F596" s="17" t="s">
        <v>143</v>
      </c>
      <c r="G596" s="17" t="s">
        <v>315</v>
      </c>
      <c r="H596" s="17" t="s">
        <v>2107</v>
      </c>
      <c r="I596" s="20" t="n">
        <v>1229</v>
      </c>
      <c r="J596" s="20" t="n">
        <v>36</v>
      </c>
      <c r="K596" s="25" t="n">
        <f aca="false">IFERROR(J596/I596,0)</f>
        <v>0.0292921074043938</v>
      </c>
      <c r="L596" s="19" t="n">
        <v>86.02</v>
      </c>
      <c r="M596" s="20" t="n">
        <v>12</v>
      </c>
      <c r="N596" s="8" t="n">
        <f aca="false">IFERROR(M596/J596,0)</f>
        <v>0.333333333333333</v>
      </c>
    </row>
    <row r="597" customFormat="false" ht="15" hidden="false" customHeight="false" outlineLevel="0" collapsed="false">
      <c r="A597" s="17" t="s">
        <v>17</v>
      </c>
      <c r="B597" s="17" t="s">
        <v>64</v>
      </c>
      <c r="C597" s="17" t="s">
        <v>60</v>
      </c>
      <c r="D597" s="17" t="s">
        <v>66</v>
      </c>
      <c r="E597" s="17" t="s">
        <v>2108</v>
      </c>
      <c r="F597" s="17" t="s">
        <v>143</v>
      </c>
      <c r="G597" s="17" t="s">
        <v>315</v>
      </c>
      <c r="H597" s="17" t="s">
        <v>2109</v>
      </c>
      <c r="I597" s="20" t="n">
        <v>1106</v>
      </c>
      <c r="J597" s="20" t="n">
        <v>25</v>
      </c>
      <c r="K597" s="25" t="n">
        <f aca="false">IFERROR(J597/I597,0)</f>
        <v>0.0226039783001808</v>
      </c>
      <c r="L597" s="19" t="n">
        <v>50.89</v>
      </c>
      <c r="M597" s="20" t="n">
        <v>7</v>
      </c>
      <c r="N597" s="8" t="n">
        <f aca="false">IFERROR(M597/J597,0)</f>
        <v>0.28</v>
      </c>
    </row>
    <row r="598" customFormat="false" ht="15" hidden="false" customHeight="false" outlineLevel="0" collapsed="false">
      <c r="A598" s="17" t="s">
        <v>17</v>
      </c>
      <c r="B598" s="17" t="s">
        <v>64</v>
      </c>
      <c r="C598" s="17" t="s">
        <v>60</v>
      </c>
      <c r="D598" s="17" t="s">
        <v>66</v>
      </c>
      <c r="E598" s="17" t="s">
        <v>596</v>
      </c>
      <c r="F598" s="17" t="s">
        <v>143</v>
      </c>
      <c r="G598" s="17" t="s">
        <v>315</v>
      </c>
      <c r="H598" s="17" t="s">
        <v>2110</v>
      </c>
      <c r="I598" s="20" t="n">
        <v>1051</v>
      </c>
      <c r="J598" s="20" t="n">
        <v>35</v>
      </c>
      <c r="K598" s="25" t="n">
        <f aca="false">IFERROR(J598/I598,0)</f>
        <v>0.0333016175071361</v>
      </c>
      <c r="L598" s="19" t="n">
        <v>107.1</v>
      </c>
      <c r="M598" s="20" t="n">
        <v>11</v>
      </c>
      <c r="N598" s="8" t="n">
        <f aca="false">IFERROR(M598/J598,0)</f>
        <v>0.314285714285714</v>
      </c>
    </row>
    <row r="599" customFormat="false" ht="15" hidden="false" customHeight="false" outlineLevel="0" collapsed="false">
      <c r="A599" s="17" t="s">
        <v>17</v>
      </c>
      <c r="B599" s="17" t="s">
        <v>64</v>
      </c>
      <c r="C599" s="17" t="s">
        <v>60</v>
      </c>
      <c r="D599" s="17" t="s">
        <v>66</v>
      </c>
      <c r="E599" s="17" t="s">
        <v>633</v>
      </c>
      <c r="F599" s="17" t="s">
        <v>143</v>
      </c>
      <c r="G599" s="17" t="s">
        <v>315</v>
      </c>
      <c r="H599" s="17" t="s">
        <v>2111</v>
      </c>
      <c r="I599" s="20" t="n">
        <v>784</v>
      </c>
      <c r="J599" s="20" t="n">
        <v>27</v>
      </c>
      <c r="K599" s="25" t="n">
        <f aca="false">IFERROR(J599/I599,0)</f>
        <v>0.0344387755102041</v>
      </c>
      <c r="L599" s="19" t="n">
        <v>64.23</v>
      </c>
      <c r="M599" s="20" t="n">
        <v>8</v>
      </c>
      <c r="N599" s="8" t="n">
        <f aca="false">IFERROR(M599/J599,0)</f>
        <v>0.296296296296296</v>
      </c>
    </row>
    <row r="600" customFormat="false" ht="15" hidden="false" customHeight="false" outlineLevel="0" collapsed="false">
      <c r="A600" s="17" t="s">
        <v>17</v>
      </c>
      <c r="B600" s="17" t="s">
        <v>64</v>
      </c>
      <c r="C600" s="17" t="s">
        <v>60</v>
      </c>
      <c r="D600" s="17" t="s">
        <v>66</v>
      </c>
      <c r="E600" s="17" t="s">
        <v>2112</v>
      </c>
      <c r="F600" s="17" t="s">
        <v>143</v>
      </c>
      <c r="G600" s="17" t="s">
        <v>315</v>
      </c>
      <c r="H600" s="17" t="s">
        <v>2113</v>
      </c>
      <c r="I600" s="20" t="n">
        <v>694</v>
      </c>
      <c r="J600" s="20" t="n">
        <v>17</v>
      </c>
      <c r="K600" s="25" t="n">
        <f aca="false">IFERROR(J600/I600,0)</f>
        <v>0.0244956772334294</v>
      </c>
      <c r="L600" s="19" t="n">
        <v>32.47</v>
      </c>
      <c r="M600" s="20" t="n">
        <v>1</v>
      </c>
      <c r="N600" s="8" t="n">
        <f aca="false">IFERROR(M600/J600,0)</f>
        <v>0.0588235294117647</v>
      </c>
    </row>
    <row r="601" customFormat="false" ht="15" hidden="false" customHeight="false" outlineLevel="0" collapsed="false">
      <c r="A601" s="17" t="s">
        <v>17</v>
      </c>
      <c r="B601" s="17" t="s">
        <v>64</v>
      </c>
      <c r="C601" s="17" t="s">
        <v>60</v>
      </c>
      <c r="D601" s="17" t="s">
        <v>66</v>
      </c>
      <c r="E601" s="17" t="s">
        <v>711</v>
      </c>
      <c r="F601" s="17" t="s">
        <v>143</v>
      </c>
      <c r="G601" s="17" t="s">
        <v>315</v>
      </c>
      <c r="H601" s="17" t="s">
        <v>2114</v>
      </c>
      <c r="I601" s="20" t="n">
        <v>660</v>
      </c>
      <c r="J601" s="20" t="n">
        <v>1</v>
      </c>
      <c r="K601" s="25" t="n">
        <f aca="false">IFERROR(J601/I601,0)</f>
        <v>0.00151515151515152</v>
      </c>
      <c r="L601" s="19" t="n">
        <v>1.08</v>
      </c>
      <c r="M601" s="20" t="n">
        <v>0</v>
      </c>
      <c r="N601" s="8" t="n">
        <f aca="false">IFERROR(M601/J601,0)</f>
        <v>0</v>
      </c>
    </row>
    <row r="602" customFormat="false" ht="15" hidden="false" customHeight="false" outlineLevel="0" collapsed="false">
      <c r="A602" s="17" t="s">
        <v>17</v>
      </c>
      <c r="B602" s="17" t="s">
        <v>64</v>
      </c>
      <c r="C602" s="17" t="s">
        <v>66</v>
      </c>
      <c r="D602" s="17" t="s">
        <v>60</v>
      </c>
      <c r="E602" s="17" t="s">
        <v>2115</v>
      </c>
      <c r="F602" s="17" t="s">
        <v>167</v>
      </c>
      <c r="G602" s="17" t="s">
        <v>351</v>
      </c>
      <c r="H602" s="17" t="s">
        <v>2116</v>
      </c>
      <c r="I602" s="20" t="n">
        <v>595</v>
      </c>
      <c r="J602" s="20" t="n">
        <v>4</v>
      </c>
      <c r="K602" s="25" t="n">
        <f aca="false">IFERROR(J602/I602,0)</f>
        <v>0.00672268907563025</v>
      </c>
      <c r="L602" s="19" t="n">
        <v>2.4</v>
      </c>
      <c r="M602" s="20" t="n">
        <v>0</v>
      </c>
      <c r="N602" s="8" t="n">
        <f aca="false">IFERROR(M602/J602,0)</f>
        <v>0</v>
      </c>
    </row>
    <row r="603" customFormat="false" ht="15" hidden="false" customHeight="false" outlineLevel="0" collapsed="false">
      <c r="A603" s="17" t="s">
        <v>17</v>
      </c>
      <c r="B603" s="17" t="s">
        <v>64</v>
      </c>
      <c r="C603" s="17" t="s">
        <v>60</v>
      </c>
      <c r="D603" s="17" t="s">
        <v>66</v>
      </c>
      <c r="E603" s="17" t="s">
        <v>2117</v>
      </c>
      <c r="F603" s="17" t="s">
        <v>143</v>
      </c>
      <c r="G603" s="17" t="s">
        <v>315</v>
      </c>
      <c r="H603" s="17" t="s">
        <v>2113</v>
      </c>
      <c r="I603" s="20" t="n">
        <v>490</v>
      </c>
      <c r="J603" s="20" t="n">
        <v>18</v>
      </c>
      <c r="K603" s="25" t="n">
        <f aca="false">IFERROR(J603/I603,0)</f>
        <v>0.036734693877551</v>
      </c>
      <c r="L603" s="19" t="n">
        <v>36.98</v>
      </c>
      <c r="M603" s="20" t="n">
        <v>1</v>
      </c>
      <c r="N603" s="8" t="n">
        <f aca="false">IFERROR(M603/J603,0)</f>
        <v>0.0555555555555556</v>
      </c>
    </row>
    <row r="604" customFormat="false" ht="15" hidden="false" customHeight="false" outlineLevel="0" collapsed="false">
      <c r="A604" s="17" t="s">
        <v>17</v>
      </c>
      <c r="B604" s="17" t="s">
        <v>64</v>
      </c>
      <c r="C604" s="17" t="s">
        <v>60</v>
      </c>
      <c r="D604" s="17" t="s">
        <v>66</v>
      </c>
      <c r="E604" s="17" t="s">
        <v>2118</v>
      </c>
      <c r="F604" s="17" t="s">
        <v>143</v>
      </c>
      <c r="G604" s="17" t="s">
        <v>315</v>
      </c>
      <c r="H604" s="17" t="s">
        <v>2119</v>
      </c>
      <c r="I604" s="20" t="n">
        <v>391</v>
      </c>
      <c r="J604" s="20" t="n">
        <v>5</v>
      </c>
      <c r="K604" s="25" t="n">
        <f aca="false">IFERROR(J604/I604,0)</f>
        <v>0.0127877237851662</v>
      </c>
      <c r="L604" s="19" t="n">
        <v>19.16</v>
      </c>
      <c r="M604" s="20" t="n">
        <v>0</v>
      </c>
      <c r="N604" s="8" t="n">
        <f aca="false">IFERROR(M604/J604,0)</f>
        <v>0</v>
      </c>
    </row>
    <row r="605" customFormat="false" ht="15" hidden="false" customHeight="false" outlineLevel="0" collapsed="false">
      <c r="A605" s="17" t="s">
        <v>17</v>
      </c>
      <c r="B605" s="17" t="s">
        <v>64</v>
      </c>
      <c r="C605" s="17" t="s">
        <v>60</v>
      </c>
      <c r="D605" s="17" t="s">
        <v>66</v>
      </c>
      <c r="E605" s="17" t="s">
        <v>2120</v>
      </c>
      <c r="F605" s="17" t="s">
        <v>143</v>
      </c>
      <c r="G605" s="17" t="s">
        <v>315</v>
      </c>
      <c r="H605" s="17" t="s">
        <v>2121</v>
      </c>
      <c r="I605" s="20" t="n">
        <v>382</v>
      </c>
      <c r="J605" s="20" t="n">
        <v>3</v>
      </c>
      <c r="K605" s="25" t="n">
        <f aca="false">IFERROR(J605/I605,0)</f>
        <v>0.00785340314136126</v>
      </c>
      <c r="L605" s="19" t="n">
        <v>6.04</v>
      </c>
      <c r="M605" s="20" t="n">
        <v>0</v>
      </c>
      <c r="N605" s="8" t="n">
        <f aca="false">IFERROR(M605/J605,0)</f>
        <v>0</v>
      </c>
    </row>
    <row r="606" customFormat="false" ht="15" hidden="false" customHeight="false" outlineLevel="0" collapsed="false">
      <c r="A606" s="17" t="s">
        <v>17</v>
      </c>
      <c r="B606" s="17" t="s">
        <v>64</v>
      </c>
      <c r="C606" s="17" t="s">
        <v>66</v>
      </c>
      <c r="D606" s="17" t="s">
        <v>60</v>
      </c>
      <c r="E606" s="17" t="s">
        <v>2122</v>
      </c>
      <c r="F606" s="17" t="s">
        <v>148</v>
      </c>
      <c r="G606" s="17" t="s">
        <v>315</v>
      </c>
      <c r="H606" s="17" t="s">
        <v>2123</v>
      </c>
      <c r="I606" s="20" t="n">
        <v>293</v>
      </c>
      <c r="J606" s="20" t="n">
        <v>4</v>
      </c>
      <c r="K606" s="25" t="n">
        <f aca="false">IFERROR(J606/I606,0)</f>
        <v>0.0136518771331058</v>
      </c>
      <c r="L606" s="19" t="n">
        <v>5.62</v>
      </c>
      <c r="M606" s="20" t="n">
        <v>1</v>
      </c>
      <c r="N606" s="8" t="n">
        <f aca="false">IFERROR(M606/J606,0)</f>
        <v>0.25</v>
      </c>
    </row>
    <row r="607" customFormat="false" ht="15" hidden="false" customHeight="false" outlineLevel="0" collapsed="false">
      <c r="A607" s="17" t="s">
        <v>17</v>
      </c>
      <c r="B607" s="17" t="s">
        <v>64</v>
      </c>
      <c r="C607" s="17" t="s">
        <v>60</v>
      </c>
      <c r="D607" s="17" t="s">
        <v>66</v>
      </c>
      <c r="E607" s="17" t="s">
        <v>687</v>
      </c>
      <c r="F607" s="17" t="s">
        <v>143</v>
      </c>
      <c r="G607" s="17" t="s">
        <v>315</v>
      </c>
      <c r="H607" s="17" t="s">
        <v>2124</v>
      </c>
      <c r="I607" s="20" t="n">
        <v>212</v>
      </c>
      <c r="J607" s="20" t="n">
        <v>11</v>
      </c>
      <c r="K607" s="25" t="n">
        <f aca="false">IFERROR(J607/I607,0)</f>
        <v>0.0518867924528302</v>
      </c>
      <c r="L607" s="19" t="n">
        <v>18.45</v>
      </c>
      <c r="M607" s="20" t="n">
        <v>4</v>
      </c>
      <c r="N607" s="8" t="n">
        <f aca="false">IFERROR(M607/J607,0)</f>
        <v>0.363636363636364</v>
      </c>
    </row>
    <row r="608" customFormat="false" ht="15" hidden="false" customHeight="false" outlineLevel="0" collapsed="false">
      <c r="A608" s="17" t="s">
        <v>17</v>
      </c>
      <c r="B608" s="17" t="s">
        <v>64</v>
      </c>
      <c r="C608" s="17" t="s">
        <v>60</v>
      </c>
      <c r="D608" s="17" t="s">
        <v>66</v>
      </c>
      <c r="E608" s="17" t="s">
        <v>2125</v>
      </c>
      <c r="F608" s="17" t="s">
        <v>143</v>
      </c>
      <c r="G608" s="17" t="s">
        <v>315</v>
      </c>
      <c r="H608" s="17" t="s">
        <v>2126</v>
      </c>
      <c r="I608" s="20" t="n">
        <v>188</v>
      </c>
      <c r="J608" s="20" t="n">
        <v>9</v>
      </c>
      <c r="K608" s="25" t="n">
        <f aca="false">IFERROR(J608/I608,0)</f>
        <v>0.0478723404255319</v>
      </c>
      <c r="L608" s="19" t="n">
        <v>19.13</v>
      </c>
      <c r="M608" s="20" t="n">
        <v>1</v>
      </c>
      <c r="N608" s="8" t="n">
        <f aca="false">IFERROR(M608/J608,0)</f>
        <v>0.111111111111111</v>
      </c>
    </row>
    <row r="609" customFormat="false" ht="15" hidden="false" customHeight="false" outlineLevel="0" collapsed="false">
      <c r="A609" s="17" t="s">
        <v>17</v>
      </c>
      <c r="B609" s="17" t="s">
        <v>64</v>
      </c>
      <c r="C609" s="17" t="s">
        <v>66</v>
      </c>
      <c r="D609" s="17" t="s">
        <v>66</v>
      </c>
      <c r="E609" s="17" t="s">
        <v>2127</v>
      </c>
      <c r="F609" s="17" t="s">
        <v>2098</v>
      </c>
      <c r="G609" s="17" t="s">
        <v>311</v>
      </c>
      <c r="H609" s="17" t="s">
        <v>2094</v>
      </c>
      <c r="I609" s="20" t="n">
        <v>169</v>
      </c>
      <c r="J609" s="20" t="n">
        <v>2</v>
      </c>
      <c r="K609" s="25" t="n">
        <f aca="false">IFERROR(J609/I609,0)</f>
        <v>0.0118343195266272</v>
      </c>
      <c r="L609" s="19" t="n">
        <v>1.34</v>
      </c>
      <c r="M609" s="20" t="n">
        <v>0</v>
      </c>
      <c r="N609" s="8" t="n">
        <f aca="false">IFERROR(M609/J609,0)</f>
        <v>0</v>
      </c>
    </row>
    <row r="610" customFormat="false" ht="15" hidden="false" customHeight="false" outlineLevel="0" collapsed="false">
      <c r="A610" s="17" t="s">
        <v>17</v>
      </c>
      <c r="B610" s="17" t="s">
        <v>64</v>
      </c>
      <c r="C610" s="17" t="s">
        <v>66</v>
      </c>
      <c r="D610" s="17" t="s">
        <v>60</v>
      </c>
      <c r="E610" s="17" t="s">
        <v>2128</v>
      </c>
      <c r="F610" s="17" t="s">
        <v>2129</v>
      </c>
      <c r="G610" s="17" t="s">
        <v>315</v>
      </c>
      <c r="H610" s="17" t="s">
        <v>2130</v>
      </c>
      <c r="I610" s="20" t="n">
        <v>141</v>
      </c>
      <c r="J610" s="20" t="n">
        <v>7</v>
      </c>
      <c r="K610" s="25" t="n">
        <f aca="false">IFERROR(J610/I610,0)</f>
        <v>0.049645390070922</v>
      </c>
      <c r="L610" s="19" t="n">
        <v>13.1</v>
      </c>
      <c r="M610" s="20" t="n">
        <v>0</v>
      </c>
      <c r="N610" s="8" t="n">
        <f aca="false">IFERROR(M610/J610,0)</f>
        <v>0</v>
      </c>
    </row>
    <row r="611" customFormat="false" ht="15" hidden="false" customHeight="false" outlineLevel="0" collapsed="false">
      <c r="A611" s="17" t="s">
        <v>17</v>
      </c>
      <c r="B611" s="17" t="s">
        <v>64</v>
      </c>
      <c r="C611" s="17" t="s">
        <v>60</v>
      </c>
      <c r="D611" s="17" t="s">
        <v>66</v>
      </c>
      <c r="E611" s="17" t="s">
        <v>701</v>
      </c>
      <c r="F611" s="17" t="s">
        <v>143</v>
      </c>
      <c r="G611" s="17" t="s">
        <v>315</v>
      </c>
      <c r="H611" s="17" t="s">
        <v>2099</v>
      </c>
      <c r="I611" s="20" t="n">
        <v>130</v>
      </c>
      <c r="J611" s="20" t="n">
        <v>4</v>
      </c>
      <c r="K611" s="25" t="n">
        <f aca="false">IFERROR(J611/I611,0)</f>
        <v>0.0307692307692308</v>
      </c>
      <c r="L611" s="19" t="n">
        <v>5.8</v>
      </c>
      <c r="M611" s="20" t="n">
        <v>0</v>
      </c>
      <c r="N611" s="8" t="n">
        <f aca="false">IFERROR(M611/J611,0)</f>
        <v>0</v>
      </c>
    </row>
    <row r="612" customFormat="false" ht="15" hidden="false" customHeight="false" outlineLevel="0" collapsed="false">
      <c r="A612" s="17" t="s">
        <v>17</v>
      </c>
      <c r="B612" s="17" t="s">
        <v>64</v>
      </c>
      <c r="C612" s="17" t="s">
        <v>66</v>
      </c>
      <c r="D612" s="17" t="s">
        <v>60</v>
      </c>
      <c r="E612" s="17" t="s">
        <v>2131</v>
      </c>
      <c r="F612" s="17" t="s">
        <v>167</v>
      </c>
      <c r="G612" s="17" t="s">
        <v>351</v>
      </c>
      <c r="H612" s="17" t="s">
        <v>2132</v>
      </c>
      <c r="I612" s="20" t="n">
        <v>113</v>
      </c>
      <c r="J612" s="20" t="n">
        <v>1</v>
      </c>
      <c r="K612" s="25" t="n">
        <f aca="false">IFERROR(J612/I612,0)</f>
        <v>0.00884955752212389</v>
      </c>
      <c r="L612" s="19" t="n">
        <v>0.6</v>
      </c>
      <c r="M612" s="20" t="n">
        <v>0</v>
      </c>
      <c r="N612" s="8" t="n">
        <f aca="false">IFERROR(M612/J612,0)</f>
        <v>0</v>
      </c>
    </row>
    <row r="613" customFormat="false" ht="15" hidden="false" customHeight="false" outlineLevel="0" collapsed="false">
      <c r="A613" s="17" t="s">
        <v>17</v>
      </c>
      <c r="B613" s="17" t="s">
        <v>64</v>
      </c>
      <c r="C613" s="17" t="s">
        <v>60</v>
      </c>
      <c r="D613" s="17" t="s">
        <v>66</v>
      </c>
      <c r="E613" s="17" t="s">
        <v>2133</v>
      </c>
      <c r="F613" s="17" t="s">
        <v>143</v>
      </c>
      <c r="G613" s="17" t="s">
        <v>315</v>
      </c>
      <c r="H613" s="17" t="s">
        <v>2134</v>
      </c>
      <c r="I613" s="20" t="n">
        <v>84</v>
      </c>
      <c r="J613" s="20" t="n">
        <v>2</v>
      </c>
      <c r="K613" s="25" t="n">
        <f aca="false">IFERROR(J613/I613,0)</f>
        <v>0.0238095238095238</v>
      </c>
      <c r="L613" s="19" t="n">
        <v>4.41</v>
      </c>
      <c r="M613" s="20" t="n">
        <v>0</v>
      </c>
      <c r="N613" s="8" t="n">
        <f aca="false">IFERROR(M613/J613,0)</f>
        <v>0</v>
      </c>
    </row>
    <row r="614" customFormat="false" ht="15" hidden="false" customHeight="false" outlineLevel="0" collapsed="false">
      <c r="A614" s="17" t="s">
        <v>17</v>
      </c>
      <c r="B614" s="17" t="s">
        <v>64</v>
      </c>
      <c r="C614" s="17" t="s">
        <v>60</v>
      </c>
      <c r="D614" s="17" t="s">
        <v>66</v>
      </c>
      <c r="E614" s="17" t="s">
        <v>705</v>
      </c>
      <c r="F614" s="17" t="s">
        <v>706</v>
      </c>
      <c r="G614" s="17" t="s">
        <v>315</v>
      </c>
      <c r="H614" s="17" t="s">
        <v>2135</v>
      </c>
      <c r="I614" s="20" t="n">
        <v>41</v>
      </c>
      <c r="J614" s="20" t="n">
        <v>1</v>
      </c>
      <c r="K614" s="25" t="n">
        <f aca="false">IFERROR(J614/I614,0)</f>
        <v>0.024390243902439</v>
      </c>
      <c r="L614" s="19" t="n">
        <v>1.23</v>
      </c>
      <c r="M614" s="20" t="n">
        <v>0</v>
      </c>
      <c r="N614" s="8" t="n">
        <f aca="false">IFERROR(M614/J614,0)</f>
        <v>0</v>
      </c>
    </row>
    <row r="615" customFormat="false" ht="15" hidden="false" customHeight="false" outlineLevel="0" collapsed="false">
      <c r="A615" s="17" t="s">
        <v>17</v>
      </c>
      <c r="B615" s="17" t="s">
        <v>64</v>
      </c>
      <c r="C615" s="17" t="s">
        <v>60</v>
      </c>
      <c r="D615" s="17" t="s">
        <v>66</v>
      </c>
      <c r="E615" s="17" t="s">
        <v>2136</v>
      </c>
      <c r="F615" s="17" t="s">
        <v>143</v>
      </c>
      <c r="G615" s="17" t="s">
        <v>351</v>
      </c>
      <c r="H615" s="17" t="s">
        <v>2113</v>
      </c>
      <c r="I615" s="20" t="n">
        <v>40</v>
      </c>
      <c r="J615" s="20" t="n">
        <v>0</v>
      </c>
      <c r="K615" s="25" t="n">
        <f aca="false">IFERROR(J615/I615,0)</f>
        <v>0</v>
      </c>
      <c r="L615" s="19" t="n">
        <v>0</v>
      </c>
      <c r="M615" s="20" t="n">
        <v>0</v>
      </c>
      <c r="N615" s="8" t="n">
        <f aca="false">IFERROR(M615/J615,0)</f>
        <v>0</v>
      </c>
    </row>
    <row r="616" customFormat="false" ht="15" hidden="false" customHeight="false" outlineLevel="0" collapsed="false">
      <c r="A616" s="17" t="s">
        <v>17</v>
      </c>
      <c r="B616" s="17" t="s">
        <v>64</v>
      </c>
      <c r="C616" s="17" t="s">
        <v>60</v>
      </c>
      <c r="D616" s="17" t="s">
        <v>66</v>
      </c>
      <c r="E616" s="17" t="s">
        <v>2137</v>
      </c>
      <c r="F616" s="17" t="s">
        <v>143</v>
      </c>
      <c r="G616" s="17" t="s">
        <v>315</v>
      </c>
      <c r="H616" s="17" t="s">
        <v>2138</v>
      </c>
      <c r="I616" s="20" t="n">
        <v>21</v>
      </c>
      <c r="J616" s="20" t="n">
        <v>1</v>
      </c>
      <c r="K616" s="25" t="n">
        <f aca="false">IFERROR(J616/I616,0)</f>
        <v>0.0476190476190476</v>
      </c>
      <c r="L616" s="19" t="n">
        <v>1.29</v>
      </c>
      <c r="M616" s="20" t="n">
        <v>0</v>
      </c>
      <c r="N616" s="8" t="n">
        <f aca="false">IFERROR(M616/J616,0)</f>
        <v>0</v>
      </c>
    </row>
    <row r="617" customFormat="false" ht="15" hidden="false" customHeight="false" outlineLevel="0" collapsed="false">
      <c r="A617" s="17" t="s">
        <v>17</v>
      </c>
      <c r="B617" s="17" t="s">
        <v>64</v>
      </c>
      <c r="C617" s="17" t="s">
        <v>66</v>
      </c>
      <c r="D617" s="17" t="s">
        <v>66</v>
      </c>
      <c r="E617" s="17" t="s">
        <v>2139</v>
      </c>
      <c r="F617" s="17" t="s">
        <v>148</v>
      </c>
      <c r="G617" s="17" t="s">
        <v>311</v>
      </c>
      <c r="H617" s="17" t="s">
        <v>2091</v>
      </c>
      <c r="I617" s="20" t="n">
        <v>20</v>
      </c>
      <c r="J617" s="20" t="n">
        <v>0</v>
      </c>
      <c r="K617" s="25" t="n">
        <f aca="false">IFERROR(J617/I617,0)</f>
        <v>0</v>
      </c>
      <c r="L617" s="19" t="n">
        <v>0</v>
      </c>
      <c r="M617" s="20" t="n">
        <v>0</v>
      </c>
      <c r="N617" s="8" t="n">
        <f aca="false">IFERROR(M617/J617,0)</f>
        <v>0</v>
      </c>
    </row>
    <row r="618" customFormat="false" ht="15" hidden="false" customHeight="false" outlineLevel="0" collapsed="false">
      <c r="A618" s="17" t="s">
        <v>17</v>
      </c>
      <c r="B618" s="17" t="s">
        <v>64</v>
      </c>
      <c r="C618" s="17" t="s">
        <v>60</v>
      </c>
      <c r="D618" s="17" t="s">
        <v>66</v>
      </c>
      <c r="E618" s="17" t="s">
        <v>2140</v>
      </c>
      <c r="F618" s="17" t="s">
        <v>706</v>
      </c>
      <c r="G618" s="17" t="s">
        <v>315</v>
      </c>
      <c r="H618" s="17" t="s">
        <v>2141</v>
      </c>
      <c r="I618" s="20" t="n">
        <v>15</v>
      </c>
      <c r="J618" s="20" t="n">
        <v>0</v>
      </c>
      <c r="K618" s="25" t="n">
        <f aca="false">IFERROR(J618/I618,0)</f>
        <v>0</v>
      </c>
      <c r="L618" s="19" t="n">
        <v>0</v>
      </c>
      <c r="M618" s="20" t="n">
        <v>0</v>
      </c>
      <c r="N618" s="8" t="n">
        <f aca="false">IFERROR(M618/J618,0)</f>
        <v>0</v>
      </c>
    </row>
    <row r="619" customFormat="false" ht="15" hidden="false" customHeight="false" outlineLevel="0" collapsed="false">
      <c r="A619" s="17" t="s">
        <v>17</v>
      </c>
      <c r="B619" s="17" t="s">
        <v>64</v>
      </c>
      <c r="C619" s="17" t="s">
        <v>66</v>
      </c>
      <c r="D619" s="17" t="s">
        <v>60</v>
      </c>
      <c r="E619" s="17" t="s">
        <v>2142</v>
      </c>
      <c r="F619" s="17" t="s">
        <v>186</v>
      </c>
      <c r="G619" s="17" t="s">
        <v>315</v>
      </c>
      <c r="H619" s="17" t="s">
        <v>2143</v>
      </c>
      <c r="I619" s="20" t="n">
        <v>13</v>
      </c>
      <c r="J619" s="20" t="n">
        <v>1</v>
      </c>
      <c r="K619" s="25" t="n">
        <f aca="false">IFERROR(J619/I619,0)</f>
        <v>0.0769230769230769</v>
      </c>
      <c r="L619" s="19" t="n">
        <v>1.82</v>
      </c>
      <c r="M619" s="20" t="n">
        <v>0</v>
      </c>
      <c r="N619" s="8" t="n">
        <f aca="false">IFERROR(M619/J619,0)</f>
        <v>0</v>
      </c>
    </row>
    <row r="620" customFormat="false" ht="15" hidden="false" customHeight="false" outlineLevel="0" collapsed="false">
      <c r="A620" s="17" t="s">
        <v>17</v>
      </c>
      <c r="B620" s="17" t="s">
        <v>64</v>
      </c>
      <c r="C620" s="17" t="s">
        <v>66</v>
      </c>
      <c r="D620" s="17" t="s">
        <v>66</v>
      </c>
      <c r="E620" s="17" t="s">
        <v>2144</v>
      </c>
      <c r="F620" s="17" t="s">
        <v>148</v>
      </c>
      <c r="G620" s="17" t="s">
        <v>315</v>
      </c>
      <c r="H620" s="17" t="s">
        <v>2145</v>
      </c>
      <c r="I620" s="20" t="n">
        <v>12</v>
      </c>
      <c r="J620" s="20" t="n">
        <v>0</v>
      </c>
      <c r="K620" s="25" t="n">
        <f aca="false">IFERROR(J620/I620,0)</f>
        <v>0</v>
      </c>
      <c r="L620" s="19" t="n">
        <v>0</v>
      </c>
      <c r="M620" s="20" t="n">
        <v>0</v>
      </c>
      <c r="N620" s="8" t="n">
        <f aca="false">IFERROR(M620/J620,0)</f>
        <v>0</v>
      </c>
    </row>
    <row r="621" customFormat="false" ht="15" hidden="false" customHeight="false" outlineLevel="0" collapsed="false">
      <c r="A621" s="17" t="s">
        <v>17</v>
      </c>
      <c r="B621" s="17" t="s">
        <v>64</v>
      </c>
      <c r="C621" s="17" t="s">
        <v>60</v>
      </c>
      <c r="D621" s="17" t="s">
        <v>66</v>
      </c>
      <c r="E621" s="17" t="s">
        <v>2146</v>
      </c>
      <c r="F621" s="17" t="s">
        <v>143</v>
      </c>
      <c r="G621" s="17" t="s">
        <v>315</v>
      </c>
      <c r="H621" s="17" t="s">
        <v>2147</v>
      </c>
      <c r="I621" s="20" t="n">
        <v>12</v>
      </c>
      <c r="J621" s="20" t="n">
        <v>0</v>
      </c>
      <c r="K621" s="25" t="n">
        <f aca="false">IFERROR(J621/I621,0)</f>
        <v>0</v>
      </c>
      <c r="L621" s="19" t="n">
        <v>0</v>
      </c>
      <c r="M621" s="20" t="n">
        <v>0</v>
      </c>
      <c r="N621" s="8" t="n">
        <f aca="false">IFERROR(M621/J621,0)</f>
        <v>0</v>
      </c>
    </row>
    <row r="622" customFormat="false" ht="15" hidden="false" customHeight="false" outlineLevel="0" collapsed="false">
      <c r="A622" s="17" t="s">
        <v>17</v>
      </c>
      <c r="B622" s="17" t="s">
        <v>64</v>
      </c>
      <c r="C622" s="17" t="s">
        <v>66</v>
      </c>
      <c r="D622" s="17" t="s">
        <v>60</v>
      </c>
      <c r="E622" s="17" t="s">
        <v>2148</v>
      </c>
      <c r="F622" s="17" t="s">
        <v>224</v>
      </c>
      <c r="G622" s="17" t="s">
        <v>315</v>
      </c>
      <c r="H622" s="17" t="s">
        <v>2149</v>
      </c>
      <c r="I622" s="20" t="n">
        <v>10</v>
      </c>
      <c r="J622" s="20" t="n">
        <v>0</v>
      </c>
      <c r="K622" s="25" t="n">
        <f aca="false">IFERROR(J622/I622,0)</f>
        <v>0</v>
      </c>
      <c r="L622" s="19" t="n">
        <v>0</v>
      </c>
      <c r="M622" s="20" t="n">
        <v>0</v>
      </c>
      <c r="N622" s="8" t="n">
        <f aca="false">IFERROR(M622/J622,0)</f>
        <v>0</v>
      </c>
    </row>
    <row r="623" customFormat="false" ht="15" hidden="false" customHeight="false" outlineLevel="0" collapsed="false">
      <c r="A623" s="17" t="s">
        <v>17</v>
      </c>
      <c r="B623" s="17" t="s">
        <v>64</v>
      </c>
      <c r="C623" s="17" t="s">
        <v>60</v>
      </c>
      <c r="D623" s="17" t="s">
        <v>66</v>
      </c>
      <c r="E623" s="17" t="s">
        <v>2150</v>
      </c>
      <c r="F623" s="17" t="s">
        <v>143</v>
      </c>
      <c r="G623" s="17" t="s">
        <v>315</v>
      </c>
      <c r="H623" s="17" t="s">
        <v>2151</v>
      </c>
      <c r="I623" s="20" t="n">
        <v>7</v>
      </c>
      <c r="J623" s="20" t="n">
        <v>0</v>
      </c>
      <c r="K623" s="25" t="n">
        <f aca="false">IFERROR(J623/I623,0)</f>
        <v>0</v>
      </c>
      <c r="L623" s="19" t="n">
        <v>0</v>
      </c>
      <c r="M623" s="20" t="n">
        <v>0</v>
      </c>
      <c r="N623" s="8" t="n">
        <f aca="false">IFERROR(M623/J623,0)</f>
        <v>0</v>
      </c>
    </row>
    <row r="624" customFormat="false" ht="15" hidden="false" customHeight="false" outlineLevel="0" collapsed="false">
      <c r="A624" s="17" t="s">
        <v>17</v>
      </c>
      <c r="B624" s="17" t="s">
        <v>64</v>
      </c>
      <c r="C624" s="17" t="s">
        <v>60</v>
      </c>
      <c r="D624" s="17" t="s">
        <v>66</v>
      </c>
      <c r="E624" s="17" t="s">
        <v>2152</v>
      </c>
      <c r="F624" s="17" t="s">
        <v>143</v>
      </c>
      <c r="G624" s="17" t="s">
        <v>315</v>
      </c>
      <c r="H624" s="17" t="s">
        <v>2153</v>
      </c>
      <c r="I624" s="20" t="n">
        <v>6</v>
      </c>
      <c r="J624" s="20" t="n">
        <v>0</v>
      </c>
      <c r="K624" s="25" t="n">
        <f aca="false">IFERROR(J624/I624,0)</f>
        <v>0</v>
      </c>
      <c r="L624" s="19" t="n">
        <v>0</v>
      </c>
      <c r="M624" s="20" t="n">
        <v>0</v>
      </c>
      <c r="N624" s="8" t="n">
        <f aca="false">IFERROR(M624/J624,0)</f>
        <v>0</v>
      </c>
    </row>
    <row r="625" customFormat="false" ht="15" hidden="false" customHeight="false" outlineLevel="0" collapsed="false">
      <c r="A625" s="17" t="s">
        <v>17</v>
      </c>
      <c r="B625" s="17" t="s">
        <v>64</v>
      </c>
      <c r="C625" s="17" t="s">
        <v>60</v>
      </c>
      <c r="D625" s="17" t="s">
        <v>66</v>
      </c>
      <c r="E625" s="17" t="s">
        <v>2154</v>
      </c>
      <c r="F625" s="17" t="s">
        <v>143</v>
      </c>
      <c r="G625" s="17" t="s">
        <v>315</v>
      </c>
      <c r="H625" s="17" t="s">
        <v>2155</v>
      </c>
      <c r="I625" s="20" t="n">
        <v>6</v>
      </c>
      <c r="J625" s="20" t="n">
        <v>0</v>
      </c>
      <c r="K625" s="25" t="n">
        <f aca="false">IFERROR(J625/I625,0)</f>
        <v>0</v>
      </c>
      <c r="L625" s="19" t="n">
        <v>0</v>
      </c>
      <c r="M625" s="20" t="n">
        <v>0</v>
      </c>
      <c r="N625" s="8" t="n">
        <f aca="false">IFERROR(M625/J625,0)</f>
        <v>0</v>
      </c>
    </row>
    <row r="626" customFormat="false" ht="15" hidden="false" customHeight="false" outlineLevel="0" collapsed="false">
      <c r="A626" s="17" t="s">
        <v>17</v>
      </c>
      <c r="B626" s="17" t="s">
        <v>64</v>
      </c>
      <c r="C626" s="17" t="s">
        <v>60</v>
      </c>
      <c r="D626" s="17" t="s">
        <v>66</v>
      </c>
      <c r="E626" s="17" t="s">
        <v>2156</v>
      </c>
      <c r="F626" s="17" t="s">
        <v>143</v>
      </c>
      <c r="G626" s="17" t="s">
        <v>315</v>
      </c>
      <c r="H626" s="17" t="s">
        <v>2157</v>
      </c>
      <c r="I626" s="20" t="n">
        <v>5</v>
      </c>
      <c r="J626" s="20" t="n">
        <v>0</v>
      </c>
      <c r="K626" s="25" t="n">
        <f aca="false">IFERROR(J626/I626,0)</f>
        <v>0</v>
      </c>
      <c r="L626" s="19" t="n">
        <v>0</v>
      </c>
      <c r="M626" s="20" t="n">
        <v>0</v>
      </c>
      <c r="N626" s="8" t="n">
        <f aca="false">IFERROR(M626/J626,0)</f>
        <v>0</v>
      </c>
    </row>
    <row r="627" customFormat="false" ht="15" hidden="false" customHeight="false" outlineLevel="0" collapsed="false">
      <c r="A627" s="17" t="s">
        <v>17</v>
      </c>
      <c r="B627" s="17" t="s">
        <v>64</v>
      </c>
      <c r="C627" s="17" t="s">
        <v>60</v>
      </c>
      <c r="D627" s="17" t="s">
        <v>60</v>
      </c>
      <c r="E627" s="17" t="s">
        <v>2158</v>
      </c>
      <c r="F627" s="17" t="s">
        <v>143</v>
      </c>
      <c r="G627" s="17" t="s">
        <v>351</v>
      </c>
      <c r="H627" s="17" t="s">
        <v>2159</v>
      </c>
      <c r="I627" s="20" t="n">
        <v>3</v>
      </c>
      <c r="J627" s="20" t="n">
        <v>0</v>
      </c>
      <c r="K627" s="25" t="n">
        <f aca="false">IFERROR(J627/I627,0)</f>
        <v>0</v>
      </c>
      <c r="L627" s="19" t="n">
        <v>0</v>
      </c>
      <c r="M627" s="20" t="n">
        <v>0</v>
      </c>
      <c r="N627" s="8" t="n">
        <f aca="false">IFERROR(M627/J627,0)</f>
        <v>0</v>
      </c>
    </row>
    <row r="628" customFormat="false" ht="15" hidden="false" customHeight="false" outlineLevel="0" collapsed="false">
      <c r="A628" s="17" t="s">
        <v>17</v>
      </c>
      <c r="B628" s="17" t="s">
        <v>64</v>
      </c>
      <c r="C628" s="17" t="s">
        <v>60</v>
      </c>
      <c r="D628" s="17" t="s">
        <v>60</v>
      </c>
      <c r="E628" s="17" t="s">
        <v>2160</v>
      </c>
      <c r="F628" s="17" t="s">
        <v>143</v>
      </c>
      <c r="G628" s="17" t="s">
        <v>315</v>
      </c>
      <c r="H628" s="17" t="s">
        <v>2161</v>
      </c>
      <c r="I628" s="20" t="n">
        <v>3</v>
      </c>
      <c r="J628" s="20" t="n">
        <v>0</v>
      </c>
      <c r="K628" s="25" t="n">
        <f aca="false">IFERROR(J628/I628,0)</f>
        <v>0</v>
      </c>
      <c r="L628" s="19" t="n">
        <v>0</v>
      </c>
      <c r="M628" s="20" t="n">
        <v>0</v>
      </c>
      <c r="N628" s="8" t="n">
        <f aca="false">IFERROR(M628/J628,0)</f>
        <v>0</v>
      </c>
    </row>
    <row r="629" customFormat="false" ht="15" hidden="false" customHeight="false" outlineLevel="0" collapsed="false">
      <c r="A629" s="17" t="s">
        <v>17</v>
      </c>
      <c r="B629" s="17" t="s">
        <v>64</v>
      </c>
      <c r="C629" s="17" t="s">
        <v>66</v>
      </c>
      <c r="D629" s="17" t="s">
        <v>66</v>
      </c>
      <c r="E629" s="17" t="s">
        <v>2162</v>
      </c>
      <c r="F629" s="17" t="s">
        <v>148</v>
      </c>
      <c r="G629" s="17" t="s">
        <v>351</v>
      </c>
      <c r="H629" s="17" t="s">
        <v>2163</v>
      </c>
      <c r="I629" s="20" t="n">
        <v>3</v>
      </c>
      <c r="J629" s="20" t="n">
        <v>0</v>
      </c>
      <c r="K629" s="25" t="n">
        <f aca="false">IFERROR(J629/I629,0)</f>
        <v>0</v>
      </c>
      <c r="L629" s="19" t="n">
        <v>0</v>
      </c>
      <c r="M629" s="20" t="n">
        <v>0</v>
      </c>
      <c r="N629" s="8" t="n">
        <f aca="false">IFERROR(M629/J629,0)</f>
        <v>0</v>
      </c>
    </row>
    <row r="630" customFormat="false" ht="15" hidden="false" customHeight="false" outlineLevel="0" collapsed="false">
      <c r="A630" s="17" t="s">
        <v>17</v>
      </c>
      <c r="B630" s="17" t="s">
        <v>64</v>
      </c>
      <c r="C630" s="17" t="s">
        <v>66</v>
      </c>
      <c r="D630" s="17" t="s">
        <v>66</v>
      </c>
      <c r="E630" s="17" t="s">
        <v>2164</v>
      </c>
      <c r="F630" s="17" t="s">
        <v>148</v>
      </c>
      <c r="G630" s="17" t="s">
        <v>351</v>
      </c>
      <c r="H630" s="17" t="s">
        <v>2165</v>
      </c>
      <c r="I630" s="20" t="n">
        <v>2</v>
      </c>
      <c r="J630" s="20" t="n">
        <v>0</v>
      </c>
      <c r="K630" s="25" t="n">
        <f aca="false">IFERROR(J630/I630,0)</f>
        <v>0</v>
      </c>
      <c r="L630" s="19" t="n">
        <v>0</v>
      </c>
      <c r="M630" s="20" t="n">
        <v>0</v>
      </c>
      <c r="N630" s="8" t="n">
        <f aca="false">IFERROR(M630/J630,0)</f>
        <v>0</v>
      </c>
    </row>
    <row r="631" customFormat="false" ht="15" hidden="false" customHeight="false" outlineLevel="0" collapsed="false">
      <c r="A631" s="17" t="s">
        <v>17</v>
      </c>
      <c r="B631" s="17" t="s">
        <v>64</v>
      </c>
      <c r="C631" s="17" t="s">
        <v>60</v>
      </c>
      <c r="D631" s="17" t="s">
        <v>60</v>
      </c>
      <c r="E631" s="17" t="s">
        <v>2166</v>
      </c>
      <c r="F631" s="17" t="s">
        <v>143</v>
      </c>
      <c r="G631" s="17" t="s">
        <v>351</v>
      </c>
      <c r="H631" s="17" t="s">
        <v>2161</v>
      </c>
      <c r="I631" s="20" t="n">
        <v>1</v>
      </c>
      <c r="J631" s="20" t="n">
        <v>0</v>
      </c>
      <c r="K631" s="25" t="n">
        <f aca="false">IFERROR(J631/I631,0)</f>
        <v>0</v>
      </c>
      <c r="L631" s="19" t="n">
        <v>0</v>
      </c>
      <c r="M631" s="20" t="n">
        <v>0</v>
      </c>
      <c r="N631" s="8" t="n">
        <f aca="false">IFERROR(M631/J631,0)</f>
        <v>0</v>
      </c>
    </row>
    <row r="632" customFormat="false" ht="15" hidden="false" customHeight="false" outlineLevel="0" collapsed="false">
      <c r="A632" s="17" t="s">
        <v>17</v>
      </c>
      <c r="B632" s="17" t="s">
        <v>64</v>
      </c>
      <c r="C632" s="17" t="s">
        <v>60</v>
      </c>
      <c r="D632" s="17" t="s">
        <v>66</v>
      </c>
      <c r="E632" s="17" t="s">
        <v>2167</v>
      </c>
      <c r="F632" s="17" t="s">
        <v>143</v>
      </c>
      <c r="G632" s="17" t="s">
        <v>315</v>
      </c>
      <c r="H632" s="17" t="s">
        <v>2168</v>
      </c>
      <c r="I632" s="20" t="n">
        <v>1</v>
      </c>
      <c r="J632" s="20" t="n">
        <v>0</v>
      </c>
      <c r="K632" s="25" t="n">
        <f aca="false">IFERROR(J632/I632,0)</f>
        <v>0</v>
      </c>
      <c r="L632" s="19" t="n">
        <v>0</v>
      </c>
      <c r="M632" s="20" t="n">
        <v>0</v>
      </c>
      <c r="N632" s="8" t="n">
        <f aca="false">IFERROR(M632/J632,0)</f>
        <v>0</v>
      </c>
    </row>
    <row r="633" customFormat="false" ht="15" hidden="false" customHeight="false" outlineLevel="0" collapsed="false">
      <c r="A633" s="17" t="s">
        <v>17</v>
      </c>
      <c r="B633" s="17" t="s">
        <v>64</v>
      </c>
      <c r="C633" s="17" t="s">
        <v>60</v>
      </c>
      <c r="D633" s="17" t="s">
        <v>66</v>
      </c>
      <c r="E633" s="17" t="s">
        <v>2169</v>
      </c>
      <c r="F633" s="17" t="s">
        <v>143</v>
      </c>
      <c r="G633" s="17" t="s">
        <v>315</v>
      </c>
      <c r="H633" s="17" t="s">
        <v>2163</v>
      </c>
      <c r="I633" s="20" t="n">
        <v>1</v>
      </c>
      <c r="J633" s="20" t="n">
        <v>0</v>
      </c>
      <c r="K633" s="25" t="n">
        <f aca="false">IFERROR(J633/I633,0)</f>
        <v>0</v>
      </c>
      <c r="L633" s="19" t="n">
        <v>0</v>
      </c>
      <c r="M633" s="20" t="n">
        <v>0</v>
      </c>
      <c r="N633" s="8" t="n">
        <f aca="false">IFERROR(M633/J633,0)</f>
        <v>0</v>
      </c>
    </row>
    <row r="634" customFormat="false" ht="15" hidden="false" customHeight="false" outlineLevel="0" collapsed="false">
      <c r="A634" s="17" t="s">
        <v>17</v>
      </c>
      <c r="B634" s="17" t="s">
        <v>64</v>
      </c>
      <c r="C634" s="17" t="s">
        <v>60</v>
      </c>
      <c r="D634" s="17" t="s">
        <v>66</v>
      </c>
      <c r="E634" s="17" t="s">
        <v>2170</v>
      </c>
      <c r="F634" s="17" t="s">
        <v>143</v>
      </c>
      <c r="G634" s="17" t="s">
        <v>315</v>
      </c>
      <c r="H634" s="17" t="s">
        <v>2171</v>
      </c>
      <c r="I634" s="20" t="n">
        <v>1</v>
      </c>
      <c r="J634" s="20" t="n">
        <v>0</v>
      </c>
      <c r="K634" s="25" t="n">
        <f aca="false">IFERROR(J634/I634,0)</f>
        <v>0</v>
      </c>
      <c r="L634" s="19" t="n">
        <v>0</v>
      </c>
      <c r="M634" s="20" t="n">
        <v>0</v>
      </c>
      <c r="N634" s="8" t="n">
        <f aca="false">IFERROR(M634/J634,0)</f>
        <v>0</v>
      </c>
    </row>
    <row r="635" customFormat="false" ht="15" hidden="false" customHeight="false" outlineLevel="0" collapsed="false">
      <c r="A635" s="17" t="s">
        <v>17</v>
      </c>
      <c r="B635" s="17" t="s">
        <v>64</v>
      </c>
      <c r="C635" s="17" t="s">
        <v>66</v>
      </c>
      <c r="D635" s="17" t="s">
        <v>66</v>
      </c>
      <c r="E635" s="17" t="s">
        <v>2172</v>
      </c>
      <c r="F635" s="17" t="s">
        <v>148</v>
      </c>
      <c r="G635" s="17" t="s">
        <v>351</v>
      </c>
      <c r="H635" s="17" t="s">
        <v>2134</v>
      </c>
      <c r="I635" s="20" t="n">
        <v>1</v>
      </c>
      <c r="J635" s="20" t="n">
        <v>0</v>
      </c>
      <c r="K635" s="25" t="n">
        <f aca="false">IFERROR(J635/I635,0)</f>
        <v>0</v>
      </c>
      <c r="L635" s="19" t="n">
        <v>0</v>
      </c>
      <c r="M635" s="20" t="n">
        <v>0</v>
      </c>
      <c r="N635" s="8" t="n">
        <f aca="false">IFERROR(M635/J635,0)</f>
        <v>0</v>
      </c>
    </row>
    <row r="636" customFormat="false" ht="15" hidden="false" customHeight="false" outlineLevel="0" collapsed="false">
      <c r="A636" s="17" t="s">
        <v>17</v>
      </c>
      <c r="B636" s="17" t="s">
        <v>64</v>
      </c>
      <c r="C636" s="17" t="s">
        <v>66</v>
      </c>
      <c r="D636" s="17" t="s">
        <v>66</v>
      </c>
      <c r="E636" s="17" t="s">
        <v>2173</v>
      </c>
      <c r="F636" s="17" t="s">
        <v>2174</v>
      </c>
      <c r="G636" s="17" t="s">
        <v>351</v>
      </c>
      <c r="H636" s="17" t="s">
        <v>2102</v>
      </c>
      <c r="I636" s="20" t="n">
        <v>0</v>
      </c>
      <c r="J636" s="20" t="n">
        <v>0</v>
      </c>
      <c r="K636" s="25" t="n">
        <f aca="false">IFERROR(J636/I636,0)</f>
        <v>0</v>
      </c>
      <c r="L636" s="19" t="n">
        <v>0</v>
      </c>
      <c r="M636" s="20" t="n">
        <v>0</v>
      </c>
      <c r="N636" s="8" t="n">
        <f aca="false">IFERROR(M636/J636,0)</f>
        <v>0</v>
      </c>
    </row>
    <row r="637" customFormat="false" ht="15" hidden="false" customHeight="false" outlineLevel="0" collapsed="false">
      <c r="A637" s="17" t="s">
        <v>17</v>
      </c>
      <c r="B637" s="17" t="s">
        <v>58</v>
      </c>
      <c r="C637" s="17" t="s">
        <v>66</v>
      </c>
      <c r="D637" s="17" t="s">
        <v>66</v>
      </c>
      <c r="E637" s="17" t="s">
        <v>2175</v>
      </c>
      <c r="F637" s="17" t="s">
        <v>141</v>
      </c>
      <c r="G637" s="17" t="s">
        <v>315</v>
      </c>
      <c r="H637" s="17" t="s">
        <v>2176</v>
      </c>
      <c r="I637" s="20" t="n">
        <v>17561</v>
      </c>
      <c r="J637" s="20" t="n">
        <v>140</v>
      </c>
      <c r="K637" s="25" t="n">
        <f aca="false">IFERROR(J637/I637,0)</f>
        <v>0.00797221114970674</v>
      </c>
      <c r="L637" s="19" t="n">
        <v>328.47</v>
      </c>
      <c r="M637" s="20" t="n">
        <v>21</v>
      </c>
      <c r="N637" s="8" t="n">
        <f aca="false">IFERROR(M637/J637,0)</f>
        <v>0.15</v>
      </c>
    </row>
    <row r="638" customFormat="false" ht="15" hidden="false" customHeight="false" outlineLevel="0" collapsed="false">
      <c r="A638" s="17" t="s">
        <v>17</v>
      </c>
      <c r="B638" s="17" t="s">
        <v>58</v>
      </c>
      <c r="C638" s="17" t="s">
        <v>66</v>
      </c>
      <c r="D638" s="17" t="s">
        <v>66</v>
      </c>
      <c r="E638" s="17" t="s">
        <v>717</v>
      </c>
      <c r="F638" s="17" t="s">
        <v>141</v>
      </c>
      <c r="G638" s="17" t="s">
        <v>351</v>
      </c>
      <c r="H638" s="17" t="s">
        <v>2177</v>
      </c>
      <c r="I638" s="20" t="n">
        <v>10593</v>
      </c>
      <c r="J638" s="20" t="n">
        <v>117</v>
      </c>
      <c r="K638" s="25" t="n">
        <f aca="false">IFERROR(J638/I638,0)</f>
        <v>0.0110450297366185</v>
      </c>
      <c r="L638" s="19" t="n">
        <v>282.05</v>
      </c>
      <c r="M638" s="20" t="n">
        <v>18</v>
      </c>
      <c r="N638" s="8" t="n">
        <f aca="false">IFERROR(M638/J638,0)</f>
        <v>0.153846153846154</v>
      </c>
    </row>
    <row r="639" customFormat="false" ht="15" hidden="false" customHeight="false" outlineLevel="0" collapsed="false">
      <c r="A639" s="17" t="s">
        <v>17</v>
      </c>
      <c r="B639" s="17" t="s">
        <v>58</v>
      </c>
      <c r="C639" s="17" t="s">
        <v>66</v>
      </c>
      <c r="D639" s="17" t="s">
        <v>66</v>
      </c>
      <c r="E639" s="17" t="s">
        <v>580</v>
      </c>
      <c r="F639" s="17" t="s">
        <v>141</v>
      </c>
      <c r="G639" s="17" t="s">
        <v>315</v>
      </c>
      <c r="H639" s="17" t="s">
        <v>2178</v>
      </c>
      <c r="I639" s="20" t="n">
        <v>8969</v>
      </c>
      <c r="J639" s="20" t="n">
        <v>140</v>
      </c>
      <c r="K639" s="25" t="n">
        <f aca="false">IFERROR(J639/I639,0)</f>
        <v>0.0156093209945367</v>
      </c>
      <c r="L639" s="19" t="n">
        <v>498.38</v>
      </c>
      <c r="M639" s="20" t="n">
        <v>24</v>
      </c>
      <c r="N639" s="8" t="n">
        <f aca="false">IFERROR(M639/J639,0)</f>
        <v>0.171428571428571</v>
      </c>
    </row>
    <row r="640" customFormat="false" ht="15" hidden="false" customHeight="false" outlineLevel="0" collapsed="false">
      <c r="A640" s="17" t="s">
        <v>17</v>
      </c>
      <c r="B640" s="17" t="s">
        <v>58</v>
      </c>
      <c r="C640" s="17" t="s">
        <v>66</v>
      </c>
      <c r="D640" s="17" t="s">
        <v>60</v>
      </c>
      <c r="E640" s="17" t="s">
        <v>2179</v>
      </c>
      <c r="F640" s="17" t="s">
        <v>2180</v>
      </c>
      <c r="G640" s="17" t="s">
        <v>315</v>
      </c>
      <c r="H640" s="17" t="s">
        <v>2181</v>
      </c>
      <c r="I640" s="20" t="n">
        <v>5807</v>
      </c>
      <c r="J640" s="20" t="n">
        <v>47</v>
      </c>
      <c r="K640" s="25" t="n">
        <f aca="false">IFERROR(J640/I640,0)</f>
        <v>0.00809368004132943</v>
      </c>
      <c r="L640" s="19" t="n">
        <v>28.75</v>
      </c>
      <c r="M640" s="20" t="n">
        <v>1</v>
      </c>
      <c r="N640" s="8" t="n">
        <f aca="false">IFERROR(M640/J640,0)</f>
        <v>0.0212765957446809</v>
      </c>
    </row>
    <row r="641" customFormat="false" ht="15" hidden="false" customHeight="false" outlineLevel="0" collapsed="false">
      <c r="A641" s="17" t="s">
        <v>17</v>
      </c>
      <c r="B641" s="17" t="s">
        <v>58</v>
      </c>
      <c r="C641" s="17" t="s">
        <v>66</v>
      </c>
      <c r="D641" s="17" t="s">
        <v>66</v>
      </c>
      <c r="E641" s="17" t="s">
        <v>617</v>
      </c>
      <c r="F641" s="17" t="s">
        <v>141</v>
      </c>
      <c r="G641" s="17" t="s">
        <v>315</v>
      </c>
      <c r="H641" s="17" t="s">
        <v>2177</v>
      </c>
      <c r="I641" s="20" t="n">
        <v>5672</v>
      </c>
      <c r="J641" s="20" t="n">
        <v>158</v>
      </c>
      <c r="K641" s="25" t="n">
        <f aca="false">IFERROR(J641/I641,0)</f>
        <v>0.0278561354019746</v>
      </c>
      <c r="L641" s="19" t="n">
        <v>384.84</v>
      </c>
      <c r="M641" s="20" t="n">
        <v>32</v>
      </c>
      <c r="N641" s="8" t="n">
        <f aca="false">IFERROR(M641/J641,0)</f>
        <v>0.20253164556962</v>
      </c>
    </row>
    <row r="642" customFormat="false" ht="15" hidden="false" customHeight="false" outlineLevel="0" collapsed="false">
      <c r="A642" s="17" t="s">
        <v>17</v>
      </c>
      <c r="B642" s="17" t="s">
        <v>58</v>
      </c>
      <c r="C642" s="17" t="s">
        <v>66</v>
      </c>
      <c r="D642" s="17" t="s">
        <v>66</v>
      </c>
      <c r="E642" s="17" t="s">
        <v>664</v>
      </c>
      <c r="F642" s="17" t="s">
        <v>141</v>
      </c>
      <c r="G642" s="17" t="s">
        <v>315</v>
      </c>
      <c r="H642" s="17" t="s">
        <v>2182</v>
      </c>
      <c r="I642" s="20" t="n">
        <v>5351</v>
      </c>
      <c r="J642" s="20" t="n">
        <v>57</v>
      </c>
      <c r="K642" s="25" t="n">
        <f aca="false">IFERROR(J642/I642,0)</f>
        <v>0.0106522145393384</v>
      </c>
      <c r="L642" s="19" t="n">
        <v>100.31</v>
      </c>
      <c r="M642" s="20" t="n">
        <v>5</v>
      </c>
      <c r="N642" s="8" t="n">
        <f aca="false">IFERROR(M642/J642,0)</f>
        <v>0.087719298245614</v>
      </c>
    </row>
    <row r="643" customFormat="false" ht="15" hidden="false" customHeight="false" outlineLevel="0" collapsed="false">
      <c r="A643" s="17" t="s">
        <v>17</v>
      </c>
      <c r="B643" s="17" t="s">
        <v>58</v>
      </c>
      <c r="C643" s="17" t="s">
        <v>66</v>
      </c>
      <c r="D643" s="17" t="s">
        <v>66</v>
      </c>
      <c r="E643" s="17" t="s">
        <v>2183</v>
      </c>
      <c r="F643" s="17" t="s">
        <v>141</v>
      </c>
      <c r="G643" s="17" t="s">
        <v>315</v>
      </c>
      <c r="H643" s="17" t="s">
        <v>2184</v>
      </c>
      <c r="I643" s="20" t="n">
        <v>5090</v>
      </c>
      <c r="J643" s="20" t="n">
        <v>139</v>
      </c>
      <c r="K643" s="25" t="n">
        <f aca="false">IFERROR(J643/I643,0)</f>
        <v>0.0273084479371316</v>
      </c>
      <c r="L643" s="19" t="n">
        <v>504.74</v>
      </c>
      <c r="M643" s="20" t="n">
        <v>27</v>
      </c>
      <c r="N643" s="8" t="n">
        <f aca="false">IFERROR(M643/J643,0)</f>
        <v>0.194244604316547</v>
      </c>
    </row>
    <row r="644" customFormat="false" ht="15" hidden="false" customHeight="false" outlineLevel="0" collapsed="false">
      <c r="A644" s="17" t="s">
        <v>17</v>
      </c>
      <c r="B644" s="17" t="s">
        <v>58</v>
      </c>
      <c r="C644" s="17" t="s">
        <v>66</v>
      </c>
      <c r="D644" s="17" t="s">
        <v>60</v>
      </c>
      <c r="E644" s="17" t="s">
        <v>2185</v>
      </c>
      <c r="F644" s="17" t="s">
        <v>152</v>
      </c>
      <c r="G644" s="17" t="s">
        <v>315</v>
      </c>
      <c r="H644" s="17" t="s">
        <v>2186</v>
      </c>
      <c r="I644" s="20" t="n">
        <v>4828</v>
      </c>
      <c r="J644" s="20" t="n">
        <v>19</v>
      </c>
      <c r="K644" s="25" t="n">
        <f aca="false">IFERROR(J644/I644,0)</f>
        <v>0.00393537696768848</v>
      </c>
      <c r="L644" s="19" t="n">
        <v>15.01</v>
      </c>
      <c r="M644" s="20" t="n">
        <v>2</v>
      </c>
      <c r="N644" s="8" t="n">
        <f aca="false">IFERROR(M644/J644,0)</f>
        <v>0.105263157894737</v>
      </c>
    </row>
    <row r="645" customFormat="false" ht="15" hidden="false" customHeight="false" outlineLevel="0" collapsed="false">
      <c r="A645" s="17" t="s">
        <v>17</v>
      </c>
      <c r="B645" s="17" t="s">
        <v>58</v>
      </c>
      <c r="C645" s="17" t="s">
        <v>66</v>
      </c>
      <c r="D645" s="17" t="s">
        <v>66</v>
      </c>
      <c r="E645" s="17" t="s">
        <v>582</v>
      </c>
      <c r="F645" s="17" t="s">
        <v>141</v>
      </c>
      <c r="G645" s="17" t="s">
        <v>315</v>
      </c>
      <c r="H645" s="17" t="s">
        <v>2187</v>
      </c>
      <c r="I645" s="20" t="n">
        <v>4398</v>
      </c>
      <c r="J645" s="20" t="n">
        <v>62</v>
      </c>
      <c r="K645" s="25" t="n">
        <f aca="false">IFERROR(J645/I645,0)</f>
        <v>0.0140973169622556</v>
      </c>
      <c r="L645" s="19" t="n">
        <v>131.05</v>
      </c>
      <c r="M645" s="20" t="n">
        <v>10</v>
      </c>
      <c r="N645" s="8" t="n">
        <f aca="false">IFERROR(M645/J645,0)</f>
        <v>0.161290322580645</v>
      </c>
    </row>
    <row r="646" customFormat="false" ht="15" hidden="false" customHeight="false" outlineLevel="0" collapsed="false">
      <c r="A646" s="17" t="s">
        <v>17</v>
      </c>
      <c r="B646" s="17" t="s">
        <v>58</v>
      </c>
      <c r="C646" s="17" t="s">
        <v>66</v>
      </c>
      <c r="D646" s="17" t="s">
        <v>66</v>
      </c>
      <c r="E646" s="17" t="s">
        <v>621</v>
      </c>
      <c r="F646" s="17" t="s">
        <v>141</v>
      </c>
      <c r="G646" s="17" t="s">
        <v>315</v>
      </c>
      <c r="H646" s="17" t="s">
        <v>2188</v>
      </c>
      <c r="I646" s="20" t="n">
        <v>3105</v>
      </c>
      <c r="J646" s="20" t="n">
        <v>37</v>
      </c>
      <c r="K646" s="25" t="n">
        <f aca="false">IFERROR(J646/I646,0)</f>
        <v>0.0119162640901771</v>
      </c>
      <c r="L646" s="19" t="n">
        <v>73.81</v>
      </c>
      <c r="M646" s="20" t="n">
        <v>5</v>
      </c>
      <c r="N646" s="8" t="n">
        <f aca="false">IFERROR(M646/J646,0)</f>
        <v>0.135135135135135</v>
      </c>
    </row>
    <row r="647" customFormat="false" ht="15" hidden="false" customHeight="false" outlineLevel="0" collapsed="false">
      <c r="A647" s="17" t="s">
        <v>17</v>
      </c>
      <c r="B647" s="17" t="s">
        <v>58</v>
      </c>
      <c r="C647" s="17" t="s">
        <v>60</v>
      </c>
      <c r="D647" s="17" t="s">
        <v>66</v>
      </c>
      <c r="E647" s="17" t="s">
        <v>2189</v>
      </c>
      <c r="F647" s="17" t="s">
        <v>2190</v>
      </c>
      <c r="G647" s="17" t="s">
        <v>315</v>
      </c>
      <c r="H647" s="17" t="s">
        <v>2191</v>
      </c>
      <c r="I647" s="20" t="n">
        <v>2607</v>
      </c>
      <c r="J647" s="20" t="n">
        <v>55</v>
      </c>
      <c r="K647" s="25" t="n">
        <f aca="false">IFERROR(J647/I647,0)</f>
        <v>0.0210970464135021</v>
      </c>
      <c r="L647" s="19" t="n">
        <v>163.9</v>
      </c>
      <c r="M647" s="20" t="n">
        <v>4</v>
      </c>
      <c r="N647" s="8" t="n">
        <f aca="false">IFERROR(M647/J647,0)</f>
        <v>0.0727272727272727</v>
      </c>
    </row>
    <row r="648" customFormat="false" ht="15" hidden="false" customHeight="false" outlineLevel="0" collapsed="false">
      <c r="A648" s="17" t="s">
        <v>17</v>
      </c>
      <c r="B648" s="17" t="s">
        <v>58</v>
      </c>
      <c r="C648" s="17" t="s">
        <v>66</v>
      </c>
      <c r="D648" s="17" t="s">
        <v>66</v>
      </c>
      <c r="E648" s="17" t="s">
        <v>627</v>
      </c>
      <c r="F648" s="17" t="s">
        <v>141</v>
      </c>
      <c r="G648" s="17" t="s">
        <v>315</v>
      </c>
      <c r="H648" s="17" t="s">
        <v>2192</v>
      </c>
      <c r="I648" s="20" t="n">
        <v>1970</v>
      </c>
      <c r="J648" s="20" t="n">
        <v>24</v>
      </c>
      <c r="K648" s="25" t="n">
        <f aca="false">IFERROR(J648/I648,0)</f>
        <v>0.0121827411167513</v>
      </c>
      <c r="L648" s="19" t="n">
        <v>68.57</v>
      </c>
      <c r="M648" s="20" t="n">
        <v>5</v>
      </c>
      <c r="N648" s="8" t="n">
        <f aca="false">IFERROR(M648/J648,0)</f>
        <v>0.208333333333333</v>
      </c>
    </row>
    <row r="649" customFormat="false" ht="15" hidden="false" customHeight="false" outlineLevel="0" collapsed="false">
      <c r="A649" s="17" t="s">
        <v>17</v>
      </c>
      <c r="B649" s="17" t="s">
        <v>58</v>
      </c>
      <c r="C649" s="17" t="s">
        <v>66</v>
      </c>
      <c r="D649" s="17" t="s">
        <v>66</v>
      </c>
      <c r="E649" s="17" t="s">
        <v>2193</v>
      </c>
      <c r="F649" s="17" t="s">
        <v>141</v>
      </c>
      <c r="G649" s="17" t="s">
        <v>351</v>
      </c>
      <c r="H649" s="17" t="s">
        <v>2182</v>
      </c>
      <c r="I649" s="20" t="n">
        <v>1846</v>
      </c>
      <c r="J649" s="20" t="n">
        <v>22</v>
      </c>
      <c r="K649" s="25" t="n">
        <f aca="false">IFERROR(J649/I649,0)</f>
        <v>0.0119176598049837</v>
      </c>
      <c r="L649" s="19" t="n">
        <v>31.89</v>
      </c>
      <c r="M649" s="20" t="n">
        <v>6</v>
      </c>
      <c r="N649" s="8" t="n">
        <f aca="false">IFERROR(M649/J649,0)</f>
        <v>0.272727272727273</v>
      </c>
    </row>
    <row r="650" customFormat="false" ht="15" hidden="false" customHeight="false" outlineLevel="0" collapsed="false">
      <c r="A650" s="17" t="s">
        <v>17</v>
      </c>
      <c r="B650" s="17" t="s">
        <v>58</v>
      </c>
      <c r="C650" s="17" t="s">
        <v>66</v>
      </c>
      <c r="D650" s="17" t="s">
        <v>60</v>
      </c>
      <c r="E650" s="17" t="s">
        <v>2194</v>
      </c>
      <c r="F650" s="17" t="s">
        <v>2195</v>
      </c>
      <c r="G650" s="17" t="s">
        <v>315</v>
      </c>
      <c r="H650" s="17" t="s">
        <v>2196</v>
      </c>
      <c r="I650" s="20" t="n">
        <v>1426</v>
      </c>
      <c r="J650" s="20" t="n">
        <v>4</v>
      </c>
      <c r="K650" s="25" t="n">
        <f aca="false">IFERROR(J650/I650,0)</f>
        <v>0.00280504908835905</v>
      </c>
      <c r="L650" s="19" t="n">
        <v>6.25</v>
      </c>
      <c r="M650" s="20" t="n">
        <v>0</v>
      </c>
      <c r="N650" s="8" t="n">
        <f aca="false">IFERROR(M650/J650,0)</f>
        <v>0</v>
      </c>
    </row>
    <row r="651" customFormat="false" ht="15" hidden="false" customHeight="false" outlineLevel="0" collapsed="false">
      <c r="A651" s="17" t="s">
        <v>17</v>
      </c>
      <c r="B651" s="17" t="s">
        <v>58</v>
      </c>
      <c r="C651" s="17" t="s">
        <v>60</v>
      </c>
      <c r="D651" s="17" t="s">
        <v>60</v>
      </c>
      <c r="E651" s="17" t="s">
        <v>619</v>
      </c>
      <c r="F651" s="17" t="s">
        <v>162</v>
      </c>
      <c r="G651" s="17" t="s">
        <v>315</v>
      </c>
      <c r="H651" s="17" t="s">
        <v>2197</v>
      </c>
      <c r="I651" s="20" t="n">
        <v>1000</v>
      </c>
      <c r="J651" s="20" t="n">
        <v>4</v>
      </c>
      <c r="K651" s="25" t="n">
        <f aca="false">IFERROR(J651/I651,0)</f>
        <v>0.004</v>
      </c>
      <c r="L651" s="19" t="n">
        <v>7.59</v>
      </c>
      <c r="M651" s="20" t="n">
        <v>0</v>
      </c>
      <c r="N651" s="8" t="n">
        <f aca="false">IFERROR(M651/J651,0)</f>
        <v>0</v>
      </c>
    </row>
    <row r="652" customFormat="false" ht="15" hidden="false" customHeight="false" outlineLevel="0" collapsed="false">
      <c r="A652" s="17" t="s">
        <v>17</v>
      </c>
      <c r="B652" s="17" t="s">
        <v>58</v>
      </c>
      <c r="C652" s="17" t="s">
        <v>66</v>
      </c>
      <c r="D652" s="17" t="s">
        <v>66</v>
      </c>
      <c r="E652" s="17" t="s">
        <v>2198</v>
      </c>
      <c r="F652" s="17" t="s">
        <v>141</v>
      </c>
      <c r="G652" s="17" t="s">
        <v>311</v>
      </c>
      <c r="H652" s="17" t="s">
        <v>2176</v>
      </c>
      <c r="I652" s="20" t="n">
        <v>693</v>
      </c>
      <c r="J652" s="20" t="n">
        <v>2</v>
      </c>
      <c r="K652" s="25" t="n">
        <f aca="false">IFERROR(J652/I652,0)</f>
        <v>0.00288600288600289</v>
      </c>
      <c r="L652" s="19" t="n">
        <v>1.2</v>
      </c>
      <c r="M652" s="20" t="n">
        <v>1</v>
      </c>
      <c r="N652" s="8" t="n">
        <f aca="false">IFERROR(M652/J652,0)</f>
        <v>0.5</v>
      </c>
    </row>
    <row r="653" customFormat="false" ht="15" hidden="false" customHeight="false" outlineLevel="0" collapsed="false">
      <c r="A653" s="17" t="s">
        <v>17</v>
      </c>
      <c r="B653" s="17" t="s">
        <v>58</v>
      </c>
      <c r="C653" s="17" t="s">
        <v>66</v>
      </c>
      <c r="D653" s="17" t="s">
        <v>66</v>
      </c>
      <c r="E653" s="17" t="s">
        <v>611</v>
      </c>
      <c r="F653" s="17" t="s">
        <v>141</v>
      </c>
      <c r="G653" s="17" t="s">
        <v>315</v>
      </c>
      <c r="H653" s="17" t="s">
        <v>2199</v>
      </c>
      <c r="I653" s="20" t="n">
        <v>581</v>
      </c>
      <c r="J653" s="20" t="n">
        <v>21</v>
      </c>
      <c r="K653" s="25" t="n">
        <f aca="false">IFERROR(J653/I653,0)</f>
        <v>0.036144578313253</v>
      </c>
      <c r="L653" s="19" t="n">
        <v>51.27</v>
      </c>
      <c r="M653" s="20" t="n">
        <v>5</v>
      </c>
      <c r="N653" s="8" t="n">
        <f aca="false">IFERROR(M653/J653,0)</f>
        <v>0.238095238095238</v>
      </c>
    </row>
    <row r="654" customFormat="false" ht="15" hidden="false" customHeight="false" outlineLevel="0" collapsed="false">
      <c r="A654" s="17" t="s">
        <v>17</v>
      </c>
      <c r="B654" s="17" t="s">
        <v>58</v>
      </c>
      <c r="C654" s="17" t="s">
        <v>66</v>
      </c>
      <c r="D654" s="17" t="s">
        <v>66</v>
      </c>
      <c r="E654" s="17" t="s">
        <v>2200</v>
      </c>
      <c r="F654" s="17" t="s">
        <v>141</v>
      </c>
      <c r="G654" s="17" t="s">
        <v>315</v>
      </c>
      <c r="H654" s="17" t="s">
        <v>2201</v>
      </c>
      <c r="I654" s="20" t="n">
        <v>361</v>
      </c>
      <c r="J654" s="20" t="n">
        <v>8</v>
      </c>
      <c r="K654" s="25" t="n">
        <f aca="false">IFERROR(J654/I654,0)</f>
        <v>0.0221606648199446</v>
      </c>
      <c r="L654" s="19" t="n">
        <v>21.26</v>
      </c>
      <c r="M654" s="20" t="n">
        <v>2</v>
      </c>
      <c r="N654" s="8" t="n">
        <f aca="false">IFERROR(M654/J654,0)</f>
        <v>0.25</v>
      </c>
    </row>
    <row r="655" customFormat="false" ht="15" hidden="false" customHeight="false" outlineLevel="0" collapsed="false">
      <c r="A655" s="17" t="s">
        <v>17</v>
      </c>
      <c r="B655" s="17" t="s">
        <v>58</v>
      </c>
      <c r="C655" s="17" t="s">
        <v>66</v>
      </c>
      <c r="D655" s="17" t="s">
        <v>60</v>
      </c>
      <c r="E655" s="17" t="s">
        <v>2202</v>
      </c>
      <c r="F655" s="17" t="s">
        <v>2195</v>
      </c>
      <c r="G655" s="17" t="s">
        <v>315</v>
      </c>
      <c r="H655" s="17" t="s">
        <v>2203</v>
      </c>
      <c r="I655" s="20" t="n">
        <v>335</v>
      </c>
      <c r="J655" s="20" t="n">
        <v>3</v>
      </c>
      <c r="K655" s="25" t="n">
        <f aca="false">IFERROR(J655/I655,0)</f>
        <v>0.00895522388059702</v>
      </c>
      <c r="L655" s="19" t="n">
        <v>7.22</v>
      </c>
      <c r="M655" s="20" t="n">
        <v>0</v>
      </c>
      <c r="N655" s="8" t="n">
        <f aca="false">IFERROR(M655/J655,0)</f>
        <v>0</v>
      </c>
    </row>
    <row r="656" customFormat="false" ht="15" hidden="false" customHeight="false" outlineLevel="0" collapsed="false">
      <c r="A656" s="17" t="s">
        <v>17</v>
      </c>
      <c r="B656" s="17" t="s">
        <v>58</v>
      </c>
      <c r="C656" s="17" t="s">
        <v>66</v>
      </c>
      <c r="D656" s="17" t="s">
        <v>66</v>
      </c>
      <c r="E656" s="17" t="s">
        <v>2204</v>
      </c>
      <c r="F656" s="17" t="s">
        <v>141</v>
      </c>
      <c r="G656" s="17" t="s">
        <v>311</v>
      </c>
      <c r="H656" s="17" t="s">
        <v>2177</v>
      </c>
      <c r="I656" s="20" t="n">
        <v>324</v>
      </c>
      <c r="J656" s="20" t="n">
        <v>2</v>
      </c>
      <c r="K656" s="25" t="n">
        <f aca="false">IFERROR(J656/I656,0)</f>
        <v>0.00617283950617284</v>
      </c>
      <c r="L656" s="19" t="n">
        <v>1.2</v>
      </c>
      <c r="M656" s="20" t="n">
        <v>0</v>
      </c>
      <c r="N656" s="8" t="n">
        <f aca="false">IFERROR(M656/J656,0)</f>
        <v>0</v>
      </c>
    </row>
    <row r="657" customFormat="false" ht="15" hidden="false" customHeight="false" outlineLevel="0" collapsed="false">
      <c r="A657" s="17" t="s">
        <v>17</v>
      </c>
      <c r="B657" s="17" t="s">
        <v>58</v>
      </c>
      <c r="C657" s="17" t="s">
        <v>66</v>
      </c>
      <c r="D657" s="17" t="s">
        <v>60</v>
      </c>
      <c r="E657" s="17" t="s">
        <v>668</v>
      </c>
      <c r="F657" s="17" t="s">
        <v>669</v>
      </c>
      <c r="G657" s="17" t="s">
        <v>315</v>
      </c>
      <c r="H657" s="17" t="s">
        <v>2205</v>
      </c>
      <c r="I657" s="20" t="n">
        <v>319</v>
      </c>
      <c r="J657" s="20" t="n">
        <v>2</v>
      </c>
      <c r="K657" s="25" t="n">
        <f aca="false">IFERROR(J657/I657,0)</f>
        <v>0.00626959247648903</v>
      </c>
      <c r="L657" s="19" t="n">
        <v>2.66</v>
      </c>
      <c r="M657" s="20" t="n">
        <v>0</v>
      </c>
      <c r="N657" s="8" t="n">
        <f aca="false">IFERROR(M657/J657,0)</f>
        <v>0</v>
      </c>
    </row>
    <row r="658" customFormat="false" ht="15" hidden="false" customHeight="false" outlineLevel="0" collapsed="false">
      <c r="A658" s="17" t="s">
        <v>17</v>
      </c>
      <c r="B658" s="17" t="s">
        <v>58</v>
      </c>
      <c r="C658" s="17" t="s">
        <v>66</v>
      </c>
      <c r="D658" s="17" t="s">
        <v>66</v>
      </c>
      <c r="E658" s="17" t="s">
        <v>2206</v>
      </c>
      <c r="F658" s="17" t="s">
        <v>141</v>
      </c>
      <c r="G658" s="17" t="s">
        <v>315</v>
      </c>
      <c r="H658" s="17" t="s">
        <v>2207</v>
      </c>
      <c r="I658" s="20" t="n">
        <v>259</v>
      </c>
      <c r="J658" s="20" t="n">
        <v>17</v>
      </c>
      <c r="K658" s="25" t="n">
        <f aca="false">IFERROR(J658/I658,0)</f>
        <v>0.0656370656370656</v>
      </c>
      <c r="L658" s="19" t="n">
        <v>42.81</v>
      </c>
      <c r="M658" s="20" t="n">
        <v>2</v>
      </c>
      <c r="N658" s="8" t="n">
        <f aca="false">IFERROR(M658/J658,0)</f>
        <v>0.117647058823529</v>
      </c>
    </row>
    <row r="659" customFormat="false" ht="15" hidden="false" customHeight="false" outlineLevel="0" collapsed="false">
      <c r="A659" s="17" t="s">
        <v>17</v>
      </c>
      <c r="B659" s="17" t="s">
        <v>58</v>
      </c>
      <c r="C659" s="17" t="s">
        <v>66</v>
      </c>
      <c r="D659" s="17" t="s">
        <v>60</v>
      </c>
      <c r="E659" s="17" t="s">
        <v>2208</v>
      </c>
      <c r="F659" s="17" t="s">
        <v>2195</v>
      </c>
      <c r="G659" s="17" t="s">
        <v>351</v>
      </c>
      <c r="H659" s="17" t="s">
        <v>2209</v>
      </c>
      <c r="I659" s="20" t="n">
        <v>248</v>
      </c>
      <c r="J659" s="20" t="n">
        <v>0</v>
      </c>
      <c r="K659" s="25" t="n">
        <f aca="false">IFERROR(J659/I659,0)</f>
        <v>0</v>
      </c>
      <c r="L659" s="19" t="n">
        <v>0</v>
      </c>
      <c r="M659" s="20" t="n">
        <v>0</v>
      </c>
      <c r="N659" s="8" t="n">
        <f aca="false">IFERROR(M659/J659,0)</f>
        <v>0</v>
      </c>
    </row>
    <row r="660" customFormat="false" ht="15" hidden="false" customHeight="false" outlineLevel="0" collapsed="false">
      <c r="A660" s="17" t="s">
        <v>17</v>
      </c>
      <c r="B660" s="17" t="s">
        <v>58</v>
      </c>
      <c r="C660" s="17" t="s">
        <v>66</v>
      </c>
      <c r="D660" s="17" t="s">
        <v>66</v>
      </c>
      <c r="E660" s="17" t="s">
        <v>2210</v>
      </c>
      <c r="F660" s="17" t="s">
        <v>141</v>
      </c>
      <c r="G660" s="17" t="s">
        <v>311</v>
      </c>
      <c r="H660" s="17" t="s">
        <v>2211</v>
      </c>
      <c r="I660" s="20" t="n">
        <v>180</v>
      </c>
      <c r="J660" s="20" t="n">
        <v>1</v>
      </c>
      <c r="K660" s="25" t="n">
        <f aca="false">IFERROR(J660/I660,0)</f>
        <v>0.00555555555555556</v>
      </c>
      <c r="L660" s="19" t="n">
        <v>0.6</v>
      </c>
      <c r="M660" s="20" t="n">
        <v>0</v>
      </c>
      <c r="N660" s="8" t="n">
        <f aca="false">IFERROR(M660/J660,0)</f>
        <v>0</v>
      </c>
    </row>
    <row r="661" customFormat="false" ht="15" hidden="false" customHeight="false" outlineLevel="0" collapsed="false">
      <c r="A661" s="17" t="s">
        <v>17</v>
      </c>
      <c r="B661" s="17" t="s">
        <v>58</v>
      </c>
      <c r="C661" s="17" t="s">
        <v>66</v>
      </c>
      <c r="D661" s="17" t="s">
        <v>66</v>
      </c>
      <c r="E661" s="17" t="s">
        <v>2212</v>
      </c>
      <c r="F661" s="17" t="s">
        <v>141</v>
      </c>
      <c r="G661" s="17" t="s">
        <v>315</v>
      </c>
      <c r="H661" s="17" t="s">
        <v>2213</v>
      </c>
      <c r="I661" s="20" t="n">
        <v>170</v>
      </c>
      <c r="J661" s="20" t="n">
        <v>5</v>
      </c>
      <c r="K661" s="25" t="n">
        <f aca="false">IFERROR(J661/I661,0)</f>
        <v>0.0294117647058824</v>
      </c>
      <c r="L661" s="19" t="n">
        <v>8.4</v>
      </c>
      <c r="M661" s="20" t="n">
        <v>0</v>
      </c>
      <c r="N661" s="8" t="n">
        <f aca="false">IFERROR(M661/J661,0)</f>
        <v>0</v>
      </c>
    </row>
    <row r="662" customFormat="false" ht="15" hidden="false" customHeight="false" outlineLevel="0" collapsed="false">
      <c r="A662" s="17" t="s">
        <v>17</v>
      </c>
      <c r="B662" s="17" t="s">
        <v>58</v>
      </c>
      <c r="C662" s="17" t="s">
        <v>66</v>
      </c>
      <c r="D662" s="17" t="s">
        <v>66</v>
      </c>
      <c r="E662" s="17" t="s">
        <v>2214</v>
      </c>
      <c r="F662" s="17" t="s">
        <v>141</v>
      </c>
      <c r="G662" s="17" t="s">
        <v>311</v>
      </c>
      <c r="H662" s="17" t="s">
        <v>2192</v>
      </c>
      <c r="I662" s="20" t="n">
        <v>157</v>
      </c>
      <c r="J662" s="20" t="n">
        <v>1</v>
      </c>
      <c r="K662" s="25" t="n">
        <f aca="false">IFERROR(J662/I662,0)</f>
        <v>0.00636942675159236</v>
      </c>
      <c r="L662" s="19" t="n">
        <v>0.6</v>
      </c>
      <c r="M662" s="20" t="n">
        <v>1</v>
      </c>
      <c r="N662" s="8" t="n">
        <f aca="false">IFERROR(M662/J662,0)</f>
        <v>1</v>
      </c>
    </row>
    <row r="663" customFormat="false" ht="15" hidden="false" customHeight="false" outlineLevel="0" collapsed="false">
      <c r="A663" s="17" t="s">
        <v>17</v>
      </c>
      <c r="B663" s="17" t="s">
        <v>58</v>
      </c>
      <c r="C663" s="17" t="s">
        <v>66</v>
      </c>
      <c r="D663" s="17" t="s">
        <v>60</v>
      </c>
      <c r="E663" s="17" t="s">
        <v>2215</v>
      </c>
      <c r="F663" s="17" t="s">
        <v>152</v>
      </c>
      <c r="G663" s="17" t="s">
        <v>315</v>
      </c>
      <c r="H663" s="17" t="s">
        <v>2216</v>
      </c>
      <c r="I663" s="20" t="n">
        <v>142</v>
      </c>
      <c r="J663" s="20" t="n">
        <v>4</v>
      </c>
      <c r="K663" s="25" t="n">
        <f aca="false">IFERROR(J663/I663,0)</f>
        <v>0.028169014084507</v>
      </c>
      <c r="L663" s="19" t="n">
        <v>3.64</v>
      </c>
      <c r="M663" s="20" t="n">
        <v>1</v>
      </c>
      <c r="N663" s="8" t="n">
        <f aca="false">IFERROR(M663/J663,0)</f>
        <v>0.25</v>
      </c>
    </row>
    <row r="664" customFormat="false" ht="15" hidden="false" customHeight="false" outlineLevel="0" collapsed="false">
      <c r="A664" s="17" t="s">
        <v>17</v>
      </c>
      <c r="B664" s="17" t="s">
        <v>58</v>
      </c>
      <c r="C664" s="17" t="s">
        <v>66</v>
      </c>
      <c r="D664" s="17" t="s">
        <v>66</v>
      </c>
      <c r="E664" s="17" t="s">
        <v>2217</v>
      </c>
      <c r="F664" s="17" t="s">
        <v>141</v>
      </c>
      <c r="G664" s="17" t="s">
        <v>311</v>
      </c>
      <c r="H664" s="17" t="s">
        <v>2218</v>
      </c>
      <c r="I664" s="20" t="n">
        <v>134</v>
      </c>
      <c r="J664" s="20" t="n">
        <v>0</v>
      </c>
      <c r="K664" s="25" t="n">
        <f aca="false">IFERROR(J664/I664,0)</f>
        <v>0</v>
      </c>
      <c r="L664" s="19" t="n">
        <v>0</v>
      </c>
      <c r="M664" s="20" t="n">
        <v>0</v>
      </c>
      <c r="N664" s="8" t="n">
        <f aca="false">IFERROR(M664/J664,0)</f>
        <v>0</v>
      </c>
    </row>
    <row r="665" customFormat="false" ht="15" hidden="false" customHeight="false" outlineLevel="0" collapsed="false">
      <c r="A665" s="17" t="s">
        <v>17</v>
      </c>
      <c r="B665" s="17" t="s">
        <v>58</v>
      </c>
      <c r="C665" s="17" t="s">
        <v>66</v>
      </c>
      <c r="D665" s="17" t="s">
        <v>66</v>
      </c>
      <c r="E665" s="17" t="s">
        <v>2219</v>
      </c>
      <c r="F665" s="17" t="s">
        <v>141</v>
      </c>
      <c r="G665" s="17" t="s">
        <v>311</v>
      </c>
      <c r="H665" s="17" t="s">
        <v>2220</v>
      </c>
      <c r="I665" s="20" t="n">
        <v>86</v>
      </c>
      <c r="J665" s="20" t="n">
        <v>0</v>
      </c>
      <c r="K665" s="25" t="n">
        <f aca="false">IFERROR(J665/I665,0)</f>
        <v>0</v>
      </c>
      <c r="L665" s="19" t="n">
        <v>0</v>
      </c>
      <c r="M665" s="20" t="n">
        <v>0</v>
      </c>
      <c r="N665" s="8" t="n">
        <f aca="false">IFERROR(M665/J665,0)</f>
        <v>0</v>
      </c>
    </row>
    <row r="666" customFormat="false" ht="15" hidden="false" customHeight="false" outlineLevel="0" collapsed="false">
      <c r="A666" s="17" t="s">
        <v>17</v>
      </c>
      <c r="B666" s="17" t="s">
        <v>58</v>
      </c>
      <c r="C666" s="17" t="s">
        <v>66</v>
      </c>
      <c r="D666" s="17" t="s">
        <v>66</v>
      </c>
      <c r="E666" s="17" t="s">
        <v>608</v>
      </c>
      <c r="F666" s="17" t="s">
        <v>609</v>
      </c>
      <c r="G666" s="17" t="s">
        <v>315</v>
      </c>
      <c r="H666" s="17" t="s">
        <v>2221</v>
      </c>
      <c r="I666" s="20" t="n">
        <v>61</v>
      </c>
      <c r="J666" s="20" t="n">
        <v>4</v>
      </c>
      <c r="K666" s="25" t="n">
        <f aca="false">IFERROR(J666/I666,0)</f>
        <v>0.0655737704918033</v>
      </c>
      <c r="L666" s="19" t="n">
        <v>8.78</v>
      </c>
      <c r="M666" s="20" t="n">
        <v>2</v>
      </c>
      <c r="N666" s="8" t="n">
        <f aca="false">IFERROR(M666/J666,0)</f>
        <v>0.5</v>
      </c>
    </row>
    <row r="667" customFormat="false" ht="15" hidden="false" customHeight="false" outlineLevel="0" collapsed="false">
      <c r="A667" s="17" t="s">
        <v>17</v>
      </c>
      <c r="B667" s="17" t="s">
        <v>58</v>
      </c>
      <c r="C667" s="17" t="s">
        <v>66</v>
      </c>
      <c r="D667" s="17" t="s">
        <v>66</v>
      </c>
      <c r="E667" s="17" t="s">
        <v>2222</v>
      </c>
      <c r="F667" s="17" t="s">
        <v>609</v>
      </c>
      <c r="G667" s="17" t="s">
        <v>315</v>
      </c>
      <c r="H667" s="17" t="s">
        <v>2223</v>
      </c>
      <c r="I667" s="20" t="n">
        <v>60</v>
      </c>
      <c r="J667" s="20" t="n">
        <v>0</v>
      </c>
      <c r="K667" s="25" t="n">
        <f aca="false">IFERROR(J667/I667,0)</f>
        <v>0</v>
      </c>
      <c r="L667" s="19" t="n">
        <v>0</v>
      </c>
      <c r="M667" s="20" t="n">
        <v>0</v>
      </c>
      <c r="N667" s="8" t="n">
        <f aca="false">IFERROR(M667/J667,0)</f>
        <v>0</v>
      </c>
    </row>
    <row r="668" customFormat="false" ht="15" hidden="false" customHeight="false" outlineLevel="0" collapsed="false">
      <c r="A668" s="17" t="s">
        <v>17</v>
      </c>
      <c r="B668" s="17" t="s">
        <v>58</v>
      </c>
      <c r="C668" s="17" t="s">
        <v>66</v>
      </c>
      <c r="D668" s="17" t="s">
        <v>66</v>
      </c>
      <c r="E668" s="17" t="s">
        <v>2224</v>
      </c>
      <c r="F668" s="17" t="s">
        <v>141</v>
      </c>
      <c r="G668" s="17" t="s">
        <v>315</v>
      </c>
      <c r="H668" s="17" t="s">
        <v>2225</v>
      </c>
      <c r="I668" s="20" t="n">
        <v>44</v>
      </c>
      <c r="J668" s="20" t="n">
        <v>3</v>
      </c>
      <c r="K668" s="25" t="n">
        <f aca="false">IFERROR(J668/I668,0)</f>
        <v>0.0681818181818182</v>
      </c>
      <c r="L668" s="19" t="n">
        <v>6</v>
      </c>
      <c r="M668" s="20" t="n">
        <v>0</v>
      </c>
      <c r="N668" s="8" t="n">
        <f aca="false">IFERROR(M668/J668,0)</f>
        <v>0</v>
      </c>
    </row>
    <row r="669" customFormat="false" ht="15" hidden="false" customHeight="false" outlineLevel="0" collapsed="false">
      <c r="A669" s="17" t="s">
        <v>17</v>
      </c>
      <c r="B669" s="17" t="s">
        <v>58</v>
      </c>
      <c r="C669" s="17" t="s">
        <v>66</v>
      </c>
      <c r="D669" s="17" t="s">
        <v>66</v>
      </c>
      <c r="E669" s="17" t="s">
        <v>2226</v>
      </c>
      <c r="F669" s="17" t="s">
        <v>141</v>
      </c>
      <c r="G669" s="17" t="s">
        <v>311</v>
      </c>
      <c r="H669" s="17" t="s">
        <v>2227</v>
      </c>
      <c r="I669" s="20" t="n">
        <v>36</v>
      </c>
      <c r="J669" s="20" t="n">
        <v>1</v>
      </c>
      <c r="K669" s="25" t="n">
        <f aca="false">IFERROR(J669/I669,0)</f>
        <v>0.0277777777777778</v>
      </c>
      <c r="L669" s="19" t="n">
        <v>0.6</v>
      </c>
      <c r="M669" s="20" t="n">
        <v>0</v>
      </c>
      <c r="N669" s="8" t="n">
        <f aca="false">IFERROR(M669/J669,0)</f>
        <v>0</v>
      </c>
    </row>
    <row r="670" customFormat="false" ht="15" hidden="false" customHeight="false" outlineLevel="0" collapsed="false">
      <c r="A670" s="17" t="s">
        <v>17</v>
      </c>
      <c r="B670" s="17" t="s">
        <v>58</v>
      </c>
      <c r="C670" s="17" t="s">
        <v>66</v>
      </c>
      <c r="D670" s="17" t="s">
        <v>66</v>
      </c>
      <c r="E670" s="17" t="s">
        <v>2228</v>
      </c>
      <c r="F670" s="17" t="s">
        <v>141</v>
      </c>
      <c r="G670" s="17" t="s">
        <v>315</v>
      </c>
      <c r="H670" s="17" t="s">
        <v>2229</v>
      </c>
      <c r="I670" s="20" t="n">
        <v>33</v>
      </c>
      <c r="J670" s="20" t="n">
        <v>2</v>
      </c>
      <c r="K670" s="25" t="n">
        <f aca="false">IFERROR(J670/I670,0)</f>
        <v>0.0606060606060606</v>
      </c>
      <c r="L670" s="19" t="n">
        <v>4.48</v>
      </c>
      <c r="M670" s="20" t="n">
        <v>1</v>
      </c>
      <c r="N670" s="8" t="n">
        <f aca="false">IFERROR(M670/J670,0)</f>
        <v>0.5</v>
      </c>
    </row>
    <row r="671" customFormat="false" ht="15" hidden="false" customHeight="false" outlineLevel="0" collapsed="false">
      <c r="A671" s="17" t="s">
        <v>17</v>
      </c>
      <c r="B671" s="17" t="s">
        <v>58</v>
      </c>
      <c r="C671" s="17" t="s">
        <v>66</v>
      </c>
      <c r="D671" s="17" t="s">
        <v>66</v>
      </c>
      <c r="E671" s="17" t="s">
        <v>2230</v>
      </c>
      <c r="F671" s="17" t="s">
        <v>141</v>
      </c>
      <c r="G671" s="17" t="s">
        <v>315</v>
      </c>
      <c r="H671" s="17" t="s">
        <v>2231</v>
      </c>
      <c r="I671" s="20" t="n">
        <v>32</v>
      </c>
      <c r="J671" s="20" t="n">
        <v>0</v>
      </c>
      <c r="K671" s="25" t="n">
        <f aca="false">IFERROR(J671/I671,0)</f>
        <v>0</v>
      </c>
      <c r="L671" s="19" t="n">
        <v>0</v>
      </c>
      <c r="M671" s="20" t="n">
        <v>0</v>
      </c>
      <c r="N671" s="8" t="n">
        <f aca="false">IFERROR(M671/J671,0)</f>
        <v>0</v>
      </c>
    </row>
    <row r="672" customFormat="false" ht="15" hidden="false" customHeight="false" outlineLevel="0" collapsed="false">
      <c r="A672" s="17" t="s">
        <v>17</v>
      </c>
      <c r="B672" s="17" t="s">
        <v>58</v>
      </c>
      <c r="C672" s="17" t="s">
        <v>66</v>
      </c>
      <c r="D672" s="17" t="s">
        <v>60</v>
      </c>
      <c r="E672" s="17" t="s">
        <v>2232</v>
      </c>
      <c r="F672" s="17" t="s">
        <v>2233</v>
      </c>
      <c r="G672" s="17" t="s">
        <v>315</v>
      </c>
      <c r="H672" s="17" t="s">
        <v>2234</v>
      </c>
      <c r="I672" s="20" t="n">
        <v>28</v>
      </c>
      <c r="J672" s="20" t="n">
        <v>0</v>
      </c>
      <c r="K672" s="25" t="n">
        <f aca="false">IFERROR(J672/I672,0)</f>
        <v>0</v>
      </c>
      <c r="L672" s="19" t="n">
        <v>0</v>
      </c>
      <c r="M672" s="20" t="n">
        <v>0</v>
      </c>
      <c r="N672" s="8" t="n">
        <f aca="false">IFERROR(M672/J672,0)</f>
        <v>0</v>
      </c>
    </row>
    <row r="673" customFormat="false" ht="15" hidden="false" customHeight="false" outlineLevel="0" collapsed="false">
      <c r="A673" s="17" t="s">
        <v>17</v>
      </c>
      <c r="B673" s="17" t="s">
        <v>58</v>
      </c>
      <c r="C673" s="17" t="s">
        <v>66</v>
      </c>
      <c r="D673" s="17" t="s">
        <v>60</v>
      </c>
      <c r="E673" s="17" t="s">
        <v>2235</v>
      </c>
      <c r="F673" s="17" t="s">
        <v>2233</v>
      </c>
      <c r="G673" s="17" t="s">
        <v>315</v>
      </c>
      <c r="H673" s="17" t="s">
        <v>2236</v>
      </c>
      <c r="I673" s="20" t="n">
        <v>26</v>
      </c>
      <c r="J673" s="20" t="n">
        <v>1</v>
      </c>
      <c r="K673" s="25" t="n">
        <f aca="false">IFERROR(J673/I673,0)</f>
        <v>0.0384615384615385</v>
      </c>
      <c r="L673" s="19" t="n">
        <v>1.5</v>
      </c>
      <c r="M673" s="20" t="n">
        <v>0</v>
      </c>
      <c r="N673" s="8" t="n">
        <f aca="false">IFERROR(M673/J673,0)</f>
        <v>0</v>
      </c>
    </row>
    <row r="674" customFormat="false" ht="15" hidden="false" customHeight="false" outlineLevel="0" collapsed="false">
      <c r="A674" s="17" t="s">
        <v>17</v>
      </c>
      <c r="B674" s="17" t="s">
        <v>58</v>
      </c>
      <c r="C674" s="17" t="s">
        <v>66</v>
      </c>
      <c r="D674" s="17" t="s">
        <v>66</v>
      </c>
      <c r="E674" s="17" t="s">
        <v>2237</v>
      </c>
      <c r="F674" s="17" t="s">
        <v>141</v>
      </c>
      <c r="G674" s="17" t="s">
        <v>315</v>
      </c>
      <c r="H674" s="17" t="s">
        <v>2227</v>
      </c>
      <c r="I674" s="20" t="n">
        <v>24</v>
      </c>
      <c r="J674" s="20" t="n">
        <v>0</v>
      </c>
      <c r="K674" s="25" t="n">
        <f aca="false">IFERROR(J674/I674,0)</f>
        <v>0</v>
      </c>
      <c r="L674" s="19" t="n">
        <v>0</v>
      </c>
      <c r="M674" s="20" t="n">
        <v>0</v>
      </c>
      <c r="N674" s="8" t="n">
        <f aca="false">IFERROR(M674/J674,0)</f>
        <v>0</v>
      </c>
    </row>
    <row r="675" customFormat="false" ht="15" hidden="false" customHeight="false" outlineLevel="0" collapsed="false">
      <c r="A675" s="17" t="s">
        <v>17</v>
      </c>
      <c r="B675" s="17" t="s">
        <v>58</v>
      </c>
      <c r="C675" s="17" t="s">
        <v>66</v>
      </c>
      <c r="D675" s="17" t="s">
        <v>66</v>
      </c>
      <c r="E675" s="17" t="s">
        <v>2238</v>
      </c>
      <c r="F675" s="17" t="s">
        <v>2239</v>
      </c>
      <c r="G675" s="17" t="s">
        <v>351</v>
      </c>
      <c r="H675" s="17" t="s">
        <v>2182</v>
      </c>
      <c r="I675" s="20" t="n">
        <v>21</v>
      </c>
      <c r="J675" s="20" t="n">
        <v>0</v>
      </c>
      <c r="K675" s="25" t="n">
        <f aca="false">IFERROR(J675/I675,0)</f>
        <v>0</v>
      </c>
      <c r="L675" s="19" t="n">
        <v>0</v>
      </c>
      <c r="M675" s="20" t="n">
        <v>0</v>
      </c>
      <c r="N675" s="8" t="n">
        <f aca="false">IFERROR(M675/J675,0)</f>
        <v>0</v>
      </c>
    </row>
    <row r="676" customFormat="false" ht="15" hidden="false" customHeight="false" outlineLevel="0" collapsed="false">
      <c r="A676" s="17" t="s">
        <v>17</v>
      </c>
      <c r="B676" s="17" t="s">
        <v>58</v>
      </c>
      <c r="C676" s="17" t="s">
        <v>66</v>
      </c>
      <c r="D676" s="17" t="s">
        <v>66</v>
      </c>
      <c r="E676" s="17" t="s">
        <v>631</v>
      </c>
      <c r="F676" s="17" t="s">
        <v>609</v>
      </c>
      <c r="G676" s="17" t="s">
        <v>315</v>
      </c>
      <c r="H676" s="17" t="s">
        <v>2240</v>
      </c>
      <c r="I676" s="20" t="n">
        <v>20</v>
      </c>
      <c r="J676" s="20" t="n">
        <v>3</v>
      </c>
      <c r="K676" s="25" t="n">
        <f aca="false">IFERROR(J676/I676,0)</f>
        <v>0.15</v>
      </c>
      <c r="L676" s="19" t="n">
        <v>5.09</v>
      </c>
      <c r="M676" s="20" t="n">
        <v>0</v>
      </c>
      <c r="N676" s="8" t="n">
        <f aca="false">IFERROR(M676/J676,0)</f>
        <v>0</v>
      </c>
    </row>
    <row r="677" customFormat="false" ht="15" hidden="false" customHeight="false" outlineLevel="0" collapsed="false">
      <c r="A677" s="17" t="s">
        <v>17</v>
      </c>
      <c r="B677" s="17" t="s">
        <v>58</v>
      </c>
      <c r="C677" s="17" t="s">
        <v>66</v>
      </c>
      <c r="D677" s="17" t="s">
        <v>66</v>
      </c>
      <c r="E677" s="17" t="s">
        <v>2241</v>
      </c>
      <c r="F677" s="17" t="s">
        <v>141</v>
      </c>
      <c r="G677" s="17" t="s">
        <v>315</v>
      </c>
      <c r="H677" s="17" t="s">
        <v>2220</v>
      </c>
      <c r="I677" s="20" t="n">
        <v>19</v>
      </c>
      <c r="J677" s="20" t="n">
        <v>1</v>
      </c>
      <c r="K677" s="25" t="n">
        <f aca="false">IFERROR(J677/I677,0)</f>
        <v>0.0526315789473684</v>
      </c>
      <c r="L677" s="19" t="n">
        <v>0.65</v>
      </c>
      <c r="M677" s="20" t="n">
        <v>0</v>
      </c>
      <c r="N677" s="8" t="n">
        <f aca="false">IFERROR(M677/J677,0)</f>
        <v>0</v>
      </c>
    </row>
    <row r="678" customFormat="false" ht="15" hidden="false" customHeight="false" outlineLevel="0" collapsed="false">
      <c r="A678" s="17" t="s">
        <v>17</v>
      </c>
      <c r="B678" s="17" t="s">
        <v>58</v>
      </c>
      <c r="C678" s="17" t="s">
        <v>66</v>
      </c>
      <c r="D678" s="17" t="s">
        <v>66</v>
      </c>
      <c r="E678" s="17" t="s">
        <v>691</v>
      </c>
      <c r="F678" s="17" t="s">
        <v>609</v>
      </c>
      <c r="G678" s="17" t="s">
        <v>315</v>
      </c>
      <c r="H678" s="17" t="s">
        <v>2242</v>
      </c>
      <c r="I678" s="20" t="n">
        <v>16</v>
      </c>
      <c r="J678" s="20" t="n">
        <v>1</v>
      </c>
      <c r="K678" s="25" t="n">
        <f aca="false">IFERROR(J678/I678,0)</f>
        <v>0.0625</v>
      </c>
      <c r="L678" s="19" t="n">
        <v>1.74</v>
      </c>
      <c r="M678" s="20" t="n">
        <v>0</v>
      </c>
      <c r="N678" s="8" t="n">
        <f aca="false">IFERROR(M678/J678,0)</f>
        <v>0</v>
      </c>
    </row>
    <row r="679" customFormat="false" ht="15" hidden="false" customHeight="false" outlineLevel="0" collapsed="false">
      <c r="A679" s="17" t="s">
        <v>17</v>
      </c>
      <c r="B679" s="17" t="s">
        <v>58</v>
      </c>
      <c r="C679" s="17" t="s">
        <v>66</v>
      </c>
      <c r="D679" s="17" t="s">
        <v>60</v>
      </c>
      <c r="E679" s="17" t="s">
        <v>2243</v>
      </c>
      <c r="F679" s="17" t="s">
        <v>141</v>
      </c>
      <c r="G679" s="17" t="s">
        <v>315</v>
      </c>
      <c r="H679" s="17" t="s">
        <v>2244</v>
      </c>
      <c r="I679" s="20" t="n">
        <v>14</v>
      </c>
      <c r="J679" s="20" t="n">
        <v>0</v>
      </c>
      <c r="K679" s="25" t="n">
        <f aca="false">IFERROR(J679/I679,0)</f>
        <v>0</v>
      </c>
      <c r="L679" s="19" t="n">
        <v>0</v>
      </c>
      <c r="M679" s="20" t="n">
        <v>0</v>
      </c>
      <c r="N679" s="8" t="n">
        <f aca="false">IFERROR(M679/J679,0)</f>
        <v>0</v>
      </c>
    </row>
    <row r="680" customFormat="false" ht="15" hidden="false" customHeight="false" outlineLevel="0" collapsed="false">
      <c r="A680" s="17" t="s">
        <v>17</v>
      </c>
      <c r="B680" s="17" t="s">
        <v>58</v>
      </c>
      <c r="C680" s="17" t="s">
        <v>66</v>
      </c>
      <c r="D680" s="17" t="s">
        <v>66</v>
      </c>
      <c r="E680" s="17" t="s">
        <v>2245</v>
      </c>
      <c r="F680" s="17" t="s">
        <v>141</v>
      </c>
      <c r="G680" s="17" t="s">
        <v>351</v>
      </c>
      <c r="H680" s="17" t="s">
        <v>2227</v>
      </c>
      <c r="I680" s="20" t="n">
        <v>9</v>
      </c>
      <c r="J680" s="20" t="n">
        <v>0</v>
      </c>
      <c r="K680" s="25" t="n">
        <f aca="false">IFERROR(J680/I680,0)</f>
        <v>0</v>
      </c>
      <c r="L680" s="19" t="n">
        <v>0</v>
      </c>
      <c r="M680" s="20" t="n">
        <v>0</v>
      </c>
      <c r="N680" s="8" t="n">
        <f aca="false">IFERROR(M680/J680,0)</f>
        <v>0</v>
      </c>
    </row>
    <row r="681" customFormat="false" ht="15" hidden="false" customHeight="false" outlineLevel="0" collapsed="false">
      <c r="A681" s="17" t="s">
        <v>17</v>
      </c>
      <c r="B681" s="17" t="s">
        <v>58</v>
      </c>
      <c r="C681" s="17" t="s">
        <v>66</v>
      </c>
      <c r="D681" s="17" t="s">
        <v>60</v>
      </c>
      <c r="E681" s="17" t="s">
        <v>2246</v>
      </c>
      <c r="F681" s="17" t="s">
        <v>141</v>
      </c>
      <c r="G681" s="17" t="s">
        <v>315</v>
      </c>
      <c r="H681" s="17" t="s">
        <v>2247</v>
      </c>
      <c r="I681" s="20" t="n">
        <v>8</v>
      </c>
      <c r="J681" s="20" t="n">
        <v>1</v>
      </c>
      <c r="K681" s="25" t="n">
        <f aca="false">IFERROR(J681/I681,0)</f>
        <v>0.125</v>
      </c>
      <c r="L681" s="19" t="n">
        <v>1.99</v>
      </c>
      <c r="M681" s="20" t="n">
        <v>0</v>
      </c>
      <c r="N681" s="8" t="n">
        <f aca="false">IFERROR(M681/J681,0)</f>
        <v>0</v>
      </c>
    </row>
    <row r="682" customFormat="false" ht="15" hidden="false" customHeight="false" outlineLevel="0" collapsed="false">
      <c r="A682" s="17" t="s">
        <v>17</v>
      </c>
      <c r="B682" s="17" t="s">
        <v>58</v>
      </c>
      <c r="C682" s="17" t="s">
        <v>66</v>
      </c>
      <c r="D682" s="17" t="s">
        <v>66</v>
      </c>
      <c r="E682" s="17" t="s">
        <v>2248</v>
      </c>
      <c r="F682" s="17" t="s">
        <v>141</v>
      </c>
      <c r="G682" s="17" t="s">
        <v>315</v>
      </c>
      <c r="H682" s="17" t="s">
        <v>2249</v>
      </c>
      <c r="I682" s="20" t="n">
        <v>7</v>
      </c>
      <c r="J682" s="20" t="n">
        <v>0</v>
      </c>
      <c r="K682" s="25" t="n">
        <f aca="false">IFERROR(J682/I682,0)</f>
        <v>0</v>
      </c>
      <c r="L682" s="19" t="n">
        <v>0</v>
      </c>
      <c r="M682" s="20" t="n">
        <v>0</v>
      </c>
      <c r="N682" s="8" t="n">
        <f aca="false">IFERROR(M682/J682,0)</f>
        <v>0</v>
      </c>
    </row>
    <row r="683" customFormat="false" ht="15" hidden="false" customHeight="false" outlineLevel="0" collapsed="false">
      <c r="A683" s="17" t="s">
        <v>17</v>
      </c>
      <c r="B683" s="17" t="s">
        <v>58</v>
      </c>
      <c r="C683" s="17" t="s">
        <v>66</v>
      </c>
      <c r="D683" s="17" t="s">
        <v>66</v>
      </c>
      <c r="E683" s="17" t="s">
        <v>2250</v>
      </c>
      <c r="F683" s="17" t="s">
        <v>141</v>
      </c>
      <c r="G683" s="17" t="s">
        <v>351</v>
      </c>
      <c r="H683" s="17" t="s">
        <v>2251</v>
      </c>
      <c r="I683" s="20" t="n">
        <v>6</v>
      </c>
      <c r="J683" s="20" t="n">
        <v>0</v>
      </c>
      <c r="K683" s="25" t="n">
        <f aca="false">IFERROR(J683/I683,0)</f>
        <v>0</v>
      </c>
      <c r="L683" s="19" t="n">
        <v>0</v>
      </c>
      <c r="M683" s="20" t="n">
        <v>0</v>
      </c>
      <c r="N683" s="8" t="n">
        <f aca="false">IFERROR(M683/J683,0)</f>
        <v>0</v>
      </c>
    </row>
    <row r="684" customFormat="false" ht="15" hidden="false" customHeight="false" outlineLevel="0" collapsed="false">
      <c r="A684" s="17" t="s">
        <v>17</v>
      </c>
      <c r="B684" s="17" t="s">
        <v>58</v>
      </c>
      <c r="C684" s="17" t="s">
        <v>66</v>
      </c>
      <c r="D684" s="17" t="s">
        <v>66</v>
      </c>
      <c r="E684" s="17" t="s">
        <v>2252</v>
      </c>
      <c r="F684" s="17" t="s">
        <v>141</v>
      </c>
      <c r="G684" s="17" t="s">
        <v>315</v>
      </c>
      <c r="H684" s="17" t="s">
        <v>2253</v>
      </c>
      <c r="I684" s="20" t="n">
        <v>5</v>
      </c>
      <c r="J684" s="20" t="n">
        <v>0</v>
      </c>
      <c r="K684" s="25" t="n">
        <f aca="false">IFERROR(J684/I684,0)</f>
        <v>0</v>
      </c>
      <c r="L684" s="19" t="n">
        <v>0</v>
      </c>
      <c r="M684" s="20" t="n">
        <v>0</v>
      </c>
      <c r="N684" s="8" t="n">
        <f aca="false">IFERROR(M684/J684,0)</f>
        <v>0</v>
      </c>
    </row>
    <row r="685" customFormat="false" ht="15" hidden="false" customHeight="false" outlineLevel="0" collapsed="false">
      <c r="A685" s="17" t="s">
        <v>17</v>
      </c>
      <c r="B685" s="17" t="s">
        <v>58</v>
      </c>
      <c r="C685" s="17" t="s">
        <v>66</v>
      </c>
      <c r="D685" s="17" t="s">
        <v>66</v>
      </c>
      <c r="E685" s="17" t="s">
        <v>2254</v>
      </c>
      <c r="F685" s="17" t="s">
        <v>141</v>
      </c>
      <c r="G685" s="17" t="s">
        <v>351</v>
      </c>
      <c r="H685" s="17" t="s">
        <v>2255</v>
      </c>
      <c r="I685" s="20" t="n">
        <v>5</v>
      </c>
      <c r="J685" s="20" t="n">
        <v>0</v>
      </c>
      <c r="K685" s="25" t="n">
        <f aca="false">IFERROR(J685/I685,0)</f>
        <v>0</v>
      </c>
      <c r="L685" s="19" t="n">
        <v>0</v>
      </c>
      <c r="M685" s="20" t="n">
        <v>0</v>
      </c>
      <c r="N685" s="8" t="n">
        <f aca="false">IFERROR(M685/J685,0)</f>
        <v>0</v>
      </c>
    </row>
    <row r="686" customFormat="false" ht="15" hidden="false" customHeight="false" outlineLevel="0" collapsed="false">
      <c r="A686" s="17" t="s">
        <v>17</v>
      </c>
      <c r="B686" s="17" t="s">
        <v>58</v>
      </c>
      <c r="C686" s="17" t="s">
        <v>66</v>
      </c>
      <c r="D686" s="17" t="s">
        <v>60</v>
      </c>
      <c r="E686" s="17" t="s">
        <v>2256</v>
      </c>
      <c r="F686" s="17" t="s">
        <v>2257</v>
      </c>
      <c r="G686" s="17" t="s">
        <v>315</v>
      </c>
      <c r="H686" s="17" t="s">
        <v>2258</v>
      </c>
      <c r="I686" s="20" t="n">
        <v>3</v>
      </c>
      <c r="J686" s="20" t="n">
        <v>0</v>
      </c>
      <c r="K686" s="25" t="n">
        <f aca="false">IFERROR(J686/I686,0)</f>
        <v>0</v>
      </c>
      <c r="L686" s="19" t="n">
        <v>0</v>
      </c>
      <c r="M686" s="20" t="n">
        <v>0</v>
      </c>
      <c r="N686" s="8" t="n">
        <f aca="false">IFERROR(M686/J686,0)</f>
        <v>0</v>
      </c>
    </row>
    <row r="687" customFormat="false" ht="15" hidden="false" customHeight="false" outlineLevel="0" collapsed="false">
      <c r="A687" s="17" t="s">
        <v>17</v>
      </c>
      <c r="B687" s="17" t="s">
        <v>58</v>
      </c>
      <c r="C687" s="17" t="s">
        <v>66</v>
      </c>
      <c r="D687" s="17" t="s">
        <v>60</v>
      </c>
      <c r="E687" s="17" t="s">
        <v>2259</v>
      </c>
      <c r="F687" s="17" t="s">
        <v>152</v>
      </c>
      <c r="G687" s="17" t="s">
        <v>315</v>
      </c>
      <c r="H687" s="17" t="s">
        <v>2260</v>
      </c>
      <c r="I687" s="20" t="n">
        <v>3</v>
      </c>
      <c r="J687" s="20" t="n">
        <v>0</v>
      </c>
      <c r="K687" s="25" t="n">
        <f aca="false">IFERROR(J687/I687,0)</f>
        <v>0</v>
      </c>
      <c r="L687" s="19" t="n">
        <v>0</v>
      </c>
      <c r="M687" s="20" t="n">
        <v>0</v>
      </c>
      <c r="N687" s="8" t="n">
        <f aca="false">IFERROR(M687/J687,0)</f>
        <v>0</v>
      </c>
    </row>
    <row r="688" customFormat="false" ht="15" hidden="false" customHeight="false" outlineLevel="0" collapsed="false">
      <c r="A688" s="17" t="s">
        <v>17</v>
      </c>
      <c r="B688" s="17" t="s">
        <v>58</v>
      </c>
      <c r="C688" s="17" t="s">
        <v>66</v>
      </c>
      <c r="D688" s="17" t="s">
        <v>66</v>
      </c>
      <c r="E688" s="17" t="s">
        <v>2261</v>
      </c>
      <c r="F688" s="17" t="s">
        <v>141</v>
      </c>
      <c r="G688" s="17" t="s">
        <v>315</v>
      </c>
      <c r="H688" s="17" t="s">
        <v>2255</v>
      </c>
      <c r="I688" s="20" t="n">
        <v>2</v>
      </c>
      <c r="J688" s="20" t="n">
        <v>0</v>
      </c>
      <c r="K688" s="25" t="n">
        <f aca="false">IFERROR(J688/I688,0)</f>
        <v>0</v>
      </c>
      <c r="L688" s="19" t="n">
        <v>0</v>
      </c>
      <c r="M688" s="20" t="n">
        <v>0</v>
      </c>
      <c r="N688" s="8" t="n">
        <f aca="false">IFERROR(M688/J688,0)</f>
        <v>0</v>
      </c>
    </row>
    <row r="689" customFormat="false" ht="15" hidden="false" customHeight="false" outlineLevel="0" collapsed="false">
      <c r="A689" s="17" t="s">
        <v>17</v>
      </c>
      <c r="B689" s="17" t="s">
        <v>58</v>
      </c>
      <c r="C689" s="17" t="s">
        <v>66</v>
      </c>
      <c r="D689" s="17" t="s">
        <v>66</v>
      </c>
      <c r="E689" s="17" t="s">
        <v>2262</v>
      </c>
      <c r="F689" s="17" t="s">
        <v>141</v>
      </c>
      <c r="G689" s="17" t="s">
        <v>315</v>
      </c>
      <c r="H689" s="17" t="s">
        <v>2263</v>
      </c>
      <c r="I689" s="20" t="n">
        <v>2</v>
      </c>
      <c r="J689" s="20" t="n">
        <v>0</v>
      </c>
      <c r="K689" s="25" t="n">
        <f aca="false">IFERROR(J689/I689,0)</f>
        <v>0</v>
      </c>
      <c r="L689" s="19" t="n">
        <v>0</v>
      </c>
      <c r="M689" s="20" t="n">
        <v>0</v>
      </c>
      <c r="N689" s="8" t="n">
        <f aca="false">IFERROR(M689/J689,0)</f>
        <v>0</v>
      </c>
    </row>
    <row r="690" customFormat="false" ht="15" hidden="false" customHeight="false" outlineLevel="0" collapsed="false">
      <c r="A690" s="17" t="s">
        <v>17</v>
      </c>
      <c r="B690" s="17" t="s">
        <v>58</v>
      </c>
      <c r="C690" s="17" t="s">
        <v>66</v>
      </c>
      <c r="D690" s="17" t="s">
        <v>66</v>
      </c>
      <c r="E690" s="17" t="s">
        <v>2264</v>
      </c>
      <c r="F690" s="17" t="s">
        <v>141</v>
      </c>
      <c r="G690" s="17" t="s">
        <v>351</v>
      </c>
      <c r="H690" s="17" t="s">
        <v>2201</v>
      </c>
      <c r="I690" s="20" t="n">
        <v>2</v>
      </c>
      <c r="J690" s="20" t="n">
        <v>0</v>
      </c>
      <c r="K690" s="25" t="n">
        <f aca="false">IFERROR(J690/I690,0)</f>
        <v>0</v>
      </c>
      <c r="L690" s="19" t="n">
        <v>0</v>
      </c>
      <c r="M690" s="20" t="n">
        <v>0</v>
      </c>
      <c r="N690" s="8" t="n">
        <f aca="false">IFERROR(M690/J690,0)</f>
        <v>0</v>
      </c>
    </row>
    <row r="691" customFormat="false" ht="15" hidden="false" customHeight="false" outlineLevel="0" collapsed="false">
      <c r="A691" s="17" t="s">
        <v>17</v>
      </c>
      <c r="B691" s="17" t="s">
        <v>58</v>
      </c>
      <c r="C691" s="17" t="s">
        <v>66</v>
      </c>
      <c r="D691" s="17" t="s">
        <v>60</v>
      </c>
      <c r="E691" s="17" t="s">
        <v>2265</v>
      </c>
      <c r="F691" s="17" t="s">
        <v>141</v>
      </c>
      <c r="G691" s="17" t="s">
        <v>315</v>
      </c>
      <c r="H691" s="17" t="s">
        <v>2266</v>
      </c>
      <c r="I691" s="20" t="n">
        <v>1</v>
      </c>
      <c r="J691" s="20" t="n">
        <v>0</v>
      </c>
      <c r="K691" s="25" t="n">
        <f aca="false">IFERROR(J691/I691,0)</f>
        <v>0</v>
      </c>
      <c r="L691" s="19" t="n">
        <v>0</v>
      </c>
      <c r="M691" s="20" t="n">
        <v>0</v>
      </c>
      <c r="N691" s="8" t="n">
        <f aca="false">IFERROR(M691/J691,0)</f>
        <v>0</v>
      </c>
    </row>
    <row r="692" customFormat="false" ht="15" hidden="false" customHeight="false" outlineLevel="0" collapsed="false">
      <c r="A692" s="17" t="s">
        <v>17</v>
      </c>
      <c r="B692" s="17" t="s">
        <v>58</v>
      </c>
      <c r="C692" s="17" t="s">
        <v>66</v>
      </c>
      <c r="D692" s="17" t="s">
        <v>66</v>
      </c>
      <c r="E692" s="17" t="s">
        <v>2267</v>
      </c>
      <c r="F692" s="17" t="s">
        <v>141</v>
      </c>
      <c r="G692" s="17" t="s">
        <v>315</v>
      </c>
      <c r="H692" s="17" t="s">
        <v>2251</v>
      </c>
      <c r="I692" s="20" t="n">
        <v>1</v>
      </c>
      <c r="J692" s="20" t="n">
        <v>0</v>
      </c>
      <c r="K692" s="25" t="n">
        <f aca="false">IFERROR(J692/I692,0)</f>
        <v>0</v>
      </c>
      <c r="L692" s="19" t="n">
        <v>0</v>
      </c>
      <c r="M692" s="20" t="n">
        <v>0</v>
      </c>
      <c r="N692" s="8" t="n">
        <f aca="false">IFERROR(M692/J692,0)</f>
        <v>0</v>
      </c>
    </row>
    <row r="693" customFormat="false" ht="15" hidden="false" customHeight="false" outlineLevel="0" collapsed="false">
      <c r="A693" s="17" t="s">
        <v>17</v>
      </c>
      <c r="B693" s="17" t="s">
        <v>58</v>
      </c>
      <c r="C693" s="17" t="s">
        <v>66</v>
      </c>
      <c r="D693" s="17" t="s">
        <v>66</v>
      </c>
      <c r="E693" s="17" t="s">
        <v>2268</v>
      </c>
      <c r="F693" s="17" t="s">
        <v>141</v>
      </c>
      <c r="G693" s="17" t="s">
        <v>315</v>
      </c>
      <c r="H693" s="17" t="s">
        <v>2269</v>
      </c>
      <c r="I693" s="20" t="n">
        <v>1</v>
      </c>
      <c r="J693" s="20" t="n">
        <v>0</v>
      </c>
      <c r="K693" s="25" t="n">
        <f aca="false">IFERROR(J693/I693,0)</f>
        <v>0</v>
      </c>
      <c r="L693" s="19" t="n">
        <v>0</v>
      </c>
      <c r="M693" s="20" t="n">
        <v>0</v>
      </c>
      <c r="N693" s="8" t="n">
        <f aca="false">IFERROR(M693/J693,0)</f>
        <v>0</v>
      </c>
    </row>
    <row r="694" customFormat="false" ht="15" hidden="false" customHeight="false" outlineLevel="0" collapsed="false">
      <c r="A694" s="17" t="s">
        <v>17</v>
      </c>
      <c r="B694" s="17" t="s">
        <v>58</v>
      </c>
      <c r="C694" s="17" t="s">
        <v>60</v>
      </c>
      <c r="D694" s="17" t="s">
        <v>66</v>
      </c>
      <c r="E694" s="17" t="s">
        <v>2270</v>
      </c>
      <c r="F694" s="17" t="s">
        <v>162</v>
      </c>
      <c r="G694" s="17" t="s">
        <v>315</v>
      </c>
      <c r="H694" s="17" t="s">
        <v>2271</v>
      </c>
      <c r="I694" s="20" t="n">
        <v>0</v>
      </c>
      <c r="J694" s="20" t="n">
        <v>0</v>
      </c>
      <c r="K694" s="25" t="n">
        <f aca="false">IFERROR(J694/I694,0)</f>
        <v>0</v>
      </c>
      <c r="L694" s="19" t="n">
        <v>0</v>
      </c>
      <c r="M694" s="20" t="n">
        <v>0</v>
      </c>
      <c r="N694" s="8" t="n">
        <f aca="false">IFERROR(M694/J694,0)</f>
        <v>0</v>
      </c>
    </row>
    <row r="695" customFormat="false" ht="15" hidden="false" customHeight="false" outlineLevel="0" collapsed="false">
      <c r="A695" s="17" t="s">
        <v>17</v>
      </c>
      <c r="B695" s="17" t="s">
        <v>58</v>
      </c>
      <c r="C695" s="17" t="s">
        <v>66</v>
      </c>
      <c r="D695" s="17" t="s">
        <v>66</v>
      </c>
      <c r="E695" s="17" t="s">
        <v>2272</v>
      </c>
      <c r="F695" s="17" t="s">
        <v>2239</v>
      </c>
      <c r="G695" s="17" t="s">
        <v>315</v>
      </c>
      <c r="H695" s="17" t="s">
        <v>2207</v>
      </c>
      <c r="I695" s="20" t="n">
        <v>0</v>
      </c>
      <c r="J695" s="20" t="n">
        <v>0</v>
      </c>
      <c r="K695" s="25" t="n">
        <f aca="false">IFERROR(J695/I695,0)</f>
        <v>0</v>
      </c>
      <c r="L695" s="19" t="n">
        <v>0</v>
      </c>
      <c r="M695" s="20" t="n">
        <v>0</v>
      </c>
      <c r="N695" s="8" t="n">
        <f aca="false">IFERROR(M695/J695,0)</f>
        <v>0</v>
      </c>
    </row>
    <row r="696" customFormat="false" ht="15" hidden="false" customHeight="false" outlineLevel="0" collapsed="false">
      <c r="A696" s="17" t="s">
        <v>17</v>
      </c>
      <c r="B696" s="17" t="s">
        <v>58</v>
      </c>
      <c r="C696" s="17" t="s">
        <v>66</v>
      </c>
      <c r="D696" s="17" t="s">
        <v>66</v>
      </c>
      <c r="E696" s="17" t="s">
        <v>2273</v>
      </c>
      <c r="F696" s="17" t="s">
        <v>141</v>
      </c>
      <c r="G696" s="17" t="s">
        <v>315</v>
      </c>
      <c r="H696" s="17" t="s">
        <v>2274</v>
      </c>
      <c r="I696" s="20" t="n">
        <v>0</v>
      </c>
      <c r="J696" s="20" t="n">
        <v>0</v>
      </c>
      <c r="K696" s="25" t="n">
        <f aca="false">IFERROR(J696/I696,0)</f>
        <v>0</v>
      </c>
      <c r="L696" s="19" t="n">
        <v>0</v>
      </c>
      <c r="M696" s="20" t="n">
        <v>0</v>
      </c>
      <c r="N696" s="8" t="n">
        <f aca="false">IFERROR(M696/J696,0)</f>
        <v>0</v>
      </c>
    </row>
    <row r="697" customFormat="false" ht="15" hidden="false" customHeight="false" outlineLevel="0" collapsed="false">
      <c r="A697" s="17" t="s">
        <v>17</v>
      </c>
      <c r="B697" s="17" t="s">
        <v>58</v>
      </c>
      <c r="C697" s="17" t="s">
        <v>66</v>
      </c>
      <c r="D697" s="17" t="s">
        <v>66</v>
      </c>
      <c r="E697" s="17" t="s">
        <v>2275</v>
      </c>
      <c r="F697" s="17" t="s">
        <v>141</v>
      </c>
      <c r="G697" s="17" t="s">
        <v>315</v>
      </c>
      <c r="H697" s="17" t="s">
        <v>2276</v>
      </c>
      <c r="I697" s="20" t="n">
        <v>0</v>
      </c>
      <c r="J697" s="20" t="n">
        <v>0</v>
      </c>
      <c r="K697" s="25" t="n">
        <f aca="false">IFERROR(J697/I697,0)</f>
        <v>0</v>
      </c>
      <c r="L697" s="19" t="n">
        <v>0</v>
      </c>
      <c r="M697" s="20" t="n">
        <v>0</v>
      </c>
      <c r="N697" s="8" t="n">
        <f aca="false">IFERROR(M697/J697,0)</f>
        <v>0</v>
      </c>
    </row>
    <row r="698" customFormat="false" ht="15" hidden="false" customHeight="false" outlineLevel="0" collapsed="false">
      <c r="A698" s="17" t="s">
        <v>17</v>
      </c>
      <c r="B698" s="17" t="s">
        <v>58</v>
      </c>
      <c r="C698" s="17" t="s">
        <v>66</v>
      </c>
      <c r="D698" s="17" t="s">
        <v>66</v>
      </c>
      <c r="E698" s="17" t="s">
        <v>2277</v>
      </c>
      <c r="F698" s="17" t="s">
        <v>141</v>
      </c>
      <c r="G698" s="17" t="s">
        <v>315</v>
      </c>
      <c r="H698" s="17" t="s">
        <v>2278</v>
      </c>
      <c r="I698" s="20" t="n">
        <v>0</v>
      </c>
      <c r="J698" s="20" t="n">
        <v>0</v>
      </c>
      <c r="K698" s="25" t="n">
        <f aca="false">IFERROR(J698/I698,0)</f>
        <v>0</v>
      </c>
      <c r="L698" s="19" t="n">
        <v>0</v>
      </c>
      <c r="M698" s="20" t="n">
        <v>0</v>
      </c>
      <c r="N698" s="8" t="n">
        <f aca="false">IFERROR(M698/J698,0)</f>
        <v>0</v>
      </c>
    </row>
    <row r="699" customFormat="false" ht="15" hidden="false" customHeight="false" outlineLevel="0" collapsed="false">
      <c r="A699" s="17" t="s">
        <v>17</v>
      </c>
      <c r="B699" s="17" t="s">
        <v>58</v>
      </c>
      <c r="C699" s="17" t="s">
        <v>66</v>
      </c>
      <c r="D699" s="17" t="s">
        <v>66</v>
      </c>
      <c r="E699" s="17" t="s">
        <v>2279</v>
      </c>
      <c r="F699" s="17" t="s">
        <v>141</v>
      </c>
      <c r="G699" s="17" t="s">
        <v>351</v>
      </c>
      <c r="H699" s="17" t="s">
        <v>2278</v>
      </c>
      <c r="I699" s="20" t="n">
        <v>0</v>
      </c>
      <c r="J699" s="20" t="n">
        <v>0</v>
      </c>
      <c r="K699" s="25" t="n">
        <f aca="false">IFERROR(J699/I699,0)</f>
        <v>0</v>
      </c>
      <c r="L699" s="19" t="n">
        <v>0</v>
      </c>
      <c r="M699" s="20" t="n">
        <v>0</v>
      </c>
      <c r="N699" s="8" t="n">
        <f aca="false">IFERROR(M699/J699,0)</f>
        <v>0</v>
      </c>
    </row>
    <row r="700" customFormat="false" ht="15" hidden="false" customHeight="false" outlineLevel="0" collapsed="false">
      <c r="A700" s="17" t="s">
        <v>17</v>
      </c>
      <c r="B700" s="17" t="s">
        <v>58</v>
      </c>
      <c r="C700" s="17" t="s">
        <v>66</v>
      </c>
      <c r="D700" s="17" t="s">
        <v>66</v>
      </c>
      <c r="E700" s="17" t="s">
        <v>2280</v>
      </c>
      <c r="F700" s="17" t="s">
        <v>141</v>
      </c>
      <c r="G700" s="17" t="s">
        <v>351</v>
      </c>
      <c r="H700" s="17" t="s">
        <v>2263</v>
      </c>
      <c r="I700" s="20" t="n">
        <v>0</v>
      </c>
      <c r="J700" s="20" t="n">
        <v>0</v>
      </c>
      <c r="K700" s="25" t="n">
        <f aca="false">IFERROR(J700/I700,0)</f>
        <v>0</v>
      </c>
      <c r="L700" s="19" t="n">
        <v>0</v>
      </c>
      <c r="M700" s="20" t="n">
        <v>0</v>
      </c>
      <c r="N700" s="8" t="n">
        <f aca="false">IFERROR(M700/J700,0)</f>
        <v>0</v>
      </c>
    </row>
    <row r="701" customFormat="false" ht="15" hidden="false" customHeight="false" outlineLevel="0" collapsed="false">
      <c r="A701" s="17" t="s">
        <v>17</v>
      </c>
      <c r="B701" s="17" t="s">
        <v>62</v>
      </c>
      <c r="C701" s="17" t="s">
        <v>66</v>
      </c>
      <c r="D701" s="17" t="s">
        <v>66</v>
      </c>
      <c r="E701" s="17" t="s">
        <v>570</v>
      </c>
      <c r="F701" s="17" t="s">
        <v>571</v>
      </c>
      <c r="G701" s="17" t="s">
        <v>315</v>
      </c>
      <c r="H701" s="17" t="s">
        <v>2281</v>
      </c>
      <c r="I701" s="20" t="n">
        <v>213190</v>
      </c>
      <c r="J701" s="20" t="n">
        <v>809</v>
      </c>
      <c r="K701" s="25" t="n">
        <f aca="false">IFERROR(J701/I701,0)</f>
        <v>0.00379473708898166</v>
      </c>
      <c r="L701" s="19" t="n">
        <v>2172.87</v>
      </c>
      <c r="M701" s="20" t="n">
        <v>141</v>
      </c>
      <c r="N701" s="8" t="n">
        <f aca="false">IFERROR(M701/J701,0)</f>
        <v>0.174289245982695</v>
      </c>
    </row>
    <row r="702" customFormat="false" ht="15" hidden="false" customHeight="false" outlineLevel="0" collapsed="false">
      <c r="A702" s="17" t="s">
        <v>17</v>
      </c>
      <c r="B702" s="17" t="s">
        <v>62</v>
      </c>
      <c r="C702" s="17" t="s">
        <v>66</v>
      </c>
      <c r="D702" s="17" t="s">
        <v>66</v>
      </c>
      <c r="E702" s="17" t="s">
        <v>2282</v>
      </c>
      <c r="F702" s="17" t="s">
        <v>146</v>
      </c>
      <c r="G702" s="17" t="s">
        <v>311</v>
      </c>
      <c r="H702" s="17" t="s">
        <v>2283</v>
      </c>
      <c r="I702" s="20" t="n">
        <v>54001</v>
      </c>
      <c r="J702" s="20" t="n">
        <v>287</v>
      </c>
      <c r="K702" s="25" t="n">
        <f aca="false">IFERROR(J702/I702,0)</f>
        <v>0.00531471639414085</v>
      </c>
      <c r="L702" s="19" t="n">
        <v>373.94</v>
      </c>
      <c r="M702" s="20" t="n">
        <v>35</v>
      </c>
      <c r="N702" s="8" t="n">
        <f aca="false">IFERROR(M702/J702,0)</f>
        <v>0.121951219512195</v>
      </c>
    </row>
    <row r="703" customFormat="false" ht="15" hidden="false" customHeight="false" outlineLevel="0" collapsed="false">
      <c r="A703" s="17" t="s">
        <v>17</v>
      </c>
      <c r="B703" s="17" t="s">
        <v>62</v>
      </c>
      <c r="C703" s="17" t="s">
        <v>60</v>
      </c>
      <c r="D703" s="17" t="s">
        <v>66</v>
      </c>
      <c r="E703" s="17" t="s">
        <v>666</v>
      </c>
      <c r="F703" s="17" t="s">
        <v>140</v>
      </c>
      <c r="G703" s="17" t="s">
        <v>311</v>
      </c>
      <c r="H703" s="17" t="s">
        <v>2284</v>
      </c>
      <c r="I703" s="20" t="n">
        <v>51100</v>
      </c>
      <c r="J703" s="20" t="n">
        <v>362</v>
      </c>
      <c r="K703" s="25" t="n">
        <f aca="false">IFERROR(J703/I703,0)</f>
        <v>0.00708414872798434</v>
      </c>
      <c r="L703" s="19" t="n">
        <v>553.98</v>
      </c>
      <c r="M703" s="20" t="n">
        <v>52</v>
      </c>
      <c r="N703" s="8" t="n">
        <f aca="false">IFERROR(M703/J703,0)</f>
        <v>0.143646408839779</v>
      </c>
    </row>
    <row r="704" customFormat="false" ht="15" hidden="false" customHeight="false" outlineLevel="0" collapsed="false">
      <c r="A704" s="17" t="s">
        <v>17</v>
      </c>
      <c r="B704" s="17" t="s">
        <v>62</v>
      </c>
      <c r="C704" s="17" t="s">
        <v>60</v>
      </c>
      <c r="D704" s="17" t="s">
        <v>66</v>
      </c>
      <c r="E704" s="17" t="s">
        <v>575</v>
      </c>
      <c r="F704" s="17" t="s">
        <v>140</v>
      </c>
      <c r="G704" s="17" t="s">
        <v>315</v>
      </c>
      <c r="H704" s="17" t="s">
        <v>2285</v>
      </c>
      <c r="I704" s="20" t="n">
        <v>35482</v>
      </c>
      <c r="J704" s="20" t="n">
        <v>643</v>
      </c>
      <c r="K704" s="25" t="n">
        <f aca="false">IFERROR(J704/I704,0)</f>
        <v>0.0181218646074066</v>
      </c>
      <c r="L704" s="19" t="n">
        <v>1366.28</v>
      </c>
      <c r="M704" s="20" t="n">
        <v>118</v>
      </c>
      <c r="N704" s="8" t="n">
        <f aca="false">IFERROR(M704/J704,0)</f>
        <v>0.183514774494557</v>
      </c>
    </row>
    <row r="705" customFormat="false" ht="15" hidden="false" customHeight="false" outlineLevel="0" collapsed="false">
      <c r="A705" s="17" t="s">
        <v>17</v>
      </c>
      <c r="B705" s="17" t="s">
        <v>62</v>
      </c>
      <c r="C705" s="17" t="s">
        <v>60</v>
      </c>
      <c r="D705" s="17" t="s">
        <v>60</v>
      </c>
      <c r="E705" s="17" t="s">
        <v>649</v>
      </c>
      <c r="F705" s="17" t="s">
        <v>140</v>
      </c>
      <c r="G705" s="17" t="s">
        <v>315</v>
      </c>
      <c r="H705" s="17" t="s">
        <v>2286</v>
      </c>
      <c r="I705" s="20" t="n">
        <v>22122</v>
      </c>
      <c r="J705" s="20" t="n">
        <v>138</v>
      </c>
      <c r="K705" s="25" t="n">
        <f aca="false">IFERROR(J705/I705,0)</f>
        <v>0.00623813398426905</v>
      </c>
      <c r="L705" s="19" t="n">
        <v>233</v>
      </c>
      <c r="M705" s="20" t="n">
        <v>26</v>
      </c>
      <c r="N705" s="8" t="n">
        <f aca="false">IFERROR(M705/J705,0)</f>
        <v>0.188405797101449</v>
      </c>
    </row>
    <row r="706" customFormat="false" ht="15" hidden="false" customHeight="false" outlineLevel="0" collapsed="false">
      <c r="A706" s="17" t="s">
        <v>17</v>
      </c>
      <c r="B706" s="17" t="s">
        <v>62</v>
      </c>
      <c r="C706" s="17" t="s">
        <v>66</v>
      </c>
      <c r="D706" s="17" t="s">
        <v>60</v>
      </c>
      <c r="E706" s="17" t="s">
        <v>2287</v>
      </c>
      <c r="F706" s="17" t="s">
        <v>221</v>
      </c>
      <c r="G706" s="17" t="s">
        <v>315</v>
      </c>
      <c r="H706" s="17" t="s">
        <v>2288</v>
      </c>
      <c r="I706" s="20" t="n">
        <v>21803</v>
      </c>
      <c r="J706" s="20" t="n">
        <v>168</v>
      </c>
      <c r="K706" s="25" t="n">
        <f aca="false">IFERROR(J706/I706,0)</f>
        <v>0.0077053616474797</v>
      </c>
      <c r="L706" s="19" t="n">
        <v>245.07</v>
      </c>
      <c r="M706" s="20" t="n">
        <v>27</v>
      </c>
      <c r="N706" s="8" t="n">
        <f aca="false">IFERROR(M706/J706,0)</f>
        <v>0.160714285714286</v>
      </c>
    </row>
    <row r="707" customFormat="false" ht="15" hidden="false" customHeight="false" outlineLevel="0" collapsed="false">
      <c r="A707" s="17" t="s">
        <v>17</v>
      </c>
      <c r="B707" s="17" t="s">
        <v>62</v>
      </c>
      <c r="C707" s="17" t="s">
        <v>60</v>
      </c>
      <c r="D707" s="17" t="s">
        <v>66</v>
      </c>
      <c r="E707" s="17" t="s">
        <v>671</v>
      </c>
      <c r="F707" s="17" t="s">
        <v>140</v>
      </c>
      <c r="G707" s="17" t="s">
        <v>315</v>
      </c>
      <c r="H707" s="17" t="s">
        <v>2289</v>
      </c>
      <c r="I707" s="20" t="n">
        <v>20069</v>
      </c>
      <c r="J707" s="20" t="n">
        <v>89</v>
      </c>
      <c r="K707" s="25" t="n">
        <f aca="false">IFERROR(J707/I707,0)</f>
        <v>0.00443470028402013</v>
      </c>
      <c r="L707" s="19" t="n">
        <v>197.7</v>
      </c>
      <c r="M707" s="20" t="n">
        <v>26</v>
      </c>
      <c r="N707" s="8" t="n">
        <f aca="false">IFERROR(M707/J707,0)</f>
        <v>0.292134831460674</v>
      </c>
    </row>
    <row r="708" customFormat="false" ht="15" hidden="false" customHeight="false" outlineLevel="0" collapsed="false">
      <c r="A708" s="17" t="s">
        <v>17</v>
      </c>
      <c r="B708" s="17" t="s">
        <v>62</v>
      </c>
      <c r="C708" s="17" t="s">
        <v>66</v>
      </c>
      <c r="D708" s="17" t="s">
        <v>66</v>
      </c>
      <c r="E708" s="17" t="s">
        <v>2290</v>
      </c>
      <c r="F708" s="17" t="s">
        <v>146</v>
      </c>
      <c r="G708" s="17" t="s">
        <v>351</v>
      </c>
      <c r="H708" s="17" t="s">
        <v>2283</v>
      </c>
      <c r="I708" s="20" t="n">
        <v>20066</v>
      </c>
      <c r="J708" s="20" t="n">
        <v>82</v>
      </c>
      <c r="K708" s="25" t="n">
        <f aca="false">IFERROR(J708/I708,0)</f>
        <v>0.00408651450214293</v>
      </c>
      <c r="L708" s="19" t="n">
        <v>135.26</v>
      </c>
      <c r="M708" s="20" t="n">
        <v>13</v>
      </c>
      <c r="N708" s="8" t="n">
        <f aca="false">IFERROR(M708/J708,0)</f>
        <v>0.158536585365854</v>
      </c>
    </row>
    <row r="709" customFormat="false" ht="15" hidden="false" customHeight="false" outlineLevel="0" collapsed="false">
      <c r="A709" s="17" t="s">
        <v>17</v>
      </c>
      <c r="B709" s="17" t="s">
        <v>62</v>
      </c>
      <c r="C709" s="17" t="s">
        <v>60</v>
      </c>
      <c r="D709" s="17" t="s">
        <v>66</v>
      </c>
      <c r="E709" s="17" t="s">
        <v>713</v>
      </c>
      <c r="F709" s="17" t="s">
        <v>140</v>
      </c>
      <c r="G709" s="17" t="s">
        <v>315</v>
      </c>
      <c r="H709" s="17" t="s">
        <v>2283</v>
      </c>
      <c r="I709" s="20" t="n">
        <v>18802</v>
      </c>
      <c r="J709" s="20" t="n">
        <v>126</v>
      </c>
      <c r="K709" s="25" t="n">
        <f aca="false">IFERROR(J709/I709,0)</f>
        <v>0.00670141474311244</v>
      </c>
      <c r="L709" s="19" t="n">
        <v>228.77</v>
      </c>
      <c r="M709" s="20" t="n">
        <v>12</v>
      </c>
      <c r="N709" s="8" t="n">
        <f aca="false">IFERROR(M709/J709,0)</f>
        <v>0.0952380952380952</v>
      </c>
    </row>
    <row r="710" customFormat="false" ht="15" hidden="false" customHeight="false" outlineLevel="0" collapsed="false">
      <c r="A710" s="17" t="s">
        <v>17</v>
      </c>
      <c r="B710" s="17" t="s">
        <v>62</v>
      </c>
      <c r="C710" s="17" t="s">
        <v>60</v>
      </c>
      <c r="D710" s="17" t="s">
        <v>66</v>
      </c>
      <c r="E710" s="17" t="s">
        <v>638</v>
      </c>
      <c r="F710" s="17" t="s">
        <v>140</v>
      </c>
      <c r="G710" s="17" t="s">
        <v>311</v>
      </c>
      <c r="H710" s="17" t="s">
        <v>2291</v>
      </c>
      <c r="I710" s="20" t="n">
        <v>16981</v>
      </c>
      <c r="J710" s="20" t="n">
        <v>114</v>
      </c>
      <c r="K710" s="25" t="n">
        <f aca="false">IFERROR(J710/I710,0)</f>
        <v>0.00671338554855427</v>
      </c>
      <c r="L710" s="19" t="n">
        <v>150.89</v>
      </c>
      <c r="M710" s="20" t="n">
        <v>13</v>
      </c>
      <c r="N710" s="8" t="n">
        <f aca="false">IFERROR(M710/J710,0)</f>
        <v>0.114035087719298</v>
      </c>
    </row>
    <row r="711" customFormat="false" ht="15" hidden="false" customHeight="false" outlineLevel="0" collapsed="false">
      <c r="A711" s="17" t="s">
        <v>17</v>
      </c>
      <c r="B711" s="17" t="s">
        <v>62</v>
      </c>
      <c r="C711" s="17" t="s">
        <v>60</v>
      </c>
      <c r="D711" s="17" t="s">
        <v>66</v>
      </c>
      <c r="E711" s="17" t="s">
        <v>651</v>
      </c>
      <c r="F711" s="17" t="s">
        <v>140</v>
      </c>
      <c r="G711" s="17" t="s">
        <v>315</v>
      </c>
      <c r="H711" s="17" t="s">
        <v>2292</v>
      </c>
      <c r="I711" s="20" t="n">
        <v>12536</v>
      </c>
      <c r="J711" s="20" t="n">
        <v>57</v>
      </c>
      <c r="K711" s="25" t="n">
        <f aca="false">IFERROR(J711/I711,0)</f>
        <v>0.00454690491384812</v>
      </c>
      <c r="L711" s="19" t="n">
        <v>99.81</v>
      </c>
      <c r="M711" s="20" t="n">
        <v>5</v>
      </c>
      <c r="N711" s="8" t="n">
        <f aca="false">IFERROR(M711/J711,0)</f>
        <v>0.087719298245614</v>
      </c>
    </row>
    <row r="712" customFormat="false" ht="15" hidden="false" customHeight="false" outlineLevel="0" collapsed="false">
      <c r="A712" s="17" t="s">
        <v>17</v>
      </c>
      <c r="B712" s="17" t="s">
        <v>62</v>
      </c>
      <c r="C712" s="17" t="s">
        <v>60</v>
      </c>
      <c r="D712" s="17" t="s">
        <v>60</v>
      </c>
      <c r="E712" s="17" t="s">
        <v>2293</v>
      </c>
      <c r="F712" s="17" t="s">
        <v>140</v>
      </c>
      <c r="G712" s="17" t="s">
        <v>315</v>
      </c>
      <c r="H712" s="17" t="s">
        <v>2294</v>
      </c>
      <c r="I712" s="20" t="n">
        <v>11653</v>
      </c>
      <c r="J712" s="20" t="n">
        <v>24</v>
      </c>
      <c r="K712" s="25" t="n">
        <f aca="false">IFERROR(J712/I712,0)</f>
        <v>0.00205955547927572</v>
      </c>
      <c r="L712" s="19" t="n">
        <v>40.61</v>
      </c>
      <c r="M712" s="20" t="n">
        <v>1</v>
      </c>
      <c r="N712" s="8" t="n">
        <f aca="false">IFERROR(M712/J712,0)</f>
        <v>0.0416666666666667</v>
      </c>
    </row>
    <row r="713" customFormat="false" ht="15" hidden="false" customHeight="false" outlineLevel="0" collapsed="false">
      <c r="A713" s="17" t="s">
        <v>17</v>
      </c>
      <c r="B713" s="17" t="s">
        <v>62</v>
      </c>
      <c r="C713" s="17" t="s">
        <v>66</v>
      </c>
      <c r="D713" s="17" t="s">
        <v>60</v>
      </c>
      <c r="E713" s="17" t="s">
        <v>2295</v>
      </c>
      <c r="F713" s="17" t="s">
        <v>166</v>
      </c>
      <c r="G713" s="17" t="s">
        <v>315</v>
      </c>
      <c r="H713" s="17" t="s">
        <v>2116</v>
      </c>
      <c r="I713" s="20" t="n">
        <v>9800</v>
      </c>
      <c r="J713" s="20" t="n">
        <v>55</v>
      </c>
      <c r="K713" s="25" t="n">
        <f aca="false">IFERROR(J713/I713,0)</f>
        <v>0.00561224489795918</v>
      </c>
      <c r="L713" s="19" t="n">
        <v>44.81</v>
      </c>
      <c r="M713" s="20" t="n">
        <v>2</v>
      </c>
      <c r="N713" s="8" t="n">
        <f aca="false">IFERROR(M713/J713,0)</f>
        <v>0.0363636363636364</v>
      </c>
    </row>
    <row r="714" customFormat="false" ht="15" hidden="false" customHeight="false" outlineLevel="0" collapsed="false">
      <c r="A714" s="17" t="s">
        <v>17</v>
      </c>
      <c r="B714" s="17" t="s">
        <v>62</v>
      </c>
      <c r="C714" s="17" t="s">
        <v>60</v>
      </c>
      <c r="D714" s="17" t="s">
        <v>66</v>
      </c>
      <c r="E714" s="17" t="s">
        <v>2296</v>
      </c>
      <c r="F714" s="17" t="s">
        <v>140</v>
      </c>
      <c r="G714" s="17" t="s">
        <v>315</v>
      </c>
      <c r="H714" s="17" t="s">
        <v>2297</v>
      </c>
      <c r="I714" s="20" t="n">
        <v>8864</v>
      </c>
      <c r="J714" s="20" t="n">
        <v>53</v>
      </c>
      <c r="K714" s="25" t="n">
        <f aca="false">IFERROR(J714/I714,0)</f>
        <v>0.00597924187725632</v>
      </c>
      <c r="L714" s="19" t="n">
        <v>103.47</v>
      </c>
      <c r="M714" s="20" t="n">
        <v>8</v>
      </c>
      <c r="N714" s="8" t="n">
        <f aca="false">IFERROR(M714/J714,0)</f>
        <v>0.150943396226415</v>
      </c>
    </row>
    <row r="715" customFormat="false" ht="15" hidden="false" customHeight="false" outlineLevel="0" collapsed="false">
      <c r="A715" s="17" t="s">
        <v>17</v>
      </c>
      <c r="B715" s="17" t="s">
        <v>62</v>
      </c>
      <c r="C715" s="17" t="s">
        <v>66</v>
      </c>
      <c r="D715" s="17" t="s">
        <v>66</v>
      </c>
      <c r="E715" s="17" t="s">
        <v>721</v>
      </c>
      <c r="F715" s="17" t="s">
        <v>146</v>
      </c>
      <c r="G715" s="17" t="s">
        <v>311</v>
      </c>
      <c r="H715" s="17" t="s">
        <v>2298</v>
      </c>
      <c r="I715" s="20" t="n">
        <v>8523</v>
      </c>
      <c r="J715" s="20" t="n">
        <v>52</v>
      </c>
      <c r="K715" s="25" t="n">
        <f aca="false">IFERROR(J715/I715,0)</f>
        <v>0.00610113809691423</v>
      </c>
      <c r="L715" s="19" t="n">
        <v>41.46</v>
      </c>
      <c r="M715" s="20" t="n">
        <v>8</v>
      </c>
      <c r="N715" s="8" t="n">
        <f aca="false">IFERROR(M715/J715,0)</f>
        <v>0.153846153846154</v>
      </c>
    </row>
    <row r="716" customFormat="false" ht="15" hidden="false" customHeight="false" outlineLevel="0" collapsed="false">
      <c r="A716" s="17" t="s">
        <v>17</v>
      </c>
      <c r="B716" s="17" t="s">
        <v>62</v>
      </c>
      <c r="C716" s="17" t="s">
        <v>66</v>
      </c>
      <c r="D716" s="17" t="s">
        <v>60</v>
      </c>
      <c r="E716" s="17" t="s">
        <v>2299</v>
      </c>
      <c r="F716" s="17" t="s">
        <v>2300</v>
      </c>
      <c r="G716" s="17" t="s">
        <v>315</v>
      </c>
      <c r="H716" s="17" t="s">
        <v>2301</v>
      </c>
      <c r="I716" s="20" t="n">
        <v>7971</v>
      </c>
      <c r="J716" s="20" t="n">
        <v>41</v>
      </c>
      <c r="K716" s="25" t="n">
        <f aca="false">IFERROR(J716/I716,0)</f>
        <v>0.00514364571571948</v>
      </c>
      <c r="L716" s="19" t="n">
        <v>87.03</v>
      </c>
      <c r="M716" s="20" t="n">
        <v>9</v>
      </c>
      <c r="N716" s="8" t="n">
        <f aca="false">IFERROR(M716/J716,0)</f>
        <v>0.219512195121951</v>
      </c>
    </row>
    <row r="717" customFormat="false" ht="15" hidden="false" customHeight="false" outlineLevel="0" collapsed="false">
      <c r="A717" s="17" t="s">
        <v>17</v>
      </c>
      <c r="B717" s="17" t="s">
        <v>62</v>
      </c>
      <c r="C717" s="17" t="s">
        <v>66</v>
      </c>
      <c r="D717" s="17" t="s">
        <v>66</v>
      </c>
      <c r="E717" s="17" t="s">
        <v>604</v>
      </c>
      <c r="F717" s="17" t="s">
        <v>146</v>
      </c>
      <c r="G717" s="17" t="s">
        <v>311</v>
      </c>
      <c r="H717" s="17" t="s">
        <v>2302</v>
      </c>
      <c r="I717" s="20" t="n">
        <v>7673</v>
      </c>
      <c r="J717" s="20" t="n">
        <v>60</v>
      </c>
      <c r="K717" s="25" t="n">
        <f aca="false">IFERROR(J717/I717,0)</f>
        <v>0.00781962726443373</v>
      </c>
      <c r="L717" s="19" t="n">
        <v>44.08</v>
      </c>
      <c r="M717" s="20" t="n">
        <v>12</v>
      </c>
      <c r="N717" s="8" t="n">
        <f aca="false">IFERROR(M717/J717,0)</f>
        <v>0.2</v>
      </c>
    </row>
    <row r="718" customFormat="false" ht="15" hidden="false" customHeight="false" outlineLevel="0" collapsed="false">
      <c r="A718" s="17" t="s">
        <v>17</v>
      </c>
      <c r="B718" s="17" t="s">
        <v>62</v>
      </c>
      <c r="C718" s="17" t="s">
        <v>60</v>
      </c>
      <c r="D718" s="17" t="s">
        <v>66</v>
      </c>
      <c r="E718" s="17" t="s">
        <v>2303</v>
      </c>
      <c r="F718" s="17" t="s">
        <v>140</v>
      </c>
      <c r="G718" s="17" t="s">
        <v>315</v>
      </c>
      <c r="H718" s="17" t="s">
        <v>2304</v>
      </c>
      <c r="I718" s="20" t="n">
        <v>7578</v>
      </c>
      <c r="J718" s="20" t="n">
        <v>14</v>
      </c>
      <c r="K718" s="25" t="n">
        <f aca="false">IFERROR(J718/I718,0)</f>
        <v>0.00184745315386646</v>
      </c>
      <c r="L718" s="19" t="n">
        <v>21.5</v>
      </c>
      <c r="M718" s="20" t="n">
        <v>3</v>
      </c>
      <c r="N718" s="8" t="n">
        <f aca="false">IFERROR(M718/J718,0)</f>
        <v>0.214285714285714</v>
      </c>
    </row>
    <row r="719" customFormat="false" ht="15" hidden="false" customHeight="false" outlineLevel="0" collapsed="false">
      <c r="A719" s="17" t="s">
        <v>17</v>
      </c>
      <c r="B719" s="17" t="s">
        <v>62</v>
      </c>
      <c r="C719" s="17" t="s">
        <v>66</v>
      </c>
      <c r="D719" s="17" t="s">
        <v>60</v>
      </c>
      <c r="E719" s="17" t="s">
        <v>2305</v>
      </c>
      <c r="F719" s="17" t="s">
        <v>169</v>
      </c>
      <c r="G719" s="17" t="s">
        <v>315</v>
      </c>
      <c r="H719" s="17" t="s">
        <v>2306</v>
      </c>
      <c r="I719" s="20" t="n">
        <v>7273</v>
      </c>
      <c r="J719" s="20" t="n">
        <v>26</v>
      </c>
      <c r="K719" s="25" t="n">
        <f aca="false">IFERROR(J719/I719,0)</f>
        <v>0.00357486594252716</v>
      </c>
      <c r="L719" s="19" t="n">
        <v>18.16</v>
      </c>
      <c r="M719" s="20" t="n">
        <v>2</v>
      </c>
      <c r="N719" s="8" t="n">
        <f aca="false">IFERROR(M719/J719,0)</f>
        <v>0.0769230769230769</v>
      </c>
    </row>
    <row r="720" customFormat="false" ht="15" hidden="false" customHeight="false" outlineLevel="0" collapsed="false">
      <c r="A720" s="17" t="s">
        <v>17</v>
      </c>
      <c r="B720" s="17" t="s">
        <v>62</v>
      </c>
      <c r="C720" s="17" t="s">
        <v>60</v>
      </c>
      <c r="D720" s="17" t="s">
        <v>66</v>
      </c>
      <c r="E720" s="17" t="s">
        <v>584</v>
      </c>
      <c r="F720" s="17" t="s">
        <v>140</v>
      </c>
      <c r="G720" s="17" t="s">
        <v>315</v>
      </c>
      <c r="H720" s="17" t="s">
        <v>2307</v>
      </c>
      <c r="I720" s="20" t="n">
        <v>7175</v>
      </c>
      <c r="J720" s="20" t="n">
        <v>176</v>
      </c>
      <c r="K720" s="25" t="n">
        <f aca="false">IFERROR(J720/I720,0)</f>
        <v>0.0245296167247387</v>
      </c>
      <c r="L720" s="19" t="n">
        <v>394.07</v>
      </c>
      <c r="M720" s="20" t="n">
        <v>52</v>
      </c>
      <c r="N720" s="8" t="n">
        <f aca="false">IFERROR(M720/J720,0)</f>
        <v>0.295454545454545</v>
      </c>
    </row>
    <row r="721" customFormat="false" ht="15" hidden="false" customHeight="false" outlineLevel="0" collapsed="false">
      <c r="A721" s="17" t="s">
        <v>17</v>
      </c>
      <c r="B721" s="17" t="s">
        <v>62</v>
      </c>
      <c r="C721" s="17" t="s">
        <v>66</v>
      </c>
      <c r="D721" s="17" t="s">
        <v>66</v>
      </c>
      <c r="E721" s="17" t="s">
        <v>723</v>
      </c>
      <c r="F721" s="17" t="s">
        <v>146</v>
      </c>
      <c r="G721" s="17" t="s">
        <v>351</v>
      </c>
      <c r="H721" s="17" t="s">
        <v>2308</v>
      </c>
      <c r="I721" s="20" t="n">
        <v>6793</v>
      </c>
      <c r="J721" s="20" t="n">
        <v>50</v>
      </c>
      <c r="K721" s="25" t="n">
        <f aca="false">IFERROR(J721/I721,0)</f>
        <v>0.00736051818047991</v>
      </c>
      <c r="L721" s="19" t="n">
        <v>36.71</v>
      </c>
      <c r="M721" s="20" t="n">
        <v>4</v>
      </c>
      <c r="N721" s="8" t="n">
        <f aca="false">IFERROR(M721/J721,0)</f>
        <v>0.08</v>
      </c>
    </row>
    <row r="722" customFormat="false" ht="15" hidden="false" customHeight="false" outlineLevel="0" collapsed="false">
      <c r="A722" s="17" t="s">
        <v>17</v>
      </c>
      <c r="B722" s="17" t="s">
        <v>62</v>
      </c>
      <c r="C722" s="17" t="s">
        <v>66</v>
      </c>
      <c r="D722" s="17" t="s">
        <v>66</v>
      </c>
      <c r="E722" s="17" t="s">
        <v>2309</v>
      </c>
      <c r="F722" s="17" t="s">
        <v>147</v>
      </c>
      <c r="G722" s="17" t="s">
        <v>315</v>
      </c>
      <c r="H722" s="17" t="s">
        <v>2310</v>
      </c>
      <c r="I722" s="20" t="n">
        <v>6590</v>
      </c>
      <c r="J722" s="20" t="n">
        <v>81</v>
      </c>
      <c r="K722" s="25" t="n">
        <f aca="false">IFERROR(J722/I722,0)</f>
        <v>0.0122913505311077</v>
      </c>
      <c r="L722" s="19" t="n">
        <v>214.92</v>
      </c>
      <c r="M722" s="20" t="n">
        <v>13</v>
      </c>
      <c r="N722" s="8" t="n">
        <f aca="false">IFERROR(M722/J722,0)</f>
        <v>0.160493827160494</v>
      </c>
    </row>
    <row r="723" customFormat="false" ht="15" hidden="false" customHeight="false" outlineLevel="0" collapsed="false">
      <c r="A723" s="17" t="s">
        <v>17</v>
      </c>
      <c r="B723" s="17" t="s">
        <v>62</v>
      </c>
      <c r="C723" s="17" t="s">
        <v>60</v>
      </c>
      <c r="D723" s="17" t="s">
        <v>60</v>
      </c>
      <c r="E723" s="17" t="s">
        <v>2311</v>
      </c>
      <c r="F723" s="17" t="s">
        <v>140</v>
      </c>
      <c r="G723" s="17" t="s">
        <v>315</v>
      </c>
      <c r="H723" s="17" t="s">
        <v>2312</v>
      </c>
      <c r="I723" s="20" t="n">
        <v>5403</v>
      </c>
      <c r="J723" s="20" t="n">
        <v>46</v>
      </c>
      <c r="K723" s="25" t="n">
        <f aca="false">IFERROR(J723/I723,0)</f>
        <v>0.00851378863594299</v>
      </c>
      <c r="L723" s="19" t="n">
        <v>86.41</v>
      </c>
      <c r="M723" s="20" t="n">
        <v>6</v>
      </c>
      <c r="N723" s="8" t="n">
        <f aca="false">IFERROR(M723/J723,0)</f>
        <v>0.130434782608696</v>
      </c>
    </row>
    <row r="724" customFormat="false" ht="15" hidden="false" customHeight="false" outlineLevel="0" collapsed="false">
      <c r="A724" s="17" t="s">
        <v>17</v>
      </c>
      <c r="B724" s="17" t="s">
        <v>62</v>
      </c>
      <c r="C724" s="17" t="s">
        <v>60</v>
      </c>
      <c r="D724" s="17" t="s">
        <v>66</v>
      </c>
      <c r="E724" s="17" t="s">
        <v>2313</v>
      </c>
      <c r="F724" s="17" t="s">
        <v>140</v>
      </c>
      <c r="G724" s="17" t="s">
        <v>315</v>
      </c>
      <c r="H724" s="17" t="s">
        <v>2314</v>
      </c>
      <c r="I724" s="20" t="n">
        <v>5164</v>
      </c>
      <c r="J724" s="20" t="n">
        <v>46</v>
      </c>
      <c r="K724" s="25" t="n">
        <f aca="false">IFERROR(J724/I724,0)</f>
        <v>0.00890782339271882</v>
      </c>
      <c r="L724" s="19" t="n">
        <v>89.68</v>
      </c>
      <c r="M724" s="20" t="n">
        <v>6</v>
      </c>
      <c r="N724" s="8" t="n">
        <f aca="false">IFERROR(M724/J724,0)</f>
        <v>0.130434782608696</v>
      </c>
    </row>
    <row r="725" customFormat="false" ht="15" hidden="false" customHeight="false" outlineLevel="0" collapsed="false">
      <c r="A725" s="17" t="s">
        <v>17</v>
      </c>
      <c r="B725" s="17" t="s">
        <v>62</v>
      </c>
      <c r="C725" s="17" t="s">
        <v>66</v>
      </c>
      <c r="D725" s="17" t="s">
        <v>60</v>
      </c>
      <c r="E725" s="17" t="s">
        <v>625</v>
      </c>
      <c r="F725" s="17" t="s">
        <v>147</v>
      </c>
      <c r="G725" s="17" t="s">
        <v>315</v>
      </c>
      <c r="H725" s="17" t="s">
        <v>2315</v>
      </c>
      <c r="I725" s="20" t="n">
        <v>5129</v>
      </c>
      <c r="J725" s="20" t="n">
        <v>35</v>
      </c>
      <c r="K725" s="25" t="n">
        <f aca="false">IFERROR(J725/I725,0)</f>
        <v>0.00682394228894521</v>
      </c>
      <c r="L725" s="19" t="n">
        <v>64.14</v>
      </c>
      <c r="M725" s="20" t="n">
        <v>3</v>
      </c>
      <c r="N725" s="8" t="n">
        <f aca="false">IFERROR(M725/J725,0)</f>
        <v>0.0857142857142857</v>
      </c>
    </row>
    <row r="726" customFormat="false" ht="15" hidden="false" customHeight="false" outlineLevel="0" collapsed="false">
      <c r="A726" s="17" t="s">
        <v>17</v>
      </c>
      <c r="B726" s="17" t="s">
        <v>62</v>
      </c>
      <c r="C726" s="17" t="s">
        <v>66</v>
      </c>
      <c r="D726" s="17" t="s">
        <v>60</v>
      </c>
      <c r="E726" s="17" t="s">
        <v>606</v>
      </c>
      <c r="F726" s="17" t="s">
        <v>221</v>
      </c>
      <c r="G726" s="17" t="s">
        <v>315</v>
      </c>
      <c r="H726" s="17" t="s">
        <v>2316</v>
      </c>
      <c r="I726" s="20" t="n">
        <v>5044</v>
      </c>
      <c r="J726" s="20" t="n">
        <v>49</v>
      </c>
      <c r="K726" s="25" t="n">
        <f aca="false">IFERROR(J726/I726,0)</f>
        <v>0.00971451229183188</v>
      </c>
      <c r="L726" s="19" t="n">
        <v>55.3</v>
      </c>
      <c r="M726" s="20" t="n">
        <v>7</v>
      </c>
      <c r="N726" s="8" t="n">
        <f aca="false">IFERROR(M726/J726,0)</f>
        <v>0.142857142857143</v>
      </c>
    </row>
    <row r="727" customFormat="false" ht="15" hidden="false" customHeight="false" outlineLevel="0" collapsed="false">
      <c r="A727" s="17" t="s">
        <v>17</v>
      </c>
      <c r="B727" s="17" t="s">
        <v>62</v>
      </c>
      <c r="C727" s="17" t="s">
        <v>66</v>
      </c>
      <c r="D727" s="17" t="s">
        <v>60</v>
      </c>
      <c r="E727" s="17" t="s">
        <v>2317</v>
      </c>
      <c r="F727" s="17" t="s">
        <v>146</v>
      </c>
      <c r="G727" s="17" t="s">
        <v>315</v>
      </c>
      <c r="H727" s="17" t="s">
        <v>2318</v>
      </c>
      <c r="I727" s="20" t="n">
        <v>4786</v>
      </c>
      <c r="J727" s="20" t="n">
        <v>14</v>
      </c>
      <c r="K727" s="25" t="n">
        <f aca="false">IFERROR(J727/I727,0)</f>
        <v>0.0029251984956122</v>
      </c>
      <c r="L727" s="19" t="n">
        <v>27.16</v>
      </c>
      <c r="M727" s="20" t="n">
        <v>5</v>
      </c>
      <c r="N727" s="8" t="n">
        <f aca="false">IFERROR(M727/J727,0)</f>
        <v>0.357142857142857</v>
      </c>
    </row>
    <row r="728" customFormat="false" ht="15" hidden="false" customHeight="false" outlineLevel="0" collapsed="false">
      <c r="A728" s="17" t="s">
        <v>17</v>
      </c>
      <c r="B728" s="17" t="s">
        <v>62</v>
      </c>
      <c r="C728" s="17" t="s">
        <v>66</v>
      </c>
      <c r="D728" s="17" t="s">
        <v>60</v>
      </c>
      <c r="E728" s="17" t="s">
        <v>2319</v>
      </c>
      <c r="F728" s="17" t="s">
        <v>676</v>
      </c>
      <c r="G728" s="17" t="s">
        <v>315</v>
      </c>
      <c r="H728" s="17" t="s">
        <v>2320</v>
      </c>
      <c r="I728" s="20" t="n">
        <v>4642</v>
      </c>
      <c r="J728" s="20" t="n">
        <v>18</v>
      </c>
      <c r="K728" s="25" t="n">
        <f aca="false">IFERROR(J728/I728,0)</f>
        <v>0.003877638948729</v>
      </c>
      <c r="L728" s="19" t="n">
        <v>39.48</v>
      </c>
      <c r="M728" s="20" t="n">
        <v>2</v>
      </c>
      <c r="N728" s="8" t="n">
        <f aca="false">IFERROR(M728/J728,0)</f>
        <v>0.111111111111111</v>
      </c>
    </row>
    <row r="729" customFormat="false" ht="15" hidden="false" customHeight="false" outlineLevel="0" collapsed="false">
      <c r="A729" s="17" t="s">
        <v>17</v>
      </c>
      <c r="B729" s="17" t="s">
        <v>62</v>
      </c>
      <c r="C729" s="17" t="s">
        <v>60</v>
      </c>
      <c r="D729" s="17" t="s">
        <v>66</v>
      </c>
      <c r="E729" s="17" t="s">
        <v>2321</v>
      </c>
      <c r="F729" s="17" t="s">
        <v>140</v>
      </c>
      <c r="G729" s="17" t="s">
        <v>315</v>
      </c>
      <c r="H729" s="17" t="s">
        <v>2322</v>
      </c>
      <c r="I729" s="20" t="n">
        <v>4576</v>
      </c>
      <c r="J729" s="20" t="n">
        <v>37</v>
      </c>
      <c r="K729" s="25" t="n">
        <f aca="false">IFERROR(J729/I729,0)</f>
        <v>0.00808566433566434</v>
      </c>
      <c r="L729" s="19" t="n">
        <v>94.41</v>
      </c>
      <c r="M729" s="20" t="n">
        <v>8</v>
      </c>
      <c r="N729" s="8" t="n">
        <f aca="false">IFERROR(M729/J729,0)</f>
        <v>0.216216216216216</v>
      </c>
    </row>
    <row r="730" customFormat="false" ht="15" hidden="false" customHeight="false" outlineLevel="0" collapsed="false">
      <c r="A730" s="17" t="s">
        <v>17</v>
      </c>
      <c r="B730" s="17" t="s">
        <v>62</v>
      </c>
      <c r="C730" s="17" t="s">
        <v>60</v>
      </c>
      <c r="D730" s="17" t="s">
        <v>66</v>
      </c>
      <c r="E730" s="17" t="s">
        <v>2323</v>
      </c>
      <c r="F730" s="17" t="s">
        <v>140</v>
      </c>
      <c r="G730" s="17" t="s">
        <v>315</v>
      </c>
      <c r="H730" s="17" t="s">
        <v>2324</v>
      </c>
      <c r="I730" s="20" t="n">
        <v>4541</v>
      </c>
      <c r="J730" s="20" t="n">
        <v>66</v>
      </c>
      <c r="K730" s="25" t="n">
        <f aca="false">IFERROR(J730/I730,0)</f>
        <v>0.0145342435586875</v>
      </c>
      <c r="L730" s="19" t="n">
        <v>110.05</v>
      </c>
      <c r="M730" s="20" t="n">
        <v>11</v>
      </c>
      <c r="N730" s="8" t="n">
        <f aca="false">IFERROR(M730/J730,0)</f>
        <v>0.166666666666667</v>
      </c>
    </row>
    <row r="731" customFormat="false" ht="15" hidden="false" customHeight="false" outlineLevel="0" collapsed="false">
      <c r="A731" s="17" t="s">
        <v>17</v>
      </c>
      <c r="B731" s="17" t="s">
        <v>62</v>
      </c>
      <c r="C731" s="17" t="s">
        <v>66</v>
      </c>
      <c r="D731" s="17" t="s">
        <v>60</v>
      </c>
      <c r="E731" s="17" t="s">
        <v>2325</v>
      </c>
      <c r="F731" s="17" t="s">
        <v>146</v>
      </c>
      <c r="G731" s="17" t="s">
        <v>315</v>
      </c>
      <c r="H731" s="17" t="s">
        <v>2209</v>
      </c>
      <c r="I731" s="20" t="n">
        <v>4146</v>
      </c>
      <c r="J731" s="20" t="n">
        <v>17</v>
      </c>
      <c r="K731" s="25" t="n">
        <f aca="false">IFERROR(J731/I731,0)</f>
        <v>0.00410033767486734</v>
      </c>
      <c r="L731" s="19" t="n">
        <v>27.99</v>
      </c>
      <c r="M731" s="20" t="n">
        <v>0</v>
      </c>
      <c r="N731" s="8" t="n">
        <f aca="false">IFERROR(M731/J731,0)</f>
        <v>0</v>
      </c>
    </row>
    <row r="732" customFormat="false" ht="15" hidden="false" customHeight="false" outlineLevel="0" collapsed="false">
      <c r="A732" s="17" t="s">
        <v>17</v>
      </c>
      <c r="B732" s="17" t="s">
        <v>62</v>
      </c>
      <c r="C732" s="17" t="s">
        <v>66</v>
      </c>
      <c r="D732" s="17" t="s">
        <v>60</v>
      </c>
      <c r="E732" s="17" t="s">
        <v>2326</v>
      </c>
      <c r="F732" s="17" t="s">
        <v>147</v>
      </c>
      <c r="G732" s="17" t="s">
        <v>315</v>
      </c>
      <c r="H732" s="17" t="s">
        <v>2327</v>
      </c>
      <c r="I732" s="20" t="n">
        <v>4128</v>
      </c>
      <c r="J732" s="20" t="n">
        <v>23</v>
      </c>
      <c r="K732" s="25" t="n">
        <f aca="false">IFERROR(J732/I732,0)</f>
        <v>0.00557170542635659</v>
      </c>
      <c r="L732" s="19" t="n">
        <v>37.56</v>
      </c>
      <c r="M732" s="20" t="n">
        <v>5</v>
      </c>
      <c r="N732" s="8" t="n">
        <f aca="false">IFERROR(M732/J732,0)</f>
        <v>0.217391304347826</v>
      </c>
    </row>
    <row r="733" customFormat="false" ht="15" hidden="false" customHeight="false" outlineLevel="0" collapsed="false">
      <c r="A733" s="17" t="s">
        <v>17</v>
      </c>
      <c r="B733" s="17" t="s">
        <v>62</v>
      </c>
      <c r="C733" s="17" t="s">
        <v>66</v>
      </c>
      <c r="D733" s="17" t="s">
        <v>60</v>
      </c>
      <c r="E733" s="17" t="s">
        <v>2328</v>
      </c>
      <c r="F733" s="17" t="s">
        <v>218</v>
      </c>
      <c r="G733" s="17" t="s">
        <v>315</v>
      </c>
      <c r="H733" s="17" t="s">
        <v>2329</v>
      </c>
      <c r="I733" s="20" t="n">
        <v>3915</v>
      </c>
      <c r="J733" s="20" t="n">
        <v>14</v>
      </c>
      <c r="K733" s="25" t="n">
        <f aca="false">IFERROR(J733/I733,0)</f>
        <v>0.00357598978288633</v>
      </c>
      <c r="L733" s="19" t="n">
        <v>16.69</v>
      </c>
      <c r="M733" s="20" t="n">
        <v>1</v>
      </c>
      <c r="N733" s="8" t="n">
        <f aca="false">IFERROR(M733/J733,0)</f>
        <v>0.0714285714285714</v>
      </c>
    </row>
    <row r="734" customFormat="false" ht="15" hidden="false" customHeight="false" outlineLevel="0" collapsed="false">
      <c r="A734" s="17" t="s">
        <v>17</v>
      </c>
      <c r="B734" s="17" t="s">
        <v>62</v>
      </c>
      <c r="C734" s="17" t="s">
        <v>60</v>
      </c>
      <c r="D734" s="17" t="s">
        <v>66</v>
      </c>
      <c r="E734" s="17" t="s">
        <v>2330</v>
      </c>
      <c r="F734" s="17" t="s">
        <v>140</v>
      </c>
      <c r="G734" s="17" t="s">
        <v>315</v>
      </c>
      <c r="H734" s="17" t="s">
        <v>2331</v>
      </c>
      <c r="I734" s="20" t="n">
        <v>3403</v>
      </c>
      <c r="J734" s="20" t="n">
        <v>21</v>
      </c>
      <c r="K734" s="25" t="n">
        <f aca="false">IFERROR(J734/I734,0)</f>
        <v>0.00617102556567734</v>
      </c>
      <c r="L734" s="19" t="n">
        <v>29.59</v>
      </c>
      <c r="M734" s="20" t="n">
        <v>9</v>
      </c>
      <c r="N734" s="8" t="n">
        <f aca="false">IFERROR(M734/J734,0)</f>
        <v>0.428571428571429</v>
      </c>
    </row>
    <row r="735" customFormat="false" ht="15" hidden="false" customHeight="false" outlineLevel="0" collapsed="false">
      <c r="A735" s="17" t="s">
        <v>17</v>
      </c>
      <c r="B735" s="17" t="s">
        <v>62</v>
      </c>
      <c r="C735" s="17" t="s">
        <v>60</v>
      </c>
      <c r="D735" s="17" t="s">
        <v>60</v>
      </c>
      <c r="E735" s="17" t="s">
        <v>2332</v>
      </c>
      <c r="F735" s="17" t="s">
        <v>140</v>
      </c>
      <c r="G735" s="17" t="s">
        <v>315</v>
      </c>
      <c r="H735" s="17" t="s">
        <v>2333</v>
      </c>
      <c r="I735" s="20" t="n">
        <v>3296</v>
      </c>
      <c r="J735" s="20" t="n">
        <v>10</v>
      </c>
      <c r="K735" s="25" t="n">
        <f aca="false">IFERROR(J735/I735,0)</f>
        <v>0.00303398058252427</v>
      </c>
      <c r="L735" s="19" t="n">
        <v>8.48</v>
      </c>
      <c r="M735" s="20" t="n">
        <v>0</v>
      </c>
      <c r="N735" s="8" t="n">
        <f aca="false">IFERROR(M735/J735,0)</f>
        <v>0</v>
      </c>
    </row>
    <row r="736" customFormat="false" ht="15" hidden="false" customHeight="false" outlineLevel="0" collapsed="false">
      <c r="A736" s="17" t="s">
        <v>17</v>
      </c>
      <c r="B736" s="17" t="s">
        <v>62</v>
      </c>
      <c r="C736" s="17" t="s">
        <v>60</v>
      </c>
      <c r="D736" s="17" t="s">
        <v>66</v>
      </c>
      <c r="E736" s="17" t="s">
        <v>640</v>
      </c>
      <c r="F736" s="17" t="s">
        <v>140</v>
      </c>
      <c r="G736" s="17" t="s">
        <v>311</v>
      </c>
      <c r="H736" s="17" t="s">
        <v>2334</v>
      </c>
      <c r="I736" s="20" t="n">
        <v>2918</v>
      </c>
      <c r="J736" s="20" t="n">
        <v>69</v>
      </c>
      <c r="K736" s="25" t="n">
        <f aca="false">IFERROR(J736/I736,0)</f>
        <v>0.0236463331048663</v>
      </c>
      <c r="L736" s="19" t="n">
        <v>59.77</v>
      </c>
      <c r="M736" s="20" t="n">
        <v>20</v>
      </c>
      <c r="N736" s="8" t="n">
        <f aca="false">IFERROR(M736/J736,0)</f>
        <v>0.289855072463768</v>
      </c>
    </row>
    <row r="737" customFormat="false" ht="15" hidden="false" customHeight="false" outlineLevel="0" collapsed="false">
      <c r="A737" s="17" t="s">
        <v>17</v>
      </c>
      <c r="B737" s="17" t="s">
        <v>62</v>
      </c>
      <c r="C737" s="17" t="s">
        <v>60</v>
      </c>
      <c r="D737" s="17" t="s">
        <v>66</v>
      </c>
      <c r="E737" s="17" t="s">
        <v>653</v>
      </c>
      <c r="F737" s="17" t="s">
        <v>140</v>
      </c>
      <c r="G737" s="17" t="s">
        <v>315</v>
      </c>
      <c r="H737" s="17" t="s">
        <v>1339</v>
      </c>
      <c r="I737" s="20" t="n">
        <v>2840</v>
      </c>
      <c r="J737" s="20" t="n">
        <v>13</v>
      </c>
      <c r="K737" s="25" t="n">
        <f aca="false">IFERROR(J737/I737,0)</f>
        <v>0.00457746478873239</v>
      </c>
      <c r="L737" s="19" t="n">
        <v>8.39</v>
      </c>
      <c r="M737" s="20" t="n">
        <v>1</v>
      </c>
      <c r="N737" s="8" t="n">
        <f aca="false">IFERROR(M737/J737,0)</f>
        <v>0.0769230769230769</v>
      </c>
    </row>
    <row r="738" customFormat="false" ht="15" hidden="false" customHeight="false" outlineLevel="0" collapsed="false">
      <c r="A738" s="17" t="s">
        <v>17</v>
      </c>
      <c r="B738" s="17" t="s">
        <v>62</v>
      </c>
      <c r="C738" s="17" t="s">
        <v>60</v>
      </c>
      <c r="D738" s="17" t="s">
        <v>66</v>
      </c>
      <c r="E738" s="17" t="s">
        <v>2335</v>
      </c>
      <c r="F738" s="17" t="s">
        <v>140</v>
      </c>
      <c r="G738" s="17" t="s">
        <v>315</v>
      </c>
      <c r="H738" s="17" t="s">
        <v>2336</v>
      </c>
      <c r="I738" s="20" t="n">
        <v>2813</v>
      </c>
      <c r="J738" s="20" t="n">
        <v>26</v>
      </c>
      <c r="K738" s="25" t="n">
        <f aca="false">IFERROR(J738/I738,0)</f>
        <v>0.00924280127977249</v>
      </c>
      <c r="L738" s="19" t="n">
        <v>50.32</v>
      </c>
      <c r="M738" s="20" t="n">
        <v>5</v>
      </c>
      <c r="N738" s="8" t="n">
        <f aca="false">IFERROR(M738/J738,0)</f>
        <v>0.192307692307692</v>
      </c>
    </row>
    <row r="739" customFormat="false" ht="15" hidden="false" customHeight="false" outlineLevel="0" collapsed="false">
      <c r="A739" s="17" t="s">
        <v>17</v>
      </c>
      <c r="B739" s="17" t="s">
        <v>62</v>
      </c>
      <c r="C739" s="17" t="s">
        <v>66</v>
      </c>
      <c r="D739" s="17" t="s">
        <v>60</v>
      </c>
      <c r="E739" s="17" t="s">
        <v>642</v>
      </c>
      <c r="F739" s="17" t="s">
        <v>166</v>
      </c>
      <c r="G739" s="17" t="s">
        <v>315</v>
      </c>
      <c r="H739" s="17" t="s">
        <v>2132</v>
      </c>
      <c r="I739" s="20" t="n">
        <v>2632</v>
      </c>
      <c r="J739" s="20" t="n">
        <v>29</v>
      </c>
      <c r="K739" s="25" t="n">
        <f aca="false">IFERROR(J739/I739,0)</f>
        <v>0.0110182370820669</v>
      </c>
      <c r="L739" s="19" t="n">
        <v>28.39</v>
      </c>
      <c r="M739" s="20" t="n">
        <v>4</v>
      </c>
      <c r="N739" s="8" t="n">
        <f aca="false">IFERROR(M739/J739,0)</f>
        <v>0.137931034482759</v>
      </c>
    </row>
    <row r="740" customFormat="false" ht="15" hidden="false" customHeight="false" outlineLevel="0" collapsed="false">
      <c r="A740" s="17" t="s">
        <v>17</v>
      </c>
      <c r="B740" s="17" t="s">
        <v>62</v>
      </c>
      <c r="C740" s="17" t="s">
        <v>66</v>
      </c>
      <c r="D740" s="17" t="s">
        <v>60</v>
      </c>
      <c r="E740" s="17" t="s">
        <v>2337</v>
      </c>
      <c r="F740" s="17" t="s">
        <v>147</v>
      </c>
      <c r="G740" s="17" t="s">
        <v>315</v>
      </c>
      <c r="H740" s="17" t="s">
        <v>2338</v>
      </c>
      <c r="I740" s="20" t="n">
        <v>2396</v>
      </c>
      <c r="J740" s="20" t="n">
        <v>22</v>
      </c>
      <c r="K740" s="25" t="n">
        <f aca="false">IFERROR(J740/I740,0)</f>
        <v>0.00918196994991653</v>
      </c>
      <c r="L740" s="19" t="n">
        <v>36.45</v>
      </c>
      <c r="M740" s="20" t="n">
        <v>7</v>
      </c>
      <c r="N740" s="8" t="n">
        <f aca="false">IFERROR(M740/J740,0)</f>
        <v>0.318181818181818</v>
      </c>
    </row>
    <row r="741" customFormat="false" ht="15" hidden="false" customHeight="false" outlineLevel="0" collapsed="false">
      <c r="A741" s="17" t="s">
        <v>17</v>
      </c>
      <c r="B741" s="17" t="s">
        <v>62</v>
      </c>
      <c r="C741" s="17" t="s">
        <v>60</v>
      </c>
      <c r="D741" s="17" t="s">
        <v>66</v>
      </c>
      <c r="E741" s="17" t="s">
        <v>2339</v>
      </c>
      <c r="F741" s="17" t="s">
        <v>140</v>
      </c>
      <c r="G741" s="17" t="s">
        <v>315</v>
      </c>
      <c r="H741" s="17" t="s">
        <v>2340</v>
      </c>
      <c r="I741" s="20" t="n">
        <v>1754</v>
      </c>
      <c r="J741" s="20" t="n">
        <v>22</v>
      </c>
      <c r="K741" s="25" t="n">
        <f aca="false">IFERROR(J741/I741,0)</f>
        <v>0.0125427594070696</v>
      </c>
      <c r="L741" s="19" t="n">
        <v>39.33</v>
      </c>
      <c r="M741" s="20" t="n">
        <v>0</v>
      </c>
      <c r="N741" s="8" t="n">
        <f aca="false">IFERROR(M741/J741,0)</f>
        <v>0</v>
      </c>
    </row>
    <row r="742" customFormat="false" ht="15" hidden="false" customHeight="false" outlineLevel="0" collapsed="false">
      <c r="A742" s="17" t="s">
        <v>17</v>
      </c>
      <c r="B742" s="17" t="s">
        <v>62</v>
      </c>
      <c r="C742" s="17" t="s">
        <v>66</v>
      </c>
      <c r="D742" s="17" t="s">
        <v>60</v>
      </c>
      <c r="E742" s="17" t="s">
        <v>675</v>
      </c>
      <c r="F742" s="17" t="s">
        <v>676</v>
      </c>
      <c r="G742" s="17" t="s">
        <v>315</v>
      </c>
      <c r="H742" s="17" t="s">
        <v>2341</v>
      </c>
      <c r="I742" s="20" t="n">
        <v>1741</v>
      </c>
      <c r="J742" s="20" t="n">
        <v>20</v>
      </c>
      <c r="K742" s="25" t="n">
        <f aca="false">IFERROR(J742/I742,0)</f>
        <v>0.0114876507754164</v>
      </c>
      <c r="L742" s="19" t="n">
        <v>32.09</v>
      </c>
      <c r="M742" s="20" t="n">
        <v>2</v>
      </c>
      <c r="N742" s="8" t="n">
        <f aca="false">IFERROR(M742/J742,0)</f>
        <v>0.1</v>
      </c>
    </row>
    <row r="743" customFormat="false" ht="15" hidden="false" customHeight="false" outlineLevel="0" collapsed="false">
      <c r="A743" s="17" t="s">
        <v>17</v>
      </c>
      <c r="B743" s="17" t="s">
        <v>62</v>
      </c>
      <c r="C743" s="17" t="s">
        <v>60</v>
      </c>
      <c r="D743" s="17" t="s">
        <v>66</v>
      </c>
      <c r="E743" s="17" t="s">
        <v>2342</v>
      </c>
      <c r="F743" s="17" t="s">
        <v>140</v>
      </c>
      <c r="G743" s="17" t="s">
        <v>315</v>
      </c>
      <c r="H743" s="17" t="s">
        <v>2343</v>
      </c>
      <c r="I743" s="20" t="n">
        <v>1633</v>
      </c>
      <c r="J743" s="20" t="n">
        <v>9</v>
      </c>
      <c r="K743" s="25" t="n">
        <f aca="false">IFERROR(J743/I743,0)</f>
        <v>0.00551132884262094</v>
      </c>
      <c r="L743" s="19" t="n">
        <v>16.72</v>
      </c>
      <c r="M743" s="20" t="n">
        <v>2</v>
      </c>
      <c r="N743" s="8" t="n">
        <f aca="false">IFERROR(M743/J743,0)</f>
        <v>0.222222222222222</v>
      </c>
    </row>
    <row r="744" customFormat="false" ht="15" hidden="false" customHeight="false" outlineLevel="0" collapsed="false">
      <c r="A744" s="17" t="s">
        <v>17</v>
      </c>
      <c r="B744" s="17" t="s">
        <v>62</v>
      </c>
      <c r="C744" s="17" t="s">
        <v>66</v>
      </c>
      <c r="D744" s="17" t="s">
        <v>60</v>
      </c>
      <c r="E744" s="17" t="s">
        <v>708</v>
      </c>
      <c r="F744" s="17" t="s">
        <v>709</v>
      </c>
      <c r="G744" s="17" t="s">
        <v>315</v>
      </c>
      <c r="H744" s="17" t="s">
        <v>2344</v>
      </c>
      <c r="I744" s="20" t="n">
        <v>1624</v>
      </c>
      <c r="J744" s="20" t="n">
        <v>28</v>
      </c>
      <c r="K744" s="25" t="n">
        <f aca="false">IFERROR(J744/I744,0)</f>
        <v>0.0172413793103448</v>
      </c>
      <c r="L744" s="19" t="n">
        <v>30.63</v>
      </c>
      <c r="M744" s="20" t="n">
        <v>3</v>
      </c>
      <c r="N744" s="8" t="n">
        <f aca="false">IFERROR(M744/J744,0)</f>
        <v>0.107142857142857</v>
      </c>
    </row>
    <row r="745" customFormat="false" ht="15" hidden="false" customHeight="false" outlineLevel="0" collapsed="false">
      <c r="A745" s="17" t="s">
        <v>17</v>
      </c>
      <c r="B745" s="17" t="s">
        <v>62</v>
      </c>
      <c r="C745" s="17" t="s">
        <v>66</v>
      </c>
      <c r="D745" s="17" t="s">
        <v>60</v>
      </c>
      <c r="E745" s="17" t="s">
        <v>2345</v>
      </c>
      <c r="F745" s="17" t="s">
        <v>172</v>
      </c>
      <c r="G745" s="17" t="s">
        <v>315</v>
      </c>
      <c r="H745" s="17" t="s">
        <v>2346</v>
      </c>
      <c r="I745" s="20" t="n">
        <v>1518</v>
      </c>
      <c r="J745" s="20" t="n">
        <v>12</v>
      </c>
      <c r="K745" s="25" t="n">
        <f aca="false">IFERROR(J745/I745,0)</f>
        <v>0.00790513833992095</v>
      </c>
      <c r="L745" s="19" t="n">
        <v>17.6</v>
      </c>
      <c r="M745" s="20" t="n">
        <v>0</v>
      </c>
      <c r="N745" s="8" t="n">
        <f aca="false">IFERROR(M745/J745,0)</f>
        <v>0</v>
      </c>
    </row>
    <row r="746" customFormat="false" ht="15" hidden="false" customHeight="false" outlineLevel="0" collapsed="false">
      <c r="A746" s="17" t="s">
        <v>17</v>
      </c>
      <c r="B746" s="17" t="s">
        <v>62</v>
      </c>
      <c r="C746" s="17" t="s">
        <v>66</v>
      </c>
      <c r="D746" s="17" t="s">
        <v>60</v>
      </c>
      <c r="E746" s="17" t="s">
        <v>2347</v>
      </c>
      <c r="F746" s="17" t="s">
        <v>166</v>
      </c>
      <c r="G746" s="17" t="s">
        <v>315</v>
      </c>
      <c r="H746" s="17" t="s">
        <v>2348</v>
      </c>
      <c r="I746" s="20" t="n">
        <v>1435</v>
      </c>
      <c r="J746" s="20" t="n">
        <v>7</v>
      </c>
      <c r="K746" s="25" t="n">
        <f aca="false">IFERROR(J746/I746,0)</f>
        <v>0.00487804878048781</v>
      </c>
      <c r="L746" s="19" t="n">
        <v>13.87</v>
      </c>
      <c r="M746" s="20" t="n">
        <v>0</v>
      </c>
      <c r="N746" s="8" t="n">
        <f aca="false">IFERROR(M746/J746,0)</f>
        <v>0</v>
      </c>
    </row>
    <row r="747" customFormat="false" ht="15" hidden="false" customHeight="false" outlineLevel="0" collapsed="false">
      <c r="A747" s="17" t="s">
        <v>17</v>
      </c>
      <c r="B747" s="17" t="s">
        <v>62</v>
      </c>
      <c r="C747" s="17" t="s">
        <v>66</v>
      </c>
      <c r="D747" s="17" t="s">
        <v>60</v>
      </c>
      <c r="E747" s="17" t="s">
        <v>2349</v>
      </c>
      <c r="F747" s="17" t="s">
        <v>147</v>
      </c>
      <c r="G747" s="17" t="s">
        <v>315</v>
      </c>
      <c r="H747" s="17" t="s">
        <v>2350</v>
      </c>
      <c r="I747" s="20" t="n">
        <v>1289</v>
      </c>
      <c r="J747" s="20" t="n">
        <v>4</v>
      </c>
      <c r="K747" s="25" t="n">
        <f aca="false">IFERROR(J747/I747,0)</f>
        <v>0.00310318076027929</v>
      </c>
      <c r="L747" s="19" t="n">
        <v>7.24</v>
      </c>
      <c r="M747" s="20" t="n">
        <v>0</v>
      </c>
      <c r="N747" s="8" t="n">
        <f aca="false">IFERROR(M747/J747,0)</f>
        <v>0</v>
      </c>
    </row>
    <row r="748" customFormat="false" ht="15" hidden="false" customHeight="false" outlineLevel="0" collapsed="false">
      <c r="A748" s="17" t="s">
        <v>17</v>
      </c>
      <c r="B748" s="17" t="s">
        <v>62</v>
      </c>
      <c r="C748" s="17" t="s">
        <v>60</v>
      </c>
      <c r="D748" s="17" t="s">
        <v>60</v>
      </c>
      <c r="E748" s="17" t="s">
        <v>655</v>
      </c>
      <c r="F748" s="17" t="s">
        <v>140</v>
      </c>
      <c r="G748" s="17" t="s">
        <v>315</v>
      </c>
      <c r="H748" s="17" t="s">
        <v>2351</v>
      </c>
      <c r="I748" s="20" t="n">
        <v>1280</v>
      </c>
      <c r="J748" s="20" t="n">
        <v>50</v>
      </c>
      <c r="K748" s="25" t="n">
        <f aca="false">IFERROR(J748/I748,0)</f>
        <v>0.0390625</v>
      </c>
      <c r="L748" s="19" t="n">
        <v>115.2</v>
      </c>
      <c r="M748" s="20" t="n">
        <v>9</v>
      </c>
      <c r="N748" s="8" t="n">
        <f aca="false">IFERROR(M748/J748,0)</f>
        <v>0.18</v>
      </c>
    </row>
    <row r="749" customFormat="false" ht="15" hidden="false" customHeight="false" outlineLevel="0" collapsed="false">
      <c r="A749" s="17" t="s">
        <v>17</v>
      </c>
      <c r="B749" s="17" t="s">
        <v>62</v>
      </c>
      <c r="C749" s="17" t="s">
        <v>60</v>
      </c>
      <c r="D749" s="17" t="s">
        <v>66</v>
      </c>
      <c r="E749" s="17" t="s">
        <v>695</v>
      </c>
      <c r="F749" s="17" t="s">
        <v>140</v>
      </c>
      <c r="G749" s="17" t="s">
        <v>315</v>
      </c>
      <c r="H749" s="17" t="s">
        <v>2308</v>
      </c>
      <c r="I749" s="20" t="n">
        <v>1280</v>
      </c>
      <c r="J749" s="20" t="n">
        <v>18</v>
      </c>
      <c r="K749" s="25" t="n">
        <f aca="false">IFERROR(J749/I749,0)</f>
        <v>0.0140625</v>
      </c>
      <c r="L749" s="19" t="n">
        <v>27.29</v>
      </c>
      <c r="M749" s="20" t="n">
        <v>2</v>
      </c>
      <c r="N749" s="8" t="n">
        <f aca="false">IFERROR(M749/J749,0)</f>
        <v>0.111111111111111</v>
      </c>
    </row>
    <row r="750" customFormat="false" ht="15" hidden="false" customHeight="false" outlineLevel="0" collapsed="false">
      <c r="A750" s="17" t="s">
        <v>17</v>
      </c>
      <c r="B750" s="17" t="s">
        <v>62</v>
      </c>
      <c r="C750" s="17" t="s">
        <v>60</v>
      </c>
      <c r="D750" s="17" t="s">
        <v>66</v>
      </c>
      <c r="E750" s="17" t="s">
        <v>2352</v>
      </c>
      <c r="F750" s="17" t="s">
        <v>140</v>
      </c>
      <c r="G750" s="17" t="s">
        <v>315</v>
      </c>
      <c r="H750" s="17" t="s">
        <v>2353</v>
      </c>
      <c r="I750" s="20" t="n">
        <v>1232</v>
      </c>
      <c r="J750" s="20" t="n">
        <v>7</v>
      </c>
      <c r="K750" s="25" t="n">
        <f aca="false">IFERROR(J750/I750,0)</f>
        <v>0.00568181818181818</v>
      </c>
      <c r="L750" s="19" t="n">
        <v>12.36</v>
      </c>
      <c r="M750" s="20" t="n">
        <v>1</v>
      </c>
      <c r="N750" s="8" t="n">
        <f aca="false">IFERROR(M750/J750,0)</f>
        <v>0.142857142857143</v>
      </c>
    </row>
    <row r="751" customFormat="false" ht="15" hidden="false" customHeight="false" outlineLevel="0" collapsed="false">
      <c r="A751" s="17" t="s">
        <v>17</v>
      </c>
      <c r="B751" s="17" t="s">
        <v>62</v>
      </c>
      <c r="C751" s="17" t="s">
        <v>60</v>
      </c>
      <c r="D751" s="17" t="s">
        <v>66</v>
      </c>
      <c r="E751" s="17" t="s">
        <v>2354</v>
      </c>
      <c r="F751" s="17" t="s">
        <v>140</v>
      </c>
      <c r="G751" s="17" t="s">
        <v>315</v>
      </c>
      <c r="H751" s="17" t="s">
        <v>2355</v>
      </c>
      <c r="I751" s="20" t="n">
        <v>1136</v>
      </c>
      <c r="J751" s="20" t="n">
        <v>14</v>
      </c>
      <c r="K751" s="25" t="n">
        <f aca="false">IFERROR(J751/I751,0)</f>
        <v>0.0123239436619718</v>
      </c>
      <c r="L751" s="19" t="n">
        <v>27.9</v>
      </c>
      <c r="M751" s="20" t="n">
        <v>6</v>
      </c>
      <c r="N751" s="8" t="n">
        <f aca="false">IFERROR(M751/J751,0)</f>
        <v>0.428571428571429</v>
      </c>
    </row>
    <row r="752" customFormat="false" ht="15" hidden="false" customHeight="false" outlineLevel="0" collapsed="false">
      <c r="A752" s="17" t="s">
        <v>17</v>
      </c>
      <c r="B752" s="17" t="s">
        <v>62</v>
      </c>
      <c r="C752" s="17" t="s">
        <v>60</v>
      </c>
      <c r="D752" s="17" t="s">
        <v>66</v>
      </c>
      <c r="E752" s="17" t="s">
        <v>613</v>
      </c>
      <c r="F752" s="17" t="s">
        <v>140</v>
      </c>
      <c r="G752" s="17" t="s">
        <v>315</v>
      </c>
      <c r="H752" s="17" t="s">
        <v>2356</v>
      </c>
      <c r="I752" s="20" t="n">
        <v>1073</v>
      </c>
      <c r="J752" s="20" t="n">
        <v>13</v>
      </c>
      <c r="K752" s="25" t="n">
        <f aca="false">IFERROR(J752/I752,0)</f>
        <v>0.0121155638397018</v>
      </c>
      <c r="L752" s="19" t="n">
        <v>24.14</v>
      </c>
      <c r="M752" s="20" t="n">
        <v>0</v>
      </c>
      <c r="N752" s="8" t="n">
        <f aca="false">IFERROR(M752/J752,0)</f>
        <v>0</v>
      </c>
    </row>
    <row r="753" customFormat="false" ht="15" hidden="false" customHeight="false" outlineLevel="0" collapsed="false">
      <c r="A753" s="17" t="s">
        <v>17</v>
      </c>
      <c r="B753" s="17" t="s">
        <v>62</v>
      </c>
      <c r="C753" s="17" t="s">
        <v>60</v>
      </c>
      <c r="D753" s="17" t="s">
        <v>66</v>
      </c>
      <c r="E753" s="17" t="s">
        <v>689</v>
      </c>
      <c r="F753" s="17" t="s">
        <v>140</v>
      </c>
      <c r="G753" s="17" t="s">
        <v>315</v>
      </c>
      <c r="H753" s="17" t="s">
        <v>2357</v>
      </c>
      <c r="I753" s="20" t="n">
        <v>1051</v>
      </c>
      <c r="J753" s="20" t="n">
        <v>26</v>
      </c>
      <c r="K753" s="25" t="n">
        <f aca="false">IFERROR(J753/I753,0)</f>
        <v>0.0247383444338725</v>
      </c>
      <c r="L753" s="19" t="n">
        <v>81.67</v>
      </c>
      <c r="M753" s="20" t="n">
        <v>5</v>
      </c>
      <c r="N753" s="8" t="n">
        <f aca="false">IFERROR(M753/J753,0)</f>
        <v>0.192307692307692</v>
      </c>
    </row>
    <row r="754" customFormat="false" ht="15" hidden="false" customHeight="false" outlineLevel="0" collapsed="false">
      <c r="A754" s="17" t="s">
        <v>17</v>
      </c>
      <c r="B754" s="17" t="s">
        <v>62</v>
      </c>
      <c r="C754" s="17" t="s">
        <v>60</v>
      </c>
      <c r="D754" s="17" t="s">
        <v>66</v>
      </c>
      <c r="E754" s="17" t="s">
        <v>2358</v>
      </c>
      <c r="F754" s="17" t="s">
        <v>140</v>
      </c>
      <c r="G754" s="17" t="s">
        <v>315</v>
      </c>
      <c r="H754" s="17" t="s">
        <v>2359</v>
      </c>
      <c r="I754" s="20" t="n">
        <v>1003</v>
      </c>
      <c r="J754" s="20" t="n">
        <v>8</v>
      </c>
      <c r="K754" s="25" t="n">
        <f aca="false">IFERROR(J754/I754,0)</f>
        <v>0.00797607178464606</v>
      </c>
      <c r="L754" s="19" t="n">
        <v>14.88</v>
      </c>
      <c r="M754" s="20" t="n">
        <v>1</v>
      </c>
      <c r="N754" s="8" t="n">
        <f aca="false">IFERROR(M754/J754,0)</f>
        <v>0.125</v>
      </c>
    </row>
    <row r="755" customFormat="false" ht="15" hidden="false" customHeight="false" outlineLevel="0" collapsed="false">
      <c r="A755" s="17" t="s">
        <v>17</v>
      </c>
      <c r="B755" s="17" t="s">
        <v>62</v>
      </c>
      <c r="C755" s="17" t="s">
        <v>60</v>
      </c>
      <c r="D755" s="17" t="s">
        <v>60</v>
      </c>
      <c r="E755" s="17" t="s">
        <v>2360</v>
      </c>
      <c r="F755" s="17" t="s">
        <v>140</v>
      </c>
      <c r="G755" s="17" t="s">
        <v>315</v>
      </c>
      <c r="H755" s="17" t="s">
        <v>2361</v>
      </c>
      <c r="I755" s="20" t="n">
        <v>970</v>
      </c>
      <c r="J755" s="20" t="n">
        <v>1</v>
      </c>
      <c r="K755" s="25" t="n">
        <f aca="false">IFERROR(J755/I755,0)</f>
        <v>0.00103092783505155</v>
      </c>
      <c r="L755" s="19" t="n">
        <v>1.19</v>
      </c>
      <c r="M755" s="20" t="n">
        <v>0</v>
      </c>
      <c r="N755" s="8" t="n">
        <f aca="false">IFERROR(M755/J755,0)</f>
        <v>0</v>
      </c>
    </row>
    <row r="756" customFormat="false" ht="15" hidden="false" customHeight="false" outlineLevel="0" collapsed="false">
      <c r="A756" s="17" t="s">
        <v>17</v>
      </c>
      <c r="B756" s="17" t="s">
        <v>62</v>
      </c>
      <c r="C756" s="17" t="s">
        <v>66</v>
      </c>
      <c r="D756" s="17" t="s">
        <v>60</v>
      </c>
      <c r="E756" s="17" t="s">
        <v>2362</v>
      </c>
      <c r="F756" s="17" t="s">
        <v>2300</v>
      </c>
      <c r="G756" s="17" t="s">
        <v>315</v>
      </c>
      <c r="H756" s="17" t="s">
        <v>2363</v>
      </c>
      <c r="I756" s="20" t="n">
        <v>965</v>
      </c>
      <c r="J756" s="20" t="n">
        <v>5</v>
      </c>
      <c r="K756" s="25" t="n">
        <f aca="false">IFERROR(J756/I756,0)</f>
        <v>0.00518134715025907</v>
      </c>
      <c r="L756" s="19" t="n">
        <v>3.65</v>
      </c>
      <c r="M756" s="20" t="n">
        <v>2</v>
      </c>
      <c r="N756" s="8" t="n">
        <f aca="false">IFERROR(M756/J756,0)</f>
        <v>0.4</v>
      </c>
    </row>
    <row r="757" customFormat="false" ht="15" hidden="false" customHeight="false" outlineLevel="0" collapsed="false">
      <c r="A757" s="17" t="s">
        <v>17</v>
      </c>
      <c r="B757" s="17" t="s">
        <v>62</v>
      </c>
      <c r="C757" s="17" t="s">
        <v>60</v>
      </c>
      <c r="D757" s="17" t="s">
        <v>66</v>
      </c>
      <c r="E757" s="17" t="s">
        <v>2364</v>
      </c>
      <c r="F757" s="17" t="s">
        <v>140</v>
      </c>
      <c r="G757" s="17" t="s">
        <v>315</v>
      </c>
      <c r="H757" s="17" t="s">
        <v>2365</v>
      </c>
      <c r="I757" s="20" t="n">
        <v>937</v>
      </c>
      <c r="J757" s="20" t="n">
        <v>5</v>
      </c>
      <c r="K757" s="25" t="n">
        <f aca="false">IFERROR(J757/I757,0)</f>
        <v>0.00533617929562433</v>
      </c>
      <c r="L757" s="19" t="n">
        <v>11.22</v>
      </c>
      <c r="M757" s="20" t="n">
        <v>1</v>
      </c>
      <c r="N757" s="8" t="n">
        <f aca="false">IFERROR(M757/J757,0)</f>
        <v>0.2</v>
      </c>
    </row>
    <row r="758" customFormat="false" ht="15" hidden="false" customHeight="false" outlineLevel="0" collapsed="false">
      <c r="A758" s="17" t="s">
        <v>17</v>
      </c>
      <c r="B758" s="17" t="s">
        <v>62</v>
      </c>
      <c r="C758" s="17" t="s">
        <v>66</v>
      </c>
      <c r="D758" s="17" t="s">
        <v>66</v>
      </c>
      <c r="E758" s="17" t="s">
        <v>2366</v>
      </c>
      <c r="F758" s="17" t="s">
        <v>2367</v>
      </c>
      <c r="G758" s="17" t="s">
        <v>311</v>
      </c>
      <c r="H758" s="17" t="s">
        <v>2368</v>
      </c>
      <c r="I758" s="20" t="n">
        <v>913</v>
      </c>
      <c r="J758" s="20" t="n">
        <v>5</v>
      </c>
      <c r="K758" s="25" t="n">
        <f aca="false">IFERROR(J758/I758,0)</f>
        <v>0.00547645125958379</v>
      </c>
      <c r="L758" s="19" t="n">
        <v>3.02</v>
      </c>
      <c r="M758" s="20" t="n">
        <v>0</v>
      </c>
      <c r="N758" s="8" t="n">
        <f aca="false">IFERROR(M758/J758,0)</f>
        <v>0</v>
      </c>
    </row>
    <row r="759" customFormat="false" ht="15" hidden="false" customHeight="false" outlineLevel="0" collapsed="false">
      <c r="A759" s="17" t="s">
        <v>17</v>
      </c>
      <c r="B759" s="17" t="s">
        <v>62</v>
      </c>
      <c r="C759" s="17" t="s">
        <v>60</v>
      </c>
      <c r="D759" s="17" t="s">
        <v>66</v>
      </c>
      <c r="E759" s="17" t="s">
        <v>2369</v>
      </c>
      <c r="F759" s="17" t="s">
        <v>140</v>
      </c>
      <c r="G759" s="17" t="s">
        <v>315</v>
      </c>
      <c r="H759" s="17" t="s">
        <v>2370</v>
      </c>
      <c r="I759" s="20" t="n">
        <v>898</v>
      </c>
      <c r="J759" s="20" t="n">
        <v>5</v>
      </c>
      <c r="K759" s="25" t="n">
        <f aca="false">IFERROR(J759/I759,0)</f>
        <v>0.00556792873051225</v>
      </c>
      <c r="L759" s="19" t="n">
        <v>5.72</v>
      </c>
      <c r="M759" s="20" t="n">
        <v>0</v>
      </c>
      <c r="N759" s="8" t="n">
        <f aca="false">IFERROR(M759/J759,0)</f>
        <v>0</v>
      </c>
    </row>
    <row r="760" customFormat="false" ht="15" hidden="false" customHeight="false" outlineLevel="0" collapsed="false">
      <c r="A760" s="17" t="s">
        <v>17</v>
      </c>
      <c r="B760" s="17" t="s">
        <v>62</v>
      </c>
      <c r="C760" s="17" t="s">
        <v>60</v>
      </c>
      <c r="D760" s="17" t="s">
        <v>66</v>
      </c>
      <c r="E760" s="17" t="s">
        <v>2371</v>
      </c>
      <c r="F760" s="17" t="s">
        <v>140</v>
      </c>
      <c r="G760" s="17" t="s">
        <v>311</v>
      </c>
      <c r="H760" s="17" t="s">
        <v>2372</v>
      </c>
      <c r="I760" s="20" t="n">
        <v>857</v>
      </c>
      <c r="J760" s="20" t="n">
        <v>23</v>
      </c>
      <c r="K760" s="25" t="n">
        <f aca="false">IFERROR(J760/I760,0)</f>
        <v>0.0268378063010502</v>
      </c>
      <c r="L760" s="19" t="n">
        <v>22.94</v>
      </c>
      <c r="M760" s="20" t="n">
        <v>7</v>
      </c>
      <c r="N760" s="8" t="n">
        <f aca="false">IFERROR(M760/J760,0)</f>
        <v>0.304347826086957</v>
      </c>
    </row>
    <row r="761" customFormat="false" ht="15" hidden="false" customHeight="false" outlineLevel="0" collapsed="false">
      <c r="A761" s="17" t="s">
        <v>17</v>
      </c>
      <c r="B761" s="17" t="s">
        <v>62</v>
      </c>
      <c r="C761" s="17" t="s">
        <v>60</v>
      </c>
      <c r="D761" s="17" t="s">
        <v>66</v>
      </c>
      <c r="E761" s="17" t="s">
        <v>2373</v>
      </c>
      <c r="F761" s="17" t="s">
        <v>140</v>
      </c>
      <c r="G761" s="17" t="s">
        <v>315</v>
      </c>
      <c r="H761" s="17" t="s">
        <v>2374</v>
      </c>
      <c r="I761" s="20" t="n">
        <v>824</v>
      </c>
      <c r="J761" s="20" t="n">
        <v>10</v>
      </c>
      <c r="K761" s="25" t="n">
        <f aca="false">IFERROR(J761/I761,0)</f>
        <v>0.0121359223300971</v>
      </c>
      <c r="L761" s="19" t="n">
        <v>17.57</v>
      </c>
      <c r="M761" s="20" t="n">
        <v>1</v>
      </c>
      <c r="N761" s="8" t="n">
        <f aca="false">IFERROR(M761/J761,0)</f>
        <v>0.1</v>
      </c>
    </row>
    <row r="762" customFormat="false" ht="15" hidden="false" customHeight="false" outlineLevel="0" collapsed="false">
      <c r="A762" s="17" t="s">
        <v>17</v>
      </c>
      <c r="B762" s="17" t="s">
        <v>62</v>
      </c>
      <c r="C762" s="17" t="s">
        <v>66</v>
      </c>
      <c r="D762" s="17" t="s">
        <v>60</v>
      </c>
      <c r="E762" s="17" t="s">
        <v>2375</v>
      </c>
      <c r="F762" s="17" t="s">
        <v>147</v>
      </c>
      <c r="G762" s="17" t="s">
        <v>315</v>
      </c>
      <c r="H762" s="17" t="s">
        <v>2376</v>
      </c>
      <c r="I762" s="20" t="n">
        <v>792</v>
      </c>
      <c r="J762" s="20" t="n">
        <v>4</v>
      </c>
      <c r="K762" s="25" t="n">
        <f aca="false">IFERROR(J762/I762,0)</f>
        <v>0.00505050505050505</v>
      </c>
      <c r="L762" s="19" t="n">
        <v>5.74</v>
      </c>
      <c r="M762" s="20" t="n">
        <v>1</v>
      </c>
      <c r="N762" s="8" t="n">
        <f aca="false">IFERROR(M762/J762,0)</f>
        <v>0.25</v>
      </c>
    </row>
    <row r="763" customFormat="false" ht="15" hidden="false" customHeight="false" outlineLevel="0" collapsed="false">
      <c r="A763" s="17" t="s">
        <v>17</v>
      </c>
      <c r="B763" s="17" t="s">
        <v>62</v>
      </c>
      <c r="C763" s="17" t="s">
        <v>60</v>
      </c>
      <c r="D763" s="17" t="s">
        <v>66</v>
      </c>
      <c r="E763" s="17" t="s">
        <v>2377</v>
      </c>
      <c r="F763" s="17" t="s">
        <v>140</v>
      </c>
      <c r="G763" s="17" t="s">
        <v>315</v>
      </c>
      <c r="H763" s="17" t="s">
        <v>2378</v>
      </c>
      <c r="I763" s="20" t="n">
        <v>750</v>
      </c>
      <c r="J763" s="20" t="n">
        <v>17</v>
      </c>
      <c r="K763" s="25" t="n">
        <f aca="false">IFERROR(J763/I763,0)</f>
        <v>0.0226666666666667</v>
      </c>
      <c r="L763" s="19" t="n">
        <v>34.69</v>
      </c>
      <c r="M763" s="20" t="n">
        <v>2</v>
      </c>
      <c r="N763" s="8" t="n">
        <f aca="false">IFERROR(M763/J763,0)</f>
        <v>0.117647058823529</v>
      </c>
    </row>
    <row r="764" customFormat="false" ht="15" hidden="false" customHeight="false" outlineLevel="0" collapsed="false">
      <c r="A764" s="17" t="s">
        <v>17</v>
      </c>
      <c r="B764" s="17" t="s">
        <v>62</v>
      </c>
      <c r="C764" s="17" t="s">
        <v>60</v>
      </c>
      <c r="D764" s="17" t="s">
        <v>66</v>
      </c>
      <c r="E764" s="17" t="s">
        <v>2379</v>
      </c>
      <c r="F764" s="17" t="s">
        <v>140</v>
      </c>
      <c r="G764" s="17" t="s">
        <v>315</v>
      </c>
      <c r="H764" s="17" t="s">
        <v>2380</v>
      </c>
      <c r="I764" s="20" t="n">
        <v>742</v>
      </c>
      <c r="J764" s="20" t="n">
        <v>9</v>
      </c>
      <c r="K764" s="25" t="n">
        <f aca="false">IFERROR(J764/I764,0)</f>
        <v>0.0121293800539084</v>
      </c>
      <c r="L764" s="19" t="n">
        <v>22.63</v>
      </c>
      <c r="M764" s="20" t="n">
        <v>3</v>
      </c>
      <c r="N764" s="8" t="n">
        <f aca="false">IFERROR(M764/J764,0)</f>
        <v>0.333333333333333</v>
      </c>
    </row>
    <row r="765" customFormat="false" ht="15" hidden="false" customHeight="false" outlineLevel="0" collapsed="false">
      <c r="A765" s="17" t="s">
        <v>17</v>
      </c>
      <c r="B765" s="17" t="s">
        <v>62</v>
      </c>
      <c r="C765" s="17" t="s">
        <v>66</v>
      </c>
      <c r="D765" s="17" t="s">
        <v>60</v>
      </c>
      <c r="E765" s="17" t="s">
        <v>2381</v>
      </c>
      <c r="F765" s="17" t="s">
        <v>147</v>
      </c>
      <c r="G765" s="17" t="s">
        <v>315</v>
      </c>
      <c r="H765" s="17" t="s">
        <v>2382</v>
      </c>
      <c r="I765" s="20" t="n">
        <v>734</v>
      </c>
      <c r="J765" s="20" t="n">
        <v>9</v>
      </c>
      <c r="K765" s="25" t="n">
        <f aca="false">IFERROR(J765/I765,0)</f>
        <v>0.0122615803814714</v>
      </c>
      <c r="L765" s="19" t="n">
        <v>16.47</v>
      </c>
      <c r="M765" s="20" t="n">
        <v>0</v>
      </c>
      <c r="N765" s="8" t="n">
        <f aca="false">IFERROR(M765/J765,0)</f>
        <v>0</v>
      </c>
    </row>
    <row r="766" customFormat="false" ht="15" hidden="false" customHeight="false" outlineLevel="0" collapsed="false">
      <c r="A766" s="17" t="s">
        <v>17</v>
      </c>
      <c r="B766" s="17" t="s">
        <v>62</v>
      </c>
      <c r="C766" s="17" t="s">
        <v>60</v>
      </c>
      <c r="D766" s="17" t="s">
        <v>66</v>
      </c>
      <c r="E766" s="17" t="s">
        <v>2383</v>
      </c>
      <c r="F766" s="17" t="s">
        <v>140</v>
      </c>
      <c r="G766" s="17" t="s">
        <v>315</v>
      </c>
      <c r="H766" s="17" t="s">
        <v>2368</v>
      </c>
      <c r="I766" s="20" t="n">
        <v>690</v>
      </c>
      <c r="J766" s="20" t="n">
        <v>28</v>
      </c>
      <c r="K766" s="25" t="n">
        <f aca="false">IFERROR(J766/I766,0)</f>
        <v>0.0405797101449275</v>
      </c>
      <c r="L766" s="19" t="n">
        <v>50.26</v>
      </c>
      <c r="M766" s="20" t="n">
        <v>10</v>
      </c>
      <c r="N766" s="8" t="n">
        <f aca="false">IFERROR(M766/J766,0)</f>
        <v>0.357142857142857</v>
      </c>
    </row>
    <row r="767" customFormat="false" ht="15" hidden="false" customHeight="false" outlineLevel="0" collapsed="false">
      <c r="A767" s="17" t="s">
        <v>17</v>
      </c>
      <c r="B767" s="17" t="s">
        <v>62</v>
      </c>
      <c r="C767" s="17" t="s">
        <v>66</v>
      </c>
      <c r="D767" s="17" t="s">
        <v>66</v>
      </c>
      <c r="E767" s="17" t="s">
        <v>2384</v>
      </c>
      <c r="F767" s="17" t="s">
        <v>146</v>
      </c>
      <c r="G767" s="17" t="s">
        <v>311</v>
      </c>
      <c r="H767" s="17" t="s">
        <v>2385</v>
      </c>
      <c r="I767" s="20" t="n">
        <v>570</v>
      </c>
      <c r="J767" s="20" t="n">
        <v>3</v>
      </c>
      <c r="K767" s="25" t="n">
        <f aca="false">IFERROR(J767/I767,0)</f>
        <v>0.00526315789473684</v>
      </c>
      <c r="L767" s="19" t="n">
        <v>1.7</v>
      </c>
      <c r="M767" s="20" t="n">
        <v>0</v>
      </c>
      <c r="N767" s="8" t="n">
        <f aca="false">IFERROR(M767/J767,0)</f>
        <v>0</v>
      </c>
    </row>
    <row r="768" customFormat="false" ht="15" hidden="false" customHeight="false" outlineLevel="0" collapsed="false">
      <c r="A768" s="17" t="s">
        <v>17</v>
      </c>
      <c r="B768" s="17" t="s">
        <v>62</v>
      </c>
      <c r="C768" s="17" t="s">
        <v>60</v>
      </c>
      <c r="D768" s="17" t="s">
        <v>66</v>
      </c>
      <c r="E768" s="17" t="s">
        <v>2386</v>
      </c>
      <c r="F768" s="17" t="s">
        <v>140</v>
      </c>
      <c r="G768" s="17" t="s">
        <v>315</v>
      </c>
      <c r="H768" s="17" t="s">
        <v>2387</v>
      </c>
      <c r="I768" s="20" t="n">
        <v>533</v>
      </c>
      <c r="J768" s="20" t="n">
        <v>8</v>
      </c>
      <c r="K768" s="25" t="n">
        <f aca="false">IFERROR(J768/I768,0)</f>
        <v>0.0150093808630394</v>
      </c>
      <c r="L768" s="19" t="n">
        <v>13.97</v>
      </c>
      <c r="M768" s="20" t="n">
        <v>0</v>
      </c>
      <c r="N768" s="8" t="n">
        <f aca="false">IFERROR(M768/J768,0)</f>
        <v>0</v>
      </c>
    </row>
    <row r="769" customFormat="false" ht="15" hidden="false" customHeight="false" outlineLevel="0" collapsed="false">
      <c r="A769" s="17" t="s">
        <v>17</v>
      </c>
      <c r="B769" s="17" t="s">
        <v>62</v>
      </c>
      <c r="C769" s="17" t="s">
        <v>60</v>
      </c>
      <c r="D769" s="17" t="s">
        <v>66</v>
      </c>
      <c r="E769" s="17" t="s">
        <v>2388</v>
      </c>
      <c r="F769" s="17" t="s">
        <v>140</v>
      </c>
      <c r="G769" s="17" t="s">
        <v>315</v>
      </c>
      <c r="H769" s="17" t="s">
        <v>2389</v>
      </c>
      <c r="I769" s="20" t="n">
        <v>533</v>
      </c>
      <c r="J769" s="20" t="n">
        <v>3</v>
      </c>
      <c r="K769" s="25" t="n">
        <f aca="false">IFERROR(J769/I769,0)</f>
        <v>0.00562851782363978</v>
      </c>
      <c r="L769" s="19" t="n">
        <v>5.39</v>
      </c>
      <c r="M769" s="20" t="n">
        <v>0</v>
      </c>
      <c r="N769" s="8" t="n">
        <f aca="false">IFERROR(M769/J769,0)</f>
        <v>0</v>
      </c>
    </row>
    <row r="770" customFormat="false" ht="15" hidden="false" customHeight="false" outlineLevel="0" collapsed="false">
      <c r="A770" s="17" t="s">
        <v>17</v>
      </c>
      <c r="B770" s="17" t="s">
        <v>62</v>
      </c>
      <c r="C770" s="17" t="s">
        <v>60</v>
      </c>
      <c r="D770" s="17" t="s">
        <v>66</v>
      </c>
      <c r="E770" s="17" t="s">
        <v>2390</v>
      </c>
      <c r="F770" s="17" t="s">
        <v>140</v>
      </c>
      <c r="G770" s="17" t="s">
        <v>315</v>
      </c>
      <c r="H770" s="17" t="s">
        <v>2391</v>
      </c>
      <c r="I770" s="20" t="n">
        <v>442</v>
      </c>
      <c r="J770" s="20" t="n">
        <v>11</v>
      </c>
      <c r="K770" s="25" t="n">
        <f aca="false">IFERROR(J770/I770,0)</f>
        <v>0.0248868778280543</v>
      </c>
      <c r="L770" s="19" t="n">
        <v>22.62</v>
      </c>
      <c r="M770" s="20" t="n">
        <v>0</v>
      </c>
      <c r="N770" s="8" t="n">
        <f aca="false">IFERROR(M770/J770,0)</f>
        <v>0</v>
      </c>
    </row>
    <row r="771" customFormat="false" ht="15" hidden="false" customHeight="false" outlineLevel="0" collapsed="false">
      <c r="A771" s="17" t="s">
        <v>17</v>
      </c>
      <c r="B771" s="17" t="s">
        <v>62</v>
      </c>
      <c r="C771" s="17" t="s">
        <v>60</v>
      </c>
      <c r="D771" s="17" t="s">
        <v>66</v>
      </c>
      <c r="E771" s="17" t="s">
        <v>2392</v>
      </c>
      <c r="F771" s="17" t="s">
        <v>140</v>
      </c>
      <c r="G771" s="17" t="s">
        <v>315</v>
      </c>
      <c r="H771" s="17" t="s">
        <v>2393</v>
      </c>
      <c r="I771" s="20" t="n">
        <v>429</v>
      </c>
      <c r="J771" s="20" t="n">
        <v>21</v>
      </c>
      <c r="K771" s="25" t="n">
        <f aca="false">IFERROR(J771/I771,0)</f>
        <v>0.048951048951049</v>
      </c>
      <c r="L771" s="19" t="n">
        <v>43.64</v>
      </c>
      <c r="M771" s="20" t="n">
        <v>9</v>
      </c>
      <c r="N771" s="8" t="n">
        <f aca="false">IFERROR(M771/J771,0)</f>
        <v>0.428571428571429</v>
      </c>
    </row>
    <row r="772" customFormat="false" ht="15" hidden="false" customHeight="false" outlineLevel="0" collapsed="false">
      <c r="A772" s="17" t="s">
        <v>17</v>
      </c>
      <c r="B772" s="17" t="s">
        <v>62</v>
      </c>
      <c r="C772" s="17" t="s">
        <v>60</v>
      </c>
      <c r="D772" s="17" t="s">
        <v>66</v>
      </c>
      <c r="E772" s="17" t="s">
        <v>2394</v>
      </c>
      <c r="F772" s="17" t="s">
        <v>140</v>
      </c>
      <c r="G772" s="17" t="s">
        <v>315</v>
      </c>
      <c r="H772" s="17" t="s">
        <v>2395</v>
      </c>
      <c r="I772" s="20" t="n">
        <v>409</v>
      </c>
      <c r="J772" s="20" t="n">
        <v>0</v>
      </c>
      <c r="K772" s="25" t="n">
        <f aca="false">IFERROR(J772/I772,0)</f>
        <v>0</v>
      </c>
      <c r="L772" s="19" t="n">
        <v>0</v>
      </c>
      <c r="M772" s="20" t="n">
        <v>0</v>
      </c>
      <c r="N772" s="8" t="n">
        <f aca="false">IFERROR(M772/J772,0)</f>
        <v>0</v>
      </c>
    </row>
    <row r="773" customFormat="false" ht="15" hidden="false" customHeight="false" outlineLevel="0" collapsed="false">
      <c r="A773" s="17" t="s">
        <v>17</v>
      </c>
      <c r="B773" s="17" t="s">
        <v>62</v>
      </c>
      <c r="C773" s="17" t="s">
        <v>60</v>
      </c>
      <c r="D773" s="17" t="s">
        <v>66</v>
      </c>
      <c r="E773" s="17" t="s">
        <v>680</v>
      </c>
      <c r="F773" s="17" t="s">
        <v>140</v>
      </c>
      <c r="G773" s="17" t="s">
        <v>315</v>
      </c>
      <c r="H773" s="17" t="s">
        <v>2396</v>
      </c>
      <c r="I773" s="20" t="n">
        <v>401</v>
      </c>
      <c r="J773" s="20" t="n">
        <v>2</v>
      </c>
      <c r="K773" s="25" t="n">
        <f aca="false">IFERROR(J773/I773,0)</f>
        <v>0.00498753117206983</v>
      </c>
      <c r="L773" s="19" t="n">
        <v>3.84</v>
      </c>
      <c r="M773" s="20" t="n">
        <v>0</v>
      </c>
      <c r="N773" s="8" t="n">
        <f aca="false">IFERROR(M773/J773,0)</f>
        <v>0</v>
      </c>
    </row>
    <row r="774" customFormat="false" ht="15" hidden="false" customHeight="false" outlineLevel="0" collapsed="false">
      <c r="A774" s="17" t="s">
        <v>17</v>
      </c>
      <c r="B774" s="17" t="s">
        <v>62</v>
      </c>
      <c r="C774" s="17" t="s">
        <v>60</v>
      </c>
      <c r="D774" s="17" t="s">
        <v>60</v>
      </c>
      <c r="E774" s="17" t="s">
        <v>2397</v>
      </c>
      <c r="F774" s="17" t="s">
        <v>140</v>
      </c>
      <c r="G774" s="17" t="s">
        <v>315</v>
      </c>
      <c r="H774" s="17" t="s">
        <v>2398</v>
      </c>
      <c r="I774" s="20" t="n">
        <v>380</v>
      </c>
      <c r="J774" s="20" t="n">
        <v>4</v>
      </c>
      <c r="K774" s="25" t="n">
        <f aca="false">IFERROR(J774/I774,0)</f>
        <v>0.0105263157894737</v>
      </c>
      <c r="L774" s="19" t="n">
        <v>7.6</v>
      </c>
      <c r="M774" s="20" t="n">
        <v>0</v>
      </c>
      <c r="N774" s="8" t="n">
        <f aca="false">IFERROR(M774/J774,0)</f>
        <v>0</v>
      </c>
    </row>
    <row r="775" customFormat="false" ht="15" hidden="false" customHeight="false" outlineLevel="0" collapsed="false">
      <c r="A775" s="17" t="s">
        <v>17</v>
      </c>
      <c r="B775" s="17" t="s">
        <v>62</v>
      </c>
      <c r="C775" s="17" t="s">
        <v>60</v>
      </c>
      <c r="D775" s="17" t="s">
        <v>66</v>
      </c>
      <c r="E775" s="17" t="s">
        <v>693</v>
      </c>
      <c r="F775" s="17" t="s">
        <v>636</v>
      </c>
      <c r="G775" s="17" t="s">
        <v>315</v>
      </c>
      <c r="H775" s="17" t="s">
        <v>2340</v>
      </c>
      <c r="I775" s="20" t="n">
        <v>368</v>
      </c>
      <c r="J775" s="20" t="n">
        <v>4</v>
      </c>
      <c r="K775" s="25" t="n">
        <f aca="false">IFERROR(J775/I775,0)</f>
        <v>0.0108695652173913</v>
      </c>
      <c r="L775" s="19" t="n">
        <v>7.23</v>
      </c>
      <c r="M775" s="20" t="n">
        <v>3</v>
      </c>
      <c r="N775" s="8" t="n">
        <f aca="false">IFERROR(M775/J775,0)</f>
        <v>0.75</v>
      </c>
    </row>
    <row r="776" customFormat="false" ht="15" hidden="false" customHeight="false" outlineLevel="0" collapsed="false">
      <c r="A776" s="17" t="s">
        <v>17</v>
      </c>
      <c r="B776" s="17" t="s">
        <v>62</v>
      </c>
      <c r="C776" s="17" t="s">
        <v>60</v>
      </c>
      <c r="D776" s="17" t="s">
        <v>66</v>
      </c>
      <c r="E776" s="17" t="s">
        <v>2399</v>
      </c>
      <c r="F776" s="17" t="s">
        <v>140</v>
      </c>
      <c r="G776" s="17" t="s">
        <v>315</v>
      </c>
      <c r="H776" s="17" t="s">
        <v>2400</v>
      </c>
      <c r="I776" s="20" t="n">
        <v>367</v>
      </c>
      <c r="J776" s="20" t="n">
        <v>7</v>
      </c>
      <c r="K776" s="25" t="n">
        <f aca="false">IFERROR(J776/I776,0)</f>
        <v>0.0190735694822888</v>
      </c>
      <c r="L776" s="19" t="n">
        <v>13.23</v>
      </c>
      <c r="M776" s="20" t="n">
        <v>1</v>
      </c>
      <c r="N776" s="8" t="n">
        <f aca="false">IFERROR(M776/J776,0)</f>
        <v>0.142857142857143</v>
      </c>
    </row>
    <row r="777" customFormat="false" ht="15" hidden="false" customHeight="false" outlineLevel="0" collapsed="false">
      <c r="A777" s="17" t="s">
        <v>17</v>
      </c>
      <c r="B777" s="17" t="s">
        <v>62</v>
      </c>
      <c r="C777" s="17" t="s">
        <v>66</v>
      </c>
      <c r="D777" s="17" t="s">
        <v>60</v>
      </c>
      <c r="E777" s="17" t="s">
        <v>2401</v>
      </c>
      <c r="F777" s="17" t="s">
        <v>169</v>
      </c>
      <c r="G777" s="17" t="s">
        <v>315</v>
      </c>
      <c r="H777" s="17" t="s">
        <v>2402</v>
      </c>
      <c r="I777" s="20" t="n">
        <v>364</v>
      </c>
      <c r="J777" s="20" t="n">
        <v>3</v>
      </c>
      <c r="K777" s="25" t="n">
        <f aca="false">IFERROR(J777/I777,0)</f>
        <v>0.00824175824175824</v>
      </c>
      <c r="L777" s="19" t="n">
        <v>1.5</v>
      </c>
      <c r="M777" s="20" t="n">
        <v>0</v>
      </c>
      <c r="N777" s="8" t="n">
        <f aca="false">IFERROR(M777/J777,0)</f>
        <v>0</v>
      </c>
    </row>
    <row r="778" customFormat="false" ht="15" hidden="false" customHeight="false" outlineLevel="0" collapsed="false">
      <c r="A778" s="17" t="s">
        <v>17</v>
      </c>
      <c r="B778" s="17" t="s">
        <v>62</v>
      </c>
      <c r="C778" s="17" t="s">
        <v>66</v>
      </c>
      <c r="D778" s="17" t="s">
        <v>66</v>
      </c>
      <c r="E778" s="17" t="s">
        <v>2403</v>
      </c>
      <c r="F778" s="17" t="s">
        <v>146</v>
      </c>
      <c r="G778" s="17" t="s">
        <v>315</v>
      </c>
      <c r="H778" s="17" t="s">
        <v>2404</v>
      </c>
      <c r="I778" s="20" t="n">
        <v>340</v>
      </c>
      <c r="J778" s="20" t="n">
        <v>8</v>
      </c>
      <c r="K778" s="25" t="n">
        <f aca="false">IFERROR(J778/I778,0)</f>
        <v>0.0235294117647059</v>
      </c>
      <c r="L778" s="19" t="n">
        <v>16.35</v>
      </c>
      <c r="M778" s="20" t="n">
        <v>0</v>
      </c>
      <c r="N778" s="8" t="n">
        <f aca="false">IFERROR(M778/J778,0)</f>
        <v>0</v>
      </c>
    </row>
    <row r="779" customFormat="false" ht="15" hidden="false" customHeight="false" outlineLevel="0" collapsed="false">
      <c r="A779" s="17" t="s">
        <v>17</v>
      </c>
      <c r="B779" s="17" t="s">
        <v>62</v>
      </c>
      <c r="C779" s="17" t="s">
        <v>60</v>
      </c>
      <c r="D779" s="17" t="s">
        <v>66</v>
      </c>
      <c r="E779" s="17" t="s">
        <v>2405</v>
      </c>
      <c r="F779" s="17" t="s">
        <v>140</v>
      </c>
      <c r="G779" s="17" t="s">
        <v>315</v>
      </c>
      <c r="H779" s="17" t="s">
        <v>2406</v>
      </c>
      <c r="I779" s="20" t="n">
        <v>338</v>
      </c>
      <c r="J779" s="20" t="n">
        <v>22</v>
      </c>
      <c r="K779" s="25" t="n">
        <f aca="false">IFERROR(J779/I779,0)</f>
        <v>0.0650887573964497</v>
      </c>
      <c r="L779" s="19" t="n">
        <v>50.71</v>
      </c>
      <c r="M779" s="20" t="n">
        <v>0</v>
      </c>
      <c r="N779" s="8" t="n">
        <f aca="false">IFERROR(M779/J779,0)</f>
        <v>0</v>
      </c>
    </row>
    <row r="780" customFormat="false" ht="15" hidden="false" customHeight="false" outlineLevel="0" collapsed="false">
      <c r="A780" s="17" t="s">
        <v>17</v>
      </c>
      <c r="B780" s="17" t="s">
        <v>62</v>
      </c>
      <c r="C780" s="17" t="s">
        <v>60</v>
      </c>
      <c r="D780" s="17" t="s">
        <v>66</v>
      </c>
      <c r="E780" s="17" t="s">
        <v>2407</v>
      </c>
      <c r="F780" s="17" t="s">
        <v>140</v>
      </c>
      <c r="G780" s="17" t="s">
        <v>315</v>
      </c>
      <c r="H780" s="17" t="s">
        <v>2408</v>
      </c>
      <c r="I780" s="20" t="n">
        <v>297</v>
      </c>
      <c r="J780" s="20" t="n">
        <v>14</v>
      </c>
      <c r="K780" s="25" t="n">
        <f aca="false">IFERROR(J780/I780,0)</f>
        <v>0.0471380471380471</v>
      </c>
      <c r="L780" s="19" t="n">
        <v>41.92</v>
      </c>
      <c r="M780" s="20" t="n">
        <v>0</v>
      </c>
      <c r="N780" s="8" t="n">
        <f aca="false">IFERROR(M780/J780,0)</f>
        <v>0</v>
      </c>
    </row>
    <row r="781" customFormat="false" ht="15" hidden="false" customHeight="false" outlineLevel="0" collapsed="false">
      <c r="A781" s="17" t="s">
        <v>17</v>
      </c>
      <c r="B781" s="17" t="s">
        <v>62</v>
      </c>
      <c r="C781" s="17" t="s">
        <v>60</v>
      </c>
      <c r="D781" s="17" t="s">
        <v>66</v>
      </c>
      <c r="E781" s="17" t="s">
        <v>2409</v>
      </c>
      <c r="F781" s="17" t="s">
        <v>140</v>
      </c>
      <c r="G781" s="17" t="s">
        <v>315</v>
      </c>
      <c r="H781" s="17" t="s">
        <v>2410</v>
      </c>
      <c r="I781" s="20" t="n">
        <v>290</v>
      </c>
      <c r="J781" s="20" t="n">
        <v>2</v>
      </c>
      <c r="K781" s="25" t="n">
        <f aca="false">IFERROR(J781/I781,0)</f>
        <v>0.00689655172413793</v>
      </c>
      <c r="L781" s="19" t="n">
        <v>3.21</v>
      </c>
      <c r="M781" s="20" t="n">
        <v>1</v>
      </c>
      <c r="N781" s="8" t="n">
        <f aca="false">IFERROR(M781/J781,0)</f>
        <v>0.5</v>
      </c>
    </row>
    <row r="782" customFormat="false" ht="15" hidden="false" customHeight="false" outlineLevel="0" collapsed="false">
      <c r="A782" s="17" t="s">
        <v>17</v>
      </c>
      <c r="B782" s="17" t="s">
        <v>62</v>
      </c>
      <c r="C782" s="17" t="s">
        <v>60</v>
      </c>
      <c r="D782" s="17" t="s">
        <v>66</v>
      </c>
      <c r="E782" s="17" t="s">
        <v>2411</v>
      </c>
      <c r="F782" s="17" t="s">
        <v>140</v>
      </c>
      <c r="G782" s="17" t="s">
        <v>315</v>
      </c>
      <c r="H782" s="17" t="s">
        <v>2412</v>
      </c>
      <c r="I782" s="20" t="n">
        <v>286</v>
      </c>
      <c r="J782" s="20" t="n">
        <v>4</v>
      </c>
      <c r="K782" s="25" t="n">
        <f aca="false">IFERROR(J782/I782,0)</f>
        <v>0.013986013986014</v>
      </c>
      <c r="L782" s="19" t="n">
        <v>8.09</v>
      </c>
      <c r="M782" s="20" t="n">
        <v>0</v>
      </c>
      <c r="N782" s="8" t="n">
        <f aca="false">IFERROR(M782/J782,0)</f>
        <v>0</v>
      </c>
    </row>
    <row r="783" customFormat="false" ht="15" hidden="false" customHeight="false" outlineLevel="0" collapsed="false">
      <c r="A783" s="17" t="s">
        <v>17</v>
      </c>
      <c r="B783" s="17" t="s">
        <v>62</v>
      </c>
      <c r="C783" s="17" t="s">
        <v>66</v>
      </c>
      <c r="D783" s="17" t="s">
        <v>66</v>
      </c>
      <c r="E783" s="17" t="s">
        <v>2413</v>
      </c>
      <c r="F783" s="17" t="s">
        <v>146</v>
      </c>
      <c r="G783" s="17" t="s">
        <v>351</v>
      </c>
      <c r="H783" s="17" t="s">
        <v>2314</v>
      </c>
      <c r="I783" s="20" t="n">
        <v>277</v>
      </c>
      <c r="J783" s="20" t="n">
        <v>2</v>
      </c>
      <c r="K783" s="25" t="n">
        <f aca="false">IFERROR(J783/I783,0)</f>
        <v>0.0072202166064982</v>
      </c>
      <c r="L783" s="19" t="n">
        <v>0.88</v>
      </c>
      <c r="M783" s="20" t="n">
        <v>0</v>
      </c>
      <c r="N783" s="8" t="n">
        <f aca="false">IFERROR(M783/J783,0)</f>
        <v>0</v>
      </c>
    </row>
    <row r="784" customFormat="false" ht="15" hidden="false" customHeight="false" outlineLevel="0" collapsed="false">
      <c r="A784" s="17" t="s">
        <v>17</v>
      </c>
      <c r="B784" s="17" t="s">
        <v>62</v>
      </c>
      <c r="C784" s="17" t="s">
        <v>60</v>
      </c>
      <c r="D784" s="17" t="s">
        <v>60</v>
      </c>
      <c r="E784" s="17" t="s">
        <v>2414</v>
      </c>
      <c r="F784" s="17" t="s">
        <v>140</v>
      </c>
      <c r="G784" s="17" t="s">
        <v>315</v>
      </c>
      <c r="H784" s="17" t="s">
        <v>2415</v>
      </c>
      <c r="I784" s="20" t="n">
        <v>263</v>
      </c>
      <c r="J784" s="20" t="n">
        <v>5</v>
      </c>
      <c r="K784" s="25" t="n">
        <f aca="false">IFERROR(J784/I784,0)</f>
        <v>0.0190114068441065</v>
      </c>
      <c r="L784" s="19" t="n">
        <v>9.14</v>
      </c>
      <c r="M784" s="20" t="n">
        <v>2</v>
      </c>
      <c r="N784" s="8" t="n">
        <f aca="false">IFERROR(M784/J784,0)</f>
        <v>0.4</v>
      </c>
    </row>
    <row r="785" customFormat="false" ht="15" hidden="false" customHeight="false" outlineLevel="0" collapsed="false">
      <c r="A785" s="17" t="s">
        <v>17</v>
      </c>
      <c r="B785" s="17" t="s">
        <v>62</v>
      </c>
      <c r="C785" s="17" t="s">
        <v>66</v>
      </c>
      <c r="D785" s="17" t="s">
        <v>60</v>
      </c>
      <c r="E785" s="17" t="s">
        <v>2416</v>
      </c>
      <c r="F785" s="17" t="s">
        <v>676</v>
      </c>
      <c r="G785" s="17" t="s">
        <v>315</v>
      </c>
      <c r="H785" s="17" t="s">
        <v>2417</v>
      </c>
      <c r="I785" s="20" t="n">
        <v>246</v>
      </c>
      <c r="J785" s="20" t="n">
        <v>0</v>
      </c>
      <c r="K785" s="25" t="n">
        <f aca="false">IFERROR(J785/I785,0)</f>
        <v>0</v>
      </c>
      <c r="L785" s="19" t="n">
        <v>0</v>
      </c>
      <c r="M785" s="20" t="n">
        <v>0</v>
      </c>
      <c r="N785" s="8" t="n">
        <f aca="false">IFERROR(M785/J785,0)</f>
        <v>0</v>
      </c>
    </row>
    <row r="786" customFormat="false" ht="15" hidden="false" customHeight="false" outlineLevel="0" collapsed="false">
      <c r="A786" s="17" t="s">
        <v>17</v>
      </c>
      <c r="B786" s="17" t="s">
        <v>62</v>
      </c>
      <c r="C786" s="17" t="s">
        <v>60</v>
      </c>
      <c r="D786" s="17" t="s">
        <v>66</v>
      </c>
      <c r="E786" s="17" t="s">
        <v>2418</v>
      </c>
      <c r="F786" s="17" t="s">
        <v>140</v>
      </c>
      <c r="G786" s="17" t="s">
        <v>315</v>
      </c>
      <c r="H786" s="17" t="s">
        <v>2419</v>
      </c>
      <c r="I786" s="20" t="n">
        <v>241</v>
      </c>
      <c r="J786" s="20" t="n">
        <v>1</v>
      </c>
      <c r="K786" s="25" t="n">
        <f aca="false">IFERROR(J786/I786,0)</f>
        <v>0.004149377593361</v>
      </c>
      <c r="L786" s="19" t="n">
        <v>1.9</v>
      </c>
      <c r="M786" s="20" t="n">
        <v>0</v>
      </c>
      <c r="N786" s="8" t="n">
        <f aca="false">IFERROR(M786/J786,0)</f>
        <v>0</v>
      </c>
    </row>
    <row r="787" customFormat="false" ht="15" hidden="false" customHeight="false" outlineLevel="0" collapsed="false">
      <c r="A787" s="17" t="s">
        <v>17</v>
      </c>
      <c r="B787" s="17" t="s">
        <v>62</v>
      </c>
      <c r="C787" s="17" t="s">
        <v>60</v>
      </c>
      <c r="D787" s="17" t="s">
        <v>66</v>
      </c>
      <c r="E787" s="17" t="s">
        <v>2420</v>
      </c>
      <c r="F787" s="17" t="s">
        <v>140</v>
      </c>
      <c r="G787" s="17" t="s">
        <v>315</v>
      </c>
      <c r="H787" s="17" t="s">
        <v>2421</v>
      </c>
      <c r="I787" s="20" t="n">
        <v>237</v>
      </c>
      <c r="J787" s="20" t="n">
        <v>2</v>
      </c>
      <c r="K787" s="25" t="n">
        <f aca="false">IFERROR(J787/I787,0)</f>
        <v>0.00843881856540084</v>
      </c>
      <c r="L787" s="19" t="n">
        <v>3.66</v>
      </c>
      <c r="M787" s="20" t="n">
        <v>0</v>
      </c>
      <c r="N787" s="8" t="n">
        <f aca="false">IFERROR(M787/J787,0)</f>
        <v>0</v>
      </c>
    </row>
    <row r="788" customFormat="false" ht="15" hidden="false" customHeight="false" outlineLevel="0" collapsed="false">
      <c r="A788" s="17" t="s">
        <v>17</v>
      </c>
      <c r="B788" s="17" t="s">
        <v>62</v>
      </c>
      <c r="C788" s="17" t="s">
        <v>60</v>
      </c>
      <c r="D788" s="17" t="s">
        <v>66</v>
      </c>
      <c r="E788" s="17" t="s">
        <v>2422</v>
      </c>
      <c r="F788" s="17" t="s">
        <v>140</v>
      </c>
      <c r="G788" s="17" t="s">
        <v>315</v>
      </c>
      <c r="H788" s="17" t="s">
        <v>2423</v>
      </c>
      <c r="I788" s="20" t="n">
        <v>222</v>
      </c>
      <c r="J788" s="20" t="n">
        <v>2</v>
      </c>
      <c r="K788" s="25" t="n">
        <f aca="false">IFERROR(J788/I788,0)</f>
        <v>0.00900900900900901</v>
      </c>
      <c r="L788" s="19" t="n">
        <v>3.42</v>
      </c>
      <c r="M788" s="20" t="n">
        <v>0</v>
      </c>
      <c r="N788" s="8" t="n">
        <f aca="false">IFERROR(M788/J788,0)</f>
        <v>0</v>
      </c>
    </row>
    <row r="789" customFormat="false" ht="15" hidden="false" customHeight="false" outlineLevel="0" collapsed="false">
      <c r="A789" s="17" t="s">
        <v>17</v>
      </c>
      <c r="B789" s="17" t="s">
        <v>62</v>
      </c>
      <c r="C789" s="17" t="s">
        <v>60</v>
      </c>
      <c r="D789" s="17" t="s">
        <v>66</v>
      </c>
      <c r="E789" s="17" t="s">
        <v>647</v>
      </c>
      <c r="F789" s="17" t="s">
        <v>140</v>
      </c>
      <c r="G789" s="17" t="s">
        <v>315</v>
      </c>
      <c r="H789" s="17" t="s">
        <v>2298</v>
      </c>
      <c r="I789" s="20" t="n">
        <v>188</v>
      </c>
      <c r="J789" s="20" t="n">
        <v>11</v>
      </c>
      <c r="K789" s="25" t="n">
        <f aca="false">IFERROR(J789/I789,0)</f>
        <v>0.0585106382978723</v>
      </c>
      <c r="L789" s="19" t="n">
        <v>20.06</v>
      </c>
      <c r="M789" s="20" t="n">
        <v>0</v>
      </c>
      <c r="N789" s="8" t="n">
        <f aca="false">IFERROR(M789/J789,0)</f>
        <v>0</v>
      </c>
    </row>
    <row r="790" customFormat="false" ht="15" hidden="false" customHeight="false" outlineLevel="0" collapsed="false">
      <c r="A790" s="17" t="s">
        <v>17</v>
      </c>
      <c r="B790" s="17" t="s">
        <v>62</v>
      </c>
      <c r="C790" s="17" t="s">
        <v>60</v>
      </c>
      <c r="D790" s="17" t="s">
        <v>66</v>
      </c>
      <c r="E790" s="17" t="s">
        <v>2424</v>
      </c>
      <c r="F790" s="17" t="s">
        <v>660</v>
      </c>
      <c r="G790" s="17" t="s">
        <v>315</v>
      </c>
      <c r="H790" s="17" t="s">
        <v>2425</v>
      </c>
      <c r="I790" s="20" t="n">
        <v>174</v>
      </c>
      <c r="J790" s="20" t="n">
        <v>0</v>
      </c>
      <c r="K790" s="25" t="n">
        <f aca="false">IFERROR(J790/I790,0)</f>
        <v>0</v>
      </c>
      <c r="L790" s="19" t="n">
        <v>0</v>
      </c>
      <c r="M790" s="20" t="n">
        <v>0</v>
      </c>
      <c r="N790" s="8" t="n">
        <f aca="false">IFERROR(M790/J790,0)</f>
        <v>0</v>
      </c>
    </row>
    <row r="791" customFormat="false" ht="15" hidden="false" customHeight="false" outlineLevel="0" collapsed="false">
      <c r="A791" s="17" t="s">
        <v>17</v>
      </c>
      <c r="B791" s="17" t="s">
        <v>62</v>
      </c>
      <c r="C791" s="17" t="s">
        <v>60</v>
      </c>
      <c r="D791" s="17" t="s">
        <v>66</v>
      </c>
      <c r="E791" s="17" t="s">
        <v>2426</v>
      </c>
      <c r="F791" s="17" t="s">
        <v>140</v>
      </c>
      <c r="G791" s="17" t="s">
        <v>315</v>
      </c>
      <c r="H791" s="17" t="s">
        <v>2427</v>
      </c>
      <c r="I791" s="20" t="n">
        <v>172</v>
      </c>
      <c r="J791" s="20" t="n">
        <v>2</v>
      </c>
      <c r="K791" s="25" t="n">
        <f aca="false">IFERROR(J791/I791,0)</f>
        <v>0.0116279069767442</v>
      </c>
      <c r="L791" s="19" t="n">
        <v>3.41</v>
      </c>
      <c r="M791" s="20" t="n">
        <v>0</v>
      </c>
      <c r="N791" s="8" t="n">
        <f aca="false">IFERROR(M791/J791,0)</f>
        <v>0</v>
      </c>
    </row>
    <row r="792" customFormat="false" ht="15" hidden="false" customHeight="false" outlineLevel="0" collapsed="false">
      <c r="A792" s="17" t="s">
        <v>17</v>
      </c>
      <c r="B792" s="17" t="s">
        <v>62</v>
      </c>
      <c r="C792" s="17" t="s">
        <v>60</v>
      </c>
      <c r="D792" s="17" t="s">
        <v>66</v>
      </c>
      <c r="E792" s="17" t="s">
        <v>2428</v>
      </c>
      <c r="F792" s="17" t="s">
        <v>140</v>
      </c>
      <c r="G792" s="17" t="s">
        <v>315</v>
      </c>
      <c r="H792" s="17" t="s">
        <v>2429</v>
      </c>
      <c r="I792" s="20" t="n">
        <v>166</v>
      </c>
      <c r="J792" s="20" t="n">
        <v>4</v>
      </c>
      <c r="K792" s="25" t="n">
        <f aca="false">IFERROR(J792/I792,0)</f>
        <v>0.0240963855421687</v>
      </c>
      <c r="L792" s="19" t="n">
        <v>7.37</v>
      </c>
      <c r="M792" s="20" t="n">
        <v>0</v>
      </c>
      <c r="N792" s="8" t="n">
        <f aca="false">IFERROR(M792/J792,0)</f>
        <v>0</v>
      </c>
    </row>
    <row r="793" customFormat="false" ht="15" hidden="false" customHeight="false" outlineLevel="0" collapsed="false">
      <c r="A793" s="17" t="s">
        <v>17</v>
      </c>
      <c r="B793" s="17" t="s">
        <v>62</v>
      </c>
      <c r="C793" s="17" t="s">
        <v>60</v>
      </c>
      <c r="D793" s="17" t="s">
        <v>60</v>
      </c>
      <c r="E793" s="17" t="s">
        <v>685</v>
      </c>
      <c r="F793" s="17" t="s">
        <v>140</v>
      </c>
      <c r="G793" s="17" t="s">
        <v>315</v>
      </c>
      <c r="H793" s="17" t="s">
        <v>2430</v>
      </c>
      <c r="I793" s="20" t="n">
        <v>150</v>
      </c>
      <c r="J793" s="20" t="n">
        <v>12</v>
      </c>
      <c r="K793" s="25" t="n">
        <f aca="false">IFERROR(J793/I793,0)</f>
        <v>0.08</v>
      </c>
      <c r="L793" s="19" t="n">
        <v>21.84</v>
      </c>
      <c r="M793" s="20" t="n">
        <v>3</v>
      </c>
      <c r="N793" s="8" t="n">
        <f aca="false">IFERROR(M793/J793,0)</f>
        <v>0.25</v>
      </c>
    </row>
    <row r="794" customFormat="false" ht="15" hidden="false" customHeight="false" outlineLevel="0" collapsed="false">
      <c r="A794" s="17" t="s">
        <v>17</v>
      </c>
      <c r="B794" s="17" t="s">
        <v>62</v>
      </c>
      <c r="C794" s="17" t="s">
        <v>66</v>
      </c>
      <c r="D794" s="17" t="s">
        <v>60</v>
      </c>
      <c r="E794" s="17" t="s">
        <v>2431</v>
      </c>
      <c r="F794" s="17" t="s">
        <v>147</v>
      </c>
      <c r="G794" s="17" t="s">
        <v>315</v>
      </c>
      <c r="H794" s="17" t="s">
        <v>2432</v>
      </c>
      <c r="I794" s="20" t="n">
        <v>147</v>
      </c>
      <c r="J794" s="20" t="n">
        <v>2</v>
      </c>
      <c r="K794" s="25" t="n">
        <f aca="false">IFERROR(J794/I794,0)</f>
        <v>0.0136054421768707</v>
      </c>
      <c r="L794" s="19" t="n">
        <v>3.8</v>
      </c>
      <c r="M794" s="20" t="n">
        <v>1</v>
      </c>
      <c r="N794" s="8" t="n">
        <f aca="false">IFERROR(M794/J794,0)</f>
        <v>0.5</v>
      </c>
    </row>
    <row r="795" customFormat="false" ht="15" hidden="false" customHeight="false" outlineLevel="0" collapsed="false">
      <c r="A795" s="17" t="s">
        <v>17</v>
      </c>
      <c r="B795" s="17" t="s">
        <v>62</v>
      </c>
      <c r="C795" s="17" t="s">
        <v>60</v>
      </c>
      <c r="D795" s="17" t="s">
        <v>66</v>
      </c>
      <c r="E795" s="17" t="s">
        <v>2433</v>
      </c>
      <c r="F795" s="17" t="s">
        <v>140</v>
      </c>
      <c r="G795" s="17" t="s">
        <v>315</v>
      </c>
      <c r="H795" s="17" t="s">
        <v>2434</v>
      </c>
      <c r="I795" s="20" t="n">
        <v>141</v>
      </c>
      <c r="J795" s="20" t="n">
        <v>3</v>
      </c>
      <c r="K795" s="25" t="n">
        <f aca="false">IFERROR(J795/I795,0)</f>
        <v>0.0212765957446809</v>
      </c>
      <c r="L795" s="19" t="n">
        <v>6.32</v>
      </c>
      <c r="M795" s="20" t="n">
        <v>1</v>
      </c>
      <c r="N795" s="8" t="n">
        <f aca="false">IFERROR(M795/J795,0)</f>
        <v>0.333333333333333</v>
      </c>
    </row>
    <row r="796" customFormat="false" ht="15" hidden="false" customHeight="false" outlineLevel="0" collapsed="false">
      <c r="A796" s="17" t="s">
        <v>17</v>
      </c>
      <c r="B796" s="17" t="s">
        <v>62</v>
      </c>
      <c r="C796" s="17" t="s">
        <v>66</v>
      </c>
      <c r="D796" s="17" t="s">
        <v>60</v>
      </c>
      <c r="E796" s="17" t="s">
        <v>2435</v>
      </c>
      <c r="F796" s="17" t="s">
        <v>169</v>
      </c>
      <c r="G796" s="17" t="s">
        <v>315</v>
      </c>
      <c r="H796" s="17" t="s">
        <v>2436</v>
      </c>
      <c r="I796" s="20" t="n">
        <v>141</v>
      </c>
      <c r="J796" s="20" t="n">
        <v>0</v>
      </c>
      <c r="K796" s="25" t="n">
        <f aca="false">IFERROR(J796/I796,0)</f>
        <v>0</v>
      </c>
      <c r="L796" s="19" t="n">
        <v>0</v>
      </c>
      <c r="M796" s="20" t="n">
        <v>0</v>
      </c>
      <c r="N796" s="8" t="n">
        <f aca="false">IFERROR(M796/J796,0)</f>
        <v>0</v>
      </c>
    </row>
    <row r="797" customFormat="false" ht="15" hidden="false" customHeight="false" outlineLevel="0" collapsed="false">
      <c r="A797" s="17" t="s">
        <v>17</v>
      </c>
      <c r="B797" s="17" t="s">
        <v>62</v>
      </c>
      <c r="C797" s="17" t="s">
        <v>60</v>
      </c>
      <c r="D797" s="17" t="s">
        <v>60</v>
      </c>
      <c r="E797" s="17" t="s">
        <v>2437</v>
      </c>
      <c r="F797" s="17" t="s">
        <v>140</v>
      </c>
      <c r="G797" s="17" t="s">
        <v>315</v>
      </c>
      <c r="H797" s="17" t="s">
        <v>2438</v>
      </c>
      <c r="I797" s="20" t="n">
        <v>139</v>
      </c>
      <c r="J797" s="20" t="n">
        <v>2</v>
      </c>
      <c r="K797" s="25" t="n">
        <f aca="false">IFERROR(J797/I797,0)</f>
        <v>0.0143884892086331</v>
      </c>
      <c r="L797" s="19" t="n">
        <v>2.84</v>
      </c>
      <c r="M797" s="20" t="n">
        <v>0</v>
      </c>
      <c r="N797" s="8" t="n">
        <f aca="false">IFERROR(M797/J797,0)</f>
        <v>0</v>
      </c>
    </row>
    <row r="798" customFormat="false" ht="15" hidden="false" customHeight="false" outlineLevel="0" collapsed="false">
      <c r="A798" s="17" t="s">
        <v>17</v>
      </c>
      <c r="B798" s="17" t="s">
        <v>62</v>
      </c>
      <c r="C798" s="17" t="s">
        <v>60</v>
      </c>
      <c r="D798" s="17" t="s">
        <v>66</v>
      </c>
      <c r="E798" s="17" t="s">
        <v>2439</v>
      </c>
      <c r="F798" s="17" t="s">
        <v>140</v>
      </c>
      <c r="G798" s="17" t="s">
        <v>315</v>
      </c>
      <c r="H798" s="17" t="s">
        <v>2440</v>
      </c>
      <c r="I798" s="20" t="n">
        <v>136</v>
      </c>
      <c r="J798" s="20" t="n">
        <v>6</v>
      </c>
      <c r="K798" s="25" t="n">
        <f aca="false">IFERROR(J798/I798,0)</f>
        <v>0.0441176470588235</v>
      </c>
      <c r="L798" s="19" t="n">
        <v>10.16</v>
      </c>
      <c r="M798" s="20" t="n">
        <v>0</v>
      </c>
      <c r="N798" s="8" t="n">
        <f aca="false">IFERROR(M798/J798,0)</f>
        <v>0</v>
      </c>
    </row>
    <row r="799" customFormat="false" ht="15" hidden="false" customHeight="false" outlineLevel="0" collapsed="false">
      <c r="A799" s="17" t="s">
        <v>17</v>
      </c>
      <c r="B799" s="17" t="s">
        <v>62</v>
      </c>
      <c r="C799" s="17" t="s">
        <v>66</v>
      </c>
      <c r="D799" s="17" t="s">
        <v>60</v>
      </c>
      <c r="E799" s="17" t="s">
        <v>2441</v>
      </c>
      <c r="F799" s="17" t="s">
        <v>2442</v>
      </c>
      <c r="G799" s="17" t="s">
        <v>315</v>
      </c>
      <c r="H799" s="17" t="s">
        <v>2443</v>
      </c>
      <c r="I799" s="20" t="n">
        <v>127</v>
      </c>
      <c r="J799" s="20" t="n">
        <v>3</v>
      </c>
      <c r="K799" s="25" t="n">
        <f aca="false">IFERROR(J799/I799,0)</f>
        <v>0.0236220472440945</v>
      </c>
      <c r="L799" s="19" t="n">
        <v>3.74</v>
      </c>
      <c r="M799" s="20" t="n">
        <v>0</v>
      </c>
      <c r="N799" s="8" t="n">
        <f aca="false">IFERROR(M799/J799,0)</f>
        <v>0</v>
      </c>
    </row>
    <row r="800" customFormat="false" ht="15" hidden="false" customHeight="false" outlineLevel="0" collapsed="false">
      <c r="A800" s="17" t="s">
        <v>17</v>
      </c>
      <c r="B800" s="17" t="s">
        <v>62</v>
      </c>
      <c r="C800" s="17" t="s">
        <v>60</v>
      </c>
      <c r="D800" s="17" t="s">
        <v>66</v>
      </c>
      <c r="E800" s="17" t="s">
        <v>2444</v>
      </c>
      <c r="F800" s="17" t="s">
        <v>140</v>
      </c>
      <c r="G800" s="17" t="s">
        <v>315</v>
      </c>
      <c r="H800" s="17" t="s">
        <v>2445</v>
      </c>
      <c r="I800" s="20" t="n">
        <v>124</v>
      </c>
      <c r="J800" s="20" t="n">
        <v>1</v>
      </c>
      <c r="K800" s="25" t="n">
        <f aca="false">IFERROR(J800/I800,0)</f>
        <v>0.00806451612903226</v>
      </c>
      <c r="L800" s="19" t="n">
        <v>2.23</v>
      </c>
      <c r="M800" s="20" t="n">
        <v>0</v>
      </c>
      <c r="N800" s="8" t="n">
        <f aca="false">IFERROR(M800/J800,0)</f>
        <v>0</v>
      </c>
    </row>
    <row r="801" customFormat="false" ht="15" hidden="false" customHeight="false" outlineLevel="0" collapsed="false">
      <c r="A801" s="17" t="s">
        <v>17</v>
      </c>
      <c r="B801" s="17" t="s">
        <v>62</v>
      </c>
      <c r="C801" s="17" t="s">
        <v>60</v>
      </c>
      <c r="D801" s="17" t="s">
        <v>66</v>
      </c>
      <c r="E801" s="17" t="s">
        <v>2446</v>
      </c>
      <c r="F801" s="17" t="s">
        <v>140</v>
      </c>
      <c r="G801" s="17" t="s">
        <v>315</v>
      </c>
      <c r="H801" s="17" t="s">
        <v>2447</v>
      </c>
      <c r="I801" s="20" t="n">
        <v>124</v>
      </c>
      <c r="J801" s="20" t="n">
        <v>1</v>
      </c>
      <c r="K801" s="25" t="n">
        <f aca="false">IFERROR(J801/I801,0)</f>
        <v>0.00806451612903226</v>
      </c>
      <c r="L801" s="19" t="n">
        <v>1.31</v>
      </c>
      <c r="M801" s="20" t="n">
        <v>0</v>
      </c>
      <c r="N801" s="8" t="n">
        <f aca="false">IFERROR(M801/J801,0)</f>
        <v>0</v>
      </c>
    </row>
    <row r="802" customFormat="false" ht="15" hidden="false" customHeight="false" outlineLevel="0" collapsed="false">
      <c r="A802" s="17" t="s">
        <v>17</v>
      </c>
      <c r="B802" s="17" t="s">
        <v>62</v>
      </c>
      <c r="C802" s="17" t="s">
        <v>66</v>
      </c>
      <c r="D802" s="17" t="s">
        <v>60</v>
      </c>
      <c r="E802" s="17" t="s">
        <v>2448</v>
      </c>
      <c r="F802" s="17" t="s">
        <v>169</v>
      </c>
      <c r="G802" s="17" t="s">
        <v>315</v>
      </c>
      <c r="H802" s="17" t="s">
        <v>2449</v>
      </c>
      <c r="I802" s="20" t="n">
        <v>124</v>
      </c>
      <c r="J802" s="20" t="n">
        <v>1</v>
      </c>
      <c r="K802" s="25" t="n">
        <f aca="false">IFERROR(J802/I802,0)</f>
        <v>0.00806451612903226</v>
      </c>
      <c r="L802" s="19" t="n">
        <v>0.18</v>
      </c>
      <c r="M802" s="20" t="n">
        <v>0</v>
      </c>
      <c r="N802" s="8" t="n">
        <f aca="false">IFERROR(M802/J802,0)</f>
        <v>0</v>
      </c>
    </row>
    <row r="803" customFormat="false" ht="15" hidden="false" customHeight="false" outlineLevel="0" collapsed="false">
      <c r="A803" s="17" t="s">
        <v>17</v>
      </c>
      <c r="B803" s="17" t="s">
        <v>62</v>
      </c>
      <c r="C803" s="17" t="s">
        <v>66</v>
      </c>
      <c r="D803" s="17" t="s">
        <v>60</v>
      </c>
      <c r="E803" s="17" t="s">
        <v>2450</v>
      </c>
      <c r="F803" s="17" t="s">
        <v>146</v>
      </c>
      <c r="G803" s="17" t="s">
        <v>315</v>
      </c>
      <c r="H803" s="17" t="s">
        <v>2451</v>
      </c>
      <c r="I803" s="20" t="n">
        <v>122</v>
      </c>
      <c r="J803" s="20" t="n">
        <v>2</v>
      </c>
      <c r="K803" s="25" t="n">
        <f aca="false">IFERROR(J803/I803,0)</f>
        <v>0.0163934426229508</v>
      </c>
      <c r="L803" s="19" t="n">
        <v>3.56</v>
      </c>
      <c r="M803" s="20" t="n">
        <v>1</v>
      </c>
      <c r="N803" s="8" t="n">
        <f aca="false">IFERROR(M803/J803,0)</f>
        <v>0.5</v>
      </c>
    </row>
    <row r="804" customFormat="false" ht="15" hidden="false" customHeight="false" outlineLevel="0" collapsed="false">
      <c r="A804" s="17" t="s">
        <v>17</v>
      </c>
      <c r="B804" s="17" t="s">
        <v>62</v>
      </c>
      <c r="C804" s="17" t="s">
        <v>60</v>
      </c>
      <c r="D804" s="17" t="s">
        <v>66</v>
      </c>
      <c r="E804" s="17" t="s">
        <v>659</v>
      </c>
      <c r="F804" s="17" t="s">
        <v>660</v>
      </c>
      <c r="G804" s="17" t="s">
        <v>315</v>
      </c>
      <c r="H804" s="17" t="s">
        <v>2452</v>
      </c>
      <c r="I804" s="20" t="n">
        <v>120</v>
      </c>
      <c r="J804" s="20" t="n">
        <v>2</v>
      </c>
      <c r="K804" s="25" t="n">
        <f aca="false">IFERROR(J804/I804,0)</f>
        <v>0.0166666666666667</v>
      </c>
      <c r="L804" s="19" t="n">
        <v>3.08</v>
      </c>
      <c r="M804" s="20" t="n">
        <v>0</v>
      </c>
      <c r="N804" s="8" t="n">
        <f aca="false">IFERROR(M804/J804,0)</f>
        <v>0</v>
      </c>
    </row>
    <row r="805" customFormat="false" ht="15" hidden="false" customHeight="false" outlineLevel="0" collapsed="false">
      <c r="A805" s="17" t="s">
        <v>17</v>
      </c>
      <c r="B805" s="17" t="s">
        <v>62</v>
      </c>
      <c r="C805" s="17" t="s">
        <v>66</v>
      </c>
      <c r="D805" s="17" t="s">
        <v>60</v>
      </c>
      <c r="E805" s="17" t="s">
        <v>2453</v>
      </c>
      <c r="F805" s="17" t="s">
        <v>221</v>
      </c>
      <c r="G805" s="17" t="s">
        <v>351</v>
      </c>
      <c r="H805" s="17" t="s">
        <v>2454</v>
      </c>
      <c r="I805" s="20" t="n">
        <v>119</v>
      </c>
      <c r="J805" s="20" t="n">
        <v>0</v>
      </c>
      <c r="K805" s="25" t="n">
        <f aca="false">IFERROR(J805/I805,0)</f>
        <v>0</v>
      </c>
      <c r="L805" s="19" t="n">
        <v>0</v>
      </c>
      <c r="M805" s="20" t="n">
        <v>0</v>
      </c>
      <c r="N805" s="8" t="n">
        <f aca="false">IFERROR(M805/J805,0)</f>
        <v>0</v>
      </c>
    </row>
    <row r="806" customFormat="false" ht="15" hidden="false" customHeight="false" outlineLevel="0" collapsed="false">
      <c r="A806" s="17" t="s">
        <v>17</v>
      </c>
      <c r="B806" s="17" t="s">
        <v>62</v>
      </c>
      <c r="C806" s="17" t="s">
        <v>60</v>
      </c>
      <c r="D806" s="17" t="s">
        <v>66</v>
      </c>
      <c r="E806" s="17" t="s">
        <v>2455</v>
      </c>
      <c r="F806" s="17" t="s">
        <v>140</v>
      </c>
      <c r="G806" s="17" t="s">
        <v>315</v>
      </c>
      <c r="H806" s="17" t="s">
        <v>2456</v>
      </c>
      <c r="I806" s="20" t="n">
        <v>115</v>
      </c>
      <c r="J806" s="20" t="n">
        <v>0</v>
      </c>
      <c r="K806" s="25" t="n">
        <f aca="false">IFERROR(J806/I806,0)</f>
        <v>0</v>
      </c>
      <c r="L806" s="19" t="n">
        <v>0</v>
      </c>
      <c r="M806" s="20" t="n">
        <v>0</v>
      </c>
      <c r="N806" s="8" t="n">
        <f aca="false">IFERROR(M806/J806,0)</f>
        <v>0</v>
      </c>
    </row>
    <row r="807" customFormat="false" ht="15" hidden="false" customHeight="false" outlineLevel="0" collapsed="false">
      <c r="A807" s="17" t="s">
        <v>17</v>
      </c>
      <c r="B807" s="17" t="s">
        <v>62</v>
      </c>
      <c r="C807" s="17" t="s">
        <v>60</v>
      </c>
      <c r="D807" s="17" t="s">
        <v>66</v>
      </c>
      <c r="E807" s="17" t="s">
        <v>2457</v>
      </c>
      <c r="F807" s="17" t="s">
        <v>140</v>
      </c>
      <c r="G807" s="17" t="s">
        <v>315</v>
      </c>
      <c r="H807" s="17" t="s">
        <v>2458</v>
      </c>
      <c r="I807" s="20" t="n">
        <v>112</v>
      </c>
      <c r="J807" s="20" t="n">
        <v>0</v>
      </c>
      <c r="K807" s="25" t="n">
        <f aca="false">IFERROR(J807/I807,0)</f>
        <v>0</v>
      </c>
      <c r="L807" s="19" t="n">
        <v>0</v>
      </c>
      <c r="M807" s="20" t="n">
        <v>0</v>
      </c>
      <c r="N807" s="8" t="n">
        <f aca="false">IFERROR(M807/J807,0)</f>
        <v>0</v>
      </c>
    </row>
    <row r="808" customFormat="false" ht="15" hidden="false" customHeight="false" outlineLevel="0" collapsed="false">
      <c r="A808" s="17" t="s">
        <v>17</v>
      </c>
      <c r="B808" s="17" t="s">
        <v>62</v>
      </c>
      <c r="C808" s="17" t="s">
        <v>60</v>
      </c>
      <c r="D808" s="17" t="s">
        <v>66</v>
      </c>
      <c r="E808" s="17" t="s">
        <v>2459</v>
      </c>
      <c r="F808" s="17" t="s">
        <v>140</v>
      </c>
      <c r="G808" s="17" t="s">
        <v>315</v>
      </c>
      <c r="H808" s="17" t="s">
        <v>2460</v>
      </c>
      <c r="I808" s="20" t="n">
        <v>105</v>
      </c>
      <c r="J808" s="20" t="n">
        <v>2</v>
      </c>
      <c r="K808" s="25" t="n">
        <f aca="false">IFERROR(J808/I808,0)</f>
        <v>0.0190476190476191</v>
      </c>
      <c r="L808" s="19" t="n">
        <v>3.2</v>
      </c>
      <c r="M808" s="20" t="n">
        <v>0</v>
      </c>
      <c r="N808" s="8" t="n">
        <f aca="false">IFERROR(M808/J808,0)</f>
        <v>0</v>
      </c>
    </row>
    <row r="809" customFormat="false" ht="15" hidden="false" customHeight="false" outlineLevel="0" collapsed="false">
      <c r="A809" s="17" t="s">
        <v>17</v>
      </c>
      <c r="B809" s="17" t="s">
        <v>62</v>
      </c>
      <c r="C809" s="17" t="s">
        <v>66</v>
      </c>
      <c r="D809" s="17" t="s">
        <v>60</v>
      </c>
      <c r="E809" s="17" t="s">
        <v>2461</v>
      </c>
      <c r="F809" s="17" t="s">
        <v>169</v>
      </c>
      <c r="G809" s="17" t="s">
        <v>315</v>
      </c>
      <c r="H809" s="17" t="s">
        <v>2462</v>
      </c>
      <c r="I809" s="20" t="n">
        <v>98</v>
      </c>
      <c r="J809" s="20" t="n">
        <v>0</v>
      </c>
      <c r="K809" s="25" t="n">
        <f aca="false">IFERROR(J809/I809,0)</f>
        <v>0</v>
      </c>
      <c r="L809" s="19" t="n">
        <v>0</v>
      </c>
      <c r="M809" s="20" t="n">
        <v>0</v>
      </c>
      <c r="N809" s="8" t="n">
        <f aca="false">IFERROR(M809/J809,0)</f>
        <v>0</v>
      </c>
    </row>
    <row r="810" customFormat="false" ht="15" hidden="false" customHeight="false" outlineLevel="0" collapsed="false">
      <c r="A810" s="17" t="s">
        <v>17</v>
      </c>
      <c r="B810" s="17" t="s">
        <v>62</v>
      </c>
      <c r="C810" s="17" t="s">
        <v>66</v>
      </c>
      <c r="D810" s="17" t="s">
        <v>66</v>
      </c>
      <c r="E810" s="17" t="s">
        <v>2463</v>
      </c>
      <c r="F810" s="17" t="s">
        <v>146</v>
      </c>
      <c r="G810" s="17" t="s">
        <v>315</v>
      </c>
      <c r="H810" s="17" t="s">
        <v>2464</v>
      </c>
      <c r="I810" s="20" t="n">
        <v>94</v>
      </c>
      <c r="J810" s="20" t="n">
        <v>5</v>
      </c>
      <c r="K810" s="25" t="n">
        <f aca="false">IFERROR(J810/I810,0)</f>
        <v>0.0531914893617021</v>
      </c>
      <c r="L810" s="19" t="n">
        <v>13.61</v>
      </c>
      <c r="M810" s="20" t="n">
        <v>0</v>
      </c>
      <c r="N810" s="8" t="n">
        <f aca="false">IFERROR(M810/J810,0)</f>
        <v>0</v>
      </c>
    </row>
    <row r="811" customFormat="false" ht="15" hidden="false" customHeight="false" outlineLevel="0" collapsed="false">
      <c r="A811" s="17" t="s">
        <v>17</v>
      </c>
      <c r="B811" s="17" t="s">
        <v>62</v>
      </c>
      <c r="C811" s="17" t="s">
        <v>60</v>
      </c>
      <c r="D811" s="17" t="s">
        <v>60</v>
      </c>
      <c r="E811" s="17" t="s">
        <v>2465</v>
      </c>
      <c r="F811" s="17" t="s">
        <v>140</v>
      </c>
      <c r="G811" s="17" t="s">
        <v>315</v>
      </c>
      <c r="H811" s="17" t="s">
        <v>2466</v>
      </c>
      <c r="I811" s="20" t="n">
        <v>89</v>
      </c>
      <c r="J811" s="20" t="n">
        <v>1</v>
      </c>
      <c r="K811" s="25" t="n">
        <f aca="false">IFERROR(J811/I811,0)</f>
        <v>0.0112359550561798</v>
      </c>
      <c r="L811" s="19" t="n">
        <v>1.54</v>
      </c>
      <c r="M811" s="20" t="n">
        <v>0</v>
      </c>
      <c r="N811" s="8" t="n">
        <f aca="false">IFERROR(M811/J811,0)</f>
        <v>0</v>
      </c>
    </row>
    <row r="812" customFormat="false" ht="15" hidden="false" customHeight="false" outlineLevel="0" collapsed="false">
      <c r="A812" s="17" t="s">
        <v>17</v>
      </c>
      <c r="B812" s="17" t="s">
        <v>62</v>
      </c>
      <c r="C812" s="17" t="s">
        <v>60</v>
      </c>
      <c r="D812" s="17" t="s">
        <v>66</v>
      </c>
      <c r="E812" s="17" t="s">
        <v>2467</v>
      </c>
      <c r="F812" s="17" t="s">
        <v>140</v>
      </c>
      <c r="G812" s="17" t="s">
        <v>315</v>
      </c>
      <c r="H812" s="17" t="s">
        <v>2468</v>
      </c>
      <c r="I812" s="20" t="n">
        <v>86</v>
      </c>
      <c r="J812" s="20" t="n">
        <v>9</v>
      </c>
      <c r="K812" s="25" t="n">
        <f aca="false">IFERROR(J812/I812,0)</f>
        <v>0.104651162790698</v>
      </c>
      <c r="L812" s="19" t="n">
        <v>17.3</v>
      </c>
      <c r="M812" s="20" t="n">
        <v>2</v>
      </c>
      <c r="N812" s="8" t="n">
        <f aca="false">IFERROR(M812/J812,0)</f>
        <v>0.222222222222222</v>
      </c>
    </row>
    <row r="813" customFormat="false" ht="15" hidden="false" customHeight="false" outlineLevel="0" collapsed="false">
      <c r="A813" s="17" t="s">
        <v>17</v>
      </c>
      <c r="B813" s="17" t="s">
        <v>62</v>
      </c>
      <c r="C813" s="17" t="s">
        <v>60</v>
      </c>
      <c r="D813" s="17" t="s">
        <v>60</v>
      </c>
      <c r="E813" s="17" t="s">
        <v>2469</v>
      </c>
      <c r="F813" s="17" t="s">
        <v>140</v>
      </c>
      <c r="G813" s="17" t="s">
        <v>311</v>
      </c>
      <c r="H813" s="17" t="s">
        <v>2333</v>
      </c>
      <c r="I813" s="20" t="n">
        <v>81</v>
      </c>
      <c r="J813" s="20" t="n">
        <v>0</v>
      </c>
      <c r="K813" s="25" t="n">
        <f aca="false">IFERROR(J813/I813,0)</f>
        <v>0</v>
      </c>
      <c r="L813" s="19" t="n">
        <v>0</v>
      </c>
      <c r="M813" s="20" t="n">
        <v>0</v>
      </c>
      <c r="N813" s="8" t="n">
        <f aca="false">IFERROR(M813/J813,0)</f>
        <v>0</v>
      </c>
    </row>
    <row r="814" customFormat="false" ht="15" hidden="false" customHeight="false" outlineLevel="0" collapsed="false">
      <c r="A814" s="17" t="s">
        <v>17</v>
      </c>
      <c r="B814" s="17" t="s">
        <v>62</v>
      </c>
      <c r="C814" s="17" t="s">
        <v>66</v>
      </c>
      <c r="D814" s="17" t="s">
        <v>60</v>
      </c>
      <c r="E814" s="17" t="s">
        <v>2470</v>
      </c>
      <c r="F814" s="17" t="s">
        <v>147</v>
      </c>
      <c r="G814" s="17" t="s">
        <v>315</v>
      </c>
      <c r="H814" s="17" t="s">
        <v>2471</v>
      </c>
      <c r="I814" s="20" t="n">
        <v>80</v>
      </c>
      <c r="J814" s="20" t="n">
        <v>0</v>
      </c>
      <c r="K814" s="25" t="n">
        <f aca="false">IFERROR(J814/I814,0)</f>
        <v>0</v>
      </c>
      <c r="L814" s="19" t="n">
        <v>0</v>
      </c>
      <c r="M814" s="20" t="n">
        <v>0</v>
      </c>
      <c r="N814" s="8" t="n">
        <f aca="false">IFERROR(M814/J814,0)</f>
        <v>0</v>
      </c>
    </row>
    <row r="815" customFormat="false" ht="15" hidden="false" customHeight="false" outlineLevel="0" collapsed="false">
      <c r="A815" s="17" t="s">
        <v>17</v>
      </c>
      <c r="B815" s="17" t="s">
        <v>62</v>
      </c>
      <c r="C815" s="17" t="s">
        <v>60</v>
      </c>
      <c r="D815" s="17" t="s">
        <v>66</v>
      </c>
      <c r="E815" s="17" t="s">
        <v>2472</v>
      </c>
      <c r="F815" s="17" t="s">
        <v>140</v>
      </c>
      <c r="G815" s="17" t="s">
        <v>315</v>
      </c>
      <c r="H815" s="17" t="s">
        <v>2473</v>
      </c>
      <c r="I815" s="20" t="n">
        <v>77</v>
      </c>
      <c r="J815" s="20" t="n">
        <v>0</v>
      </c>
      <c r="K815" s="25" t="n">
        <f aca="false">IFERROR(J815/I815,0)</f>
        <v>0</v>
      </c>
      <c r="L815" s="19" t="n">
        <v>0</v>
      </c>
      <c r="M815" s="20" t="n">
        <v>0</v>
      </c>
      <c r="N815" s="8" t="n">
        <f aca="false">IFERROR(M815/J815,0)</f>
        <v>0</v>
      </c>
    </row>
    <row r="816" customFormat="false" ht="15" hidden="false" customHeight="false" outlineLevel="0" collapsed="false">
      <c r="A816" s="17" t="s">
        <v>17</v>
      </c>
      <c r="B816" s="17" t="s">
        <v>62</v>
      </c>
      <c r="C816" s="17" t="s">
        <v>60</v>
      </c>
      <c r="D816" s="17" t="s">
        <v>66</v>
      </c>
      <c r="E816" s="17" t="s">
        <v>2474</v>
      </c>
      <c r="F816" s="17" t="s">
        <v>140</v>
      </c>
      <c r="G816" s="17" t="s">
        <v>315</v>
      </c>
      <c r="H816" s="17" t="s">
        <v>2475</v>
      </c>
      <c r="I816" s="20" t="n">
        <v>70</v>
      </c>
      <c r="J816" s="20" t="n">
        <v>1</v>
      </c>
      <c r="K816" s="25" t="n">
        <f aca="false">IFERROR(J816/I816,0)</f>
        <v>0.0142857142857143</v>
      </c>
      <c r="L816" s="19" t="n">
        <v>1.9</v>
      </c>
      <c r="M816" s="20" t="n">
        <v>0</v>
      </c>
      <c r="N816" s="8" t="n">
        <f aca="false">IFERROR(M816/J816,0)</f>
        <v>0</v>
      </c>
    </row>
    <row r="817" customFormat="false" ht="15" hidden="false" customHeight="false" outlineLevel="0" collapsed="false">
      <c r="A817" s="17" t="s">
        <v>17</v>
      </c>
      <c r="B817" s="17" t="s">
        <v>62</v>
      </c>
      <c r="C817" s="17" t="s">
        <v>60</v>
      </c>
      <c r="D817" s="17" t="s">
        <v>66</v>
      </c>
      <c r="E817" s="17" t="s">
        <v>2476</v>
      </c>
      <c r="F817" s="17" t="s">
        <v>140</v>
      </c>
      <c r="G817" s="17" t="s">
        <v>315</v>
      </c>
      <c r="H817" s="17" t="s">
        <v>2477</v>
      </c>
      <c r="I817" s="20" t="n">
        <v>69</v>
      </c>
      <c r="J817" s="20" t="n">
        <v>4</v>
      </c>
      <c r="K817" s="25" t="n">
        <f aca="false">IFERROR(J817/I817,0)</f>
        <v>0.0579710144927536</v>
      </c>
      <c r="L817" s="19" t="n">
        <v>8</v>
      </c>
      <c r="M817" s="20" t="n">
        <v>0</v>
      </c>
      <c r="N817" s="8" t="n">
        <f aca="false">IFERROR(M817/J817,0)</f>
        <v>0</v>
      </c>
    </row>
    <row r="818" customFormat="false" ht="15" hidden="false" customHeight="false" outlineLevel="0" collapsed="false">
      <c r="A818" s="17" t="s">
        <v>17</v>
      </c>
      <c r="B818" s="17" t="s">
        <v>62</v>
      </c>
      <c r="C818" s="17" t="s">
        <v>60</v>
      </c>
      <c r="D818" s="17" t="s">
        <v>66</v>
      </c>
      <c r="E818" s="17" t="s">
        <v>2478</v>
      </c>
      <c r="F818" s="17" t="s">
        <v>140</v>
      </c>
      <c r="G818" s="17" t="s">
        <v>315</v>
      </c>
      <c r="H818" s="17" t="s">
        <v>2479</v>
      </c>
      <c r="I818" s="20" t="n">
        <v>69</v>
      </c>
      <c r="J818" s="20" t="n">
        <v>4</v>
      </c>
      <c r="K818" s="25" t="n">
        <f aca="false">IFERROR(J818/I818,0)</f>
        <v>0.0579710144927536</v>
      </c>
      <c r="L818" s="19" t="n">
        <v>6.07</v>
      </c>
      <c r="M818" s="20" t="n">
        <v>0</v>
      </c>
      <c r="N818" s="8" t="n">
        <f aca="false">IFERROR(M818/J818,0)</f>
        <v>0</v>
      </c>
    </row>
    <row r="819" customFormat="false" ht="15" hidden="false" customHeight="false" outlineLevel="0" collapsed="false">
      <c r="A819" s="17" t="s">
        <v>17</v>
      </c>
      <c r="B819" s="17" t="s">
        <v>62</v>
      </c>
      <c r="C819" s="17" t="s">
        <v>66</v>
      </c>
      <c r="D819" s="17" t="s">
        <v>66</v>
      </c>
      <c r="E819" s="17" t="s">
        <v>2480</v>
      </c>
      <c r="F819" s="17" t="s">
        <v>146</v>
      </c>
      <c r="G819" s="17" t="s">
        <v>351</v>
      </c>
      <c r="H819" s="17" t="s">
        <v>2385</v>
      </c>
      <c r="I819" s="20" t="n">
        <v>68</v>
      </c>
      <c r="J819" s="20" t="n">
        <v>0</v>
      </c>
      <c r="K819" s="25" t="n">
        <f aca="false">IFERROR(J819/I819,0)</f>
        <v>0</v>
      </c>
      <c r="L819" s="19" t="n">
        <v>0</v>
      </c>
      <c r="M819" s="20" t="n">
        <v>0</v>
      </c>
      <c r="N819" s="8" t="n">
        <f aca="false">IFERROR(M819/J819,0)</f>
        <v>0</v>
      </c>
    </row>
    <row r="820" customFormat="false" ht="15" hidden="false" customHeight="false" outlineLevel="0" collapsed="false">
      <c r="A820" s="17" t="s">
        <v>17</v>
      </c>
      <c r="B820" s="17" t="s">
        <v>62</v>
      </c>
      <c r="C820" s="17" t="s">
        <v>60</v>
      </c>
      <c r="D820" s="17" t="s">
        <v>66</v>
      </c>
      <c r="E820" s="17" t="s">
        <v>2481</v>
      </c>
      <c r="F820" s="17" t="s">
        <v>140</v>
      </c>
      <c r="G820" s="17" t="s">
        <v>315</v>
      </c>
      <c r="H820" s="17" t="s">
        <v>2482</v>
      </c>
      <c r="I820" s="20" t="n">
        <v>65</v>
      </c>
      <c r="J820" s="20" t="n">
        <v>5</v>
      </c>
      <c r="K820" s="25" t="n">
        <f aca="false">IFERROR(J820/I820,0)</f>
        <v>0.0769230769230769</v>
      </c>
      <c r="L820" s="19" t="n">
        <v>11.12</v>
      </c>
      <c r="M820" s="20" t="n">
        <v>0</v>
      </c>
      <c r="N820" s="8" t="n">
        <f aca="false">IFERROR(M820/J820,0)</f>
        <v>0</v>
      </c>
    </row>
    <row r="821" customFormat="false" ht="15" hidden="false" customHeight="false" outlineLevel="0" collapsed="false">
      <c r="A821" s="17" t="s">
        <v>17</v>
      </c>
      <c r="B821" s="17" t="s">
        <v>62</v>
      </c>
      <c r="C821" s="17" t="s">
        <v>60</v>
      </c>
      <c r="D821" s="17" t="s">
        <v>66</v>
      </c>
      <c r="E821" s="17" t="s">
        <v>673</v>
      </c>
      <c r="F821" s="17" t="s">
        <v>660</v>
      </c>
      <c r="G821" s="17" t="s">
        <v>315</v>
      </c>
      <c r="H821" s="17" t="s">
        <v>2483</v>
      </c>
      <c r="I821" s="20" t="n">
        <v>63</v>
      </c>
      <c r="J821" s="20" t="n">
        <v>1</v>
      </c>
      <c r="K821" s="25" t="n">
        <f aca="false">IFERROR(J821/I821,0)</f>
        <v>0.0158730158730159</v>
      </c>
      <c r="L821" s="19" t="n">
        <v>2.41</v>
      </c>
      <c r="M821" s="20" t="n">
        <v>2</v>
      </c>
      <c r="N821" s="8" t="n">
        <f aca="false">IFERROR(M821/J821,0)</f>
        <v>2</v>
      </c>
    </row>
    <row r="822" customFormat="false" ht="15" hidden="false" customHeight="false" outlineLevel="0" collapsed="false">
      <c r="A822" s="17" t="s">
        <v>17</v>
      </c>
      <c r="B822" s="17" t="s">
        <v>62</v>
      </c>
      <c r="C822" s="17" t="s">
        <v>60</v>
      </c>
      <c r="D822" s="17" t="s">
        <v>66</v>
      </c>
      <c r="E822" s="17" t="s">
        <v>2484</v>
      </c>
      <c r="F822" s="17" t="s">
        <v>140</v>
      </c>
      <c r="G822" s="17" t="s">
        <v>315</v>
      </c>
      <c r="H822" s="17" t="s">
        <v>2485</v>
      </c>
      <c r="I822" s="20" t="n">
        <v>62</v>
      </c>
      <c r="J822" s="20" t="n">
        <v>0</v>
      </c>
      <c r="K822" s="25" t="n">
        <f aca="false">IFERROR(J822/I822,0)</f>
        <v>0</v>
      </c>
      <c r="L822" s="19" t="n">
        <v>0</v>
      </c>
      <c r="M822" s="20" t="n">
        <v>0</v>
      </c>
      <c r="N822" s="8" t="n">
        <f aca="false">IFERROR(M822/J822,0)</f>
        <v>0</v>
      </c>
    </row>
    <row r="823" customFormat="false" ht="15" hidden="false" customHeight="false" outlineLevel="0" collapsed="false">
      <c r="A823" s="17" t="s">
        <v>17</v>
      </c>
      <c r="B823" s="17" t="s">
        <v>62</v>
      </c>
      <c r="C823" s="17" t="s">
        <v>60</v>
      </c>
      <c r="D823" s="17" t="s">
        <v>66</v>
      </c>
      <c r="E823" s="17" t="s">
        <v>2486</v>
      </c>
      <c r="F823" s="17" t="s">
        <v>140</v>
      </c>
      <c r="G823" s="17" t="s">
        <v>315</v>
      </c>
      <c r="H823" s="17" t="s">
        <v>2487</v>
      </c>
      <c r="I823" s="20" t="n">
        <v>54</v>
      </c>
      <c r="J823" s="20" t="n">
        <v>2</v>
      </c>
      <c r="K823" s="25" t="n">
        <f aca="false">IFERROR(J823/I823,0)</f>
        <v>0.037037037037037</v>
      </c>
      <c r="L823" s="19" t="n">
        <v>6.25</v>
      </c>
      <c r="M823" s="20" t="n">
        <v>0</v>
      </c>
      <c r="N823" s="8" t="n">
        <f aca="false">IFERROR(M823/J823,0)</f>
        <v>0</v>
      </c>
    </row>
    <row r="824" customFormat="false" ht="15" hidden="false" customHeight="false" outlineLevel="0" collapsed="false">
      <c r="A824" s="17" t="s">
        <v>17</v>
      </c>
      <c r="B824" s="17" t="s">
        <v>62</v>
      </c>
      <c r="C824" s="17" t="s">
        <v>60</v>
      </c>
      <c r="D824" s="17" t="s">
        <v>60</v>
      </c>
      <c r="E824" s="17" t="s">
        <v>2488</v>
      </c>
      <c r="F824" s="17" t="s">
        <v>140</v>
      </c>
      <c r="G824" s="17" t="s">
        <v>311</v>
      </c>
      <c r="H824" s="17" t="s">
        <v>2286</v>
      </c>
      <c r="I824" s="20" t="n">
        <v>50</v>
      </c>
      <c r="J824" s="20" t="n">
        <v>0</v>
      </c>
      <c r="K824" s="25" t="n">
        <f aca="false">IFERROR(J824/I824,0)</f>
        <v>0</v>
      </c>
      <c r="L824" s="19" t="n">
        <v>0</v>
      </c>
      <c r="M824" s="20" t="n">
        <v>0</v>
      </c>
      <c r="N824" s="8" t="n">
        <f aca="false">IFERROR(M824/J824,0)</f>
        <v>0</v>
      </c>
    </row>
    <row r="825" customFormat="false" ht="15" hidden="false" customHeight="false" outlineLevel="0" collapsed="false">
      <c r="A825" s="17" t="s">
        <v>17</v>
      </c>
      <c r="B825" s="17" t="s">
        <v>62</v>
      </c>
      <c r="C825" s="17" t="s">
        <v>60</v>
      </c>
      <c r="D825" s="17" t="s">
        <v>66</v>
      </c>
      <c r="E825" s="17" t="s">
        <v>2489</v>
      </c>
      <c r="F825" s="17" t="s">
        <v>140</v>
      </c>
      <c r="G825" s="17" t="s">
        <v>315</v>
      </c>
      <c r="H825" s="17" t="s">
        <v>2490</v>
      </c>
      <c r="I825" s="20" t="n">
        <v>46</v>
      </c>
      <c r="J825" s="20" t="n">
        <v>0</v>
      </c>
      <c r="K825" s="25" t="n">
        <f aca="false">IFERROR(J825/I825,0)</f>
        <v>0</v>
      </c>
      <c r="L825" s="19" t="n">
        <v>0</v>
      </c>
      <c r="M825" s="20" t="n">
        <v>0</v>
      </c>
      <c r="N825" s="8" t="n">
        <f aca="false">IFERROR(M825/J825,0)</f>
        <v>0</v>
      </c>
    </row>
    <row r="826" customFormat="false" ht="15" hidden="false" customHeight="false" outlineLevel="0" collapsed="false">
      <c r="A826" s="17" t="s">
        <v>17</v>
      </c>
      <c r="B826" s="17" t="s">
        <v>62</v>
      </c>
      <c r="C826" s="17" t="s">
        <v>66</v>
      </c>
      <c r="D826" s="17" t="s">
        <v>66</v>
      </c>
      <c r="E826" s="17" t="s">
        <v>2491</v>
      </c>
      <c r="F826" s="17" t="s">
        <v>146</v>
      </c>
      <c r="G826" s="17" t="s">
        <v>315</v>
      </c>
      <c r="H826" s="17" t="s">
        <v>2492</v>
      </c>
      <c r="I826" s="20" t="n">
        <v>45</v>
      </c>
      <c r="J826" s="20" t="n">
        <v>0</v>
      </c>
      <c r="K826" s="25" t="n">
        <f aca="false">IFERROR(J826/I826,0)</f>
        <v>0</v>
      </c>
      <c r="L826" s="19" t="n">
        <v>0</v>
      </c>
      <c r="M826" s="20" t="n">
        <v>0</v>
      </c>
      <c r="N826" s="8" t="n">
        <f aca="false">IFERROR(M826/J826,0)</f>
        <v>0</v>
      </c>
    </row>
    <row r="827" customFormat="false" ht="15" hidden="false" customHeight="false" outlineLevel="0" collapsed="false">
      <c r="A827" s="17" t="s">
        <v>17</v>
      </c>
      <c r="B827" s="17" t="s">
        <v>62</v>
      </c>
      <c r="C827" s="17" t="s">
        <v>60</v>
      </c>
      <c r="D827" s="17" t="s">
        <v>66</v>
      </c>
      <c r="E827" s="17" t="s">
        <v>2493</v>
      </c>
      <c r="F827" s="17" t="s">
        <v>140</v>
      </c>
      <c r="G827" s="17" t="s">
        <v>315</v>
      </c>
      <c r="H827" s="17" t="s">
        <v>2494</v>
      </c>
      <c r="I827" s="20" t="n">
        <v>42</v>
      </c>
      <c r="J827" s="20" t="n">
        <v>0</v>
      </c>
      <c r="K827" s="25" t="n">
        <f aca="false">IFERROR(J827/I827,0)</f>
        <v>0</v>
      </c>
      <c r="L827" s="19" t="n">
        <v>0</v>
      </c>
      <c r="M827" s="20" t="n">
        <v>0</v>
      </c>
      <c r="N827" s="8" t="n">
        <f aca="false">IFERROR(M827/J827,0)</f>
        <v>0</v>
      </c>
    </row>
    <row r="828" customFormat="false" ht="15" hidden="false" customHeight="false" outlineLevel="0" collapsed="false">
      <c r="A828" s="17" t="s">
        <v>17</v>
      </c>
      <c r="B828" s="17" t="s">
        <v>62</v>
      </c>
      <c r="C828" s="17" t="s">
        <v>60</v>
      </c>
      <c r="D828" s="17" t="s">
        <v>66</v>
      </c>
      <c r="E828" s="17" t="s">
        <v>2495</v>
      </c>
      <c r="F828" s="17" t="s">
        <v>140</v>
      </c>
      <c r="G828" s="17" t="s">
        <v>315</v>
      </c>
      <c r="H828" s="17" t="s">
        <v>2496</v>
      </c>
      <c r="I828" s="20" t="n">
        <v>41</v>
      </c>
      <c r="J828" s="20" t="n">
        <v>2</v>
      </c>
      <c r="K828" s="25" t="n">
        <f aca="false">IFERROR(J828/I828,0)</f>
        <v>0.0487804878048781</v>
      </c>
      <c r="L828" s="19" t="n">
        <v>3.44</v>
      </c>
      <c r="M828" s="20" t="n">
        <v>0</v>
      </c>
      <c r="N828" s="8" t="n">
        <f aca="false">IFERROR(M828/J828,0)</f>
        <v>0</v>
      </c>
    </row>
    <row r="829" customFormat="false" ht="15" hidden="false" customHeight="false" outlineLevel="0" collapsed="false">
      <c r="A829" s="17" t="s">
        <v>17</v>
      </c>
      <c r="B829" s="17" t="s">
        <v>62</v>
      </c>
      <c r="C829" s="17" t="s">
        <v>66</v>
      </c>
      <c r="D829" s="17" t="s">
        <v>60</v>
      </c>
      <c r="E829" s="17" t="s">
        <v>2497</v>
      </c>
      <c r="F829" s="17" t="s">
        <v>709</v>
      </c>
      <c r="G829" s="17" t="s">
        <v>315</v>
      </c>
      <c r="H829" s="17" t="s">
        <v>2498</v>
      </c>
      <c r="I829" s="20" t="n">
        <v>41</v>
      </c>
      <c r="J829" s="20" t="n">
        <v>0</v>
      </c>
      <c r="K829" s="25" t="n">
        <f aca="false">IFERROR(J829/I829,0)</f>
        <v>0</v>
      </c>
      <c r="L829" s="19" t="n">
        <v>0</v>
      </c>
      <c r="M829" s="20" t="n">
        <v>0</v>
      </c>
      <c r="N829" s="8" t="n">
        <f aca="false">IFERROR(M829/J829,0)</f>
        <v>0</v>
      </c>
    </row>
    <row r="830" customFormat="false" ht="15" hidden="false" customHeight="false" outlineLevel="0" collapsed="false">
      <c r="A830" s="17" t="s">
        <v>17</v>
      </c>
      <c r="B830" s="17" t="s">
        <v>62</v>
      </c>
      <c r="C830" s="17" t="s">
        <v>60</v>
      </c>
      <c r="D830" s="17" t="s">
        <v>60</v>
      </c>
      <c r="E830" s="17" t="s">
        <v>2499</v>
      </c>
      <c r="F830" s="17" t="s">
        <v>140</v>
      </c>
      <c r="G830" s="17" t="s">
        <v>315</v>
      </c>
      <c r="H830" s="17" t="s">
        <v>2500</v>
      </c>
      <c r="I830" s="20" t="n">
        <v>40</v>
      </c>
      <c r="J830" s="20" t="n">
        <v>1</v>
      </c>
      <c r="K830" s="25" t="n">
        <f aca="false">IFERROR(J830/I830,0)</f>
        <v>0.025</v>
      </c>
      <c r="L830" s="19" t="n">
        <v>1.6</v>
      </c>
      <c r="M830" s="20" t="n">
        <v>0</v>
      </c>
      <c r="N830" s="8" t="n">
        <f aca="false">IFERROR(M830/J830,0)</f>
        <v>0</v>
      </c>
    </row>
    <row r="831" customFormat="false" ht="15" hidden="false" customHeight="false" outlineLevel="0" collapsed="false">
      <c r="A831" s="17" t="s">
        <v>17</v>
      </c>
      <c r="B831" s="17" t="s">
        <v>62</v>
      </c>
      <c r="C831" s="17" t="s">
        <v>66</v>
      </c>
      <c r="D831" s="17" t="s">
        <v>60</v>
      </c>
      <c r="E831" s="17" t="s">
        <v>2501</v>
      </c>
      <c r="F831" s="17" t="s">
        <v>169</v>
      </c>
      <c r="G831" s="17" t="s">
        <v>315</v>
      </c>
      <c r="H831" s="17" t="s">
        <v>2502</v>
      </c>
      <c r="I831" s="20" t="n">
        <v>39</v>
      </c>
      <c r="J831" s="20" t="n">
        <v>1</v>
      </c>
      <c r="K831" s="25" t="n">
        <f aca="false">IFERROR(J831/I831,0)</f>
        <v>0.0256410256410256</v>
      </c>
      <c r="L831" s="19" t="n">
        <v>0.25</v>
      </c>
      <c r="M831" s="20" t="n">
        <v>0</v>
      </c>
      <c r="N831" s="8" t="n">
        <f aca="false">IFERROR(M831/J831,0)</f>
        <v>0</v>
      </c>
    </row>
    <row r="832" customFormat="false" ht="15" hidden="false" customHeight="false" outlineLevel="0" collapsed="false">
      <c r="A832" s="17" t="s">
        <v>17</v>
      </c>
      <c r="B832" s="17" t="s">
        <v>62</v>
      </c>
      <c r="C832" s="17" t="s">
        <v>60</v>
      </c>
      <c r="D832" s="17" t="s">
        <v>66</v>
      </c>
      <c r="E832" s="17" t="s">
        <v>2503</v>
      </c>
      <c r="F832" s="17" t="s">
        <v>140</v>
      </c>
      <c r="G832" s="17" t="s">
        <v>315</v>
      </c>
      <c r="H832" s="17" t="s">
        <v>2504</v>
      </c>
      <c r="I832" s="20" t="n">
        <v>38</v>
      </c>
      <c r="J832" s="20" t="n">
        <v>0</v>
      </c>
      <c r="K832" s="25" t="n">
        <f aca="false">IFERROR(J832/I832,0)</f>
        <v>0</v>
      </c>
      <c r="L832" s="19" t="n">
        <v>0</v>
      </c>
      <c r="M832" s="20" t="n">
        <v>0</v>
      </c>
      <c r="N832" s="8" t="n">
        <f aca="false">IFERROR(M832/J832,0)</f>
        <v>0</v>
      </c>
    </row>
    <row r="833" customFormat="false" ht="15" hidden="false" customHeight="false" outlineLevel="0" collapsed="false">
      <c r="A833" s="17" t="s">
        <v>17</v>
      </c>
      <c r="B833" s="17" t="s">
        <v>62</v>
      </c>
      <c r="C833" s="17" t="s">
        <v>66</v>
      </c>
      <c r="D833" s="17" t="s">
        <v>60</v>
      </c>
      <c r="E833" s="17" t="s">
        <v>2505</v>
      </c>
      <c r="F833" s="17" t="s">
        <v>221</v>
      </c>
      <c r="G833" s="17" t="s">
        <v>315</v>
      </c>
      <c r="H833" s="17" t="s">
        <v>2506</v>
      </c>
      <c r="I833" s="20" t="n">
        <v>36</v>
      </c>
      <c r="J833" s="20" t="n">
        <v>3</v>
      </c>
      <c r="K833" s="25" t="n">
        <f aca="false">IFERROR(J833/I833,0)</f>
        <v>0.0833333333333333</v>
      </c>
      <c r="L833" s="19" t="n">
        <v>5.02</v>
      </c>
      <c r="M833" s="20" t="n">
        <v>2</v>
      </c>
      <c r="N833" s="8" t="n">
        <f aca="false">IFERROR(M833/J833,0)</f>
        <v>0.666666666666667</v>
      </c>
    </row>
    <row r="834" customFormat="false" ht="15" hidden="false" customHeight="false" outlineLevel="0" collapsed="false">
      <c r="A834" s="17" t="s">
        <v>17</v>
      </c>
      <c r="B834" s="17" t="s">
        <v>62</v>
      </c>
      <c r="C834" s="17" t="s">
        <v>60</v>
      </c>
      <c r="D834" s="17" t="s">
        <v>66</v>
      </c>
      <c r="E834" s="17" t="s">
        <v>2507</v>
      </c>
      <c r="F834" s="17" t="s">
        <v>140</v>
      </c>
      <c r="G834" s="17" t="s">
        <v>315</v>
      </c>
      <c r="H834" s="17" t="s">
        <v>2508</v>
      </c>
      <c r="I834" s="20" t="n">
        <v>33</v>
      </c>
      <c r="J834" s="20" t="n">
        <v>0</v>
      </c>
      <c r="K834" s="25" t="n">
        <f aca="false">IFERROR(J834/I834,0)</f>
        <v>0</v>
      </c>
      <c r="L834" s="19" t="n">
        <v>0</v>
      </c>
      <c r="M834" s="20" t="n">
        <v>0</v>
      </c>
      <c r="N834" s="8" t="n">
        <f aca="false">IFERROR(M834/J834,0)</f>
        <v>0</v>
      </c>
    </row>
    <row r="835" customFormat="false" ht="15" hidden="false" customHeight="false" outlineLevel="0" collapsed="false">
      <c r="A835" s="17" t="s">
        <v>17</v>
      </c>
      <c r="B835" s="17" t="s">
        <v>62</v>
      </c>
      <c r="C835" s="17" t="s">
        <v>60</v>
      </c>
      <c r="D835" s="17" t="s">
        <v>66</v>
      </c>
      <c r="E835" s="17" t="s">
        <v>2509</v>
      </c>
      <c r="F835" s="17" t="s">
        <v>140</v>
      </c>
      <c r="G835" s="17" t="s">
        <v>315</v>
      </c>
      <c r="H835" s="17" t="s">
        <v>2510</v>
      </c>
      <c r="I835" s="20" t="n">
        <v>32</v>
      </c>
      <c r="J835" s="20" t="n">
        <v>0</v>
      </c>
      <c r="K835" s="25" t="n">
        <f aca="false">IFERROR(J835/I835,0)</f>
        <v>0</v>
      </c>
      <c r="L835" s="19" t="n">
        <v>0</v>
      </c>
      <c r="M835" s="20" t="n">
        <v>0</v>
      </c>
      <c r="N835" s="8" t="n">
        <f aca="false">IFERROR(M835/J835,0)</f>
        <v>0</v>
      </c>
    </row>
    <row r="836" customFormat="false" ht="15" hidden="false" customHeight="false" outlineLevel="0" collapsed="false">
      <c r="A836" s="17" t="s">
        <v>17</v>
      </c>
      <c r="B836" s="17" t="s">
        <v>62</v>
      </c>
      <c r="C836" s="17" t="s">
        <v>66</v>
      </c>
      <c r="D836" s="17" t="s">
        <v>66</v>
      </c>
      <c r="E836" s="17" t="s">
        <v>2511</v>
      </c>
      <c r="F836" s="17" t="s">
        <v>146</v>
      </c>
      <c r="G836" s="17" t="s">
        <v>311</v>
      </c>
      <c r="H836" s="17" t="s">
        <v>2512</v>
      </c>
      <c r="I836" s="20" t="n">
        <v>32</v>
      </c>
      <c r="J836" s="20" t="n">
        <v>0</v>
      </c>
      <c r="K836" s="25" t="n">
        <f aca="false">IFERROR(J836/I836,0)</f>
        <v>0</v>
      </c>
      <c r="L836" s="19" t="n">
        <v>0</v>
      </c>
      <c r="M836" s="20" t="n">
        <v>0</v>
      </c>
      <c r="N836" s="8" t="n">
        <f aca="false">IFERROR(M836/J836,0)</f>
        <v>0</v>
      </c>
    </row>
    <row r="837" customFormat="false" ht="15" hidden="false" customHeight="false" outlineLevel="0" collapsed="false">
      <c r="A837" s="17" t="s">
        <v>17</v>
      </c>
      <c r="B837" s="17" t="s">
        <v>62</v>
      </c>
      <c r="C837" s="17" t="s">
        <v>60</v>
      </c>
      <c r="D837" s="17" t="s">
        <v>66</v>
      </c>
      <c r="E837" s="17" t="s">
        <v>2513</v>
      </c>
      <c r="F837" s="17" t="s">
        <v>140</v>
      </c>
      <c r="G837" s="17" t="s">
        <v>315</v>
      </c>
      <c r="H837" s="17" t="s">
        <v>2514</v>
      </c>
      <c r="I837" s="20" t="n">
        <v>31</v>
      </c>
      <c r="J837" s="20" t="n">
        <v>0</v>
      </c>
      <c r="K837" s="25" t="n">
        <f aca="false">IFERROR(J837/I837,0)</f>
        <v>0</v>
      </c>
      <c r="L837" s="19" t="n">
        <v>0</v>
      </c>
      <c r="M837" s="20" t="n">
        <v>0</v>
      </c>
      <c r="N837" s="8" t="n">
        <f aca="false">IFERROR(M837/J837,0)</f>
        <v>0</v>
      </c>
    </row>
    <row r="838" customFormat="false" ht="15" hidden="false" customHeight="false" outlineLevel="0" collapsed="false">
      <c r="A838" s="17" t="s">
        <v>17</v>
      </c>
      <c r="B838" s="17" t="s">
        <v>62</v>
      </c>
      <c r="C838" s="17" t="s">
        <v>60</v>
      </c>
      <c r="D838" s="17" t="s">
        <v>66</v>
      </c>
      <c r="E838" s="17" t="s">
        <v>2515</v>
      </c>
      <c r="F838" s="17" t="s">
        <v>140</v>
      </c>
      <c r="G838" s="17" t="s">
        <v>315</v>
      </c>
      <c r="H838" s="17" t="s">
        <v>2516</v>
      </c>
      <c r="I838" s="20" t="n">
        <v>30</v>
      </c>
      <c r="J838" s="20" t="n">
        <v>0</v>
      </c>
      <c r="K838" s="25" t="n">
        <f aca="false">IFERROR(J838/I838,0)</f>
        <v>0</v>
      </c>
      <c r="L838" s="19" t="n">
        <v>0</v>
      </c>
      <c r="M838" s="20" t="n">
        <v>0</v>
      </c>
      <c r="N838" s="8" t="n">
        <f aca="false">IFERROR(M838/J838,0)</f>
        <v>0</v>
      </c>
    </row>
    <row r="839" customFormat="false" ht="15" hidden="false" customHeight="false" outlineLevel="0" collapsed="false">
      <c r="A839" s="17" t="s">
        <v>17</v>
      </c>
      <c r="B839" s="17" t="s">
        <v>62</v>
      </c>
      <c r="C839" s="17" t="s">
        <v>60</v>
      </c>
      <c r="D839" s="17" t="s">
        <v>66</v>
      </c>
      <c r="E839" s="17" t="s">
        <v>2517</v>
      </c>
      <c r="F839" s="17" t="s">
        <v>140</v>
      </c>
      <c r="G839" s="17" t="s">
        <v>315</v>
      </c>
      <c r="H839" s="17" t="s">
        <v>2385</v>
      </c>
      <c r="I839" s="20" t="n">
        <v>30</v>
      </c>
      <c r="J839" s="20" t="n">
        <v>0</v>
      </c>
      <c r="K839" s="25" t="n">
        <f aca="false">IFERROR(J839/I839,0)</f>
        <v>0</v>
      </c>
      <c r="L839" s="19" t="n">
        <v>0</v>
      </c>
      <c r="M839" s="20" t="n">
        <v>0</v>
      </c>
      <c r="N839" s="8" t="n">
        <f aca="false">IFERROR(M839/J839,0)</f>
        <v>0</v>
      </c>
    </row>
    <row r="840" customFormat="false" ht="15" hidden="false" customHeight="false" outlineLevel="0" collapsed="false">
      <c r="A840" s="17" t="s">
        <v>17</v>
      </c>
      <c r="B840" s="17" t="s">
        <v>62</v>
      </c>
      <c r="C840" s="17" t="s">
        <v>66</v>
      </c>
      <c r="D840" s="17" t="s">
        <v>60</v>
      </c>
      <c r="E840" s="17" t="s">
        <v>2518</v>
      </c>
      <c r="F840" s="17" t="s">
        <v>147</v>
      </c>
      <c r="G840" s="17" t="s">
        <v>315</v>
      </c>
      <c r="H840" s="17" t="s">
        <v>2519</v>
      </c>
      <c r="I840" s="20" t="n">
        <v>28</v>
      </c>
      <c r="J840" s="20" t="n">
        <v>0</v>
      </c>
      <c r="K840" s="25" t="n">
        <f aca="false">IFERROR(J840/I840,0)</f>
        <v>0</v>
      </c>
      <c r="L840" s="19" t="n">
        <v>0</v>
      </c>
      <c r="M840" s="20" t="n">
        <v>0</v>
      </c>
      <c r="N840" s="8" t="n">
        <f aca="false">IFERROR(M840/J840,0)</f>
        <v>0</v>
      </c>
    </row>
    <row r="841" customFormat="false" ht="15" hidden="false" customHeight="false" outlineLevel="0" collapsed="false">
      <c r="A841" s="17" t="s">
        <v>17</v>
      </c>
      <c r="B841" s="17" t="s">
        <v>62</v>
      </c>
      <c r="C841" s="17" t="s">
        <v>60</v>
      </c>
      <c r="D841" s="17" t="s">
        <v>66</v>
      </c>
      <c r="E841" s="17" t="s">
        <v>2520</v>
      </c>
      <c r="F841" s="17" t="s">
        <v>140</v>
      </c>
      <c r="G841" s="17" t="s">
        <v>315</v>
      </c>
      <c r="H841" s="17" t="s">
        <v>2521</v>
      </c>
      <c r="I841" s="20" t="n">
        <v>24</v>
      </c>
      <c r="J841" s="20" t="n">
        <v>2</v>
      </c>
      <c r="K841" s="25" t="n">
        <f aca="false">IFERROR(J841/I841,0)</f>
        <v>0.0833333333333333</v>
      </c>
      <c r="L841" s="19" t="n">
        <v>4.62</v>
      </c>
      <c r="M841" s="20" t="n">
        <v>1</v>
      </c>
      <c r="N841" s="8" t="n">
        <f aca="false">IFERROR(M841/J841,0)</f>
        <v>0.5</v>
      </c>
    </row>
    <row r="842" customFormat="false" ht="15" hidden="false" customHeight="false" outlineLevel="0" collapsed="false">
      <c r="A842" s="17" t="s">
        <v>17</v>
      </c>
      <c r="B842" s="17" t="s">
        <v>62</v>
      </c>
      <c r="C842" s="17" t="s">
        <v>60</v>
      </c>
      <c r="D842" s="17" t="s">
        <v>60</v>
      </c>
      <c r="E842" s="17" t="s">
        <v>2522</v>
      </c>
      <c r="F842" s="17" t="s">
        <v>140</v>
      </c>
      <c r="G842" s="17" t="s">
        <v>315</v>
      </c>
      <c r="H842" s="17" t="s">
        <v>2523</v>
      </c>
      <c r="I842" s="20" t="n">
        <v>24</v>
      </c>
      <c r="J842" s="20" t="n">
        <v>1</v>
      </c>
      <c r="K842" s="25" t="n">
        <f aca="false">IFERROR(J842/I842,0)</f>
        <v>0.0416666666666667</v>
      </c>
      <c r="L842" s="19" t="n">
        <v>1.9</v>
      </c>
      <c r="M842" s="20" t="n">
        <v>0</v>
      </c>
      <c r="N842" s="8" t="n">
        <f aca="false">IFERROR(M842/J842,0)</f>
        <v>0</v>
      </c>
    </row>
    <row r="843" customFormat="false" ht="15" hidden="false" customHeight="false" outlineLevel="0" collapsed="false">
      <c r="A843" s="17" t="s">
        <v>17</v>
      </c>
      <c r="B843" s="17" t="s">
        <v>62</v>
      </c>
      <c r="C843" s="17" t="s">
        <v>60</v>
      </c>
      <c r="D843" s="17" t="s">
        <v>66</v>
      </c>
      <c r="E843" s="17" t="s">
        <v>2524</v>
      </c>
      <c r="F843" s="17" t="s">
        <v>140</v>
      </c>
      <c r="G843" s="17" t="s">
        <v>315</v>
      </c>
      <c r="H843" s="17" t="s">
        <v>2525</v>
      </c>
      <c r="I843" s="20" t="n">
        <v>22</v>
      </c>
      <c r="J843" s="20" t="n">
        <v>1</v>
      </c>
      <c r="K843" s="25" t="n">
        <f aca="false">IFERROR(J843/I843,0)</f>
        <v>0.0454545454545455</v>
      </c>
      <c r="L843" s="19" t="n">
        <v>1.75</v>
      </c>
      <c r="M843" s="20" t="n">
        <v>0</v>
      </c>
      <c r="N843" s="8" t="n">
        <f aca="false">IFERROR(M843/J843,0)</f>
        <v>0</v>
      </c>
    </row>
    <row r="844" customFormat="false" ht="15" hidden="false" customHeight="false" outlineLevel="0" collapsed="false">
      <c r="A844" s="17" t="s">
        <v>17</v>
      </c>
      <c r="B844" s="17" t="s">
        <v>62</v>
      </c>
      <c r="C844" s="17" t="s">
        <v>60</v>
      </c>
      <c r="D844" s="17" t="s">
        <v>66</v>
      </c>
      <c r="E844" s="17" t="s">
        <v>2526</v>
      </c>
      <c r="F844" s="17" t="s">
        <v>140</v>
      </c>
      <c r="G844" s="17" t="s">
        <v>315</v>
      </c>
      <c r="H844" s="17" t="s">
        <v>2527</v>
      </c>
      <c r="I844" s="20" t="n">
        <v>21</v>
      </c>
      <c r="J844" s="20" t="n">
        <v>1</v>
      </c>
      <c r="K844" s="25" t="n">
        <f aca="false">IFERROR(J844/I844,0)</f>
        <v>0.0476190476190476</v>
      </c>
      <c r="L844" s="19" t="n">
        <v>1.9</v>
      </c>
      <c r="M844" s="20" t="n">
        <v>0</v>
      </c>
      <c r="N844" s="8" t="n">
        <f aca="false">IFERROR(M844/J844,0)</f>
        <v>0</v>
      </c>
    </row>
    <row r="845" customFormat="false" ht="15" hidden="false" customHeight="false" outlineLevel="0" collapsed="false">
      <c r="A845" s="17" t="s">
        <v>17</v>
      </c>
      <c r="B845" s="17" t="s">
        <v>62</v>
      </c>
      <c r="C845" s="17" t="s">
        <v>60</v>
      </c>
      <c r="D845" s="17" t="s">
        <v>60</v>
      </c>
      <c r="E845" s="17" t="s">
        <v>2528</v>
      </c>
      <c r="F845" s="17" t="s">
        <v>140</v>
      </c>
      <c r="G845" s="17" t="s">
        <v>315</v>
      </c>
      <c r="H845" s="17" t="s">
        <v>2529</v>
      </c>
      <c r="I845" s="20" t="n">
        <v>20</v>
      </c>
      <c r="J845" s="20" t="n">
        <v>0</v>
      </c>
      <c r="K845" s="25" t="n">
        <f aca="false">IFERROR(J845/I845,0)</f>
        <v>0</v>
      </c>
      <c r="L845" s="19" t="n">
        <v>0</v>
      </c>
      <c r="M845" s="20" t="n">
        <v>0</v>
      </c>
      <c r="N845" s="8" t="n">
        <f aca="false">IFERROR(M845/J845,0)</f>
        <v>0</v>
      </c>
    </row>
    <row r="846" customFormat="false" ht="15" hidden="false" customHeight="false" outlineLevel="0" collapsed="false">
      <c r="A846" s="17" t="s">
        <v>17</v>
      </c>
      <c r="B846" s="17" t="s">
        <v>62</v>
      </c>
      <c r="C846" s="17" t="s">
        <v>66</v>
      </c>
      <c r="D846" s="17" t="s">
        <v>66</v>
      </c>
      <c r="E846" s="17" t="s">
        <v>2530</v>
      </c>
      <c r="F846" s="17" t="s">
        <v>146</v>
      </c>
      <c r="G846" s="17" t="s">
        <v>351</v>
      </c>
      <c r="H846" s="17" t="s">
        <v>2370</v>
      </c>
      <c r="I846" s="20" t="n">
        <v>19</v>
      </c>
      <c r="J846" s="20" t="n">
        <v>1</v>
      </c>
      <c r="K846" s="25" t="n">
        <f aca="false">IFERROR(J846/I846,0)</f>
        <v>0.0526315789473684</v>
      </c>
      <c r="L846" s="19" t="n">
        <v>0.5</v>
      </c>
      <c r="M846" s="20" t="n">
        <v>0</v>
      </c>
      <c r="N846" s="8" t="n">
        <f aca="false">IFERROR(M846/J846,0)</f>
        <v>0</v>
      </c>
    </row>
    <row r="847" customFormat="false" ht="15" hidden="false" customHeight="false" outlineLevel="0" collapsed="false">
      <c r="A847" s="17" t="s">
        <v>17</v>
      </c>
      <c r="B847" s="17" t="s">
        <v>62</v>
      </c>
      <c r="C847" s="17" t="s">
        <v>60</v>
      </c>
      <c r="D847" s="17" t="s">
        <v>60</v>
      </c>
      <c r="E847" s="17" t="s">
        <v>2531</v>
      </c>
      <c r="F847" s="17" t="s">
        <v>140</v>
      </c>
      <c r="G847" s="17" t="s">
        <v>315</v>
      </c>
      <c r="H847" s="17" t="s">
        <v>2532</v>
      </c>
      <c r="I847" s="20" t="n">
        <v>19</v>
      </c>
      <c r="J847" s="20" t="n">
        <v>0</v>
      </c>
      <c r="K847" s="25" t="n">
        <f aca="false">IFERROR(J847/I847,0)</f>
        <v>0</v>
      </c>
      <c r="L847" s="19" t="n">
        <v>0</v>
      </c>
      <c r="M847" s="20" t="n">
        <v>0</v>
      </c>
      <c r="N847" s="8" t="n">
        <f aca="false">IFERROR(M847/J847,0)</f>
        <v>0</v>
      </c>
    </row>
    <row r="848" customFormat="false" ht="15" hidden="false" customHeight="false" outlineLevel="0" collapsed="false">
      <c r="A848" s="17" t="s">
        <v>17</v>
      </c>
      <c r="B848" s="17" t="s">
        <v>62</v>
      </c>
      <c r="C848" s="17" t="s">
        <v>60</v>
      </c>
      <c r="D848" s="17" t="s">
        <v>66</v>
      </c>
      <c r="E848" s="17" t="s">
        <v>2533</v>
      </c>
      <c r="F848" s="17" t="s">
        <v>660</v>
      </c>
      <c r="G848" s="17" t="s">
        <v>315</v>
      </c>
      <c r="H848" s="17" t="s">
        <v>2534</v>
      </c>
      <c r="I848" s="20" t="n">
        <v>19</v>
      </c>
      <c r="J848" s="20" t="n">
        <v>0</v>
      </c>
      <c r="K848" s="25" t="n">
        <f aca="false">IFERROR(J848/I848,0)</f>
        <v>0</v>
      </c>
      <c r="L848" s="19" t="n">
        <v>0</v>
      </c>
      <c r="M848" s="20" t="n">
        <v>0</v>
      </c>
      <c r="N848" s="8" t="n">
        <f aca="false">IFERROR(M848/J848,0)</f>
        <v>0</v>
      </c>
    </row>
    <row r="849" customFormat="false" ht="15" hidden="false" customHeight="false" outlineLevel="0" collapsed="false">
      <c r="A849" s="17" t="s">
        <v>17</v>
      </c>
      <c r="B849" s="17" t="s">
        <v>62</v>
      </c>
      <c r="C849" s="17" t="s">
        <v>66</v>
      </c>
      <c r="D849" s="17" t="s">
        <v>66</v>
      </c>
      <c r="E849" s="17" t="s">
        <v>2535</v>
      </c>
      <c r="F849" s="17" t="s">
        <v>2367</v>
      </c>
      <c r="G849" s="17" t="s">
        <v>351</v>
      </c>
      <c r="H849" s="17" t="s">
        <v>2536</v>
      </c>
      <c r="I849" s="20" t="n">
        <v>19</v>
      </c>
      <c r="J849" s="20" t="n">
        <v>0</v>
      </c>
      <c r="K849" s="25" t="n">
        <f aca="false">IFERROR(J849/I849,0)</f>
        <v>0</v>
      </c>
      <c r="L849" s="19" t="n">
        <v>0</v>
      </c>
      <c r="M849" s="20" t="n">
        <v>0</v>
      </c>
      <c r="N849" s="8" t="n">
        <f aca="false">IFERROR(M849/J849,0)</f>
        <v>0</v>
      </c>
    </row>
    <row r="850" customFormat="false" ht="15" hidden="false" customHeight="false" outlineLevel="0" collapsed="false">
      <c r="A850" s="17" t="s">
        <v>17</v>
      </c>
      <c r="B850" s="17" t="s">
        <v>62</v>
      </c>
      <c r="C850" s="17" t="s">
        <v>66</v>
      </c>
      <c r="D850" s="17" t="s">
        <v>60</v>
      </c>
      <c r="E850" s="17" t="s">
        <v>2537</v>
      </c>
      <c r="F850" s="17" t="s">
        <v>221</v>
      </c>
      <c r="G850" s="17" t="s">
        <v>315</v>
      </c>
      <c r="H850" s="17" t="s">
        <v>2538</v>
      </c>
      <c r="I850" s="20" t="n">
        <v>18</v>
      </c>
      <c r="J850" s="20" t="n">
        <v>0</v>
      </c>
      <c r="K850" s="25" t="n">
        <f aca="false">IFERROR(J850/I850,0)</f>
        <v>0</v>
      </c>
      <c r="L850" s="19" t="n">
        <v>0</v>
      </c>
      <c r="M850" s="20" t="n">
        <v>0</v>
      </c>
      <c r="N850" s="8" t="n">
        <f aca="false">IFERROR(M850/J850,0)</f>
        <v>0</v>
      </c>
    </row>
    <row r="851" customFormat="false" ht="15" hidden="false" customHeight="false" outlineLevel="0" collapsed="false">
      <c r="A851" s="17" t="s">
        <v>17</v>
      </c>
      <c r="B851" s="17" t="s">
        <v>62</v>
      </c>
      <c r="C851" s="17" t="s">
        <v>66</v>
      </c>
      <c r="D851" s="17" t="s">
        <v>66</v>
      </c>
      <c r="E851" s="17" t="s">
        <v>2539</v>
      </c>
      <c r="F851" s="17" t="s">
        <v>2367</v>
      </c>
      <c r="G851" s="17" t="s">
        <v>351</v>
      </c>
      <c r="H851" s="17" t="s">
        <v>2540</v>
      </c>
      <c r="I851" s="20" t="n">
        <v>18</v>
      </c>
      <c r="J851" s="20" t="n">
        <v>0</v>
      </c>
      <c r="K851" s="25" t="n">
        <f aca="false">IFERROR(J851/I851,0)</f>
        <v>0</v>
      </c>
      <c r="L851" s="19" t="n">
        <v>0</v>
      </c>
      <c r="M851" s="20" t="n">
        <v>0</v>
      </c>
      <c r="N851" s="8" t="n">
        <f aca="false">IFERROR(M851/J851,0)</f>
        <v>0</v>
      </c>
    </row>
    <row r="852" customFormat="false" ht="15" hidden="false" customHeight="false" outlineLevel="0" collapsed="false">
      <c r="A852" s="17" t="s">
        <v>17</v>
      </c>
      <c r="B852" s="17" t="s">
        <v>62</v>
      </c>
      <c r="C852" s="17" t="s">
        <v>60</v>
      </c>
      <c r="D852" s="17" t="s">
        <v>66</v>
      </c>
      <c r="E852" s="17" t="s">
        <v>2541</v>
      </c>
      <c r="F852" s="17" t="s">
        <v>140</v>
      </c>
      <c r="G852" s="17" t="s">
        <v>315</v>
      </c>
      <c r="H852" s="17" t="s">
        <v>2542</v>
      </c>
      <c r="I852" s="20" t="n">
        <v>17</v>
      </c>
      <c r="J852" s="20" t="n">
        <v>0</v>
      </c>
      <c r="K852" s="25" t="n">
        <f aca="false">IFERROR(J852/I852,0)</f>
        <v>0</v>
      </c>
      <c r="L852" s="19" t="n">
        <v>0</v>
      </c>
      <c r="M852" s="20" t="n">
        <v>0</v>
      </c>
      <c r="N852" s="8" t="n">
        <f aca="false">IFERROR(M852/J852,0)</f>
        <v>0</v>
      </c>
    </row>
    <row r="853" customFormat="false" ht="15" hidden="false" customHeight="false" outlineLevel="0" collapsed="false">
      <c r="A853" s="17" t="s">
        <v>17</v>
      </c>
      <c r="B853" s="17" t="s">
        <v>62</v>
      </c>
      <c r="C853" s="17" t="s">
        <v>66</v>
      </c>
      <c r="D853" s="17" t="s">
        <v>60</v>
      </c>
      <c r="E853" s="17" t="s">
        <v>2543</v>
      </c>
      <c r="F853" s="17" t="s">
        <v>147</v>
      </c>
      <c r="G853" s="17" t="s">
        <v>315</v>
      </c>
      <c r="H853" s="17" t="s">
        <v>2544</v>
      </c>
      <c r="I853" s="20" t="n">
        <v>15</v>
      </c>
      <c r="J853" s="20" t="n">
        <v>1</v>
      </c>
      <c r="K853" s="25" t="n">
        <f aca="false">IFERROR(J853/I853,0)</f>
        <v>0.0666666666666667</v>
      </c>
      <c r="L853" s="19" t="n">
        <v>1.9</v>
      </c>
      <c r="M853" s="20" t="n">
        <v>0</v>
      </c>
      <c r="N853" s="8" t="n">
        <f aca="false">IFERROR(M853/J853,0)</f>
        <v>0</v>
      </c>
    </row>
    <row r="854" customFormat="false" ht="15" hidden="false" customHeight="false" outlineLevel="0" collapsed="false">
      <c r="A854" s="17" t="s">
        <v>17</v>
      </c>
      <c r="B854" s="17" t="s">
        <v>62</v>
      </c>
      <c r="C854" s="17" t="s">
        <v>66</v>
      </c>
      <c r="D854" s="17" t="s">
        <v>66</v>
      </c>
      <c r="E854" s="17" t="s">
        <v>2545</v>
      </c>
      <c r="F854" s="17" t="s">
        <v>146</v>
      </c>
      <c r="G854" s="17" t="s">
        <v>351</v>
      </c>
      <c r="H854" s="17" t="s">
        <v>2546</v>
      </c>
      <c r="I854" s="20" t="n">
        <v>15</v>
      </c>
      <c r="J854" s="20" t="n">
        <v>1</v>
      </c>
      <c r="K854" s="25" t="n">
        <f aca="false">IFERROR(J854/I854,0)</f>
        <v>0.0666666666666667</v>
      </c>
      <c r="L854" s="19" t="n">
        <v>0.6</v>
      </c>
      <c r="M854" s="20" t="n">
        <v>0</v>
      </c>
      <c r="N854" s="8" t="n">
        <f aca="false">IFERROR(M854/J854,0)</f>
        <v>0</v>
      </c>
    </row>
    <row r="855" customFormat="false" ht="15" hidden="false" customHeight="false" outlineLevel="0" collapsed="false">
      <c r="A855" s="17" t="s">
        <v>17</v>
      </c>
      <c r="B855" s="17" t="s">
        <v>62</v>
      </c>
      <c r="C855" s="17" t="s">
        <v>66</v>
      </c>
      <c r="D855" s="17" t="s">
        <v>66</v>
      </c>
      <c r="E855" s="17" t="s">
        <v>2547</v>
      </c>
      <c r="F855" s="17" t="s">
        <v>2367</v>
      </c>
      <c r="G855" s="17" t="s">
        <v>311</v>
      </c>
      <c r="H855" s="17" t="s">
        <v>2292</v>
      </c>
      <c r="I855" s="20" t="n">
        <v>15</v>
      </c>
      <c r="J855" s="20" t="n">
        <v>0</v>
      </c>
      <c r="K855" s="25" t="n">
        <f aca="false">IFERROR(J855/I855,0)</f>
        <v>0</v>
      </c>
      <c r="L855" s="19" t="n">
        <v>0</v>
      </c>
      <c r="M855" s="20" t="n">
        <v>0</v>
      </c>
      <c r="N855" s="8" t="n">
        <f aca="false">IFERROR(M855/J855,0)</f>
        <v>0</v>
      </c>
    </row>
    <row r="856" customFormat="false" ht="15" hidden="false" customHeight="false" outlineLevel="0" collapsed="false">
      <c r="A856" s="17" t="s">
        <v>17</v>
      </c>
      <c r="B856" s="17" t="s">
        <v>62</v>
      </c>
      <c r="C856" s="17" t="s">
        <v>66</v>
      </c>
      <c r="D856" s="17" t="s">
        <v>66</v>
      </c>
      <c r="E856" s="17" t="s">
        <v>2548</v>
      </c>
      <c r="F856" s="17" t="s">
        <v>2367</v>
      </c>
      <c r="G856" s="17" t="s">
        <v>311</v>
      </c>
      <c r="H856" s="17" t="s">
        <v>2473</v>
      </c>
      <c r="I856" s="20" t="n">
        <v>14</v>
      </c>
      <c r="J856" s="20" t="n">
        <v>0</v>
      </c>
      <c r="K856" s="25" t="n">
        <f aca="false">IFERROR(J856/I856,0)</f>
        <v>0</v>
      </c>
      <c r="L856" s="19" t="n">
        <v>0</v>
      </c>
      <c r="M856" s="20" t="n">
        <v>0</v>
      </c>
      <c r="N856" s="8" t="n">
        <f aca="false">IFERROR(M856/J856,0)</f>
        <v>0</v>
      </c>
    </row>
    <row r="857" customFormat="false" ht="15" hidden="false" customHeight="false" outlineLevel="0" collapsed="false">
      <c r="A857" s="17" t="s">
        <v>17</v>
      </c>
      <c r="B857" s="17" t="s">
        <v>62</v>
      </c>
      <c r="C857" s="17" t="s">
        <v>66</v>
      </c>
      <c r="D857" s="17" t="s">
        <v>60</v>
      </c>
      <c r="E857" s="17" t="s">
        <v>2549</v>
      </c>
      <c r="F857" s="17" t="s">
        <v>221</v>
      </c>
      <c r="G857" s="17" t="s">
        <v>315</v>
      </c>
      <c r="H857" s="17" t="s">
        <v>2454</v>
      </c>
      <c r="I857" s="20" t="n">
        <v>13</v>
      </c>
      <c r="J857" s="20" t="n">
        <v>0</v>
      </c>
      <c r="K857" s="25" t="n">
        <f aca="false">IFERROR(J857/I857,0)</f>
        <v>0</v>
      </c>
      <c r="L857" s="19" t="n">
        <v>0</v>
      </c>
      <c r="M857" s="20" t="n">
        <v>0</v>
      </c>
      <c r="N857" s="8" t="n">
        <f aca="false">IFERROR(M857/J857,0)</f>
        <v>0</v>
      </c>
    </row>
    <row r="858" customFormat="false" ht="15" hidden="false" customHeight="false" outlineLevel="0" collapsed="false">
      <c r="A858" s="17" t="s">
        <v>17</v>
      </c>
      <c r="B858" s="17" t="s">
        <v>62</v>
      </c>
      <c r="C858" s="17" t="s">
        <v>60</v>
      </c>
      <c r="D858" s="17" t="s">
        <v>66</v>
      </c>
      <c r="E858" s="17" t="s">
        <v>2550</v>
      </c>
      <c r="F858" s="17" t="s">
        <v>140</v>
      </c>
      <c r="G858" s="17" t="s">
        <v>315</v>
      </c>
      <c r="H858" s="17" t="s">
        <v>2551</v>
      </c>
      <c r="I858" s="20" t="n">
        <v>13</v>
      </c>
      <c r="J858" s="20" t="n">
        <v>0</v>
      </c>
      <c r="K858" s="25" t="n">
        <f aca="false">IFERROR(J858/I858,0)</f>
        <v>0</v>
      </c>
      <c r="L858" s="19" t="n">
        <v>0</v>
      </c>
      <c r="M858" s="20" t="n">
        <v>0</v>
      </c>
      <c r="N858" s="8" t="n">
        <f aca="false">IFERROR(M858/J858,0)</f>
        <v>0</v>
      </c>
    </row>
    <row r="859" customFormat="false" ht="15" hidden="false" customHeight="false" outlineLevel="0" collapsed="false">
      <c r="A859" s="17" t="s">
        <v>17</v>
      </c>
      <c r="B859" s="17" t="s">
        <v>62</v>
      </c>
      <c r="C859" s="17" t="s">
        <v>66</v>
      </c>
      <c r="D859" s="17" t="s">
        <v>60</v>
      </c>
      <c r="E859" s="17" t="s">
        <v>2552</v>
      </c>
      <c r="F859" s="17" t="s">
        <v>709</v>
      </c>
      <c r="G859" s="17" t="s">
        <v>315</v>
      </c>
      <c r="H859" s="17" t="s">
        <v>2553</v>
      </c>
      <c r="I859" s="20" t="n">
        <v>12</v>
      </c>
      <c r="J859" s="20" t="n">
        <v>0</v>
      </c>
      <c r="K859" s="25" t="n">
        <f aca="false">IFERROR(J859/I859,0)</f>
        <v>0</v>
      </c>
      <c r="L859" s="19" t="n">
        <v>0</v>
      </c>
      <c r="M859" s="20" t="n">
        <v>0</v>
      </c>
      <c r="N859" s="8" t="n">
        <f aca="false">IFERROR(M859/J859,0)</f>
        <v>0</v>
      </c>
    </row>
    <row r="860" customFormat="false" ht="15" hidden="false" customHeight="false" outlineLevel="0" collapsed="false">
      <c r="A860" s="17" t="s">
        <v>17</v>
      </c>
      <c r="B860" s="17" t="s">
        <v>62</v>
      </c>
      <c r="C860" s="17" t="s">
        <v>60</v>
      </c>
      <c r="D860" s="17" t="s">
        <v>66</v>
      </c>
      <c r="E860" s="17" t="s">
        <v>2554</v>
      </c>
      <c r="F860" s="17" t="s">
        <v>140</v>
      </c>
      <c r="G860" s="17" t="s">
        <v>315</v>
      </c>
      <c r="H860" s="17" t="s">
        <v>2555</v>
      </c>
      <c r="I860" s="20" t="n">
        <v>11</v>
      </c>
      <c r="J860" s="20" t="n">
        <v>0</v>
      </c>
      <c r="K860" s="25" t="n">
        <f aca="false">IFERROR(J860/I860,0)</f>
        <v>0</v>
      </c>
      <c r="L860" s="19" t="n">
        <v>0</v>
      </c>
      <c r="M860" s="20" t="n">
        <v>0</v>
      </c>
      <c r="N860" s="8" t="n">
        <f aca="false">IFERROR(M860/J860,0)</f>
        <v>0</v>
      </c>
    </row>
    <row r="861" customFormat="false" ht="15" hidden="false" customHeight="false" outlineLevel="0" collapsed="false">
      <c r="A861" s="17" t="s">
        <v>17</v>
      </c>
      <c r="B861" s="17" t="s">
        <v>62</v>
      </c>
      <c r="C861" s="17" t="s">
        <v>60</v>
      </c>
      <c r="D861" s="17" t="s">
        <v>66</v>
      </c>
      <c r="E861" s="17" t="s">
        <v>2556</v>
      </c>
      <c r="F861" s="17" t="s">
        <v>140</v>
      </c>
      <c r="G861" s="17" t="s">
        <v>315</v>
      </c>
      <c r="H861" s="17" t="s">
        <v>2557</v>
      </c>
      <c r="I861" s="20" t="n">
        <v>10</v>
      </c>
      <c r="J861" s="20" t="n">
        <v>0</v>
      </c>
      <c r="K861" s="25" t="n">
        <f aca="false">IFERROR(J861/I861,0)</f>
        <v>0</v>
      </c>
      <c r="L861" s="19" t="n">
        <v>0</v>
      </c>
      <c r="M861" s="20" t="n">
        <v>0</v>
      </c>
      <c r="N861" s="8" t="n">
        <f aca="false">IFERROR(M861/J861,0)</f>
        <v>0</v>
      </c>
    </row>
    <row r="862" customFormat="false" ht="15" hidden="false" customHeight="false" outlineLevel="0" collapsed="false">
      <c r="A862" s="17" t="s">
        <v>17</v>
      </c>
      <c r="B862" s="17" t="s">
        <v>62</v>
      </c>
      <c r="C862" s="17" t="s">
        <v>60</v>
      </c>
      <c r="D862" s="17" t="s">
        <v>66</v>
      </c>
      <c r="E862" s="17" t="s">
        <v>2558</v>
      </c>
      <c r="F862" s="17" t="s">
        <v>140</v>
      </c>
      <c r="G862" s="17" t="s">
        <v>315</v>
      </c>
      <c r="H862" s="17" t="s">
        <v>2559</v>
      </c>
      <c r="I862" s="20" t="n">
        <v>10</v>
      </c>
      <c r="J862" s="20" t="n">
        <v>0</v>
      </c>
      <c r="K862" s="25" t="n">
        <f aca="false">IFERROR(J862/I862,0)</f>
        <v>0</v>
      </c>
      <c r="L862" s="19" t="n">
        <v>0</v>
      </c>
      <c r="M862" s="20" t="n">
        <v>0</v>
      </c>
      <c r="N862" s="8" t="n">
        <f aca="false">IFERROR(M862/J862,0)</f>
        <v>0</v>
      </c>
    </row>
    <row r="863" customFormat="false" ht="15" hidden="false" customHeight="false" outlineLevel="0" collapsed="false">
      <c r="A863" s="17" t="s">
        <v>17</v>
      </c>
      <c r="B863" s="17" t="s">
        <v>62</v>
      </c>
      <c r="C863" s="17" t="s">
        <v>60</v>
      </c>
      <c r="D863" s="17" t="s">
        <v>66</v>
      </c>
      <c r="E863" s="17" t="s">
        <v>2560</v>
      </c>
      <c r="F863" s="17" t="s">
        <v>140</v>
      </c>
      <c r="G863" s="17" t="s">
        <v>315</v>
      </c>
      <c r="H863" s="17" t="s">
        <v>2561</v>
      </c>
      <c r="I863" s="20" t="n">
        <v>9</v>
      </c>
      <c r="J863" s="20" t="n">
        <v>0</v>
      </c>
      <c r="K863" s="25" t="n">
        <f aca="false">IFERROR(J863/I863,0)</f>
        <v>0</v>
      </c>
      <c r="L863" s="19" t="n">
        <v>0</v>
      </c>
      <c r="M863" s="20" t="n">
        <v>0</v>
      </c>
      <c r="N863" s="8" t="n">
        <f aca="false">IFERROR(M863/J863,0)</f>
        <v>0</v>
      </c>
    </row>
    <row r="864" customFormat="false" ht="15" hidden="false" customHeight="false" outlineLevel="0" collapsed="false">
      <c r="A864" s="17" t="s">
        <v>17</v>
      </c>
      <c r="B864" s="17" t="s">
        <v>62</v>
      </c>
      <c r="C864" s="17" t="s">
        <v>66</v>
      </c>
      <c r="D864" s="17" t="s">
        <v>66</v>
      </c>
      <c r="E864" s="17" t="s">
        <v>2562</v>
      </c>
      <c r="F864" s="17" t="s">
        <v>2563</v>
      </c>
      <c r="G864" s="17" t="s">
        <v>315</v>
      </c>
      <c r="H864" s="17" t="s">
        <v>2564</v>
      </c>
      <c r="I864" s="20" t="n">
        <v>8</v>
      </c>
      <c r="J864" s="20" t="n">
        <v>0</v>
      </c>
      <c r="K864" s="25" t="n">
        <f aca="false">IFERROR(J864/I864,0)</f>
        <v>0</v>
      </c>
      <c r="L864" s="19" t="n">
        <v>0</v>
      </c>
      <c r="M864" s="20" t="n">
        <v>0</v>
      </c>
      <c r="N864" s="8" t="n">
        <f aca="false">IFERROR(M864/J864,0)</f>
        <v>0</v>
      </c>
    </row>
    <row r="865" customFormat="false" ht="15" hidden="false" customHeight="false" outlineLevel="0" collapsed="false">
      <c r="A865" s="17" t="s">
        <v>17</v>
      </c>
      <c r="B865" s="17" t="s">
        <v>62</v>
      </c>
      <c r="C865" s="17" t="s">
        <v>60</v>
      </c>
      <c r="D865" s="17" t="s">
        <v>66</v>
      </c>
      <c r="E865" s="17" t="s">
        <v>2565</v>
      </c>
      <c r="F865" s="17" t="s">
        <v>140</v>
      </c>
      <c r="G865" s="17" t="s">
        <v>315</v>
      </c>
      <c r="H865" s="17" t="s">
        <v>2566</v>
      </c>
      <c r="I865" s="20" t="n">
        <v>8</v>
      </c>
      <c r="J865" s="20" t="n">
        <v>0</v>
      </c>
      <c r="K865" s="25" t="n">
        <f aca="false">IFERROR(J865/I865,0)</f>
        <v>0</v>
      </c>
      <c r="L865" s="19" t="n">
        <v>0</v>
      </c>
      <c r="M865" s="20" t="n">
        <v>0</v>
      </c>
      <c r="N865" s="8" t="n">
        <f aca="false">IFERROR(M865/J865,0)</f>
        <v>0</v>
      </c>
    </row>
    <row r="866" customFormat="false" ht="15" hidden="false" customHeight="false" outlineLevel="0" collapsed="false">
      <c r="A866" s="17" t="s">
        <v>17</v>
      </c>
      <c r="B866" s="17" t="s">
        <v>62</v>
      </c>
      <c r="C866" s="17" t="s">
        <v>60</v>
      </c>
      <c r="D866" s="17" t="s">
        <v>66</v>
      </c>
      <c r="E866" s="17" t="s">
        <v>2567</v>
      </c>
      <c r="F866" s="17" t="s">
        <v>660</v>
      </c>
      <c r="G866" s="17" t="s">
        <v>315</v>
      </c>
      <c r="H866" s="17" t="s">
        <v>2568</v>
      </c>
      <c r="I866" s="20" t="n">
        <v>7</v>
      </c>
      <c r="J866" s="20" t="n">
        <v>0</v>
      </c>
      <c r="K866" s="25" t="n">
        <f aca="false">IFERROR(J866/I866,0)</f>
        <v>0</v>
      </c>
      <c r="L866" s="19" t="n">
        <v>0</v>
      </c>
      <c r="M866" s="20" t="n">
        <v>0</v>
      </c>
      <c r="N866" s="8" t="n">
        <f aca="false">IFERROR(M866/J866,0)</f>
        <v>0</v>
      </c>
    </row>
    <row r="867" customFormat="false" ht="15" hidden="false" customHeight="false" outlineLevel="0" collapsed="false">
      <c r="A867" s="17" t="s">
        <v>17</v>
      </c>
      <c r="B867" s="17" t="s">
        <v>62</v>
      </c>
      <c r="C867" s="17" t="s">
        <v>66</v>
      </c>
      <c r="D867" s="17" t="s">
        <v>66</v>
      </c>
      <c r="E867" s="17" t="s">
        <v>2569</v>
      </c>
      <c r="F867" s="17" t="s">
        <v>2367</v>
      </c>
      <c r="G867" s="17" t="s">
        <v>351</v>
      </c>
      <c r="H867" s="17" t="s">
        <v>2479</v>
      </c>
      <c r="I867" s="20" t="n">
        <v>7</v>
      </c>
      <c r="J867" s="20" t="n">
        <v>0</v>
      </c>
      <c r="K867" s="25" t="n">
        <f aca="false">IFERROR(J867/I867,0)</f>
        <v>0</v>
      </c>
      <c r="L867" s="19" t="n">
        <v>0</v>
      </c>
      <c r="M867" s="20" t="n">
        <v>0</v>
      </c>
      <c r="N867" s="8" t="n">
        <f aca="false">IFERROR(M867/J867,0)</f>
        <v>0</v>
      </c>
    </row>
    <row r="868" customFormat="false" ht="15" hidden="false" customHeight="false" outlineLevel="0" collapsed="false">
      <c r="A868" s="17" t="s">
        <v>17</v>
      </c>
      <c r="B868" s="17" t="s">
        <v>62</v>
      </c>
      <c r="C868" s="17" t="s">
        <v>66</v>
      </c>
      <c r="D868" s="17" t="s">
        <v>60</v>
      </c>
      <c r="E868" s="17" t="s">
        <v>2570</v>
      </c>
      <c r="F868" s="17" t="s">
        <v>2571</v>
      </c>
      <c r="G868" s="17" t="s">
        <v>315</v>
      </c>
      <c r="H868" s="17" t="s">
        <v>2572</v>
      </c>
      <c r="I868" s="20" t="n">
        <v>6</v>
      </c>
      <c r="J868" s="20" t="n">
        <v>0</v>
      </c>
      <c r="K868" s="25" t="n">
        <f aca="false">IFERROR(J868/I868,0)</f>
        <v>0</v>
      </c>
      <c r="L868" s="19" t="n">
        <v>0</v>
      </c>
      <c r="M868" s="20" t="n">
        <v>0</v>
      </c>
      <c r="N868" s="8" t="n">
        <f aca="false">IFERROR(M868/J868,0)</f>
        <v>0</v>
      </c>
    </row>
    <row r="869" customFormat="false" ht="15" hidden="false" customHeight="false" outlineLevel="0" collapsed="false">
      <c r="A869" s="17" t="s">
        <v>17</v>
      </c>
      <c r="B869" s="17" t="s">
        <v>62</v>
      </c>
      <c r="C869" s="17" t="s">
        <v>60</v>
      </c>
      <c r="D869" s="17" t="s">
        <v>66</v>
      </c>
      <c r="E869" s="17" t="s">
        <v>2573</v>
      </c>
      <c r="F869" s="17" t="s">
        <v>140</v>
      </c>
      <c r="G869" s="17" t="s">
        <v>315</v>
      </c>
      <c r="H869" s="17" t="s">
        <v>2574</v>
      </c>
      <c r="I869" s="20" t="n">
        <v>6</v>
      </c>
      <c r="J869" s="20" t="n">
        <v>0</v>
      </c>
      <c r="K869" s="25" t="n">
        <f aca="false">IFERROR(J869/I869,0)</f>
        <v>0</v>
      </c>
      <c r="L869" s="19" t="n">
        <v>0</v>
      </c>
      <c r="M869" s="20" t="n">
        <v>0</v>
      </c>
      <c r="N869" s="8" t="n">
        <f aca="false">IFERROR(M869/J869,0)</f>
        <v>0</v>
      </c>
    </row>
    <row r="870" customFormat="false" ht="15" hidden="false" customHeight="false" outlineLevel="0" collapsed="false">
      <c r="A870" s="17" t="s">
        <v>17</v>
      </c>
      <c r="B870" s="17" t="s">
        <v>62</v>
      </c>
      <c r="C870" s="17" t="s">
        <v>60</v>
      </c>
      <c r="D870" s="17" t="s">
        <v>66</v>
      </c>
      <c r="E870" s="17" t="s">
        <v>2575</v>
      </c>
      <c r="F870" s="17" t="s">
        <v>140</v>
      </c>
      <c r="G870" s="17" t="s">
        <v>315</v>
      </c>
      <c r="H870" s="17" t="s">
        <v>2576</v>
      </c>
      <c r="I870" s="20" t="n">
        <v>6</v>
      </c>
      <c r="J870" s="20" t="n">
        <v>0</v>
      </c>
      <c r="K870" s="25" t="n">
        <f aca="false">IFERROR(J870/I870,0)</f>
        <v>0</v>
      </c>
      <c r="L870" s="19" t="n">
        <v>0</v>
      </c>
      <c r="M870" s="20" t="n">
        <v>0</v>
      </c>
      <c r="N870" s="8" t="n">
        <f aca="false">IFERROR(M870/J870,0)</f>
        <v>0</v>
      </c>
    </row>
    <row r="871" customFormat="false" ht="15" hidden="false" customHeight="false" outlineLevel="0" collapsed="false">
      <c r="A871" s="17" t="s">
        <v>17</v>
      </c>
      <c r="B871" s="17" t="s">
        <v>62</v>
      </c>
      <c r="C871" s="17" t="s">
        <v>60</v>
      </c>
      <c r="D871" s="17" t="s">
        <v>60</v>
      </c>
      <c r="E871" s="17" t="s">
        <v>2577</v>
      </c>
      <c r="F871" s="17" t="s">
        <v>140</v>
      </c>
      <c r="G871" s="17" t="s">
        <v>315</v>
      </c>
      <c r="H871" s="17" t="s">
        <v>2578</v>
      </c>
      <c r="I871" s="20" t="n">
        <v>6</v>
      </c>
      <c r="J871" s="20" t="n">
        <v>0</v>
      </c>
      <c r="K871" s="25" t="n">
        <f aca="false">IFERROR(J871/I871,0)</f>
        <v>0</v>
      </c>
      <c r="L871" s="19" t="n">
        <v>0</v>
      </c>
      <c r="M871" s="20" t="n">
        <v>0</v>
      </c>
      <c r="N871" s="8" t="n">
        <f aca="false">IFERROR(M871/J871,0)</f>
        <v>0</v>
      </c>
    </row>
    <row r="872" customFormat="false" ht="15" hidden="false" customHeight="false" outlineLevel="0" collapsed="false">
      <c r="A872" s="17" t="s">
        <v>17</v>
      </c>
      <c r="B872" s="17" t="s">
        <v>62</v>
      </c>
      <c r="C872" s="17" t="s">
        <v>60</v>
      </c>
      <c r="D872" s="17" t="s">
        <v>66</v>
      </c>
      <c r="E872" s="17" t="s">
        <v>2579</v>
      </c>
      <c r="F872" s="17" t="s">
        <v>140</v>
      </c>
      <c r="G872" s="17" t="s">
        <v>315</v>
      </c>
      <c r="H872" s="17" t="s">
        <v>2580</v>
      </c>
      <c r="I872" s="20" t="n">
        <v>4</v>
      </c>
      <c r="J872" s="20" t="n">
        <v>0</v>
      </c>
      <c r="K872" s="25" t="n">
        <f aca="false">IFERROR(J872/I872,0)</f>
        <v>0</v>
      </c>
      <c r="L872" s="19" t="n">
        <v>0</v>
      </c>
      <c r="M872" s="20" t="n">
        <v>0</v>
      </c>
      <c r="N872" s="8" t="n">
        <f aca="false">IFERROR(M872/J872,0)</f>
        <v>0</v>
      </c>
    </row>
    <row r="873" customFormat="false" ht="15" hidden="false" customHeight="false" outlineLevel="0" collapsed="false">
      <c r="A873" s="17" t="s">
        <v>17</v>
      </c>
      <c r="B873" s="17" t="s">
        <v>62</v>
      </c>
      <c r="C873" s="17" t="s">
        <v>66</v>
      </c>
      <c r="D873" s="17" t="s">
        <v>60</v>
      </c>
      <c r="E873" s="17" t="s">
        <v>2581</v>
      </c>
      <c r="F873" s="17" t="s">
        <v>146</v>
      </c>
      <c r="G873" s="17" t="s">
        <v>351</v>
      </c>
      <c r="H873" s="17" t="s">
        <v>2582</v>
      </c>
      <c r="I873" s="20" t="n">
        <v>3</v>
      </c>
      <c r="J873" s="20" t="n">
        <v>0</v>
      </c>
      <c r="K873" s="25" t="n">
        <f aca="false">IFERROR(J873/I873,0)</f>
        <v>0</v>
      </c>
      <c r="L873" s="19" t="n">
        <v>0</v>
      </c>
      <c r="M873" s="20" t="n">
        <v>0</v>
      </c>
      <c r="N873" s="8" t="n">
        <f aca="false">IFERROR(M873/J873,0)</f>
        <v>0</v>
      </c>
    </row>
    <row r="874" customFormat="false" ht="15" hidden="false" customHeight="false" outlineLevel="0" collapsed="false">
      <c r="A874" s="17" t="s">
        <v>17</v>
      </c>
      <c r="B874" s="17" t="s">
        <v>62</v>
      </c>
      <c r="C874" s="17" t="s">
        <v>66</v>
      </c>
      <c r="D874" s="17" t="s">
        <v>60</v>
      </c>
      <c r="E874" s="17" t="s">
        <v>2583</v>
      </c>
      <c r="F874" s="17" t="s">
        <v>919</v>
      </c>
      <c r="G874" s="17" t="s">
        <v>315</v>
      </c>
      <c r="H874" s="17" t="s">
        <v>2584</v>
      </c>
      <c r="I874" s="20" t="n">
        <v>2</v>
      </c>
      <c r="J874" s="20" t="n">
        <v>0</v>
      </c>
      <c r="K874" s="25" t="n">
        <f aca="false">IFERROR(J874/I874,0)</f>
        <v>0</v>
      </c>
      <c r="L874" s="19" t="n">
        <v>0</v>
      </c>
      <c r="M874" s="20" t="n">
        <v>0</v>
      </c>
      <c r="N874" s="8" t="n">
        <f aca="false">IFERROR(M874/J874,0)</f>
        <v>0</v>
      </c>
    </row>
    <row r="875" customFormat="false" ht="15" hidden="false" customHeight="false" outlineLevel="0" collapsed="false">
      <c r="A875" s="17" t="s">
        <v>17</v>
      </c>
      <c r="B875" s="17" t="s">
        <v>62</v>
      </c>
      <c r="C875" s="17" t="s">
        <v>66</v>
      </c>
      <c r="D875" s="17" t="s">
        <v>60</v>
      </c>
      <c r="E875" s="17" t="s">
        <v>2585</v>
      </c>
      <c r="F875" s="17" t="s">
        <v>169</v>
      </c>
      <c r="G875" s="17" t="s">
        <v>315</v>
      </c>
      <c r="H875" s="17" t="s">
        <v>2586</v>
      </c>
      <c r="I875" s="20" t="n">
        <v>2</v>
      </c>
      <c r="J875" s="20" t="n">
        <v>0</v>
      </c>
      <c r="K875" s="25" t="n">
        <f aca="false">IFERROR(J875/I875,0)</f>
        <v>0</v>
      </c>
      <c r="L875" s="19" t="n">
        <v>0</v>
      </c>
      <c r="M875" s="20" t="n">
        <v>0</v>
      </c>
      <c r="N875" s="8" t="n">
        <f aca="false">IFERROR(M875/J875,0)</f>
        <v>0</v>
      </c>
    </row>
    <row r="876" customFormat="false" ht="15" hidden="false" customHeight="false" outlineLevel="0" collapsed="false">
      <c r="A876" s="17" t="s">
        <v>17</v>
      </c>
      <c r="B876" s="17" t="s">
        <v>62</v>
      </c>
      <c r="C876" s="17" t="s">
        <v>60</v>
      </c>
      <c r="D876" s="17" t="s">
        <v>66</v>
      </c>
      <c r="E876" s="17" t="s">
        <v>2587</v>
      </c>
      <c r="F876" s="17" t="s">
        <v>140</v>
      </c>
      <c r="G876" s="17" t="s">
        <v>315</v>
      </c>
      <c r="H876" s="17" t="s">
        <v>2588</v>
      </c>
      <c r="I876" s="20" t="n">
        <v>2</v>
      </c>
      <c r="J876" s="20" t="n">
        <v>0</v>
      </c>
      <c r="K876" s="25" t="n">
        <f aca="false">IFERROR(J876/I876,0)</f>
        <v>0</v>
      </c>
      <c r="L876" s="19" t="n">
        <v>0</v>
      </c>
      <c r="M876" s="20" t="n">
        <v>0</v>
      </c>
      <c r="N876" s="8" t="n">
        <f aca="false">IFERROR(M876/J876,0)</f>
        <v>0</v>
      </c>
    </row>
    <row r="877" customFormat="false" ht="15" hidden="false" customHeight="false" outlineLevel="0" collapsed="false">
      <c r="A877" s="17" t="s">
        <v>17</v>
      </c>
      <c r="B877" s="17" t="s">
        <v>62</v>
      </c>
      <c r="C877" s="17" t="s">
        <v>60</v>
      </c>
      <c r="D877" s="17" t="s">
        <v>66</v>
      </c>
      <c r="E877" s="17" t="s">
        <v>2589</v>
      </c>
      <c r="F877" s="17" t="s">
        <v>140</v>
      </c>
      <c r="G877" s="17" t="s">
        <v>315</v>
      </c>
      <c r="H877" s="17" t="s">
        <v>2590</v>
      </c>
      <c r="I877" s="20" t="n">
        <v>2</v>
      </c>
      <c r="J877" s="20" t="n">
        <v>0</v>
      </c>
      <c r="K877" s="25" t="n">
        <f aca="false">IFERROR(J877/I877,0)</f>
        <v>0</v>
      </c>
      <c r="L877" s="19" t="n">
        <v>0</v>
      </c>
      <c r="M877" s="20" t="n">
        <v>0</v>
      </c>
      <c r="N877" s="8" t="n">
        <f aca="false">IFERROR(M877/J877,0)</f>
        <v>0</v>
      </c>
    </row>
    <row r="878" customFormat="false" ht="15" hidden="false" customHeight="false" outlineLevel="0" collapsed="false">
      <c r="A878" s="17" t="s">
        <v>17</v>
      </c>
      <c r="B878" s="17" t="s">
        <v>62</v>
      </c>
      <c r="C878" s="17" t="s">
        <v>60</v>
      </c>
      <c r="D878" s="17" t="s">
        <v>60</v>
      </c>
      <c r="E878" s="17" t="s">
        <v>2591</v>
      </c>
      <c r="F878" s="17" t="s">
        <v>660</v>
      </c>
      <c r="G878" s="17" t="s">
        <v>315</v>
      </c>
      <c r="H878" s="17" t="s">
        <v>2592</v>
      </c>
      <c r="I878" s="20" t="n">
        <v>1</v>
      </c>
      <c r="J878" s="20" t="n">
        <v>0</v>
      </c>
      <c r="K878" s="25" t="n">
        <f aca="false">IFERROR(J878/I878,0)</f>
        <v>0</v>
      </c>
      <c r="L878" s="19" t="n">
        <v>0</v>
      </c>
      <c r="M878" s="20" t="n">
        <v>0</v>
      </c>
      <c r="N878" s="8" t="n">
        <f aca="false">IFERROR(M878/J878,0)</f>
        <v>0</v>
      </c>
    </row>
    <row r="879" customFormat="false" ht="15" hidden="false" customHeight="false" outlineLevel="0" collapsed="false">
      <c r="A879" s="17" t="s">
        <v>17</v>
      </c>
      <c r="B879" s="17" t="s">
        <v>62</v>
      </c>
      <c r="C879" s="17" t="s">
        <v>66</v>
      </c>
      <c r="D879" s="17" t="s">
        <v>60</v>
      </c>
      <c r="E879" s="17" t="s">
        <v>2593</v>
      </c>
      <c r="F879" s="17" t="s">
        <v>146</v>
      </c>
      <c r="G879" s="17" t="s">
        <v>351</v>
      </c>
      <c r="H879" s="17" t="s">
        <v>2209</v>
      </c>
      <c r="I879" s="20" t="n">
        <v>1</v>
      </c>
      <c r="J879" s="20" t="n">
        <v>0</v>
      </c>
      <c r="K879" s="25" t="n">
        <f aca="false">IFERROR(J879/I879,0)</f>
        <v>0</v>
      </c>
      <c r="L879" s="19" t="n">
        <v>0</v>
      </c>
      <c r="M879" s="20" t="n">
        <v>0</v>
      </c>
      <c r="N879" s="8" t="n">
        <f aca="false">IFERROR(M879/J879,0)</f>
        <v>0</v>
      </c>
    </row>
    <row r="880" customFormat="false" ht="15" hidden="false" customHeight="false" outlineLevel="0" collapsed="false">
      <c r="A880" s="17" t="s">
        <v>17</v>
      </c>
      <c r="B880" s="17" t="s">
        <v>62</v>
      </c>
      <c r="C880" s="17" t="s">
        <v>66</v>
      </c>
      <c r="D880" s="17" t="s">
        <v>60</v>
      </c>
      <c r="E880" s="17" t="s">
        <v>2594</v>
      </c>
      <c r="F880" s="17" t="s">
        <v>169</v>
      </c>
      <c r="G880" s="17" t="s">
        <v>315</v>
      </c>
      <c r="H880" s="17" t="s">
        <v>2595</v>
      </c>
      <c r="I880" s="20" t="n">
        <v>1</v>
      </c>
      <c r="J880" s="20" t="n">
        <v>0</v>
      </c>
      <c r="K880" s="25" t="n">
        <f aca="false">IFERROR(J880/I880,0)</f>
        <v>0</v>
      </c>
      <c r="L880" s="19" t="n">
        <v>0</v>
      </c>
      <c r="M880" s="20" t="n">
        <v>0</v>
      </c>
      <c r="N880" s="8" t="n">
        <f aca="false">IFERROR(M880/J880,0)</f>
        <v>0</v>
      </c>
    </row>
    <row r="881" customFormat="false" ht="15" hidden="false" customHeight="false" outlineLevel="0" collapsed="false">
      <c r="A881" s="17" t="s">
        <v>17</v>
      </c>
      <c r="B881" s="17" t="s">
        <v>62</v>
      </c>
      <c r="C881" s="17" t="s">
        <v>66</v>
      </c>
      <c r="D881" s="17" t="s">
        <v>60</v>
      </c>
      <c r="E881" s="17" t="s">
        <v>2596</v>
      </c>
      <c r="F881" s="17" t="s">
        <v>169</v>
      </c>
      <c r="G881" s="17" t="s">
        <v>315</v>
      </c>
      <c r="H881" s="17" t="s">
        <v>2597</v>
      </c>
      <c r="I881" s="20" t="n">
        <v>1</v>
      </c>
      <c r="J881" s="20" t="n">
        <v>0</v>
      </c>
      <c r="K881" s="25" t="n">
        <f aca="false">IFERROR(J881/I881,0)</f>
        <v>0</v>
      </c>
      <c r="L881" s="19" t="n">
        <v>0</v>
      </c>
      <c r="M881" s="20" t="n">
        <v>0</v>
      </c>
      <c r="N881" s="8" t="n">
        <f aca="false">IFERROR(M881/J881,0)</f>
        <v>0</v>
      </c>
    </row>
    <row r="882" customFormat="false" ht="15" hidden="false" customHeight="false" outlineLevel="0" collapsed="false">
      <c r="A882" s="17" t="s">
        <v>17</v>
      </c>
      <c r="B882" s="17" t="s">
        <v>62</v>
      </c>
      <c r="C882" s="17" t="s">
        <v>66</v>
      </c>
      <c r="D882" s="17" t="s">
        <v>66</v>
      </c>
      <c r="E882" s="17" t="s">
        <v>2598</v>
      </c>
      <c r="F882" s="17" t="s">
        <v>146</v>
      </c>
      <c r="G882" s="17" t="s">
        <v>351</v>
      </c>
      <c r="H882" s="17" t="s">
        <v>2588</v>
      </c>
      <c r="I882" s="20" t="n">
        <v>1</v>
      </c>
      <c r="J882" s="20" t="n">
        <v>0</v>
      </c>
      <c r="K882" s="25" t="n">
        <f aca="false">IFERROR(J882/I882,0)</f>
        <v>0</v>
      </c>
      <c r="L882" s="19" t="n">
        <v>0</v>
      </c>
      <c r="M882" s="20" t="n">
        <v>0</v>
      </c>
      <c r="N882" s="8" t="n">
        <f aca="false">IFERROR(M882/J882,0)</f>
        <v>0</v>
      </c>
    </row>
    <row r="883" customFormat="false" ht="15" hidden="false" customHeight="false" outlineLevel="0" collapsed="false">
      <c r="A883" s="17" t="s">
        <v>17</v>
      </c>
      <c r="B883" s="17" t="s">
        <v>62</v>
      </c>
      <c r="C883" s="17" t="s">
        <v>66</v>
      </c>
      <c r="D883" s="17" t="s">
        <v>66</v>
      </c>
      <c r="E883" s="17" t="s">
        <v>2599</v>
      </c>
      <c r="F883" s="17" t="s">
        <v>2367</v>
      </c>
      <c r="G883" s="17" t="s">
        <v>351</v>
      </c>
      <c r="H883" s="17" t="s">
        <v>2482</v>
      </c>
      <c r="I883" s="20" t="n">
        <v>1</v>
      </c>
      <c r="J883" s="20" t="n">
        <v>0</v>
      </c>
      <c r="K883" s="25" t="n">
        <f aca="false">IFERROR(J883/I883,0)</f>
        <v>0</v>
      </c>
      <c r="L883" s="19" t="n">
        <v>0</v>
      </c>
      <c r="M883" s="20" t="n">
        <v>0</v>
      </c>
      <c r="N883" s="8" t="n">
        <f aca="false">IFERROR(M883/J883,0)</f>
        <v>0</v>
      </c>
    </row>
    <row r="884" customFormat="false" ht="15" hidden="false" customHeight="false" outlineLevel="0" collapsed="false">
      <c r="A884" s="17" t="s">
        <v>17</v>
      </c>
      <c r="B884" s="17" t="s">
        <v>62</v>
      </c>
      <c r="C884" s="17" t="s">
        <v>66</v>
      </c>
      <c r="D884" s="17" t="s">
        <v>60</v>
      </c>
      <c r="E884" s="17" t="s">
        <v>2600</v>
      </c>
      <c r="F884" s="17" t="s">
        <v>166</v>
      </c>
      <c r="G884" s="17" t="s">
        <v>315</v>
      </c>
      <c r="H884" s="17" t="s">
        <v>2601</v>
      </c>
      <c r="I884" s="20" t="n">
        <v>1</v>
      </c>
      <c r="J884" s="20" t="n">
        <v>0</v>
      </c>
      <c r="K884" s="25" t="n">
        <f aca="false">IFERROR(J884/I884,0)</f>
        <v>0</v>
      </c>
      <c r="L884" s="19" t="n">
        <v>0</v>
      </c>
      <c r="M884" s="20" t="n">
        <v>0</v>
      </c>
      <c r="N884" s="8" t="n">
        <f aca="false">IFERROR(M884/J884,0)</f>
        <v>0</v>
      </c>
    </row>
    <row r="885" customFormat="false" ht="15" hidden="false" customHeight="false" outlineLevel="0" collapsed="false">
      <c r="A885" s="17" t="s">
        <v>17</v>
      </c>
      <c r="B885" s="17" t="s">
        <v>62</v>
      </c>
      <c r="C885" s="17" t="s">
        <v>66</v>
      </c>
      <c r="D885" s="17" t="s">
        <v>66</v>
      </c>
      <c r="E885" s="17" t="s">
        <v>2602</v>
      </c>
      <c r="F885" s="17" t="s">
        <v>146</v>
      </c>
      <c r="G885" s="17" t="s">
        <v>351</v>
      </c>
      <c r="H885" s="17" t="s">
        <v>2603</v>
      </c>
      <c r="I885" s="20" t="n">
        <v>1</v>
      </c>
      <c r="J885" s="20" t="n">
        <v>0</v>
      </c>
      <c r="K885" s="25" t="n">
        <f aca="false">IFERROR(J885/I885,0)</f>
        <v>0</v>
      </c>
      <c r="L885" s="19" t="n">
        <v>0</v>
      </c>
      <c r="M885" s="20" t="n">
        <v>0</v>
      </c>
      <c r="N885" s="8" t="n">
        <f aca="false">IFERROR(M885/J885,0)</f>
        <v>0</v>
      </c>
    </row>
    <row r="886" customFormat="false" ht="15" hidden="false" customHeight="false" outlineLevel="0" collapsed="false">
      <c r="A886" s="17" t="s">
        <v>17</v>
      </c>
      <c r="B886" s="17" t="s">
        <v>62</v>
      </c>
      <c r="C886" s="17" t="s">
        <v>66</v>
      </c>
      <c r="D886" s="17" t="s">
        <v>66</v>
      </c>
      <c r="E886" s="17" t="s">
        <v>2604</v>
      </c>
      <c r="F886" s="17" t="s">
        <v>146</v>
      </c>
      <c r="G886" s="17" t="s">
        <v>351</v>
      </c>
      <c r="H886" s="17" t="s">
        <v>2460</v>
      </c>
      <c r="I886" s="20" t="n">
        <v>1</v>
      </c>
      <c r="J886" s="20" t="n">
        <v>0</v>
      </c>
      <c r="K886" s="25" t="n">
        <f aca="false">IFERROR(J886/I886,0)</f>
        <v>0</v>
      </c>
      <c r="L886" s="19" t="n">
        <v>0</v>
      </c>
      <c r="M886" s="20" t="n">
        <v>0</v>
      </c>
      <c r="N886" s="8" t="n">
        <f aca="false">IFERROR(M886/J886,0)</f>
        <v>0</v>
      </c>
    </row>
    <row r="887" customFormat="false" ht="15" hidden="false" customHeight="false" outlineLevel="0" collapsed="false">
      <c r="A887" s="17" t="s">
        <v>17</v>
      </c>
      <c r="B887" s="17" t="s">
        <v>62</v>
      </c>
      <c r="C887" s="17" t="s">
        <v>60</v>
      </c>
      <c r="D887" s="17" t="s">
        <v>66</v>
      </c>
      <c r="E887" s="17" t="s">
        <v>2605</v>
      </c>
      <c r="F887" s="17" t="s">
        <v>660</v>
      </c>
      <c r="G887" s="17" t="s">
        <v>315</v>
      </c>
      <c r="H887" s="17" t="s">
        <v>2606</v>
      </c>
      <c r="I887" s="20" t="n">
        <v>1</v>
      </c>
      <c r="J887" s="20" t="n">
        <v>0</v>
      </c>
      <c r="K887" s="25" t="n">
        <f aca="false">IFERROR(J887/I887,0)</f>
        <v>0</v>
      </c>
      <c r="L887" s="19" t="n">
        <v>0</v>
      </c>
      <c r="M887" s="20" t="n">
        <v>0</v>
      </c>
      <c r="N887" s="8" t="n">
        <f aca="false">IFERROR(M887/J887,0)</f>
        <v>0</v>
      </c>
    </row>
    <row r="888" customFormat="false" ht="15" hidden="false" customHeight="false" outlineLevel="0" collapsed="false">
      <c r="A888" s="17" t="s">
        <v>17</v>
      </c>
      <c r="B888" s="17" t="s">
        <v>62</v>
      </c>
      <c r="C888" s="17" t="s">
        <v>60</v>
      </c>
      <c r="D888" s="17" t="s">
        <v>66</v>
      </c>
      <c r="E888" s="17" t="s">
        <v>2607</v>
      </c>
      <c r="F888" s="17" t="s">
        <v>140</v>
      </c>
      <c r="G888" s="17" t="s">
        <v>315</v>
      </c>
      <c r="H888" s="17" t="s">
        <v>2540</v>
      </c>
      <c r="I888" s="20" t="n">
        <v>0</v>
      </c>
      <c r="J888" s="20" t="n">
        <v>0</v>
      </c>
      <c r="K888" s="25" t="n">
        <f aca="false">IFERROR(J888/I888,0)</f>
        <v>0</v>
      </c>
      <c r="L888" s="19" t="n">
        <v>0</v>
      </c>
      <c r="M888" s="20" t="n">
        <v>0</v>
      </c>
      <c r="N888" s="8" t="n">
        <f aca="false">IFERROR(M888/J888,0)</f>
        <v>0</v>
      </c>
    </row>
    <row r="889" customFormat="false" ht="15" hidden="false" customHeight="false" outlineLevel="0" collapsed="false">
      <c r="A889" s="17" t="s">
        <v>17</v>
      </c>
      <c r="B889" s="17" t="s">
        <v>62</v>
      </c>
      <c r="C889" s="17" t="s">
        <v>60</v>
      </c>
      <c r="D889" s="17" t="s">
        <v>60</v>
      </c>
      <c r="E889" s="17" t="s">
        <v>2608</v>
      </c>
      <c r="F889" s="17" t="s">
        <v>140</v>
      </c>
      <c r="G889" s="17" t="s">
        <v>315</v>
      </c>
      <c r="H889" s="17" t="s">
        <v>2609</v>
      </c>
      <c r="I889" s="20" t="n">
        <v>0</v>
      </c>
      <c r="J889" s="20" t="n">
        <v>0</v>
      </c>
      <c r="K889" s="25" t="n">
        <f aca="false">IFERROR(J889/I889,0)</f>
        <v>0</v>
      </c>
      <c r="L889" s="19" t="n">
        <v>0</v>
      </c>
      <c r="M889" s="20" t="n">
        <v>0</v>
      </c>
      <c r="N889" s="8" t="n">
        <f aca="false">IFERROR(M889/J889,0)</f>
        <v>0</v>
      </c>
    </row>
    <row r="890" customFormat="false" ht="15" hidden="false" customHeight="false" outlineLevel="0" collapsed="false">
      <c r="A890" s="17" t="s">
        <v>17</v>
      </c>
      <c r="B890" s="17" t="s">
        <v>62</v>
      </c>
      <c r="C890" s="17" t="s">
        <v>60</v>
      </c>
      <c r="D890" s="17" t="s">
        <v>60</v>
      </c>
      <c r="E890" s="17" t="s">
        <v>2610</v>
      </c>
      <c r="F890" s="17" t="s">
        <v>140</v>
      </c>
      <c r="G890" s="17" t="s">
        <v>315</v>
      </c>
      <c r="H890" s="17" t="s">
        <v>2611</v>
      </c>
      <c r="I890" s="20" t="n">
        <v>0</v>
      </c>
      <c r="J890" s="20" t="n">
        <v>0</v>
      </c>
      <c r="K890" s="25" t="n">
        <f aca="false">IFERROR(J890/I890,0)</f>
        <v>0</v>
      </c>
      <c r="L890" s="19" t="n">
        <v>0</v>
      </c>
      <c r="M890" s="20" t="n">
        <v>0</v>
      </c>
      <c r="N890" s="8" t="n">
        <f aca="false">IFERROR(M890/J890,0)</f>
        <v>0</v>
      </c>
    </row>
    <row r="891" customFormat="false" ht="15" hidden="false" customHeight="false" outlineLevel="0" collapsed="false">
      <c r="A891" s="17" t="s">
        <v>17</v>
      </c>
      <c r="B891" s="17" t="s">
        <v>62</v>
      </c>
      <c r="C891" s="17" t="s">
        <v>66</v>
      </c>
      <c r="D891" s="17" t="s">
        <v>66</v>
      </c>
      <c r="E891" s="17" t="s">
        <v>2612</v>
      </c>
      <c r="F891" s="17" t="s">
        <v>146</v>
      </c>
      <c r="G891" s="17" t="s">
        <v>351</v>
      </c>
      <c r="H891" s="17" t="s">
        <v>2613</v>
      </c>
      <c r="I891" s="20" t="n">
        <v>0</v>
      </c>
      <c r="J891" s="20" t="n">
        <v>0</v>
      </c>
      <c r="K891" s="25" t="n">
        <f aca="false">IFERROR(J891/I891,0)</f>
        <v>0</v>
      </c>
      <c r="L891" s="19" t="n">
        <v>0</v>
      </c>
      <c r="M891" s="20" t="n">
        <v>0</v>
      </c>
      <c r="N891" s="8" t="n">
        <f aca="false">IFERROR(M891/J891,0)</f>
        <v>0</v>
      </c>
    </row>
    <row r="892" customFormat="false" ht="15" hidden="false" customHeight="false" outlineLevel="0" collapsed="false">
      <c r="A892" s="17" t="s">
        <v>17</v>
      </c>
      <c r="B892" s="17" t="s">
        <v>62</v>
      </c>
      <c r="C892" s="17" t="s">
        <v>66</v>
      </c>
      <c r="D892" s="17" t="s">
        <v>60</v>
      </c>
      <c r="E892" s="17" t="s">
        <v>2614</v>
      </c>
      <c r="F892" s="17" t="s">
        <v>166</v>
      </c>
      <c r="G892" s="17" t="s">
        <v>315</v>
      </c>
      <c r="H892" s="17" t="s">
        <v>2615</v>
      </c>
      <c r="I892" s="20" t="n">
        <v>0</v>
      </c>
      <c r="J892" s="20" t="n">
        <v>0</v>
      </c>
      <c r="K892" s="25" t="n">
        <f aca="false">IFERROR(J892/I892,0)</f>
        <v>0</v>
      </c>
      <c r="L892" s="19" t="n">
        <v>0</v>
      </c>
      <c r="M892" s="20" t="n">
        <v>0</v>
      </c>
      <c r="N892" s="8" t="n">
        <f aca="false">IFERROR(M892/J892,0)</f>
        <v>0</v>
      </c>
    </row>
    <row r="893" customFormat="false" ht="15" hidden="false" customHeight="false" outlineLevel="0" collapsed="false">
      <c r="A893" s="17" t="s">
        <v>17</v>
      </c>
      <c r="B893" s="17" t="s">
        <v>62</v>
      </c>
      <c r="C893" s="17" t="s">
        <v>60</v>
      </c>
      <c r="D893" s="17" t="s">
        <v>66</v>
      </c>
      <c r="E893" s="17" t="s">
        <v>2616</v>
      </c>
      <c r="F893" s="17" t="s">
        <v>140</v>
      </c>
      <c r="G893" s="17" t="s">
        <v>315</v>
      </c>
      <c r="H893" s="17" t="s">
        <v>2617</v>
      </c>
      <c r="I893" s="20" t="n">
        <v>0</v>
      </c>
      <c r="J893" s="20" t="n">
        <v>0</v>
      </c>
      <c r="K893" s="25" t="n">
        <f aca="false">IFERROR(J893/I893,0)</f>
        <v>0</v>
      </c>
      <c r="L893" s="19" t="n">
        <v>0</v>
      </c>
      <c r="M893" s="20" t="n">
        <v>0</v>
      </c>
      <c r="N893" s="8" t="n">
        <f aca="false">IFERROR(M893/J893,0)</f>
        <v>0</v>
      </c>
    </row>
    <row r="894" customFormat="false" ht="15" hidden="false" customHeight="false" outlineLevel="0" collapsed="false">
      <c r="A894" s="17" t="s">
        <v>17</v>
      </c>
      <c r="B894" s="17" t="s">
        <v>62</v>
      </c>
      <c r="C894" s="17" t="s">
        <v>60</v>
      </c>
      <c r="D894" s="17" t="s">
        <v>66</v>
      </c>
      <c r="E894" s="17" t="s">
        <v>2618</v>
      </c>
      <c r="F894" s="17" t="s">
        <v>140</v>
      </c>
      <c r="G894" s="17" t="s">
        <v>315</v>
      </c>
      <c r="H894" s="17" t="s">
        <v>2619</v>
      </c>
      <c r="I894" s="20" t="n">
        <v>0</v>
      </c>
      <c r="J894" s="20" t="n">
        <v>0</v>
      </c>
      <c r="K894" s="25" t="n">
        <f aca="false">IFERROR(J894/I894,0)</f>
        <v>0</v>
      </c>
      <c r="L894" s="19" t="n">
        <v>0</v>
      </c>
      <c r="M894" s="20" t="n">
        <v>0</v>
      </c>
      <c r="N894" s="8" t="n">
        <f aca="false">IFERROR(M894/J894,0)</f>
        <v>0</v>
      </c>
    </row>
    <row r="895" customFormat="false" ht="15" hidden="false" customHeight="false" outlineLevel="0" collapsed="false">
      <c r="A895" s="17" t="s">
        <v>17</v>
      </c>
      <c r="B895" s="17" t="s">
        <v>62</v>
      </c>
      <c r="C895" s="17" t="s">
        <v>66</v>
      </c>
      <c r="D895" s="17" t="s">
        <v>66</v>
      </c>
      <c r="E895" s="17" t="s">
        <v>2620</v>
      </c>
      <c r="F895" s="17" t="s">
        <v>146</v>
      </c>
      <c r="G895" s="17" t="s">
        <v>315</v>
      </c>
      <c r="H895" s="17" t="s">
        <v>2621</v>
      </c>
      <c r="I895" s="20" t="n">
        <v>0</v>
      </c>
      <c r="J895" s="20" t="n">
        <v>0</v>
      </c>
      <c r="K895" s="25" t="n">
        <f aca="false">IFERROR(J895/I895,0)</f>
        <v>0</v>
      </c>
      <c r="L895" s="19" t="n">
        <v>0</v>
      </c>
      <c r="M895" s="20" t="n">
        <v>0</v>
      </c>
      <c r="N895" s="8" t="n">
        <f aca="false">IFERROR(M895/J895,0)</f>
        <v>0</v>
      </c>
    </row>
    <row r="896" customFormat="false" ht="15" hidden="false" customHeight="false" outlineLevel="0" collapsed="false">
      <c r="A896" s="17" t="s">
        <v>17</v>
      </c>
      <c r="B896" s="17" t="s">
        <v>62</v>
      </c>
      <c r="C896" s="17" t="s">
        <v>66</v>
      </c>
      <c r="D896" s="17" t="s">
        <v>66</v>
      </c>
      <c r="E896" s="17" t="s">
        <v>2622</v>
      </c>
      <c r="F896" s="17" t="s">
        <v>2367</v>
      </c>
      <c r="G896" s="17" t="s">
        <v>351</v>
      </c>
      <c r="H896" s="17" t="s">
        <v>2623</v>
      </c>
      <c r="I896" s="20" t="n">
        <v>0</v>
      </c>
      <c r="J896" s="20" t="n">
        <v>0</v>
      </c>
      <c r="K896" s="25" t="n">
        <f aca="false">IFERROR(J896/I896,0)</f>
        <v>0</v>
      </c>
      <c r="L896" s="19" t="n">
        <v>0</v>
      </c>
      <c r="M896" s="20" t="n">
        <v>0</v>
      </c>
      <c r="N896" s="8" t="n">
        <f aca="false">IFERROR(M896/J896,0)</f>
        <v>0</v>
      </c>
    </row>
    <row r="897" customFormat="false" ht="15" hidden="false" customHeight="false" outlineLevel="0" collapsed="false">
      <c r="A897" s="17" t="s">
        <v>17</v>
      </c>
      <c r="B897" s="17" t="s">
        <v>62</v>
      </c>
      <c r="C897" s="17" t="s">
        <v>66</v>
      </c>
      <c r="D897" s="17" t="s">
        <v>66</v>
      </c>
      <c r="E897" s="17" t="s">
        <v>2624</v>
      </c>
      <c r="F897" s="17" t="s">
        <v>2367</v>
      </c>
      <c r="G897" s="17" t="s">
        <v>351</v>
      </c>
      <c r="H897" s="17" t="s">
        <v>2625</v>
      </c>
      <c r="I897" s="20" t="n">
        <v>0</v>
      </c>
      <c r="J897" s="20" t="n">
        <v>0</v>
      </c>
      <c r="K897" s="25" t="n">
        <f aca="false">IFERROR(J897/I897,0)</f>
        <v>0</v>
      </c>
      <c r="L897" s="19" t="n">
        <v>0</v>
      </c>
      <c r="M897" s="20" t="n">
        <v>0</v>
      </c>
      <c r="N897" s="8" t="n">
        <f aca="false">IFERROR(M897/J897,0)</f>
        <v>0</v>
      </c>
    </row>
    <row r="898" customFormat="false" ht="15" hidden="false" customHeight="false" outlineLevel="0" collapsed="false">
      <c r="A898" s="17" t="s">
        <v>17</v>
      </c>
      <c r="B898" s="17" t="s">
        <v>62</v>
      </c>
      <c r="C898" s="17" t="s">
        <v>66</v>
      </c>
      <c r="D898" s="17" t="s">
        <v>66</v>
      </c>
      <c r="E898" s="17" t="s">
        <v>2626</v>
      </c>
      <c r="F898" s="17" t="s">
        <v>2367</v>
      </c>
      <c r="G898" s="17" t="s">
        <v>351</v>
      </c>
      <c r="H898" s="17" t="s">
        <v>2440</v>
      </c>
      <c r="I898" s="20" t="n">
        <v>0</v>
      </c>
      <c r="J898" s="20" t="n">
        <v>0</v>
      </c>
      <c r="K898" s="25" t="n">
        <f aca="false">IFERROR(J898/I898,0)</f>
        <v>0</v>
      </c>
      <c r="L898" s="19" t="n">
        <v>0</v>
      </c>
      <c r="M898" s="20" t="n">
        <v>0</v>
      </c>
      <c r="N898" s="8" t="n">
        <f aca="false">IFERROR(M898/J898,0)</f>
        <v>0</v>
      </c>
    </row>
    <row r="899" customFormat="false" ht="15" hidden="false" customHeight="false" outlineLevel="0" collapsed="false">
      <c r="A899" s="17" t="s">
        <v>17</v>
      </c>
      <c r="B899" s="17" t="s">
        <v>62</v>
      </c>
      <c r="C899" s="17" t="s">
        <v>66</v>
      </c>
      <c r="D899" s="17" t="s">
        <v>66</v>
      </c>
      <c r="E899" s="17" t="s">
        <v>2627</v>
      </c>
      <c r="F899" s="17" t="s">
        <v>2367</v>
      </c>
      <c r="G899" s="17" t="s">
        <v>351</v>
      </c>
      <c r="H899" s="17" t="s">
        <v>2408</v>
      </c>
      <c r="I899" s="20" t="n">
        <v>0</v>
      </c>
      <c r="J899" s="20" t="n">
        <v>0</v>
      </c>
      <c r="K899" s="25" t="n">
        <f aca="false">IFERROR(J899/I899,0)</f>
        <v>0</v>
      </c>
      <c r="L899" s="19" t="n">
        <v>0</v>
      </c>
      <c r="M899" s="20" t="n">
        <v>0</v>
      </c>
      <c r="N899" s="8" t="n">
        <f aca="false">IFERROR(M899/J899,0)</f>
        <v>0</v>
      </c>
    </row>
    <row r="900" customFormat="false" ht="15" hidden="false" customHeight="false" outlineLevel="0" collapsed="false">
      <c r="A900" s="17" t="s">
        <v>17</v>
      </c>
      <c r="B900" s="17" t="s">
        <v>62</v>
      </c>
      <c r="C900" s="17" t="s">
        <v>60</v>
      </c>
      <c r="D900" s="17" t="s">
        <v>60</v>
      </c>
      <c r="E900" s="17" t="s">
        <v>2628</v>
      </c>
      <c r="F900" s="17" t="s">
        <v>140</v>
      </c>
      <c r="G900" s="17" t="s">
        <v>315</v>
      </c>
      <c r="H900" s="17" t="s">
        <v>2629</v>
      </c>
      <c r="I900" s="20" t="n">
        <v>0</v>
      </c>
      <c r="J900" s="20" t="n">
        <v>0</v>
      </c>
      <c r="K900" s="25" t="n">
        <f aca="false">IFERROR(J900/I900,0)</f>
        <v>0</v>
      </c>
      <c r="L900" s="19" t="n">
        <v>0</v>
      </c>
      <c r="M900" s="20" t="n">
        <v>0</v>
      </c>
      <c r="N900" s="8" t="n">
        <f aca="false">IFERROR(M900/J900,0)</f>
        <v>0</v>
      </c>
    </row>
    <row r="901" customFormat="false" ht="15" hidden="false" customHeight="false" outlineLevel="0" collapsed="false">
      <c r="A901" s="17" t="s">
        <v>17</v>
      </c>
      <c r="B901" s="17" t="s">
        <v>69</v>
      </c>
      <c r="C901" s="17" t="s">
        <v>60</v>
      </c>
      <c r="D901" s="17" t="s">
        <v>66</v>
      </c>
      <c r="E901" s="17" t="s">
        <v>2630</v>
      </c>
      <c r="F901" s="17" t="s">
        <v>149</v>
      </c>
      <c r="G901" s="17" t="s">
        <v>315</v>
      </c>
      <c r="H901" s="17" t="s">
        <v>2631</v>
      </c>
      <c r="I901" s="20" t="n">
        <v>7782</v>
      </c>
      <c r="J901" s="20" t="n">
        <v>16</v>
      </c>
      <c r="K901" s="25" t="n">
        <f aca="false">IFERROR(J901/I901,0)</f>
        <v>0.00205602672834747</v>
      </c>
      <c r="L901" s="19" t="n">
        <v>38.31</v>
      </c>
      <c r="M901" s="20" t="n">
        <v>3</v>
      </c>
      <c r="N901" s="8" t="n">
        <f aca="false">IFERROR(M901/J901,0)</f>
        <v>0.1875</v>
      </c>
    </row>
    <row r="902" customFormat="false" ht="15" hidden="false" customHeight="false" outlineLevel="0" collapsed="false">
      <c r="A902" s="17" t="s">
        <v>17</v>
      </c>
      <c r="B902" s="17" t="s">
        <v>69</v>
      </c>
      <c r="C902" s="17" t="s">
        <v>60</v>
      </c>
      <c r="D902" s="17" t="s">
        <v>66</v>
      </c>
      <c r="E902" s="17" t="s">
        <v>697</v>
      </c>
      <c r="F902" s="17" t="s">
        <v>149</v>
      </c>
      <c r="G902" s="17" t="s">
        <v>315</v>
      </c>
      <c r="H902" s="17" t="s">
        <v>2632</v>
      </c>
      <c r="I902" s="20" t="n">
        <v>3295</v>
      </c>
      <c r="J902" s="20" t="n">
        <v>20</v>
      </c>
      <c r="K902" s="25" t="n">
        <f aca="false">IFERROR(J902/I902,0)</f>
        <v>0.00606980273141123</v>
      </c>
      <c r="L902" s="19" t="n">
        <v>52.19</v>
      </c>
      <c r="M902" s="20" t="n">
        <v>4</v>
      </c>
      <c r="N902" s="8" t="n">
        <f aca="false">IFERROR(M902/J902,0)</f>
        <v>0.2</v>
      </c>
    </row>
    <row r="903" customFormat="false" ht="15" hidden="false" customHeight="false" outlineLevel="0" collapsed="false">
      <c r="A903" s="17" t="s">
        <v>17</v>
      </c>
      <c r="B903" s="17" t="s">
        <v>69</v>
      </c>
      <c r="C903" s="17" t="s">
        <v>60</v>
      </c>
      <c r="D903" s="17" t="s">
        <v>66</v>
      </c>
      <c r="E903" s="17" t="s">
        <v>586</v>
      </c>
      <c r="F903" s="17" t="s">
        <v>149</v>
      </c>
      <c r="G903" s="17" t="s">
        <v>315</v>
      </c>
      <c r="H903" s="17" t="s">
        <v>2633</v>
      </c>
      <c r="I903" s="20" t="n">
        <v>3264</v>
      </c>
      <c r="J903" s="20" t="n">
        <v>105</v>
      </c>
      <c r="K903" s="25" t="n">
        <f aca="false">IFERROR(J903/I903,0)</f>
        <v>0.0321691176470588</v>
      </c>
      <c r="L903" s="19" t="n">
        <v>323.81</v>
      </c>
      <c r="M903" s="20" t="n">
        <v>17</v>
      </c>
      <c r="N903" s="8" t="n">
        <f aca="false">IFERROR(M903/J903,0)</f>
        <v>0.161904761904762</v>
      </c>
    </row>
    <row r="904" customFormat="false" ht="15" hidden="false" customHeight="false" outlineLevel="0" collapsed="false">
      <c r="A904" s="17" t="s">
        <v>17</v>
      </c>
      <c r="B904" s="17" t="s">
        <v>69</v>
      </c>
      <c r="C904" s="17" t="s">
        <v>66</v>
      </c>
      <c r="D904" s="17" t="s">
        <v>66</v>
      </c>
      <c r="E904" s="17" t="s">
        <v>2634</v>
      </c>
      <c r="F904" s="17" t="s">
        <v>159</v>
      </c>
      <c r="G904" s="17" t="s">
        <v>311</v>
      </c>
      <c r="H904" s="17" t="s">
        <v>2635</v>
      </c>
      <c r="I904" s="20" t="n">
        <v>2035</v>
      </c>
      <c r="J904" s="20" t="n">
        <v>10</v>
      </c>
      <c r="K904" s="25" t="n">
        <f aca="false">IFERROR(J904/I904,0)</f>
        <v>0.00491400491400491</v>
      </c>
      <c r="L904" s="19" t="n">
        <v>8.55</v>
      </c>
      <c r="M904" s="20" t="n">
        <v>1</v>
      </c>
      <c r="N904" s="8" t="n">
        <f aca="false">IFERROR(M904/J904,0)</f>
        <v>0.1</v>
      </c>
    </row>
    <row r="905" customFormat="false" ht="15" hidden="false" customHeight="false" outlineLevel="0" collapsed="false">
      <c r="A905" s="17" t="s">
        <v>17</v>
      </c>
      <c r="B905" s="17" t="s">
        <v>69</v>
      </c>
      <c r="C905" s="17" t="s">
        <v>66</v>
      </c>
      <c r="D905" s="17" t="s">
        <v>66</v>
      </c>
      <c r="E905" s="17" t="s">
        <v>2636</v>
      </c>
      <c r="F905" s="17" t="s">
        <v>159</v>
      </c>
      <c r="G905" s="17" t="s">
        <v>311</v>
      </c>
      <c r="H905" s="17" t="s">
        <v>2633</v>
      </c>
      <c r="I905" s="20" t="n">
        <v>1882</v>
      </c>
      <c r="J905" s="20" t="n">
        <v>10</v>
      </c>
      <c r="K905" s="25" t="n">
        <f aca="false">IFERROR(J905/I905,0)</f>
        <v>0.0053134962805526</v>
      </c>
      <c r="L905" s="19" t="n">
        <v>9.32</v>
      </c>
      <c r="M905" s="20" t="n">
        <v>2</v>
      </c>
      <c r="N905" s="8" t="n">
        <f aca="false">IFERROR(M905/J905,0)</f>
        <v>0.2</v>
      </c>
    </row>
    <row r="906" customFormat="false" ht="15" hidden="false" customHeight="false" outlineLevel="0" collapsed="false">
      <c r="A906" s="17" t="s">
        <v>17</v>
      </c>
      <c r="B906" s="17" t="s">
        <v>69</v>
      </c>
      <c r="C906" s="17" t="s">
        <v>60</v>
      </c>
      <c r="D906" s="17" t="s">
        <v>66</v>
      </c>
      <c r="E906" s="17" t="s">
        <v>2637</v>
      </c>
      <c r="F906" s="17" t="s">
        <v>149</v>
      </c>
      <c r="G906" s="17" t="s">
        <v>315</v>
      </c>
      <c r="H906" s="17" t="s">
        <v>2638</v>
      </c>
      <c r="I906" s="20" t="n">
        <v>1832</v>
      </c>
      <c r="J906" s="20" t="n">
        <v>14</v>
      </c>
      <c r="K906" s="25" t="n">
        <f aca="false">IFERROR(J906/I906,0)</f>
        <v>0.00764192139737991</v>
      </c>
      <c r="L906" s="19" t="n">
        <v>44.11</v>
      </c>
      <c r="M906" s="20" t="n">
        <v>2</v>
      </c>
      <c r="N906" s="8" t="n">
        <f aca="false">IFERROR(M906/J906,0)</f>
        <v>0.142857142857143</v>
      </c>
    </row>
    <row r="907" customFormat="false" ht="15" hidden="false" customHeight="false" outlineLevel="0" collapsed="false">
      <c r="A907" s="17" t="s">
        <v>17</v>
      </c>
      <c r="B907" s="17" t="s">
        <v>69</v>
      </c>
      <c r="C907" s="17" t="s">
        <v>60</v>
      </c>
      <c r="D907" s="17" t="s">
        <v>66</v>
      </c>
      <c r="E907" s="17" t="s">
        <v>662</v>
      </c>
      <c r="F907" s="17" t="s">
        <v>149</v>
      </c>
      <c r="G907" s="17" t="s">
        <v>315</v>
      </c>
      <c r="H907" s="17" t="s">
        <v>2639</v>
      </c>
      <c r="I907" s="20" t="n">
        <v>1628</v>
      </c>
      <c r="J907" s="20" t="n">
        <v>25</v>
      </c>
      <c r="K907" s="25" t="n">
        <f aca="false">IFERROR(J907/I907,0)</f>
        <v>0.0153562653562654</v>
      </c>
      <c r="L907" s="19" t="n">
        <v>59.12</v>
      </c>
      <c r="M907" s="20" t="n">
        <v>3</v>
      </c>
      <c r="N907" s="8" t="n">
        <f aca="false">IFERROR(M907/J907,0)</f>
        <v>0.12</v>
      </c>
    </row>
    <row r="908" customFormat="false" ht="15" hidden="false" customHeight="false" outlineLevel="0" collapsed="false">
      <c r="A908" s="17" t="s">
        <v>17</v>
      </c>
      <c r="B908" s="17" t="s">
        <v>69</v>
      </c>
      <c r="C908" s="17" t="s">
        <v>60</v>
      </c>
      <c r="D908" s="17" t="s">
        <v>66</v>
      </c>
      <c r="E908" s="17" t="s">
        <v>2640</v>
      </c>
      <c r="F908" s="17" t="s">
        <v>149</v>
      </c>
      <c r="G908" s="17" t="s">
        <v>315</v>
      </c>
      <c r="H908" s="17" t="s">
        <v>2641</v>
      </c>
      <c r="I908" s="20" t="n">
        <v>891</v>
      </c>
      <c r="J908" s="20" t="n">
        <v>6</v>
      </c>
      <c r="K908" s="25" t="n">
        <f aca="false">IFERROR(J908/I908,0)</f>
        <v>0.00673400673400673</v>
      </c>
      <c r="L908" s="19" t="n">
        <v>12.7</v>
      </c>
      <c r="M908" s="20" t="n">
        <v>1</v>
      </c>
      <c r="N908" s="8" t="n">
        <f aca="false">IFERROR(M908/J908,0)</f>
        <v>0.166666666666667</v>
      </c>
    </row>
    <row r="909" customFormat="false" ht="15" hidden="false" customHeight="false" outlineLevel="0" collapsed="false">
      <c r="A909" s="17" t="s">
        <v>17</v>
      </c>
      <c r="B909" s="17" t="s">
        <v>69</v>
      </c>
      <c r="C909" s="17" t="s">
        <v>60</v>
      </c>
      <c r="D909" s="17" t="s">
        <v>66</v>
      </c>
      <c r="E909" s="17" t="s">
        <v>2642</v>
      </c>
      <c r="F909" s="17" t="s">
        <v>149</v>
      </c>
      <c r="G909" s="17" t="s">
        <v>315</v>
      </c>
      <c r="H909" s="17" t="s">
        <v>2643</v>
      </c>
      <c r="I909" s="20" t="n">
        <v>873</v>
      </c>
      <c r="J909" s="20" t="n">
        <v>37</v>
      </c>
      <c r="K909" s="25" t="n">
        <f aca="false">IFERROR(J909/I909,0)</f>
        <v>0.0423825887743414</v>
      </c>
      <c r="L909" s="19" t="n">
        <v>130.22</v>
      </c>
      <c r="M909" s="20" t="n">
        <v>5</v>
      </c>
      <c r="N909" s="8" t="n">
        <f aca="false">IFERROR(M909/J909,0)</f>
        <v>0.135135135135135</v>
      </c>
    </row>
    <row r="910" customFormat="false" ht="15" hidden="false" customHeight="false" outlineLevel="0" collapsed="false">
      <c r="A910" s="17" t="s">
        <v>17</v>
      </c>
      <c r="B910" s="17" t="s">
        <v>69</v>
      </c>
      <c r="C910" s="17" t="s">
        <v>66</v>
      </c>
      <c r="D910" s="17" t="s">
        <v>60</v>
      </c>
      <c r="E910" s="17" t="s">
        <v>719</v>
      </c>
      <c r="F910" s="17" t="s">
        <v>226</v>
      </c>
      <c r="G910" s="17" t="s">
        <v>351</v>
      </c>
      <c r="H910" s="17" t="s">
        <v>2181</v>
      </c>
      <c r="I910" s="20" t="n">
        <v>545</v>
      </c>
      <c r="J910" s="20" t="n">
        <v>6</v>
      </c>
      <c r="K910" s="25" t="n">
        <f aca="false">IFERROR(J910/I910,0)</f>
        <v>0.0110091743119266</v>
      </c>
      <c r="L910" s="19" t="n">
        <v>3.69</v>
      </c>
      <c r="M910" s="20" t="n">
        <v>0</v>
      </c>
      <c r="N910" s="8" t="n">
        <f aca="false">IFERROR(M910/J910,0)</f>
        <v>0</v>
      </c>
    </row>
    <row r="911" customFormat="false" ht="15" hidden="false" customHeight="false" outlineLevel="0" collapsed="false">
      <c r="A911" s="17" t="s">
        <v>17</v>
      </c>
      <c r="B911" s="17" t="s">
        <v>69</v>
      </c>
      <c r="C911" s="17" t="s">
        <v>66</v>
      </c>
      <c r="D911" s="17" t="s">
        <v>60</v>
      </c>
      <c r="E911" s="17" t="s">
        <v>2644</v>
      </c>
      <c r="F911" s="17" t="s">
        <v>182</v>
      </c>
      <c r="G911" s="17" t="s">
        <v>351</v>
      </c>
      <c r="H911" s="17" t="s">
        <v>2645</v>
      </c>
      <c r="I911" s="20" t="n">
        <v>373</v>
      </c>
      <c r="J911" s="20" t="n">
        <v>2</v>
      </c>
      <c r="K911" s="25" t="n">
        <f aca="false">IFERROR(J911/I911,0)</f>
        <v>0.00536193029490617</v>
      </c>
      <c r="L911" s="19" t="n">
        <v>1.2</v>
      </c>
      <c r="M911" s="20" t="n">
        <v>0</v>
      </c>
      <c r="N911" s="8" t="n">
        <f aca="false">IFERROR(M911/J911,0)</f>
        <v>0</v>
      </c>
    </row>
    <row r="912" customFormat="false" ht="15" hidden="false" customHeight="false" outlineLevel="0" collapsed="false">
      <c r="A912" s="17" t="s">
        <v>17</v>
      </c>
      <c r="B912" s="17" t="s">
        <v>69</v>
      </c>
      <c r="C912" s="17" t="s">
        <v>66</v>
      </c>
      <c r="D912" s="17" t="s">
        <v>60</v>
      </c>
      <c r="E912" s="17" t="s">
        <v>2646</v>
      </c>
      <c r="F912" s="17" t="s">
        <v>2647</v>
      </c>
      <c r="G912" s="17" t="s">
        <v>311</v>
      </c>
      <c r="H912" s="17" t="s">
        <v>2648</v>
      </c>
      <c r="I912" s="20" t="n">
        <v>373</v>
      </c>
      <c r="J912" s="20" t="n">
        <v>1</v>
      </c>
      <c r="K912" s="25" t="n">
        <f aca="false">IFERROR(J912/I912,0)</f>
        <v>0.00268096514745308</v>
      </c>
      <c r="L912" s="19" t="n">
        <v>0.6</v>
      </c>
      <c r="M912" s="20" t="n">
        <v>1</v>
      </c>
      <c r="N912" s="8" t="n">
        <f aca="false">IFERROR(M912/J912,0)</f>
        <v>1</v>
      </c>
    </row>
    <row r="913" customFormat="false" ht="15" hidden="false" customHeight="false" outlineLevel="0" collapsed="false">
      <c r="A913" s="17" t="s">
        <v>17</v>
      </c>
      <c r="B913" s="17" t="s">
        <v>69</v>
      </c>
      <c r="C913" s="17" t="s">
        <v>66</v>
      </c>
      <c r="D913" s="17" t="s">
        <v>60</v>
      </c>
      <c r="E913" s="17" t="s">
        <v>2649</v>
      </c>
      <c r="F913" s="17" t="s">
        <v>2650</v>
      </c>
      <c r="G913" s="17" t="s">
        <v>351</v>
      </c>
      <c r="H913" s="17" t="s">
        <v>2316</v>
      </c>
      <c r="I913" s="20" t="n">
        <v>326</v>
      </c>
      <c r="J913" s="20" t="n">
        <v>1</v>
      </c>
      <c r="K913" s="25" t="n">
        <f aca="false">IFERROR(J913/I913,0)</f>
        <v>0.00306748466257669</v>
      </c>
      <c r="L913" s="19" t="n">
        <v>0.5</v>
      </c>
      <c r="M913" s="20" t="n">
        <v>1</v>
      </c>
      <c r="N913" s="8" t="n">
        <f aca="false">IFERROR(M913/J913,0)</f>
        <v>1</v>
      </c>
    </row>
    <row r="914" customFormat="false" ht="15" hidden="false" customHeight="false" outlineLevel="0" collapsed="false">
      <c r="A914" s="17" t="s">
        <v>17</v>
      </c>
      <c r="B914" s="17" t="s">
        <v>69</v>
      </c>
      <c r="C914" s="17" t="s">
        <v>66</v>
      </c>
      <c r="D914" s="17" t="s">
        <v>60</v>
      </c>
      <c r="E914" s="17" t="s">
        <v>2651</v>
      </c>
      <c r="F914" s="17" t="s">
        <v>2652</v>
      </c>
      <c r="G914" s="17" t="s">
        <v>351</v>
      </c>
      <c r="H914" s="17" t="s">
        <v>2346</v>
      </c>
      <c r="I914" s="20" t="n">
        <v>311</v>
      </c>
      <c r="J914" s="20" t="n">
        <v>2</v>
      </c>
      <c r="K914" s="25" t="n">
        <f aca="false">IFERROR(J914/I914,0)</f>
        <v>0.00643086816720257</v>
      </c>
      <c r="L914" s="19" t="n">
        <v>1.02</v>
      </c>
      <c r="M914" s="20" t="n">
        <v>0</v>
      </c>
      <c r="N914" s="8" t="n">
        <f aca="false">IFERROR(M914/J914,0)</f>
        <v>0</v>
      </c>
    </row>
    <row r="915" customFormat="false" ht="15" hidden="false" customHeight="false" outlineLevel="0" collapsed="false">
      <c r="A915" s="17" t="s">
        <v>17</v>
      </c>
      <c r="B915" s="17" t="s">
        <v>69</v>
      </c>
      <c r="C915" s="17" t="s">
        <v>66</v>
      </c>
      <c r="D915" s="17" t="s">
        <v>60</v>
      </c>
      <c r="E915" s="17" t="s">
        <v>2653</v>
      </c>
      <c r="F915" s="17" t="s">
        <v>2650</v>
      </c>
      <c r="G915" s="17" t="s">
        <v>315</v>
      </c>
      <c r="H915" s="17" t="s">
        <v>2654</v>
      </c>
      <c r="I915" s="20" t="n">
        <v>281</v>
      </c>
      <c r="J915" s="20" t="n">
        <v>4</v>
      </c>
      <c r="K915" s="25" t="n">
        <f aca="false">IFERROR(J915/I915,0)</f>
        <v>0.0142348754448399</v>
      </c>
      <c r="L915" s="19" t="n">
        <v>6.62</v>
      </c>
      <c r="M915" s="20" t="n">
        <v>0</v>
      </c>
      <c r="N915" s="8" t="n">
        <f aca="false">IFERROR(M915/J915,0)</f>
        <v>0</v>
      </c>
    </row>
    <row r="916" customFormat="false" ht="15" hidden="false" customHeight="false" outlineLevel="0" collapsed="false">
      <c r="A916" s="17" t="s">
        <v>17</v>
      </c>
      <c r="B916" s="17" t="s">
        <v>69</v>
      </c>
      <c r="C916" s="17" t="s">
        <v>60</v>
      </c>
      <c r="D916" s="17" t="s">
        <v>66</v>
      </c>
      <c r="E916" s="17" t="s">
        <v>2655</v>
      </c>
      <c r="F916" s="17" t="s">
        <v>149</v>
      </c>
      <c r="G916" s="17" t="s">
        <v>315</v>
      </c>
      <c r="H916" s="17" t="s">
        <v>2656</v>
      </c>
      <c r="I916" s="20" t="n">
        <v>270</v>
      </c>
      <c r="J916" s="20" t="n">
        <v>3</v>
      </c>
      <c r="K916" s="25" t="n">
        <f aca="false">IFERROR(J916/I916,0)</f>
        <v>0.0111111111111111</v>
      </c>
      <c r="L916" s="19" t="n">
        <v>4.85</v>
      </c>
      <c r="M916" s="20" t="n">
        <v>0</v>
      </c>
      <c r="N916" s="8" t="n">
        <f aca="false">IFERROR(M916/J916,0)</f>
        <v>0</v>
      </c>
    </row>
    <row r="917" customFormat="false" ht="15" hidden="false" customHeight="false" outlineLevel="0" collapsed="false">
      <c r="A917" s="17" t="s">
        <v>17</v>
      </c>
      <c r="B917" s="17" t="s">
        <v>69</v>
      </c>
      <c r="C917" s="17" t="s">
        <v>66</v>
      </c>
      <c r="D917" s="17" t="s">
        <v>60</v>
      </c>
      <c r="E917" s="17" t="s">
        <v>2657</v>
      </c>
      <c r="F917" s="17" t="s">
        <v>2658</v>
      </c>
      <c r="G917" s="17" t="s">
        <v>351</v>
      </c>
      <c r="H917" s="17" t="s">
        <v>2329</v>
      </c>
      <c r="I917" s="20" t="n">
        <v>188</v>
      </c>
      <c r="J917" s="20" t="n">
        <v>1</v>
      </c>
      <c r="K917" s="25" t="n">
        <f aca="false">IFERROR(J917/I917,0)</f>
        <v>0.00531914893617021</v>
      </c>
      <c r="L917" s="19" t="n">
        <v>0.07</v>
      </c>
      <c r="M917" s="20" t="n">
        <v>0</v>
      </c>
      <c r="N917" s="8" t="n">
        <f aca="false">IFERROR(M917/J917,0)</f>
        <v>0</v>
      </c>
    </row>
    <row r="918" customFormat="false" ht="15" hidden="false" customHeight="false" outlineLevel="0" collapsed="false">
      <c r="A918" s="17" t="s">
        <v>17</v>
      </c>
      <c r="B918" s="17" t="s">
        <v>69</v>
      </c>
      <c r="C918" s="17" t="s">
        <v>66</v>
      </c>
      <c r="D918" s="17" t="s">
        <v>60</v>
      </c>
      <c r="E918" s="17" t="s">
        <v>2659</v>
      </c>
      <c r="F918" s="17" t="s">
        <v>2660</v>
      </c>
      <c r="G918" s="17" t="s">
        <v>351</v>
      </c>
      <c r="H918" s="17" t="s">
        <v>2363</v>
      </c>
      <c r="I918" s="20" t="n">
        <v>72</v>
      </c>
      <c r="J918" s="20" t="n">
        <v>0</v>
      </c>
      <c r="K918" s="25" t="n">
        <f aca="false">IFERROR(J918/I918,0)</f>
        <v>0</v>
      </c>
      <c r="L918" s="19" t="n">
        <v>0</v>
      </c>
      <c r="M918" s="20" t="n">
        <v>0</v>
      </c>
      <c r="N918" s="8" t="n">
        <f aca="false">IFERROR(M918/J918,0)</f>
        <v>0</v>
      </c>
    </row>
    <row r="919" customFormat="false" ht="15" hidden="false" customHeight="false" outlineLevel="0" collapsed="false">
      <c r="A919" s="17" t="s">
        <v>17</v>
      </c>
      <c r="B919" s="17" t="s">
        <v>69</v>
      </c>
      <c r="C919" s="17" t="s">
        <v>66</v>
      </c>
      <c r="D919" s="17" t="s">
        <v>60</v>
      </c>
      <c r="E919" s="17" t="s">
        <v>2661</v>
      </c>
      <c r="F919" s="17" t="s">
        <v>2647</v>
      </c>
      <c r="G919" s="17" t="s">
        <v>351</v>
      </c>
      <c r="H919" s="17" t="s">
        <v>2648</v>
      </c>
      <c r="I919" s="20" t="n">
        <v>64</v>
      </c>
      <c r="J919" s="20" t="n">
        <v>0</v>
      </c>
      <c r="K919" s="25" t="n">
        <f aca="false">IFERROR(J919/I919,0)</f>
        <v>0</v>
      </c>
      <c r="L919" s="19" t="n">
        <v>0</v>
      </c>
      <c r="M919" s="20" t="n">
        <v>0</v>
      </c>
      <c r="N919" s="8" t="n">
        <f aca="false">IFERROR(M919/J919,0)</f>
        <v>0</v>
      </c>
    </row>
    <row r="920" customFormat="false" ht="15" hidden="false" customHeight="false" outlineLevel="0" collapsed="false">
      <c r="A920" s="17" t="s">
        <v>17</v>
      </c>
      <c r="B920" s="17" t="s">
        <v>69</v>
      </c>
      <c r="C920" s="17" t="s">
        <v>66</v>
      </c>
      <c r="D920" s="17" t="s">
        <v>66</v>
      </c>
      <c r="E920" s="17" t="s">
        <v>2662</v>
      </c>
      <c r="F920" s="17" t="s">
        <v>159</v>
      </c>
      <c r="G920" s="17" t="s">
        <v>311</v>
      </c>
      <c r="H920" s="17" t="s">
        <v>2663</v>
      </c>
      <c r="I920" s="20" t="n">
        <v>47</v>
      </c>
      <c r="J920" s="20" t="n">
        <v>0</v>
      </c>
      <c r="K920" s="25" t="n">
        <f aca="false">IFERROR(J920/I920,0)</f>
        <v>0</v>
      </c>
      <c r="L920" s="19" t="n">
        <v>0</v>
      </c>
      <c r="M920" s="20" t="n">
        <v>0</v>
      </c>
      <c r="N920" s="8" t="n">
        <f aca="false">IFERROR(M920/J920,0)</f>
        <v>0</v>
      </c>
    </row>
    <row r="921" customFormat="false" ht="15" hidden="false" customHeight="false" outlineLevel="0" collapsed="false">
      <c r="A921" s="17" t="s">
        <v>17</v>
      </c>
      <c r="B921" s="17" t="s">
        <v>69</v>
      </c>
      <c r="C921" s="17" t="s">
        <v>66</v>
      </c>
      <c r="D921" s="17" t="s">
        <v>60</v>
      </c>
      <c r="E921" s="17" t="s">
        <v>2664</v>
      </c>
      <c r="F921" s="17" t="s">
        <v>2647</v>
      </c>
      <c r="G921" s="17" t="s">
        <v>351</v>
      </c>
      <c r="H921" s="17" t="s">
        <v>2338</v>
      </c>
      <c r="I921" s="20" t="n">
        <v>32</v>
      </c>
      <c r="J921" s="20" t="n">
        <v>0</v>
      </c>
      <c r="K921" s="25" t="n">
        <f aca="false">IFERROR(J921/I921,0)</f>
        <v>0</v>
      </c>
      <c r="L921" s="19" t="n">
        <v>0</v>
      </c>
      <c r="M921" s="20" t="n">
        <v>0</v>
      </c>
      <c r="N921" s="8" t="n">
        <f aca="false">IFERROR(M921/J921,0)</f>
        <v>0</v>
      </c>
    </row>
    <row r="922" customFormat="false" ht="15" hidden="false" customHeight="false" outlineLevel="0" collapsed="false">
      <c r="A922" s="17" t="s">
        <v>17</v>
      </c>
      <c r="B922" s="17" t="s">
        <v>69</v>
      </c>
      <c r="C922" s="17" t="s">
        <v>66</v>
      </c>
      <c r="D922" s="17" t="s">
        <v>66</v>
      </c>
      <c r="E922" s="17" t="s">
        <v>2665</v>
      </c>
      <c r="F922" s="17" t="s">
        <v>159</v>
      </c>
      <c r="G922" s="17" t="s">
        <v>311</v>
      </c>
      <c r="H922" s="17" t="s">
        <v>2632</v>
      </c>
      <c r="I922" s="20" t="n">
        <v>31</v>
      </c>
      <c r="J922" s="20" t="n">
        <v>0</v>
      </c>
      <c r="K922" s="25" t="n">
        <f aca="false">IFERROR(J922/I922,0)</f>
        <v>0</v>
      </c>
      <c r="L922" s="19" t="n">
        <v>0</v>
      </c>
      <c r="M922" s="20" t="n">
        <v>0</v>
      </c>
      <c r="N922" s="8" t="n">
        <f aca="false">IFERROR(M922/J922,0)</f>
        <v>0</v>
      </c>
    </row>
    <row r="923" customFormat="false" ht="15" hidden="false" customHeight="false" outlineLevel="0" collapsed="false">
      <c r="A923" s="17" t="s">
        <v>17</v>
      </c>
      <c r="B923" s="17" t="s">
        <v>69</v>
      </c>
      <c r="C923" s="17" t="s">
        <v>60</v>
      </c>
      <c r="D923" s="17" t="s">
        <v>66</v>
      </c>
      <c r="E923" s="17" t="s">
        <v>2666</v>
      </c>
      <c r="F923" s="17" t="s">
        <v>149</v>
      </c>
      <c r="G923" s="17" t="s">
        <v>315</v>
      </c>
      <c r="H923" s="17" t="s">
        <v>2667</v>
      </c>
      <c r="I923" s="20" t="n">
        <v>29</v>
      </c>
      <c r="J923" s="20" t="n">
        <v>0</v>
      </c>
      <c r="K923" s="25" t="n">
        <f aca="false">IFERROR(J923/I923,0)</f>
        <v>0</v>
      </c>
      <c r="L923" s="19" t="n">
        <v>0</v>
      </c>
      <c r="M923" s="20" t="n">
        <v>0</v>
      </c>
      <c r="N923" s="8" t="n">
        <f aca="false">IFERROR(M923/J923,0)</f>
        <v>0</v>
      </c>
    </row>
    <row r="924" customFormat="false" ht="15" hidden="false" customHeight="false" outlineLevel="0" collapsed="false">
      <c r="A924" s="17" t="s">
        <v>17</v>
      </c>
      <c r="B924" s="17" t="s">
        <v>69</v>
      </c>
      <c r="C924" s="17" t="s">
        <v>60</v>
      </c>
      <c r="D924" s="17" t="s">
        <v>66</v>
      </c>
      <c r="E924" s="17" t="s">
        <v>2668</v>
      </c>
      <c r="F924" s="17" t="s">
        <v>149</v>
      </c>
      <c r="G924" s="17" t="s">
        <v>315</v>
      </c>
      <c r="H924" s="17" t="s">
        <v>2669</v>
      </c>
      <c r="I924" s="20" t="n">
        <v>28</v>
      </c>
      <c r="J924" s="20" t="n">
        <v>0</v>
      </c>
      <c r="K924" s="25" t="n">
        <f aca="false">IFERROR(J924/I924,0)</f>
        <v>0</v>
      </c>
      <c r="L924" s="19" t="n">
        <v>0</v>
      </c>
      <c r="M924" s="20" t="n">
        <v>0</v>
      </c>
      <c r="N924" s="8" t="n">
        <f aca="false">IFERROR(M924/J924,0)</f>
        <v>0</v>
      </c>
    </row>
    <row r="925" customFormat="false" ht="15" hidden="false" customHeight="false" outlineLevel="0" collapsed="false">
      <c r="A925" s="17" t="s">
        <v>17</v>
      </c>
      <c r="B925" s="17" t="s">
        <v>69</v>
      </c>
      <c r="C925" s="17" t="s">
        <v>60</v>
      </c>
      <c r="D925" s="17" t="s">
        <v>66</v>
      </c>
      <c r="E925" s="17" t="s">
        <v>2670</v>
      </c>
      <c r="F925" s="17" t="s">
        <v>149</v>
      </c>
      <c r="G925" s="17" t="s">
        <v>315</v>
      </c>
      <c r="H925" s="17" t="s">
        <v>2671</v>
      </c>
      <c r="I925" s="20" t="n">
        <v>26</v>
      </c>
      <c r="J925" s="20" t="n">
        <v>0</v>
      </c>
      <c r="K925" s="25" t="n">
        <f aca="false">IFERROR(J925/I925,0)</f>
        <v>0</v>
      </c>
      <c r="L925" s="19" t="n">
        <v>0</v>
      </c>
      <c r="M925" s="20" t="n">
        <v>0</v>
      </c>
      <c r="N925" s="8" t="n">
        <f aca="false">IFERROR(M925/J925,0)</f>
        <v>0</v>
      </c>
    </row>
    <row r="926" customFormat="false" ht="15" hidden="false" customHeight="false" outlineLevel="0" collapsed="false">
      <c r="A926" s="17" t="s">
        <v>17</v>
      </c>
      <c r="B926" s="17" t="s">
        <v>69</v>
      </c>
      <c r="C926" s="17" t="s">
        <v>60</v>
      </c>
      <c r="D926" s="17" t="s">
        <v>66</v>
      </c>
      <c r="E926" s="17" t="s">
        <v>2672</v>
      </c>
      <c r="F926" s="17" t="s">
        <v>149</v>
      </c>
      <c r="G926" s="17" t="s">
        <v>315</v>
      </c>
      <c r="H926" s="17" t="s">
        <v>2673</v>
      </c>
      <c r="I926" s="20" t="n">
        <v>19</v>
      </c>
      <c r="J926" s="20" t="n">
        <v>0</v>
      </c>
      <c r="K926" s="25" t="n">
        <f aca="false">IFERROR(J926/I926,0)</f>
        <v>0</v>
      </c>
      <c r="L926" s="19" t="n">
        <v>0</v>
      </c>
      <c r="M926" s="20" t="n">
        <v>0</v>
      </c>
      <c r="N926" s="8" t="n">
        <f aca="false">IFERROR(M926/J926,0)</f>
        <v>0</v>
      </c>
    </row>
    <row r="927" customFormat="false" ht="15" hidden="false" customHeight="false" outlineLevel="0" collapsed="false">
      <c r="A927" s="17" t="s">
        <v>17</v>
      </c>
      <c r="B927" s="17" t="s">
        <v>69</v>
      </c>
      <c r="C927" s="17" t="s">
        <v>66</v>
      </c>
      <c r="D927" s="17" t="s">
        <v>66</v>
      </c>
      <c r="E927" s="17" t="s">
        <v>2674</v>
      </c>
      <c r="F927" s="17" t="s">
        <v>159</v>
      </c>
      <c r="G927" s="17" t="s">
        <v>311</v>
      </c>
      <c r="H927" s="17" t="s">
        <v>2639</v>
      </c>
      <c r="I927" s="20" t="n">
        <v>16</v>
      </c>
      <c r="J927" s="20" t="n">
        <v>0</v>
      </c>
      <c r="K927" s="25" t="n">
        <f aca="false">IFERROR(J927/I927,0)</f>
        <v>0</v>
      </c>
      <c r="L927" s="19" t="n">
        <v>0</v>
      </c>
      <c r="M927" s="20" t="n">
        <v>0</v>
      </c>
      <c r="N927" s="8" t="n">
        <f aca="false">IFERROR(M927/J927,0)</f>
        <v>0</v>
      </c>
    </row>
    <row r="928" customFormat="false" ht="15" hidden="false" customHeight="false" outlineLevel="0" collapsed="false">
      <c r="A928" s="17" t="s">
        <v>17</v>
      </c>
      <c r="B928" s="17" t="s">
        <v>69</v>
      </c>
      <c r="C928" s="17" t="s">
        <v>60</v>
      </c>
      <c r="D928" s="17" t="s">
        <v>66</v>
      </c>
      <c r="E928" s="17" t="s">
        <v>2675</v>
      </c>
      <c r="F928" s="17" t="s">
        <v>149</v>
      </c>
      <c r="G928" s="17" t="s">
        <v>315</v>
      </c>
      <c r="H928" s="17" t="s">
        <v>2676</v>
      </c>
      <c r="I928" s="20" t="n">
        <v>3</v>
      </c>
      <c r="J928" s="20" t="n">
        <v>0</v>
      </c>
      <c r="K928" s="25" t="n">
        <f aca="false">IFERROR(J928/I928,0)</f>
        <v>0</v>
      </c>
      <c r="L928" s="19" t="n">
        <v>0</v>
      </c>
      <c r="M928" s="20" t="n">
        <v>0</v>
      </c>
      <c r="N928" s="8" t="n">
        <f aca="false">IFERROR(M928/J928,0)</f>
        <v>0</v>
      </c>
    </row>
    <row r="929" customFormat="false" ht="15" hidden="false" customHeight="false" outlineLevel="0" collapsed="false">
      <c r="A929" s="17" t="s">
        <v>17</v>
      </c>
      <c r="B929" s="17" t="s">
        <v>69</v>
      </c>
      <c r="C929" s="17" t="s">
        <v>66</v>
      </c>
      <c r="D929" s="17" t="s">
        <v>66</v>
      </c>
      <c r="E929" s="17" t="s">
        <v>2677</v>
      </c>
      <c r="F929" s="17" t="s">
        <v>159</v>
      </c>
      <c r="G929" s="17" t="s">
        <v>351</v>
      </c>
      <c r="H929" s="17" t="s">
        <v>2656</v>
      </c>
      <c r="I929" s="20" t="n">
        <v>1</v>
      </c>
      <c r="J929" s="20" t="n">
        <v>0</v>
      </c>
      <c r="K929" s="25" t="n">
        <f aca="false">IFERROR(J929/I929,0)</f>
        <v>0</v>
      </c>
      <c r="L929" s="19" t="n">
        <v>0</v>
      </c>
      <c r="M929" s="20" t="n">
        <v>0</v>
      </c>
      <c r="N929" s="8" t="n">
        <f aca="false">IFERROR(M929/J929,0)</f>
        <v>0</v>
      </c>
    </row>
    <row r="930" customFormat="false" ht="15" hidden="false" customHeight="false" outlineLevel="0" collapsed="false">
      <c r="A930" s="17" t="s">
        <v>17</v>
      </c>
      <c r="B930" s="17" t="s">
        <v>69</v>
      </c>
      <c r="C930" s="17" t="s">
        <v>60</v>
      </c>
      <c r="D930" s="17" t="s">
        <v>60</v>
      </c>
      <c r="E930" s="17" t="s">
        <v>2678</v>
      </c>
      <c r="F930" s="17" t="s">
        <v>149</v>
      </c>
      <c r="G930" s="17" t="s">
        <v>315</v>
      </c>
      <c r="H930" s="17" t="s">
        <v>2159</v>
      </c>
      <c r="I930" s="20" t="n">
        <v>0</v>
      </c>
      <c r="J930" s="20" t="n">
        <v>0</v>
      </c>
      <c r="K930" s="25" t="n">
        <f aca="false">IFERROR(J930/I930,0)</f>
        <v>0</v>
      </c>
      <c r="L930" s="19" t="n">
        <v>0</v>
      </c>
      <c r="M930" s="20" t="n">
        <v>0</v>
      </c>
      <c r="N930" s="8" t="n">
        <f aca="false">IFERROR(M930/J930,0)</f>
        <v>0</v>
      </c>
    </row>
    <row r="931" customFormat="false" ht="15" hidden="false" customHeight="false" outlineLevel="0" collapsed="false">
      <c r="A931" s="17" t="s">
        <v>17</v>
      </c>
      <c r="B931" s="17" t="s">
        <v>69</v>
      </c>
      <c r="C931" s="17" t="s">
        <v>66</v>
      </c>
      <c r="D931" s="17" t="s">
        <v>66</v>
      </c>
      <c r="E931" s="17" t="s">
        <v>2679</v>
      </c>
      <c r="F931" s="17" t="s">
        <v>159</v>
      </c>
      <c r="G931" s="17" t="s">
        <v>351</v>
      </c>
      <c r="H931" s="17" t="s">
        <v>2671</v>
      </c>
      <c r="I931" s="20" t="n">
        <v>0</v>
      </c>
      <c r="J931" s="20" t="n">
        <v>0</v>
      </c>
      <c r="K931" s="25" t="n">
        <f aca="false">IFERROR(J931/I931,0)</f>
        <v>0</v>
      </c>
      <c r="L931" s="19" t="n">
        <v>0</v>
      </c>
      <c r="M931" s="20" t="n">
        <v>0</v>
      </c>
      <c r="N931" s="8" t="n">
        <f aca="false">IFERROR(M931/J931,0)</f>
        <v>0</v>
      </c>
    </row>
  </sheetData>
  <autoFilter ref="A4:N9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3" min="2" style="0" width="3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2680</v>
      </c>
    </row>
    <row r="2" customFormat="false" ht="15" hidden="false" customHeight="false" outlineLevel="0" collapsed="false">
      <c r="A2" s="2" t="s">
        <v>2681</v>
      </c>
    </row>
    <row r="4" customFormat="false" ht="31.5" hidden="false" customHeight="true" outlineLevel="0" collapsed="false">
      <c r="A4" s="6" t="s">
        <v>2682</v>
      </c>
      <c r="B4" s="6" t="s">
        <v>2683</v>
      </c>
      <c r="C4" s="6" t="s">
        <v>2684</v>
      </c>
      <c r="D4" s="6" t="s">
        <v>274</v>
      </c>
    </row>
    <row r="5" customFormat="false" ht="31.5" hidden="false" customHeight="true" outlineLevel="0" collapsed="false">
      <c r="A5" s="23" t="s">
        <v>305</v>
      </c>
      <c r="B5" s="23" t="s">
        <v>2685</v>
      </c>
      <c r="C5" s="23" t="s">
        <v>2686</v>
      </c>
      <c r="D5" s="23" t="s">
        <v>2687</v>
      </c>
    </row>
    <row r="6" customFormat="false" ht="31.5" hidden="false" customHeight="true" outlineLevel="0" collapsed="false">
      <c r="A6" s="23" t="s">
        <v>2688</v>
      </c>
      <c r="B6" s="23" t="s">
        <v>2689</v>
      </c>
      <c r="C6" s="23" t="s">
        <v>2690</v>
      </c>
      <c r="D6" s="23" t="s">
        <v>2691</v>
      </c>
    </row>
    <row r="7" customFormat="false" ht="31.5" hidden="false" customHeight="true" outlineLevel="0" collapsed="false">
      <c r="A7" s="23" t="s">
        <v>302</v>
      </c>
      <c r="B7" s="23" t="s">
        <v>2692</v>
      </c>
      <c r="C7" s="23" t="s">
        <v>2693</v>
      </c>
      <c r="D7" s="23" t="s">
        <v>2694</v>
      </c>
    </row>
    <row r="8" customFormat="false" ht="31.5" hidden="false" customHeight="true" outlineLevel="0" collapsed="false">
      <c r="A8" s="23" t="s">
        <v>2695</v>
      </c>
      <c r="B8" s="23" t="s">
        <v>2696</v>
      </c>
      <c r="C8" s="23" t="s">
        <v>2697</v>
      </c>
      <c r="D8" s="23" t="s">
        <v>2698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2026-10-07T18:04:05Z</dcterms:created>
  <dc:creator>openpyxl</dc:creator>
  <dc:description/>
  <dc:language>en-US</dc:language>
  <cp:lastModifiedBy/>
  <dcterms:modified xsi:type="dcterms:W3CDTF">2026-10-07T18:04:06Z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