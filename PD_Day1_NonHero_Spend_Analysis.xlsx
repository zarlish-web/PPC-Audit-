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US_SKU_Spend" sheetId="2" state="visible" r:id="rId4"/>
    <sheet name="CA_SKU_Spend" sheetId="3" state="visible" r:id="rId5"/>
    <sheet name="US_Campaigns" sheetId="4" state="visible" r:id="rId6"/>
    <sheet name="CA_Campaigns" sheetId="5" state="visible" r:id="rId7"/>
    <sheet name="NonHero_Drivers" sheetId="6" state="visible" r:id="rId8"/>
    <sheet name="Issues_To_Check" sheetId="7" state="visible" r:id="rId9"/>
    <sheet name="Method_Notes" sheetId="8" state="visible" r:id="rId10"/>
  </sheets>
  <definedNames>
    <definedName function="false" hidden="true" localSheetId="4" name="_xlnm._FilterDatabase" vbProcedure="false">CA_Campaigns!$A$4:$T$155</definedName>
    <definedName function="false" hidden="true" localSheetId="2" name="_xlnm._FilterDatabase" vbProcedure="false">CA_SKU_Spend!$A$4:$L$103</definedName>
    <definedName function="false" hidden="true" localSheetId="3" name="_xlnm._FilterDatabase" vbProcedure="false">US_Campaigns!$A$4:$T$208</definedName>
    <definedName function="false" hidden="true" localSheetId="1" name="_xlnm._FilterDatabase" vbProcedure="false">US_SKU_Spend!$A$4:$K$96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<sst xmlns="http://schemas.openxmlformats.org/spreadsheetml/2006/main" count="4680" uniqueCount="1102">
  <si>
    <t xml:space="preserve">Prime Day - Day 1 (Oct 6, 2026): hero vs non-hero ad spend</t>
  </si>
  <si>
    <t xml:space="preserve">Answers Erik's question on non-hero spend. Hero = White (Bamboo) / Black (Satin). Spend by variation from Sellerboard per-SKU SP spend; LTSF from Ecotero campaign data.</t>
  </si>
  <si>
    <t xml:space="preserve">FX: 1 CAD = USD</t>
  </si>
  <si>
    <t xml:space="preserve">Input. Rate used on Joseph's live board (fxCad). Sellerboard reports CA spend converted to USD.</t>
  </si>
  <si>
    <t xml:space="preserve">US (USD)</t>
  </si>
  <si>
    <t xml:space="preserve">Product</t>
  </si>
  <si>
    <t xml:space="preserve">SP spend</t>
  </si>
  <si>
    <t xml:space="preserve">Hero spend</t>
  </si>
  <si>
    <t xml:space="preserve">Hero %</t>
  </si>
  <si>
    <t xml:space="preserve">Non-hero spend</t>
  </si>
  <si>
    <t xml:space="preserve">LTSF campaigns (this product only)</t>
  </si>
  <si>
    <t xml:space="preserve">LTSF campaigns shared across products (full amount)</t>
  </si>
  <si>
    <t xml:space="preserve">Non-hero outside LTSF - low</t>
  </si>
  <si>
    <t xml:space="preserve">Non-hero outside LTSF - high</t>
  </si>
  <si>
    <t xml:space="preserve">Hero % excluding LTSF</t>
  </si>
  <si>
    <t xml:space="preserve">Bamboo 4pc</t>
  </si>
  <si>
    <t xml:space="preserve">Bamboo 6pc</t>
  </si>
  <si>
    <t xml:space="preserve">Satin 4pc</t>
  </si>
  <si>
    <t xml:space="preserve">Total</t>
  </si>
  <si>
    <t xml:space="preserve">Total row counts each shared LTSF campaign once. "Low" assumes all shared LTSF spend landed on this product; "high" assumes none did.</t>
  </si>
  <si>
    <t xml:space="preserve">Canada (CAD)</t>
  </si>
  <si>
    <t xml:space="preserve">Satin 6pc</t>
  </si>
  <si>
    <t xml:space="preserve">Spend by campaign category (each campaign counted once)</t>
  </si>
  <si>
    <t xml:space="preserve">Category</t>
  </si>
  <si>
    <t xml:space="preserve">US spend (USD)</t>
  </si>
  <si>
    <t xml:space="preserve">US share</t>
  </si>
  <si>
    <t xml:space="preserve">CA spend (CAD)</t>
  </si>
  <si>
    <t xml:space="preserve">CA share</t>
  </si>
  <si>
    <t xml:space="preserve">Ranking</t>
  </si>
  <si>
    <t xml:space="preserve">Conversion</t>
  </si>
  <si>
    <t xml:space="preserve">Defensive / Brand</t>
  </si>
  <si>
    <t xml:space="preserve">Discovery (keyword)</t>
  </si>
  <si>
    <t xml:space="preserve">Auto (multi-colour, Amazon picks ad)</t>
  </si>
  <si>
    <t xml:space="preserve">Product targeting</t>
  </si>
  <si>
    <t xml:space="preserve">LTSF / Clearance</t>
  </si>
  <si>
    <t xml:space="preserve">Other</t>
  </si>
  <si>
    <t xml:space="preserve">Campaign totals include spend on other products a shared campaign carries, so this total is slightly above the product SP spend above.</t>
  </si>
  <si>
    <t xml:space="preserve">Key findings</t>
  </si>
  <si>
    <t xml:space="preserve">1. US: LTSF clearance is about $1,130 of the $1,926 non-hero spend. Excluding it, the hero takes about 75%, leaving roughly $795 (about 19% of spend) on other colours.</t>
  </si>
  <si>
    <t xml:space="preserve">2. Largest non-LTSF leak: discovery autos carrying several colours, where Amazon picks the ad. DBS4 "Auto...FULL-GREY" spent $333.83 at a $3.97 CPC, 52.8% ACoS, 167% of budget, est. -$154 (Sellerboard). DBS6 "Auto...QUEEN-WHITE-6PCS" spent $93.08 at $4.65 CPC, 146% ACoS.</t>
  </si>
  <si>
    <t xml:space="preserve">3. Planned size variants: King satin keywords run on King Grey (~$85 across king exacts) and Twin bamboo keywords on Twin Burgundy/Navy (~$58 on $5-budget exacts paying $5-10 a click). Worth testing against Erik's CTR-first rule.</t>
  </si>
  <si>
    <t xml:space="preserve">4. Canada: Bamboo 4pc puts ~2% of spend on White and Satin 4pc ~16% on Black because ranking/defensive campaigns are built on Taupe, Olive and Queen Grey. Needs a decision on CA preferred colours.</t>
  </si>
  <si>
    <t xml:space="preserve">5. Build issue: "DBS4-SP-BROAD-(PD-LTSF)" advertises Satin 4pc SKUs (e.g. SATIN-4PC-KING-GREY), not Bamboo 4pc. See Issues_To_Check.</t>
  </si>
  <si>
    <t xml:space="preserve">6. Day 2 context: Joseph's system paused 42 non-hero ads under the hero colour rule and cut placement modifiers on autos on Oct 7, which addresses part of the auto leak.</t>
  </si>
  <si>
    <t xml:space="preserve">US - Day 1 (Oct 6, 2026) Sponsored Products spend by advertised SKU</t>
  </si>
  <si>
    <t xml:space="preserve">Source: Sellerboard (Ecotero account) per-SKU ad spend, USD. Hero = White (Bamboo) / Black (Satin).</t>
  </si>
  <si>
    <t xml:space="preserve">SKU</t>
  </si>
  <si>
    <t xml:space="preserve">Size</t>
  </si>
  <si>
    <t xml:space="preserve">Colour</t>
  </si>
  <si>
    <t xml:space="preserve">Hero colour?</t>
  </si>
  <si>
    <t xml:space="preserve">SP spend (USD)</t>
  </si>
  <si>
    <t xml:space="preserve">SB / SBV spend (USD)</t>
  </si>
  <si>
    <t xml:space="preserve">Total ad spend (USD)</t>
  </si>
  <si>
    <t xml:space="preserve">% of product SP spend</t>
  </si>
  <si>
    <t xml:space="preserve">Units sold (all channels)</t>
  </si>
  <si>
    <t xml:space="preserve">Note</t>
  </si>
  <si>
    <t xml:space="preserve">BAMBOO-KING-WHITE</t>
  </si>
  <si>
    <t xml:space="preserve">King</t>
  </si>
  <si>
    <t xml:space="preserve">White</t>
  </si>
  <si>
    <t xml:space="preserve">Yes</t>
  </si>
  <si>
    <t xml:space="preserve">BAMBOO-QUEEN-WHITE</t>
  </si>
  <si>
    <t xml:space="preserve">Queen</t>
  </si>
  <si>
    <t xml:space="preserve">BAMBOO-FULL-OLIVE</t>
  </si>
  <si>
    <t xml:space="preserve">Full</t>
  </si>
  <si>
    <t xml:space="preserve">Olive</t>
  </si>
  <si>
    <t xml:space="preserve">No</t>
  </si>
  <si>
    <t xml:space="preserve">PD-LTSF auto + older LTSF campaigns</t>
  </si>
  <si>
    <t xml:space="preserve">BAMBOO-TWIN-LIGHTGREY</t>
  </si>
  <si>
    <t xml:space="preserve">Twin</t>
  </si>
  <si>
    <t xml:space="preserve">Lightgrey</t>
  </si>
  <si>
    <t xml:space="preserve">PD-LTSF auto + LTSF clearance broad only</t>
  </si>
  <si>
    <t xml:space="preserve">BAMBOO-QUEEN-MIDGREY</t>
  </si>
  <si>
    <t xml:space="preserve">Midgrey</t>
  </si>
  <si>
    <t xml:space="preserve">100% from DBS4 "Auto...FULL-GREY" discovery auto (multi-colour)</t>
  </si>
  <si>
    <t xml:space="preserve">BAMBOO-TWIN-BURGUNDY-NEW</t>
  </si>
  <si>
    <t xml:space="preserve">Burgundy</t>
  </si>
  <si>
    <t xml:space="preserve">Twin ranking exacts are built on Twin Burgundy</t>
  </si>
  <si>
    <t xml:space="preserve">BAMBOO-FULL-PURPLE</t>
  </si>
  <si>
    <t xml:space="preserve">Purple</t>
  </si>
  <si>
    <t xml:space="preserve">BAMBOO-TWIN-NAVYBLUE</t>
  </si>
  <si>
    <t xml:space="preserve">Navyblue</t>
  </si>
  <si>
    <t xml:space="preserve">Carried in Twin ranking exacts (Burgundy-named) and autos</t>
  </si>
  <si>
    <t xml:space="preserve">BAMBOO-KING-LIGHTBLUE</t>
  </si>
  <si>
    <t xml:space="preserve">Lightblue</t>
  </si>
  <si>
    <t xml:space="preserve">BAMBOO-QUEEN-LIGHTBLUE</t>
  </si>
  <si>
    <t xml:space="preserve">BAMBOO-QUEEN-OLIVE</t>
  </si>
  <si>
    <t xml:space="preserve">BAMBOO-KING-BURGUNDY-NEW</t>
  </si>
  <si>
    <t xml:space="preserve">BAMBOO-TWIN-OLIVE</t>
  </si>
  <si>
    <t xml:space="preserve">BAMBOO-FULL-SAGE GREEN</t>
  </si>
  <si>
    <t xml:space="preserve">Sage Green</t>
  </si>
  <si>
    <t xml:space="preserve">BAMBOO-TWIN-WHITE</t>
  </si>
  <si>
    <t xml:space="preserve">BAMBOO-FULL-LIGHTOLIVE</t>
  </si>
  <si>
    <t xml:space="preserve">Lightolive</t>
  </si>
  <si>
    <t xml:space="preserve">BAMBOO-KING-OLIVE</t>
  </si>
  <si>
    <t xml:space="preserve">BAMBOO-TWIN-PURPLE</t>
  </si>
  <si>
    <t xml:space="preserve">BAMBOO-TWIN-LIGHTBLUE</t>
  </si>
  <si>
    <t xml:space="preserve">BAMBOO-CALIFKING-LIGHT PINK</t>
  </si>
  <si>
    <t xml:space="preserve">Califking</t>
  </si>
  <si>
    <t xml:space="preserve">Light Pink</t>
  </si>
  <si>
    <t xml:space="preserve">BAMBOO-KING-CREME</t>
  </si>
  <si>
    <t xml:space="preserve">Creme</t>
  </si>
  <si>
    <t xml:space="preserve">BAMBOO-TWIN-TAUPE</t>
  </si>
  <si>
    <t xml:space="preserve">Taupe</t>
  </si>
  <si>
    <t xml:space="preserve">BAMBOO-TWIN-LIGHTOLIVE</t>
  </si>
  <si>
    <t xml:space="preserve">BAMBOO-FULL-CREME</t>
  </si>
  <si>
    <t xml:space="preserve">BAMBOO-TWIN-MIDGREY</t>
  </si>
  <si>
    <t xml:space="preserve">BAMBOO-QUEEN-PURPLE</t>
  </si>
  <si>
    <t xml:space="preserve">BAMBOO-TWIN-GREY</t>
  </si>
  <si>
    <t xml:space="preserve">Grey</t>
  </si>
  <si>
    <t xml:space="preserve">BAMBOO-FULL-GREY</t>
  </si>
  <si>
    <t xml:space="preserve">BAMBOO-CALIFKING-BURGUNDY-NEW</t>
  </si>
  <si>
    <t xml:space="preserve">BAMBOO-TWIN-LIGHT PINK</t>
  </si>
  <si>
    <t xml:space="preserve">BAMBOO-FULL-MIDGREY</t>
  </si>
  <si>
    <t xml:space="preserve">BAMBOO-TWIN-CREME</t>
  </si>
  <si>
    <t xml:space="preserve">BAMBOO-KING-WHITE-6PCS</t>
  </si>
  <si>
    <t xml:space="preserve">BAMBOO-QUEEN-OLIVE-6PCS</t>
  </si>
  <si>
    <t xml:space="preserve">PD-LTSF auto + DBS6 Queen White autos/exact also carry it</t>
  </si>
  <si>
    <t xml:space="preserve">BAMBOO-QUEEN-WHITE-6PCS</t>
  </si>
  <si>
    <t xml:space="preserve">BAMBOO-KING-LIGHT PINK-6PCS</t>
  </si>
  <si>
    <t xml:space="preserve">BAMBOO-QUEEN-LIGHTGREY-6PCS</t>
  </si>
  <si>
    <t xml:space="preserve">BAMBOO-FULL-OLIVE-6PCS</t>
  </si>
  <si>
    <t xml:space="preserve">BAMBOO-KING-PURPLE-6PCS</t>
  </si>
  <si>
    <t xml:space="preserve">BAMBOO-QUEEN-LIGHTOLIVE-6PCS</t>
  </si>
  <si>
    <t xml:space="preserve">BAMBOO-TWIN-OLIVE-6PCS</t>
  </si>
  <si>
    <t xml:space="preserve">BAMBOO-QUEEN-SAGE GREEN-6PCS</t>
  </si>
  <si>
    <t xml:space="preserve">BAMBOO-FULL-PURPLE-6PCS</t>
  </si>
  <si>
    <t xml:space="preserve">BAMBOO-QUEEN-LIGHTBLUE-6PCS</t>
  </si>
  <si>
    <t xml:space="preserve">BAMBOO-TWIN-SAGE GREEN-6PCS</t>
  </si>
  <si>
    <t xml:space="preserve">BAMBOO-KING-SAGE GREEN-6PCS</t>
  </si>
  <si>
    <t xml:space="preserve">BAMBOO-TWIN-NAVYBLUE-6PCS</t>
  </si>
  <si>
    <t xml:space="preserve">BAMBOO-KING-BURGUNDY-6PCS</t>
  </si>
  <si>
    <t xml:space="preserve">BAMBOO-CALIFKING-BLACK-6PCS</t>
  </si>
  <si>
    <t xml:space="preserve">Black</t>
  </si>
  <si>
    <t xml:space="preserve">BAMBOO-FULL-LIGHTOLIVE-6PCS</t>
  </si>
  <si>
    <t xml:space="preserve">BAMBOO-CALIFKING-WHITE-6PCS</t>
  </si>
  <si>
    <t xml:space="preserve">BAMBOO-QUEEN-CREME-6PCS</t>
  </si>
  <si>
    <t xml:space="preserve">BAMBOO-FULL-CREME-6PCS</t>
  </si>
  <si>
    <t xml:space="preserve">BAMBOO-CALIFKING-CREME-6PCS</t>
  </si>
  <si>
    <t xml:space="preserve">BAMBOO-TWIN-LIGHTOLIVE-6PCS</t>
  </si>
  <si>
    <t xml:space="preserve">SATIN-QUEEN-BLACK</t>
  </si>
  <si>
    <t xml:space="preserve">SATIN-4PC-KING-GREY</t>
  </si>
  <si>
    <t xml:space="preserve">King keywords run on King Grey by design (ranking/test exacts) - also carried by DBS4 PD-LTSF broad</t>
  </si>
  <si>
    <t xml:space="preserve">SATIN-FULL-BLACK</t>
  </si>
  <si>
    <t xml:space="preserve">SATIN-4PCS-FULL-ROSEWOOD</t>
  </si>
  <si>
    <t xml:space="preserve">Rosewood</t>
  </si>
  <si>
    <t xml:space="preserve">SATIN-QUEEN-GREY</t>
  </si>
  <si>
    <t xml:space="preserve">SATIN-WHITE-QUEEN</t>
  </si>
  <si>
    <t xml:space="preserve">SATIN-FULL-GREY</t>
  </si>
  <si>
    <t xml:space="preserve">SATIN-TWIN-BLACK-NEW</t>
  </si>
  <si>
    <t xml:space="preserve">SATIN-STRIPE-FULL-GOLD</t>
  </si>
  <si>
    <t xml:space="preserve">Gold</t>
  </si>
  <si>
    <t xml:space="preserve">SATIN-4PCS-KING-RED</t>
  </si>
  <si>
    <t xml:space="preserve">Red</t>
  </si>
  <si>
    <t xml:space="preserve">SATIN-SEA-TEAL-TWIN</t>
  </si>
  <si>
    <t xml:space="preserve">Sea Teal</t>
  </si>
  <si>
    <t xml:space="preserve">SATIN-4PC-FULL-DARK GREEN</t>
  </si>
  <si>
    <t xml:space="preserve">Dark Green</t>
  </si>
  <si>
    <t xml:space="preserve">SATIN-KING-PURPLE</t>
  </si>
  <si>
    <t xml:space="preserve">SATIN-TWIN-GREY</t>
  </si>
  <si>
    <t xml:space="preserve">SATIN-FULL-BLUE</t>
  </si>
  <si>
    <t xml:space="preserve">Blue</t>
  </si>
  <si>
    <t xml:space="preserve">SATIN-KING-BLACK</t>
  </si>
  <si>
    <t xml:space="preserve">SATIN-3PC-TWIN-BURNT ORANGE</t>
  </si>
  <si>
    <t xml:space="preserve">Burnt Orange</t>
  </si>
  <si>
    <t xml:space="preserve">SATIN-FULL-PURPLE</t>
  </si>
  <si>
    <t xml:space="preserve">SATIN-QUEEN-PURPLE</t>
  </si>
  <si>
    <t xml:space="preserve">SATIN-STRIPE-FULL-PURPLE</t>
  </si>
  <si>
    <t xml:space="preserve">SATIN-STRIPE-TWIN-BLACK</t>
  </si>
  <si>
    <t xml:space="preserve">SATIN-QUEEN-PINK</t>
  </si>
  <si>
    <t xml:space="preserve">Pink</t>
  </si>
  <si>
    <t xml:space="preserve">SATIN-SEA-TEAL-QUEEN</t>
  </si>
  <si>
    <t xml:space="preserve">SATIN-QUEEN-BLUE</t>
  </si>
  <si>
    <t xml:space="preserve">SATIN-KING-BLUE</t>
  </si>
  <si>
    <t xml:space="preserve">SATIN-GOLD-TWIN</t>
  </si>
  <si>
    <t xml:space="preserve">SATIN-4PC-TWIN-LAVENDER</t>
  </si>
  <si>
    <t xml:space="preserve">Lavender</t>
  </si>
  <si>
    <t xml:space="preserve">SATIN-CHAMPAGNE-TWIN</t>
  </si>
  <si>
    <t xml:space="preserve">Champagne</t>
  </si>
  <si>
    <t xml:space="preserve">SATIN-3PC-TWIN-DARK GREEN</t>
  </si>
  <si>
    <t xml:space="preserve">SATIN-4PC-FULL-SAGE GREEN</t>
  </si>
  <si>
    <t xml:space="preserve">SATIN-4PCS-KING-ROSEWOOD</t>
  </si>
  <si>
    <t xml:space="preserve">SATIN-TWIN-BLUE</t>
  </si>
  <si>
    <t xml:space="preserve">SATIN-3PC-TWIN-SAGE GREEN</t>
  </si>
  <si>
    <t xml:space="preserve">SATIN-IVORY-KING</t>
  </si>
  <si>
    <t xml:space="preserve">Ivory</t>
  </si>
  <si>
    <t xml:space="preserve">SATIN-RED-FULL</t>
  </si>
  <si>
    <t xml:space="preserve">SATIN-ROSEWOOD-QUEEN</t>
  </si>
  <si>
    <t xml:space="preserve">SATIN-4PC-TWIN-BLUSH PINK</t>
  </si>
  <si>
    <t xml:space="preserve">Blush Pink</t>
  </si>
  <si>
    <t xml:space="preserve">CA - Day 1 (Oct 6, 2026) Sponsored Products spend by advertised SKU</t>
  </si>
  <si>
    <t xml:space="preserve">Source: Sellerboard (Ecotero account) per-SKU ad spend, converted by Sellerboard to USD; CAD column uses the FX rate on the Summary tab. Hero = White (Bamboo) / Black (Satin).</t>
  </si>
  <si>
    <t xml:space="preserve">SP spend (CAD)</t>
  </si>
  <si>
    <t xml:space="preserve">BAMBOO-KING-TAUPE</t>
  </si>
  <si>
    <t xml:space="preserve">BAMBOO-QUEEN-TAUPE</t>
  </si>
  <si>
    <t xml:space="preserve">BAMBOO-CALIFKING-CREME</t>
  </si>
  <si>
    <t xml:space="preserve">BAMBOO-CALIFKING-MIDGREY</t>
  </si>
  <si>
    <t xml:space="preserve">BAMBOO-CALIFKING-LIGHTGREY</t>
  </si>
  <si>
    <t xml:space="preserve">BAMBOO-KING-BLACK</t>
  </si>
  <si>
    <t xml:space="preserve">BAMBOO-FULL-LIGHTBLUE</t>
  </si>
  <si>
    <t xml:space="preserve">BAMBOO-QUEEN-LIGHTGREY</t>
  </si>
  <si>
    <t xml:space="preserve">BAMBOO-KING-LIGHT PINK</t>
  </si>
  <si>
    <t xml:space="preserve">BAMBOO-TWIN-SAGE GREEN</t>
  </si>
  <si>
    <t xml:space="preserve">BAMBOO-QUEEN-BURGUNDY-NEW</t>
  </si>
  <si>
    <t xml:space="preserve">BAMBOO-KING-LIGHTGREY</t>
  </si>
  <si>
    <t xml:space="preserve">BAMBOO-QUEEN-SAGE GREEN</t>
  </si>
  <si>
    <t xml:space="preserve">BAMBOO-CALIFKING-WHITE</t>
  </si>
  <si>
    <t xml:space="preserve">BAMBOO-QUEEN-LIGHT PINK</t>
  </si>
  <si>
    <t xml:space="preserve">BAMBOO-CALIFKING-BLACK</t>
  </si>
  <si>
    <t xml:space="preserve">BAMBOO-KING-GREY</t>
  </si>
  <si>
    <t xml:space="preserve">BAMBOO-KING-TAUPE-6PCS</t>
  </si>
  <si>
    <t xml:space="preserve">BAMBOO-FULL-WHITE-6PCS</t>
  </si>
  <si>
    <t xml:space="preserve">BAMBOO-KING-LIGHTBLUE-6PCS</t>
  </si>
  <si>
    <t xml:space="preserve">BAMBOO-CALIFKING-GREY-6PCS</t>
  </si>
  <si>
    <t xml:space="preserve">BAMBOO-CALIFKING-LIGHTBLUE-6PCS</t>
  </si>
  <si>
    <t xml:space="preserve">BAMBOO-CALIFKING-NAVYBLUE-6PCS</t>
  </si>
  <si>
    <t xml:space="preserve">SATIN-4PC-QUEEN-LAVENDER</t>
  </si>
  <si>
    <t xml:space="preserve">SATIN-STRIPE-QUEEN-BLACK</t>
  </si>
  <si>
    <t xml:space="preserve">SATIN-4PC-QUEEN-SAGE GREEN</t>
  </si>
  <si>
    <t xml:space="preserve">SATIN-STRIPE-KING-PINK</t>
  </si>
  <si>
    <t xml:space="preserve">SATIN-FULL-BLUSH PINK</t>
  </si>
  <si>
    <t xml:space="preserve">SATIN-4PC-RED-QUEEN</t>
  </si>
  <si>
    <t xml:space="preserve">SATIN-CHAMPAGNE-QUEEN</t>
  </si>
  <si>
    <t xml:space="preserve">SATIN-STRIPE-FULL-RED</t>
  </si>
  <si>
    <t xml:space="preserve">SATIN-FULL-PINK</t>
  </si>
  <si>
    <t xml:space="preserve">SATIN-WHITE-TWIN</t>
  </si>
  <si>
    <t xml:space="preserve">SATIN-STRIPE-TWIN-GOLD</t>
  </si>
  <si>
    <t xml:space="preserve">SATIN-STRIPE-QUEEN-RED</t>
  </si>
  <si>
    <t xml:space="preserve">SATIN-STRIPE-FULL-WHITE</t>
  </si>
  <si>
    <t xml:space="preserve">SATIN-STRIPE-KING-GOLD</t>
  </si>
  <si>
    <t xml:space="preserve">SATIN-TAUPE-QUEEN</t>
  </si>
  <si>
    <t xml:space="preserve">SATIN-4PC-QUEEN-BURNT ORANGE</t>
  </si>
  <si>
    <t xml:space="preserve">SATIN-TWIN-PINK</t>
  </si>
  <si>
    <t xml:space="preserve">SATIN-STRIPE-QUEEN-PURPLE</t>
  </si>
  <si>
    <t xml:space="preserve">SATIN-STRIPE-QUEEN-GOLD</t>
  </si>
  <si>
    <t xml:space="preserve">SATIN-4PC-FULL-BABY BLUE</t>
  </si>
  <si>
    <t xml:space="preserve">Baby Blue</t>
  </si>
  <si>
    <t xml:space="preserve">SATIN-QUEEN-BLACK-6-PCS</t>
  </si>
  <si>
    <t xml:space="preserve">SATIN-STRIPE-KING-GRAY--6-PCS</t>
  </si>
  <si>
    <t xml:space="preserve">Gray</t>
  </si>
  <si>
    <t xml:space="preserve">SATIN-STRIPE-FULL-BLACK--6-PCS</t>
  </si>
  <si>
    <t xml:space="preserve">SATIN-6PC-FULL-WHITE</t>
  </si>
  <si>
    <t xml:space="preserve">SATIN-STONEGREY-QUEEN-6PCS</t>
  </si>
  <si>
    <t xml:space="preserve">Stonegrey</t>
  </si>
  <si>
    <t xml:space="preserve">SATIN-STRIPE-KING-WHITE--6-PCS</t>
  </si>
  <si>
    <t xml:space="preserve">SATIN-ROSEWOOD-TWIN-6PCS</t>
  </si>
  <si>
    <t xml:space="preserve">SATIN-ROSEWOOD-QUEEN-6PCS</t>
  </si>
  <si>
    <t xml:space="preserve">SATIN-SEA-TEAL-FULL-6PCS</t>
  </si>
  <si>
    <t xml:space="preserve">SATIN-SEA-TEAL-KING-6PCS</t>
  </si>
  <si>
    <t xml:space="preserve">SATIN-STRIPE-QUEEN-PINK--6-PCS</t>
  </si>
  <si>
    <t xml:space="preserve">SATIN-FULL-BLACK-6PCS</t>
  </si>
  <si>
    <t xml:space="preserve">SATIN-STRIPE-QUEEN-RED--6-PCS</t>
  </si>
  <si>
    <t xml:space="preserve">SATIN-KING-PINK-6PCS</t>
  </si>
  <si>
    <t xml:space="preserve">SATIN-6PC-QUEEN-BLUSH PINK</t>
  </si>
  <si>
    <t xml:space="preserve">SATIN-TWIN-PURPLE-6PCS</t>
  </si>
  <si>
    <t xml:space="preserve">SATIN-STRIPE-TWIN-BLACK--6-PCS</t>
  </si>
  <si>
    <t xml:space="preserve">SATIN-6PC-FULL-NAVY BLUE</t>
  </si>
  <si>
    <t xml:space="preserve">Navy Blue</t>
  </si>
  <si>
    <t xml:space="preserve">SATIN-KING-PURPLE-6PCS</t>
  </si>
  <si>
    <t xml:space="preserve">SATIN-WHITE-QUEEN-6PCS</t>
  </si>
  <si>
    <t xml:space="preserve">SATIN-6PC-FULL-LAVENDER</t>
  </si>
  <si>
    <t xml:space="preserve">SATIN-GOLD-KING-6PCS</t>
  </si>
  <si>
    <t xml:space="preserve">SATIN-STRIPE-QUEEN-WHITE--6-PCS</t>
  </si>
  <si>
    <t xml:space="preserve">SATIN-GOLD-QUEEN-6PCS</t>
  </si>
  <si>
    <t xml:space="preserve">US - Day 1 (Oct 6, 2026) campaigns advertising each deal product</t>
  </si>
  <si>
    <t xml:space="preserve">Source: Ecotero Command Center PPC campaigns (campaign totals, USD). A campaign that advertises several products is listed under each one ("Shared" = Yes); use "Count once" to total without double counting. "SKU in campaign name" is what the name says - names do not always match the ads actually running.</t>
  </si>
  <si>
    <t xml:space="preserve">Campaign ID</t>
  </si>
  <si>
    <t xml:space="preserve">Campaign name</t>
  </si>
  <si>
    <t xml:space="preserve">Match type</t>
  </si>
  <si>
    <t xml:space="preserve">Objective</t>
  </si>
  <si>
    <t xml:space="preserve">SKU in campaign name</t>
  </si>
  <si>
    <t xml:space="preserve">Name colour = hero?</t>
  </si>
  <si>
    <t xml:space="preserve">Shared across products?</t>
  </si>
  <si>
    <t xml:space="preserve">Also advertises</t>
  </si>
  <si>
    <t xml:space="preserve">Count once</t>
  </si>
  <si>
    <t xml:space="preserve">Impressions</t>
  </si>
  <si>
    <t xml:space="preserve">Clicks</t>
  </si>
  <si>
    <t xml:space="preserve">CTR</t>
  </si>
  <si>
    <t xml:space="preserve">Spend (USD)</t>
  </si>
  <si>
    <t xml:space="preserve">CPC (USD)</t>
  </si>
  <si>
    <t xml:space="preserve">Orders</t>
  </si>
  <si>
    <t xml:space="preserve">Sales (USD)</t>
  </si>
  <si>
    <t xml:space="preserve">ACoS</t>
  </si>
  <si>
    <t xml:space="preserve">CVR</t>
  </si>
  <si>
    <t xml:space="preserve">55487419943563</t>
  </si>
  <si>
    <t xml:space="preserve">DBS4-SP-AUTO-(PD-LTSF)-Aged Deal SKUs</t>
  </si>
  <si>
    <t xml:space="preserve">Auto</t>
  </si>
  <si>
    <t xml:space="preserve">310976801193815</t>
  </si>
  <si>
    <t xml:space="preserve">DBS4-SP-Auto-(AUTO)-Auto-(Discovery)-DO-BAMBOO-FULL-GREY</t>
  </si>
  <si>
    <t xml:space="preserve">Discovery</t>
  </si>
  <si>
    <t xml:space="preserve">305062484006669</t>
  </si>
  <si>
    <t xml:space="preserve">DBS4-SP-Auto-(AUTO)-Auto-(Discovery)-DO-BAMBOO-KING-WHITE</t>
  </si>
  <si>
    <t xml:space="preserve">389142860904839</t>
  </si>
  <si>
    <t xml:space="preserve">DBS4-SP-Decolure Bamboo Sheets-(LSV)-Broad-(Defensive)-DO-BAMBOO-KING-WHITE</t>
  </si>
  <si>
    <t xml:space="preserve">Broad</t>
  </si>
  <si>
    <t xml:space="preserve">Defensive</t>
  </si>
  <si>
    <t xml:space="preserve">291577934636516</t>
  </si>
  <si>
    <t xml:space="preserve">DBS4-SP-Cooling Bamboo Sheets-[Bamboo|Cooling]-(MSV)-Exact-(Ranking)-DO-BAMBOO-KING-WHITE</t>
  </si>
  <si>
    <t xml:space="preserve">Exact</t>
  </si>
  <si>
    <t xml:space="preserve">526089960409455</t>
  </si>
  <si>
    <t xml:space="preserve">DBS4-SP-B08KQHRDDG-(PAT)-Targeting-(Conversion)-DO-BAMBOO-KING-WHITE</t>
  </si>
  <si>
    <t xml:space="preserve">Product Targeting</t>
  </si>
  <si>
    <t xml:space="preserve">Conversions</t>
  </si>
  <si>
    <t xml:space="preserve">217202192519686</t>
  </si>
  <si>
    <t xml:space="preserve">DBS4-SP-bamboo sheets queen size-[Bamboo|Queen]-(HSV)-Broad-(DISC)-DO-BAMBOO-QUEEN-WHITE</t>
  </si>
  <si>
    <t xml:space="preserve">26875799662688</t>
  </si>
  <si>
    <t xml:space="preserve">DBS4-SP-Conquest-(PAT)-Targeting-(Conquesting)-FIX-BAMBOO-QUEEN-WHITE-TEST</t>
  </si>
  <si>
    <t xml:space="preserve">BAMBOO-QUEEN-WHITE-TEST</t>
  </si>
  <si>
    <t xml:space="preserve">379276084224195</t>
  </si>
  <si>
    <t xml:space="preserve">Decolure_SP_Exact_PAT_Defensive</t>
  </si>
  <si>
    <t xml:space="preserve">Bamboo 6pc, Satin 4pc</t>
  </si>
  <si>
    <t xml:space="preserve">435654690515168</t>
  </si>
  <si>
    <t xml:space="preserve">DBS4-SP-Bamboo Sheets Queen-[Bamboo|Queen]-(MSV)-Exact-(Ranking)-DO-BAMBOO-QUEEN-WHITE</t>
  </si>
  <si>
    <t xml:space="preserve">457513225586449</t>
  </si>
  <si>
    <t xml:space="preserve">DECOLURE - Bamboo 4Pcs- LTSF Campaign</t>
  </si>
  <si>
    <t xml:space="preserve">Liquidation</t>
  </si>
  <si>
    <t xml:space="preserve">225300380920122</t>
  </si>
  <si>
    <t xml:space="preserve">DBS4-SP-Bamboo Sheets Cooling-[Bamboo|Cooling]-(MSV)-Exact-(Ranking)-DO-BAMBOO-KING-WHITE</t>
  </si>
  <si>
    <t xml:space="preserve">1477422308688</t>
  </si>
  <si>
    <t xml:space="preserve">DBS4-SP-king size sheets set bamboo cooling-[Bamboo|Cooling]-(LSV)-Exact-(Ranking)-FIX-BAMBOO-KING-WHITE</t>
  </si>
  <si>
    <t xml:space="preserve">39362978301776</t>
  </si>
  <si>
    <t xml:space="preserve">DBS6-SP-LTSF-ALL-Broad-(Clearance)-DO-AGED-ALL</t>
  </si>
  <si>
    <t xml:space="preserve">AGED-ALL</t>
  </si>
  <si>
    <t xml:space="preserve">476122833243587</t>
  </si>
  <si>
    <t xml:space="preserve">DBS4-SP-B07MZ4GKZH-(PAT)-Targeting-(Conversion)-DO-BAMBOO-KING-WHITE</t>
  </si>
  <si>
    <t xml:space="preserve">169190618188277</t>
  </si>
  <si>
    <t xml:space="preserve">DBS4-SP-bamboo cool sheets-[Bamboo|Cooling]-(LSV)-Exact-(Ranking)-FIX-BAMBOO-KING-WHITE-TAIL-3</t>
  </si>
  <si>
    <t xml:space="preserve">BAMBOO-KING-WHITE-TAIL-3</t>
  </si>
  <si>
    <t xml:space="preserve">6072077389058</t>
  </si>
  <si>
    <t xml:space="preserve">DBS4-SP-Cooling King Bed Sheets-[Cooling|King]-(LSV)-Exact-(Ranking)-DO-BAMBOO-KING-WHITE</t>
  </si>
  <si>
    <t xml:space="preserve">308189422883149</t>
  </si>
  <si>
    <t xml:space="preserve">DBS4-SP-Bamboo Cooling Sheets King Size-[Bamboo|Cooling]-(LSV)-Exact-(Ranking)-DO-BAMBOO-KING-WHITE</t>
  </si>
  <si>
    <t xml:space="preserve">81668335931852</t>
  </si>
  <si>
    <t xml:space="preserve">DBS6-SP-LTSF-TWIN-Phrase-(Clearance)-DO-AGED-TWIN</t>
  </si>
  <si>
    <t xml:space="preserve">Phrase</t>
  </si>
  <si>
    <t xml:space="preserve">AGED-TWIN</t>
  </si>
  <si>
    <t xml:space="preserve">332114561773037</t>
  </si>
  <si>
    <t xml:space="preserve">DBS4-SP-100 Bamboo-(VLSV)-Broad-(Discovery)-DO-BAMBOO-QUEEN-WHITE</t>
  </si>
  <si>
    <t xml:space="preserve">468904898254533</t>
  </si>
  <si>
    <t xml:space="preserve">DBS4-SP-Sheets Full Size Bed Bamboo-(VLSV)-Exact-(Ranking)-DO-BAMBOO-FULL-WHITE</t>
  </si>
  <si>
    <t xml:space="preserve">BAMBOO-FULL-WHITE</t>
  </si>
  <si>
    <t xml:space="preserve">173753122670008</t>
  </si>
  <si>
    <t xml:space="preserve">DBS4-SP-Bamboo Sheets Twin-(MSV)-Exact-(Ranking)-DO-BAMBOO-TWIN-WHITE</t>
  </si>
  <si>
    <t xml:space="preserve">254494086894356</t>
  </si>
  <si>
    <t xml:space="preserve">DBS4-SP-Twin Bamboo Bed Sheets-[Bamboo|Twin]-(HSV)-Exact-(Ranking)-DO-BAMBOO-TWIN-BURGUNDY-NEW</t>
  </si>
  <si>
    <t xml:space="preserve">562907116323646</t>
  </si>
  <si>
    <t xml:space="preserve">DECOLURE - B4 - QUEEN OLIVE - PRIME CAMPAIGN 2 (LTSF)</t>
  </si>
  <si>
    <t xml:space="preserve">510977750871435</t>
  </si>
  <si>
    <t xml:space="preserve">DBS4-SP-B07YKCZHGK-(PAT)-Targeting-(Conversion)-DO-BAMBOO-KING-CREME</t>
  </si>
  <si>
    <t xml:space="preserve">133572104497162</t>
  </si>
  <si>
    <t xml:space="preserve">DBS4-SP-Decolure Bamboo Sheets-(LSV)-Exact-(Defensive)-DO-BAMBOO-KING-WHITE</t>
  </si>
  <si>
    <t xml:space="preserve">165736265830033</t>
  </si>
  <si>
    <t xml:space="preserve">DBS4-SP-Bamboo Twin Sheets Set-[Bamboo|Twin]-(MSV)-Exact-(Ranking)-DO-BAMBOO-TWIN-BURGUNDY-NEW</t>
  </si>
  <si>
    <t xml:space="preserve">120999019617631</t>
  </si>
  <si>
    <t xml:space="preserve">DBS4-SP-Cooling Sheets Bamboo-[Bamboo|Cooling]-(MSV)-Exact-(Ranking)-DO-BAMBOO-KING-WHITE</t>
  </si>
  <si>
    <t xml:space="preserve">25448313713632</t>
  </si>
  <si>
    <t xml:space="preserve">DBS4-SP-Twin Sheets Set Bamboo-[Bamboo|Twin]-(MSV)-Exact-(Ranking)-DO-BAMBOO-TWIN-BURGUNDY-NEW</t>
  </si>
  <si>
    <t xml:space="preserve">208669798220852</t>
  </si>
  <si>
    <t xml:space="preserve">DBS4-SP-bamboo cooling sheets queen size bed set deep pockets-[Bamboo|Cooling]-(LSV)-Exact-(Ranking)-FIX-BAMBOO-QUEEN-WHITE</t>
  </si>
  <si>
    <t xml:space="preserve">456564870715953</t>
  </si>
  <si>
    <t xml:space="preserve">DBS4-SP-Twin Sheets Bamboo-[Bamboo|Twin]-(LSV)-Exact-(Ranking)-DO-BAMBOO-TWIN-BURGUNDY-NEW</t>
  </si>
  <si>
    <t xml:space="preserve">428094781835473</t>
  </si>
  <si>
    <t xml:space="preserve">DCS-SP-Auto/LTSF-Def-Multi LTSF SKUs</t>
  </si>
  <si>
    <t xml:space="preserve">462304093247311</t>
  </si>
  <si>
    <t xml:space="preserve">DBS4-SP-Twin Bamboo Sheets-[Bamboo|Twin]-(LSV)-Exact-(Ranking)-DO-BAMBOO-TWIN-BURGUNDY-NEW</t>
  </si>
  <si>
    <t xml:space="preserve">99023725891341</t>
  </si>
  <si>
    <t xml:space="preserve">DBS4-SP-Bamboo Sheets Twin Size-[Bamboo|Twin]-(MSV)-Exact-(Ranking)-DO-BAMBOO-TWIN-BURGUNDY-NEW</t>
  </si>
  <si>
    <t xml:space="preserve">382575122533704</t>
  </si>
  <si>
    <t xml:space="preserve">DBS4-SP-Purple Bamboo Sheets-(VLSV)-Exact-(Ranking)-DO-BAMBOO-QUEEN-PURPLE</t>
  </si>
  <si>
    <t xml:space="preserve">554499949808410</t>
  </si>
  <si>
    <t xml:space="preserve">DBS4-SP-Deep Pocket King Sheet Set-(HSV)-Exact-(Ranking)-DO-BAMBOO-KING-WHITE</t>
  </si>
  <si>
    <t xml:space="preserve">345754272659953</t>
  </si>
  <si>
    <t xml:space="preserve">BAMBOO-KING-LIGHTGREY-6PCS_SP_Exact_PAT_Defensive</t>
  </si>
  <si>
    <t xml:space="preserve">BAMBOO-KING-LIGHTGREY-6PCS</t>
  </si>
  <si>
    <t xml:space="preserve">185547153772861</t>
  </si>
  <si>
    <t xml:space="preserve">DBS4-SP-cooling sheets queen bamboo-[Bamboo|Cooling]-(LSV)-Exact-(Ranking)-FIX-BAMBOO-QUEEN-WHITE-TAIL-3</t>
  </si>
  <si>
    <t xml:space="preserve">BAMBOO-QUEEN-WHITE-TAIL-3</t>
  </si>
  <si>
    <t xml:space="preserve">76960646285047</t>
  </si>
  <si>
    <t xml:space="preserve">DBS4-SP-bamboo cooling sheet set queen size-[Bamboo|Cooling]-(LSV)-Exact-(Ranking)-FIX-BAMBOO-QUEEN-WHITE</t>
  </si>
  <si>
    <t xml:space="preserve">87038130582671</t>
  </si>
  <si>
    <t xml:space="preserve">DBS4-SP-King Size Sheets With Deep Pockets Bamboo-(NOSV)-Exact-(Ranking)-DO-BAMBOO-KING-WHITE</t>
  </si>
  <si>
    <t xml:space="preserve">22719198073084</t>
  </si>
  <si>
    <t xml:space="preserve">DBS4-SP-100 Bamboo Deep Pocket Sheets-(NOSV)-Exact-(Ranking)-DO-BAMBOO-KING-WHITE</t>
  </si>
  <si>
    <t xml:space="preserve">225439324065969</t>
  </si>
  <si>
    <t xml:space="preserve">DBS4-SP-Queen Bamboo Cooling Sheets-[Bamboo|Cooling|Queen]-(MSV)-Exact-(Ranking)-DO-BAMBOO-QUEEN-TAUPE</t>
  </si>
  <si>
    <t xml:space="preserve">211288192866770</t>
  </si>
  <si>
    <t xml:space="preserve">DBS4-SP-King Sheets Bamboo-(MSV)-Broad-(DISC)-DO-BAMBOO-KING-WHITE</t>
  </si>
  <si>
    <t xml:space="preserve">196321329286598</t>
  </si>
  <si>
    <t xml:space="preserve">DBS4-SP-Cooling Bamboo Sheets King Size-[Bamboo|Cooling|King]-(MSV)-Exact-(Ranking)-DO-BAMBOO-KING-WHITE</t>
  </si>
  <si>
    <t xml:space="preserve">158097764408802</t>
  </si>
  <si>
    <t xml:space="preserve">DBS4-SP-King Bamboo Cooling Sheets-[Bamboo|Cooling|King]-(MSV)-Exact-(Ranking)-DO-BAMBOO-KING-WHITE</t>
  </si>
  <si>
    <t xml:space="preserve">382995705013765</t>
  </si>
  <si>
    <t xml:space="preserve">DBS4-SP-Bamboo Sheets Queen Size-[Bamboo|Queen]-(HSV)-Exact-(Ranking)-UD-BAMBOO-QUEEN-WHITE</t>
  </si>
  <si>
    <t xml:space="preserve">87932013445748</t>
  </si>
  <si>
    <t xml:space="preserve">DBS4-SP-bamboo sheets california king-[Bamboo|California King]-(LSV)-Broad-(DISC)-DO-BAMBOO-CALIFKING-WHITE</t>
  </si>
  <si>
    <t xml:space="preserve">49275908512250</t>
  </si>
  <si>
    <t xml:space="preserve">DBS4-SP-Bamboo Sheets King Size-(HSV)-Exact-(Ranking)-DO-BAMBOO-KING-WHITE</t>
  </si>
  <si>
    <t xml:space="preserve">545053729101534</t>
  </si>
  <si>
    <t xml:space="preserve">DBS6-SP-B0CQ2ZWGNQ-(PAT)-Targeting-(Defensive)-DO-BAMBOO-QUEEN-WHITE-6PCS</t>
  </si>
  <si>
    <t xml:space="preserve">369952566354344</t>
  </si>
  <si>
    <t xml:space="preserve">DBS4-SP-Decolure Bamboo Sheets King Size-(VLSV)-Exact-(Defensive)-DO-BAMBOO-KING-WHITE</t>
  </si>
  <si>
    <t xml:space="preserve">102747157073163</t>
  </si>
  <si>
    <t xml:space="preserve">DBS4-SP-Bamboo Sheets-(VHSV)-Broad-(DISC)-DO-BAMBOO-KING-WHITE</t>
  </si>
  <si>
    <t xml:space="preserve">562604829151641</t>
  </si>
  <si>
    <t xml:space="preserve">DBS4-SP-Cooling Sheets King-[Cooling|King]-(MSV)-Exact-(Ranking)-DO-BAMBOO-KING-WHITE</t>
  </si>
  <si>
    <t xml:space="preserve">71043506344686</t>
  </si>
  <si>
    <t xml:space="preserve">DBS4-SP-Bamboo King Sheets Cooling-[Bamboo|Cooling|King]-(MSV)-Exact-(Ranking)-DO-BAMBOO-KING-WHITE</t>
  </si>
  <si>
    <t xml:space="preserve">143443584538583</t>
  </si>
  <si>
    <t xml:space="preserve">DBS4-SP-Bamboo Twin Sheets-[Bamboo|Twin]-(LSV)-Exact-(Ranking)-DO-BAMBOO-TWIN-BURGUNDY-NEW</t>
  </si>
  <si>
    <t xml:space="preserve">302124675724544</t>
  </si>
  <si>
    <t xml:space="preserve">BAMBOO-KING-WHITE-6PCS_SP_Exact_PAT_Defensive</t>
  </si>
  <si>
    <t xml:space="preserve">245612168284181</t>
  </si>
  <si>
    <t xml:space="preserve">DBS4-SP-B08KQJ62YC-(PAT)-Targeting-(Defensive)-DO-BAMBOO-KING-CREME</t>
  </si>
  <si>
    <t xml:space="preserve">333865346729447</t>
  </si>
  <si>
    <t xml:space="preserve">DBS4-SP-Bamboo Sheets-(VHSV)-Exact-(Ranking)-DO-BAMBOO-KING-WHITE</t>
  </si>
  <si>
    <t xml:space="preserve">191809923571642</t>
  </si>
  <si>
    <t xml:space="preserve">DBS4-SP-Cooling Sheets-[Cooling]-(VHSV)-Broad-(Ranking)-DO-BAMBOO-KING-WHITE</t>
  </si>
  <si>
    <t xml:space="preserve">1107397301058</t>
  </si>
  <si>
    <t xml:space="preserve">DBS6-SP-AUTO-(PD-LTSF)-Aged Deal SKUs</t>
  </si>
  <si>
    <t xml:space="preserve">121651242312774</t>
  </si>
  <si>
    <t xml:space="preserve">DBS6-SP-Conquest-(PAT)-Targeting-(Conquesting)-FIX-BAMBOO-KING-WHITE-6PCS-TEST</t>
  </si>
  <si>
    <t xml:space="preserve">BAMBOO-KING-WHITE-6PCS-TEST</t>
  </si>
  <si>
    <t xml:space="preserve">510803362556792</t>
  </si>
  <si>
    <t xml:space="preserve">DBS6-SP-Auto-(AUTO)-Auto-(Discovery)-DO-BAMBOO-QUEEN-WHITE-6PCS</t>
  </si>
  <si>
    <t xml:space="preserve">254869041005775</t>
  </si>
  <si>
    <t xml:space="preserve">DBS6-SP-Viscose Bamboo Sheets-[Bamboo]-(LSV)-Exact-(Ranking)-DO-BAMBOO-QUEEN-WHITE-6PCS</t>
  </si>
  <si>
    <t xml:space="preserve">9667625127383</t>
  </si>
  <si>
    <t xml:space="preserve">DBS6-SP-BROAD-(PD-LTSF)</t>
  </si>
  <si>
    <t xml:space="preserve">513623957286497</t>
  </si>
  <si>
    <t xml:space="preserve">DBS6-SP-Bamboo Sheets King-[Bamboo|King]-(MSV)-Exact-(Ranking)-DO-BAMBOO-KING-WHITE-6PCS</t>
  </si>
  <si>
    <t xml:space="preserve">241199145520819</t>
  </si>
  <si>
    <t xml:space="preserve">DBS6-SP-bamboo king size sheets-[Bamboo|King]-(LSV)-Exact-(Ranking)-FIX-BAMBOO-KING-WHITE-6PCS</t>
  </si>
  <si>
    <t xml:space="preserve">Bamboo 4pc, Satin 4pc</t>
  </si>
  <si>
    <t xml:space="preserve">533426117411325</t>
  </si>
  <si>
    <t xml:space="preserve">DBS6-SP-Bamboo Sheets With Corner Straps-(VLSV)-Exact-(Ranking)-DO-BAMBOO-KING-WHITE-6PCS</t>
  </si>
  <si>
    <t xml:space="preserve">202385220762690</t>
  </si>
  <si>
    <t xml:space="preserve">DBS6-SP-Bamboo King Size Sheets Set-[Bamboo|King]-(LSV)-Exact-(Ranking)-DO-BAMBOO-KING-WHITE-6PCS</t>
  </si>
  <si>
    <t xml:space="preserve">431300851562322</t>
  </si>
  <si>
    <t xml:space="preserve">DBS6-SP-King Bed Bamboo Sheets-[Bamboo|King]-(LSV)-Exact-(Ranking)-DO-BAMBOO-KING-WHITE-6PCS</t>
  </si>
  <si>
    <t xml:space="preserve">392665575151100</t>
  </si>
  <si>
    <t xml:space="preserve">DBS6-SP-King Bamboo Sheets-[Bamboo|King]-(MSV)-Exact-(Ranking)-DO-BAMBOO-KING-WHITE-6PCS</t>
  </si>
  <si>
    <t xml:space="preserve">527146846610002</t>
  </si>
  <si>
    <t xml:space="preserve">DBS6-SP-Auto-(AUTO)-Auto-(Discovery)-DO-BAMBOO-KING-TAUPE-6PCS</t>
  </si>
  <si>
    <t xml:space="preserve">383426992646935</t>
  </si>
  <si>
    <t xml:space="preserve">DBS6-SP-B01M16WBW1-(PAT)-Targeting-(Conversion)-DO-BAMBOO-KING-WHITE-6PCS-2</t>
  </si>
  <si>
    <t xml:space="preserve">BAMBOO-KING-WHITE-6PCS-2</t>
  </si>
  <si>
    <t xml:space="preserve">251521788502529</t>
  </si>
  <si>
    <t xml:space="preserve">DBS6-SP-luxury bamboo sheets-[Bamboo]-(LSV)-Exact-(Ranking)-FIX-BAMBOO-KING-WHITE-6PCS</t>
  </si>
  <si>
    <t xml:space="preserve">1303427675670</t>
  </si>
  <si>
    <t xml:space="preserve">DBS6-SP-bamboo king bedding sets-[Bamboo|King]-(LSV)-Exact-(Ranking)-FIX-BAMBOO-KING-WHITE-6PCS</t>
  </si>
  <si>
    <t xml:space="preserve">347045434156993</t>
  </si>
  <si>
    <t xml:space="preserve">DBS6-SP-White Bamboo Sheets King-(VLSV)-Exact-(Ranking)-DO-BAMBOO-KING-WHITE-6PCS</t>
  </si>
  <si>
    <t xml:space="preserve">119663397336558</t>
  </si>
  <si>
    <t xml:space="preserve">DBS6-SP-king sheet set bamboo-[Bamboo|King]-(LSV)-Exact-(Ranking)-FIX-BAMBOO-KING-WHITE-6PCS</t>
  </si>
  <si>
    <t xml:space="preserve">225180165014398</t>
  </si>
  <si>
    <t xml:space="preserve">DBS6-SP-B01M16WBW1-(PAT)-Targeting-(Conversion)-DO-BAMBOO-KING-WHITE-6PCS</t>
  </si>
  <si>
    <t xml:space="preserve">419634737502911</t>
  </si>
  <si>
    <t xml:space="preserve">DBS6-SP-Bamboo King Bed Sheets-[Bamboo|King]-(VLSV)-Exact-(Ranking)-DO-BAMBOO-KING-WHITE-6PCS</t>
  </si>
  <si>
    <t xml:space="preserve">541905359751100</t>
  </si>
  <si>
    <t xml:space="preserve">DBS6-SP-Bamboo Sheets King Size-(HSV)-Exact-(Ranking)-DO-BAMBOO-KING-WHITE-6PCS</t>
  </si>
  <si>
    <t xml:space="preserve">306476588679201</t>
  </si>
  <si>
    <t xml:space="preserve">DBS6-SP-Bamboo Sheets Deep Pockets King Size-(VLSV)-Exact-(Ranking)-DO-BAMBOO-KING-WHITE-6PCS</t>
  </si>
  <si>
    <t xml:space="preserve">535474942363283</t>
  </si>
  <si>
    <t xml:space="preserve">DBS6-SP-Cooling Bedsheets-(VLSV)-Exact-(Ranking)-DO-BAMBOO-KING-WHITE-6PCS</t>
  </si>
  <si>
    <t xml:space="preserve">368342086454131</t>
  </si>
  <si>
    <t xml:space="preserve">DBS6-SP-Decolure-(VLSV)-Broad-(DISC)-DO-BAMBOO-KING-WHITE-6PCS</t>
  </si>
  <si>
    <t xml:space="preserve">353991924713193</t>
  </si>
  <si>
    <t xml:space="preserve">DBS6-SP-Top Rated Bamboo Sheets-(VLSV)-Exact-(Ranking)-DO-BAMBOO-KING-WHITE-6PCS</t>
  </si>
  <si>
    <t xml:space="preserve">155145984330218</t>
  </si>
  <si>
    <t xml:space="preserve">DBS6-SP-B0CQ33H4QW-(PAT)-Targeting-(Conversion)-DO-BAMBOO-KING-WHITE-6PCS</t>
  </si>
  <si>
    <t xml:space="preserve">279051864839728</t>
  </si>
  <si>
    <t xml:space="preserve">DBS6-SP-deep pocket king sheet set bamboo-[Bamboo|King]-(LSV)-Exact-(Ranking)-FIX-BAMBOO-KING-WHITE-6PCS</t>
  </si>
  <si>
    <t xml:space="preserve">26764527985227</t>
  </si>
  <si>
    <t xml:space="preserve">DBS6-SP-bamboo bed-[Bamboo]-(LSV)-Exact-(Ranking)-FIX-BAMBOO-KING-WHITE-6PCS</t>
  </si>
  <si>
    <t xml:space="preserve">379630868482465</t>
  </si>
  <si>
    <t xml:space="preserve">DBS6-SP-B08KQHRDDG-(PAT)-Targeting-(Conversion)-DO-BAMBOO-KING-WHITE-6PCS</t>
  </si>
  <si>
    <t xml:space="preserve">218683011911228</t>
  </si>
  <si>
    <t xml:space="preserve">DBS6-SP-sage green bamboo sheets-[Bamboo]-(LSV)-Exact-(Ranking)-FIX-BAMBOO-KING-SAGE GREEN-6PCS-TAIL-7</t>
  </si>
  <si>
    <t xml:space="preserve">BAMBOO-KING-SAGE GREEN-6PCS-TAIL-7</t>
  </si>
  <si>
    <t xml:space="preserve">116307143071943</t>
  </si>
  <si>
    <t xml:space="preserve">DBS6-SP-bamboo fitted sheet-[Bamboo]-(LSV)-Exact-(Ranking)-FIX-BAMBOO-KING-WHITE-6PCS</t>
  </si>
  <si>
    <t xml:space="preserve">144590692050229</t>
  </si>
  <si>
    <t xml:space="preserve">DBS4-SP-Bamboo Bedding Set-(LSV)-Exact-(Ranking)-FIX-BAMBOO-KING-WHITE-6PCS</t>
  </si>
  <si>
    <t xml:space="preserve">482466705246472</t>
  </si>
  <si>
    <t xml:space="preserve">DBS6-SP-Sheet Set Bamboo-(VLSV)-Exact-(Ranking)-DO-BAMBOO-KING-WHITE-6PCS</t>
  </si>
  <si>
    <t xml:space="preserve">1430681685451</t>
  </si>
  <si>
    <t xml:space="preserve">DBS6-SP-B08KQHRDDG-(PAT)-Targeting-(Conversion)-DO-BAMBOO-KING-WHITE-6PCS-3</t>
  </si>
  <si>
    <t xml:space="preserve">BAMBOO-KING-WHITE-6PCS-3</t>
  </si>
  <si>
    <t xml:space="preserve">362568651961548</t>
  </si>
  <si>
    <t xml:space="preserve">DBS6-SP-Auto-(AUTO)-Auto-(Discovery)-DO-BAMBOO-QUEEN-WHITE-6PCS-2</t>
  </si>
  <si>
    <t xml:space="preserve">BAMBOO-QUEEN-WHITE-6PCS-2</t>
  </si>
  <si>
    <t xml:space="preserve">50256895533723</t>
  </si>
  <si>
    <t xml:space="preserve">DBS6-SP-olive green bamboo sheets-[Bamboo]-(LSV)-Exact-(Ranking)-FIX-BAMBOO-QUEEN-OLIVE-6PCS-TAIL-4</t>
  </si>
  <si>
    <t xml:space="preserve">BAMBOO-QUEEN-OLIVE-6PCS-TAIL-4</t>
  </si>
  <si>
    <t xml:space="preserve">134721185110692</t>
  </si>
  <si>
    <t xml:space="preserve">DBS6-SP-burgundy bamboo sheets-[Bamboo]-(LSV)-Exact-(Ranking)-FIX-BAMBOO-KING-BURGUNDY-6PCS-TAIL-9</t>
  </si>
  <si>
    <t xml:space="preserve">BAMBOO-KING-BURGUNDY-6PCS-TAIL-9</t>
  </si>
  <si>
    <t xml:space="preserve">197669526281714</t>
  </si>
  <si>
    <t xml:space="preserve">DBS6-SP-B0B8JLLT45-(PAT)-Targeting-(Conversion)-DO-BAMBOO-KING-WHITE-6PCS</t>
  </si>
  <si>
    <t xml:space="preserve">533716121437919</t>
  </si>
  <si>
    <t xml:space="preserve">DBS6-SP-B08KQHRDDG-(PAT)-Targeting-(Conversion)-DO-BAMBOO-KING-WHITE-6PCS-2</t>
  </si>
  <si>
    <t xml:space="preserve">204889087783620</t>
  </si>
  <si>
    <t xml:space="preserve">DBS6-SP-bamboo spandex sheets-[Bamboo]-(LSV)-Exact-(Ranking)-FIX-BAMBOO-KING-WHITE-6PCS</t>
  </si>
  <si>
    <t xml:space="preserve">462253690600400</t>
  </si>
  <si>
    <t xml:space="preserve">DBS6-SP-Black Bamboo Sheets-(LSV)-Exact-(Ranking)-DO-BAMBOO-KING-BLACK-6PCS</t>
  </si>
  <si>
    <t xml:space="preserve">BAMBOO-KING-BLACK-6PCS</t>
  </si>
  <si>
    <t xml:space="preserve">175596464561008</t>
  </si>
  <si>
    <t xml:space="preserve">DBS6-SP-bamboo viscose sheets king-[Bamboo|King]-(LSV)-Exact-(Ranking)-FIX-BAMBOO-KING-WHITE-6PCS-TAIL</t>
  </si>
  <si>
    <t xml:space="preserve">BAMBOO-KING-WHITE-6PCS-TAIL</t>
  </si>
  <si>
    <t xml:space="preserve">88477223510958</t>
  </si>
  <si>
    <t xml:space="preserve">DBS6-SP-organic bamboo sheets king-[Bamboo|King]-(LSV)-Exact-(Ranking)-FIX-BAMBOO-KING-WHITE-6PCS</t>
  </si>
  <si>
    <t xml:space="preserve">86445196435995</t>
  </si>
  <si>
    <t xml:space="preserve">DBS6-SP-Twin Size Cooling Sheets-[Cooling|Twin]-(VLSV)-Exact-(Ranking)-DO-BAMBOO-TWIN-WHITE-6PCS</t>
  </si>
  <si>
    <t xml:space="preserve">BAMBOO-TWIN-WHITE-6PCS</t>
  </si>
  <si>
    <t xml:space="preserve">336651778622177</t>
  </si>
  <si>
    <t xml:space="preserve">DBS6-SP-Cali King Bamboo Sheets-(VLSV)-Exact-(Ranking)-DO-BAMBOO-KING-WHITE-6PCS</t>
  </si>
  <si>
    <t xml:space="preserve">425184862920451</t>
  </si>
  <si>
    <t xml:space="preserve">DBS6-SP-King Size Deep Pocket Bamboo Sheets-(VLSV)-Exact-(Ranking)-DO-BAMBOO-KING-WHITE-6PCS</t>
  </si>
  <si>
    <t xml:space="preserve">232044380795319</t>
  </si>
  <si>
    <t xml:space="preserve">DBS6-SP-rayon bamboo sheets-[Bamboo]-(LSV)-Exact-(Ranking)-FIX-BAMBOO-KING-WHITE-6PCS</t>
  </si>
  <si>
    <t xml:space="preserve">153784770307916</t>
  </si>
  <si>
    <t xml:space="preserve">DBS6-SP-rayon from bamboo sheets-[Bamboo]-(LSV)-Exact-(Ranking)-FIX-BAMBOO-KING-WHITE-6PCS</t>
  </si>
  <si>
    <t xml:space="preserve">392130012975535</t>
  </si>
  <si>
    <t xml:space="preserve">DBS6-SP-Bamboo Sheets Queen-[Bamboo|Queen]-(MSV)-Exact-(Ranking)-DO-BAMBOO-QUEEN-WHITE-6PCS</t>
  </si>
  <si>
    <t xml:space="preserve">402706089986099</t>
  </si>
  <si>
    <t xml:space="preserve">DBS6-SP-B09PYB9C45-(PAT)-Targeting-(Conversion)-DO-BAMBOO-KING-WHITE-6PCS-2</t>
  </si>
  <si>
    <t xml:space="preserve">211773624217551</t>
  </si>
  <si>
    <t xml:space="preserve">DBS6-SP-Deep Pocket Cooling Sheets-[Cooling]-(LSV)-Exact-(Ranking)-DO-BAMBOO-QUEEN-WHITE-6PCS</t>
  </si>
  <si>
    <t xml:space="preserve">520122850283150</t>
  </si>
  <si>
    <t xml:space="preserve">DBS6-SP-Decolure Bamboo Sheets-(LSV)-Exact-(Defensive)-DO-BAMBOO-KING-WHITE-6PCS</t>
  </si>
  <si>
    <t xml:space="preserve">86819977221353</t>
  </si>
  <si>
    <t xml:space="preserve">DBS6-SP-B09PYB9C45-(PAT)-Targeting-(Conversion)-DO-BAMBOO-KING-WHITE-6PCS</t>
  </si>
  <si>
    <t xml:space="preserve">198169891468620</t>
  </si>
  <si>
    <t xml:space="preserve">DBS6-SP-bamboo sheets cal king-[Bamboo|California King]-(LSV)-Exact-(Ranking)-FIX-BAMBOO-CALIFKING-WHITE-6PCS</t>
  </si>
  <si>
    <t xml:space="preserve">478262875796652</t>
  </si>
  <si>
    <t xml:space="preserve">DBS6-SP-Bamboo Sheet-(VHSV)-Exact-(Ranking)-DO-BAMBOO-KING-WHITE-6PCS</t>
  </si>
  <si>
    <t xml:space="preserve">345840472037965</t>
  </si>
  <si>
    <t xml:space="preserve">DBS6-SP-Queen Bamboo Sheets-(LSV)-Exact-(Ranking)-DO-BAMBOO-QUEEN-WHITE-6PCS</t>
  </si>
  <si>
    <t xml:space="preserve">219163343895217</t>
  </si>
  <si>
    <t xml:space="preserve">DBS6-SP-bamboo sheets full size set-[Bamboo|Full]-(LSV)-Exact-(Ranking)-FIX-BAMBOO-FULL-WHITE-6PCS-TAIL-5</t>
  </si>
  <si>
    <t xml:space="preserve">BAMBOO-FULL-WHITE-6PCS-TAIL-5</t>
  </si>
  <si>
    <t xml:space="preserve">100258832206742</t>
  </si>
  <si>
    <t xml:space="preserve">DBS6-SP-bamboo sheets king size-[Bamboo|King]-(HSV)-Broad-(DISC)-DO-BAMBOO-KING-WHITE-6PCS</t>
  </si>
  <si>
    <t xml:space="preserve">476538825652636</t>
  </si>
  <si>
    <t xml:space="preserve">DBS6-SP-Auto-(AUTO)-Auto-(Discovery)-DO-BAMBOO-QUEEN-OLIVE-6PCS-2</t>
  </si>
  <si>
    <t xml:space="preserve">BAMBOO-QUEEN-OLIVE-6PCS-2</t>
  </si>
  <si>
    <t xml:space="preserve">562824739344240</t>
  </si>
  <si>
    <t xml:space="preserve">DBS6-SP-Decolure Bamboo Sheets Queen Size-(VLSV)-Exact-(Defensive)-DO-BAMBOO-QUEEN-OLIVE-6PCS</t>
  </si>
  <si>
    <t xml:space="preserve">32930947848456</t>
  </si>
  <si>
    <t xml:space="preserve">DBS6-SP-bamboo sheets queen size-[Bamboo|Queen]-(HSV)-Broad-(DISC)-DO-BAMBOO-QUEEN-WHITE-6PCS</t>
  </si>
  <si>
    <t xml:space="preserve">28289013937211</t>
  </si>
  <si>
    <t xml:space="preserve">DBS6-SP-Sheets Queen Size Bed Set-(VHSV)-Exact-(Conversion)-DO-BAMBOO-QUEEN-WHITE-6PCS</t>
  </si>
  <si>
    <t xml:space="preserve">504037860004352</t>
  </si>
  <si>
    <t xml:space="preserve">D-S4-SP-satin sheets queen-(Satin)-HSV-Exact-Rank-DO-SATIN-WHITE-QUEEN-V2</t>
  </si>
  <si>
    <t xml:space="preserve">SATIN-WHITE-QUEEN-V2</t>
  </si>
  <si>
    <t xml:space="preserve">218935810648861</t>
  </si>
  <si>
    <t xml:space="preserve">DBS4-SP-BROAD-(PD-LTSF)</t>
  </si>
  <si>
    <t xml:space="preserve">527361393975073</t>
  </si>
  <si>
    <t xml:space="preserve">DSS4-SP-Satin Sheets-[Satin]-(HSV)-Exact-(Ranking)-DO-SATIN-QUEEN-BLACK</t>
  </si>
  <si>
    <t xml:space="preserve">Bamboo 4pc, Bamboo 6pc</t>
  </si>
  <si>
    <t xml:space="preserve">512077609025515</t>
  </si>
  <si>
    <t xml:space="preserve">DECOLURE - SATIN 4 - LTSF Campaign</t>
  </si>
  <si>
    <t xml:space="preserve">96870561028328</t>
  </si>
  <si>
    <t xml:space="preserve">DSS4-SP-King Size Silk Sheets-[Silk|King]-(LSV)-Exact-(Ranking)-DO-SATIN-4PC-KING-GREY</t>
  </si>
  <si>
    <t xml:space="preserve">189967409565927</t>
  </si>
  <si>
    <t xml:space="preserve">DSS4-SP-Satin Sheets King Size-[Satin|King]-(LSV)-Exact-(Ranking)-DO-SATIN-4PC-KING-GREY</t>
  </si>
  <si>
    <t xml:space="preserve">100830568607053</t>
  </si>
  <si>
    <t xml:space="preserve">D-S4-SP-silk sheets queen-(Silk)-HSV-Exact-Rank-DO-SATIN-QUEEN-BLACK</t>
  </si>
  <si>
    <t xml:space="preserve">108995710931187</t>
  </si>
  <si>
    <t xml:space="preserve">DSS4-SP-Silk Sheets Twin-[Silk|Twin]-(MSV)-Exact-(Ranking)-DO-SATIN-TWIN-BLACK-NEW</t>
  </si>
  <si>
    <t xml:space="preserve">270922378285651</t>
  </si>
  <si>
    <t xml:space="preserve">DSS4-SP-BROAD-(PD-LTSF)</t>
  </si>
  <si>
    <t xml:space="preserve">152256281509429</t>
  </si>
  <si>
    <t xml:space="preserve">DSS4-SP-Satin Sheets Full-[Satin|Full]-(MSV)-Broad-(Discovery)-DO-SATIN-FULL-GREY</t>
  </si>
  <si>
    <t xml:space="preserve">414850094869263</t>
  </si>
  <si>
    <t xml:space="preserve">DSS4-SP-Auto-(AUTO)-Auto-(Discovery)-DO-SATIN-QUEEN-BLACK</t>
  </si>
  <si>
    <t xml:space="preserve">152213290901148</t>
  </si>
  <si>
    <t xml:space="preserve">DSS4-SP-KEYWORD-GROUP=KEYWORDS RELATED TO YOUR PRODUCT CATEGORY-(PAT)-Targeting-(Conversion)-DO-SATIN-4PCS-FULL-ROSEWOOD</t>
  </si>
  <si>
    <t xml:space="preserve">204281123271494</t>
  </si>
  <si>
    <t xml:space="preserve">DSS4-SP-Satin Full Size Bed Sheets-[Satin|Full]-(LSV)-Exact-(Ranking)-DO-SATIN-FULL-BLACK</t>
  </si>
  <si>
    <t xml:space="preserve">244008066214488</t>
  </si>
  <si>
    <t xml:space="preserve">DSS4-SP-Satin Bed Sheets Full-[Satin|Full]-(LSV)-Exact-(Ranking)-DO-SATIN-FULL-BLACK</t>
  </si>
  <si>
    <t xml:space="preserve">246449445739132</t>
  </si>
  <si>
    <t xml:space="preserve">DSS4-SP-Full Satin Sheets Set-[Satin|Full]-(LSV)-Exact-(Ranking)-DO-SATIN-FULL-BLACK</t>
  </si>
  <si>
    <t xml:space="preserve">82540637405662</t>
  </si>
  <si>
    <t xml:space="preserve">DSS4-SP-Satin Sheets Full Size-[Satin|Full]-(LSV)-Exact-(Ranking)-DO-SATIN-FULL-BLACK</t>
  </si>
  <si>
    <t xml:space="preserve">245425710999426</t>
  </si>
  <si>
    <t xml:space="preserve">DSS4-SP-Queen Satin Sheet Set-[Satin|Queen]-(MSV)-Broad-(Discovery)-DO-SATIN-QUEEN-GREY</t>
  </si>
  <si>
    <t xml:space="preserve">119446025046609</t>
  </si>
  <si>
    <t xml:space="preserve">D-S4-red satin sheets - [Satin] - Exact - Ran - DO - SATIN-4PC-RED-QUEEN</t>
  </si>
  <si>
    <t xml:space="preserve">280056080556526</t>
  </si>
  <si>
    <t xml:space="preserve">DSS4-SP-king size satin sheets set-[Satin|King]-(LSV)-Exact-(Conversion)-DO-SATIN-4PC-KING-GREY-TEST</t>
  </si>
  <si>
    <t xml:space="preserve">SATIN-4PC-KING-GREY-TEST</t>
  </si>
  <si>
    <t xml:space="preserve">171902714860303</t>
  </si>
  <si>
    <t xml:space="preserve">DSS4-SP-King Sheets Silk-[Silk|King]-(LSV)-Exact-(Ranking)-DO-SATIN-4PC-KING-GREY</t>
  </si>
  <si>
    <t xml:space="preserve">459348017927929</t>
  </si>
  <si>
    <t xml:space="preserve">DSS4-SP-Satin Sheets Deep Pocket-[Satin]-(VLSV)-Exact-(Ranking)-DO-SATIN-QUEEN-BLACK</t>
  </si>
  <si>
    <t xml:space="preserve">159484070732130</t>
  </si>
  <si>
    <t xml:space="preserve">DSS4-SP-Black Satin Sheets Full-[Satin|Full]-(LSV)-Exact-(Ranking)-DO-SATIN-FULL-BLACK</t>
  </si>
  <si>
    <t xml:space="preserve">33389871513217</t>
  </si>
  <si>
    <t xml:space="preserve">DSS4-SP-Satin Sheets King-[Satin|King]-(MSV)-Exact-(Ranking)-DO-SATIN-4PC-KING-GREY</t>
  </si>
  <si>
    <t xml:space="preserve">115346154431177</t>
  </si>
  <si>
    <t xml:space="preserve">D-S4-black silk sheets king - [Silk|King] - Exact - Ran - DO - SATIN-KING-BLACK</t>
  </si>
  <si>
    <t xml:space="preserve">59818700734597</t>
  </si>
  <si>
    <t xml:space="preserve">D-S4-satin king sheets set - [Satin|King] - Exact - Ran - DO - SATIN-4PC-KING-GREY</t>
  </si>
  <si>
    <t xml:space="preserve">208595143922254</t>
  </si>
  <si>
    <t xml:space="preserve">DSS4-SP-Auto-(AUTO)-Auto-(Discovery)-DO-SATIN-QUEEN-GREY</t>
  </si>
  <si>
    <t xml:space="preserve">279063293275463</t>
  </si>
  <si>
    <t xml:space="preserve">D-S4-white silk sheets queen - [Silk|Queen] - Exact - Ran - DO - SATIN-WHITE-QUEEN</t>
  </si>
  <si>
    <t xml:space="preserve">156074162580081</t>
  </si>
  <si>
    <t xml:space="preserve">DSS4-SP-Sateen Sheets King Size-[Satin|King]-(LSV)-Exact-(Ranking)-DO-SATIN-4PC-KING-GREY</t>
  </si>
  <si>
    <t xml:space="preserve">173283715685585</t>
  </si>
  <si>
    <t xml:space="preserve">DSS4-SP-Full Silk Bed Sheets-[Silk|Full]-(LSV)-Exact-(Ranking)-DO-SATIN-FULL-BLACK</t>
  </si>
  <si>
    <t xml:space="preserve">144083150047312</t>
  </si>
  <si>
    <t xml:space="preserve">DSS4-SP-satin sheets king deep pocket-[unassigned]-(NOSV)-Exact-(Conversion)-DO-SATIN-4PC-KING-GREY-TEST</t>
  </si>
  <si>
    <t xml:space="preserve">36991466146796</t>
  </si>
  <si>
    <t xml:space="preserve">DSS4-SP-Full Size Bed Sheets Silk-[Silk|Full]-(LSV)-Exact-(Ranking)-DO-SATIN-FULL-BLACK</t>
  </si>
  <si>
    <t xml:space="preserve">323452708337783</t>
  </si>
  <si>
    <t xml:space="preserve">DSS4-SP-Auto-(AUTO)-Auto-(Discovery)-DO-SATIN-QUEEN-BLACK-2</t>
  </si>
  <si>
    <t xml:space="preserve">SATIN-QUEEN-BLACK-2</t>
  </si>
  <si>
    <t xml:space="preserve">217109942552945</t>
  </si>
  <si>
    <t xml:space="preserve">DSS4-SP-Queen Sheets Silk-[Silk|Queen]-(LSV)-Broad-(Discovery)-DO-SATIN-QUEEN-BLACK</t>
  </si>
  <si>
    <t xml:space="preserve">484073051253364</t>
  </si>
  <si>
    <t xml:space="preserve">D-S4-SP-decolure satin sheets-Brand-Agr-Broad-Def-DO-SATIN-QUEEN-BLACK</t>
  </si>
  <si>
    <t xml:space="preserve">199606181244375</t>
  </si>
  <si>
    <t xml:space="preserve">DSS4-SP-Purple Satin Sheets-[Satin]-(LSV)-Exact-(Ranking)-DO-SATIN-QUEEN-PURPLE</t>
  </si>
  <si>
    <t xml:space="preserve">120561743176244</t>
  </si>
  <si>
    <t xml:space="preserve">D-S4-pink satin sheets - [Satin] - Broad - Disc - DO - SATIN-4PCS-FULL-STRIPE-PINK</t>
  </si>
  <si>
    <t xml:space="preserve">SATIN-4PCS-FULL-STRIPE-PINK</t>
  </si>
  <si>
    <t xml:space="preserve">79231677791815</t>
  </si>
  <si>
    <t xml:space="preserve">DSS4-SP-Satin Bed Sheets Queen-[Satin|Queen]-(MSV)-Exact-(Ranking)-DO-SATIN-QUEEN-BLACK</t>
  </si>
  <si>
    <t xml:space="preserve">234075729975572</t>
  </si>
  <si>
    <t xml:space="preserve">DSS4-SP-Black Silk Sheets-[Silk]-(MSV)-Exact-(Ranking)-DO-SATIN-QUEEN-BLACK</t>
  </si>
  <si>
    <t xml:space="preserve">152302990884047</t>
  </si>
  <si>
    <t xml:space="preserve">D-S4-silk queen bed sheets set - [Silk|Queen] - Exact - Ran - DO - SATIN-QUEEN-BLACK</t>
  </si>
  <si>
    <t xml:space="preserve">398108140003951</t>
  </si>
  <si>
    <t xml:space="preserve">DSS4-SP-Decolure-(VLSV)-Exact-(Defensive)-DO-SATIN-QUEEN-BLACK</t>
  </si>
  <si>
    <t xml:space="preserve">134608688897105</t>
  </si>
  <si>
    <t xml:space="preserve">DSS4-SP-Silk Black Sheets-[Silk]-(LSV)-Exact-(Ranking)-DO-SATIN-QUEEN-BLACK</t>
  </si>
  <si>
    <t xml:space="preserve">237149166614031</t>
  </si>
  <si>
    <t xml:space="preserve">SSS4-PHRASE-(satin sheets)-Browse Kws Migr.</t>
  </si>
  <si>
    <t xml:space="preserve">59027451312414</t>
  </si>
  <si>
    <t xml:space="preserve">DSS4-SP-queen satin sheets set-[Satin|Queen]-(NOSV)-Exact-(Conversion)-DO-SATIN-QUEEN-BLACK-TEST</t>
  </si>
  <si>
    <t xml:space="preserve">SATIN-QUEEN-BLACK-TEST</t>
  </si>
  <si>
    <t xml:space="preserve">276983621807441</t>
  </si>
  <si>
    <t xml:space="preserve">DSS4-SP-Twin Silk Sheets-[Silk|Twin]-(LSV)-Exact-(Ranking)-DO-SATIN-TWIN-BLACK-NEW</t>
  </si>
  <si>
    <t xml:space="preserve">167888639670385</t>
  </si>
  <si>
    <t xml:space="preserve">DSS4-SP-Silk Sheets King Size-[Silk|King]-(LSV)-Exact-(Ranking)-DO-SATIN-4PC-KING-GREY</t>
  </si>
  <si>
    <t xml:space="preserve">103662305423437</t>
  </si>
  <si>
    <t xml:space="preserve">DSS4-SP-Satin Sheets Queen-[Satin|Queen]-(LSV)-Broad-(Discovery)-DO-SATIN-QUEEN-BLACK</t>
  </si>
  <si>
    <t xml:space="preserve">194304596900893</t>
  </si>
  <si>
    <t xml:space="preserve">DSS4-SP-red satin sheets king-[Satin|King]-(NOSV)-Exact-(Conversion)-DO-SATIN-4PCS-KING-RED-TEST</t>
  </si>
  <si>
    <t xml:space="preserve">SATIN-4PCS-KING-RED-TEST</t>
  </si>
  <si>
    <t xml:space="preserve">238180925389130</t>
  </si>
  <si>
    <t xml:space="preserve">D-S4-SP-queen size silk sheets-(Silk)-MSV-Exact-Rank-DO-SATIN-QUEEN-BLACK</t>
  </si>
  <si>
    <t xml:space="preserve">46580844907741</t>
  </si>
  <si>
    <t xml:space="preserve">DSS4-SP-satin sheet set queen-[Satin|Queen]-(VLSV)-Exact-(Conversion)-DO-SATIN-QUEEN-BLACK-TEST</t>
  </si>
  <si>
    <t xml:space="preserve">54895613793659</t>
  </si>
  <si>
    <t xml:space="preserve">D-S4-green satin sheets - [Satin] - Exact - Ran - DO - SATIN-4PC-QUEEN-DARK GREEN</t>
  </si>
  <si>
    <t xml:space="preserve">SATIN-4PC-QUEEN-DARK GREEN</t>
  </si>
  <si>
    <t xml:space="preserve">94783726039090</t>
  </si>
  <si>
    <t xml:space="preserve">DSS4-SP-AUTO-(PD-LTSF)-Aged Deal SKUs</t>
  </si>
  <si>
    <t xml:space="preserve">75384181188544</t>
  </si>
  <si>
    <t xml:space="preserve">DSS4-SP-Queen Size Satin Sheets-[Satin|Queen]-(LSV)-Exact-(Ranking)-DO-SATIN-QUEEN-BLACK</t>
  </si>
  <si>
    <t xml:space="preserve">406858750561527</t>
  </si>
  <si>
    <t xml:space="preserve">DSS4-SP-B08HM6WT6X-(PAT)-Targeting-(Conquest)-DO-SATIN-QUEEN-BLACK</t>
  </si>
  <si>
    <t xml:space="preserve">Conquesting</t>
  </si>
  <si>
    <t xml:space="preserve">86566020622084</t>
  </si>
  <si>
    <t xml:space="preserve">DSS4-SP-Black Satin Sheets Queen-[Satin|Queen]-(LSV)-Exact-(Ranking)-DO-SATIN-QUEEN-BLACK</t>
  </si>
  <si>
    <t xml:space="preserve">102524994194293</t>
  </si>
  <si>
    <t xml:space="preserve">DSS4-SP-Full Satin Sheets-[Satin|Full]-(LSV)-Exact-(Ranking)-DO-SATIN-FULL-BLACK</t>
  </si>
  <si>
    <t xml:space="preserve">49674570581247</t>
  </si>
  <si>
    <t xml:space="preserve">DSS4-SP-Queen Size Sheets Silk-[Silk|Queen]-(LSV)-Exact-(Ranking)-DO-SATIN-QUEEN-BLACK</t>
  </si>
  <si>
    <t xml:space="preserve">41799378121169</t>
  </si>
  <si>
    <t xml:space="preserve">DSS4-SP-silk bed sheets king size-[Silk|King]-(VLSV)-Exact-(Conversion)-DO-SATIN-4PC-KING-GREY-TEST</t>
  </si>
  <si>
    <t xml:space="preserve">274778889527487</t>
  </si>
  <si>
    <t xml:space="preserve">DSS4-SP-Queen Size Satin Sheets Set-[Satin|Queen]-(LSV)-Exact-(Ranking)-DO-SATIN-QUEEN-BLACK-2</t>
  </si>
  <si>
    <t xml:space="preserve">181043135198607</t>
  </si>
  <si>
    <t xml:space="preserve">DSS4-SP-Silk Satin Sheets-[Satin]-(LSV)-Exact-(Ranking)-DO-SATIN-QUEEN-BLACK</t>
  </si>
  <si>
    <t xml:space="preserve">195376730173968</t>
  </si>
  <si>
    <t xml:space="preserve">DSS4-SP-Twin Satin Sheets-[Satin|Twin]-(LSV)-Exact-(Ranking)-DO-SATIN-TWIN-BLACK-NEW</t>
  </si>
  <si>
    <t xml:space="preserve">166165612969671</t>
  </si>
  <si>
    <t xml:space="preserve">DSS4-SP-Full Silk Sheets-[Silk|Full]-(LSV)-Exact-(Ranking)-DO-SATIN-FULL-BLACK</t>
  </si>
  <si>
    <t xml:space="preserve">118688193849833</t>
  </si>
  <si>
    <t xml:space="preserve">DSS4-SP-Silk Bed Sheets Full-[Silk|Full]-(MSV)-Exact-(Ranking)-DO-SATIN-FULL-BLACK</t>
  </si>
  <si>
    <t xml:space="preserve">445331298405761</t>
  </si>
  <si>
    <t xml:space="preserve">DSS4-SP-B09G17XZC5-(PAT)-Targeting-(Conquest)-DO-SATIN-QUEEN-GREY</t>
  </si>
  <si>
    <t xml:space="preserve">103102083390917</t>
  </si>
  <si>
    <t xml:space="preserve">DSS4-SP-silk bedsheets full size bed-[Silk|Full]-(LSV)-Exact-(Conversion)-DO-SATIN-FULL-BLACK-TEST</t>
  </si>
  <si>
    <t xml:space="preserve">SATIN-FULL-BLACK-TEST</t>
  </si>
  <si>
    <t xml:space="preserve">119253927903556</t>
  </si>
  <si>
    <t xml:space="preserve">D-S4-SP-gold silk sheets-(Silk)-MSV-Exact-Rank-DO-SATIN-GOLD-QUEEN</t>
  </si>
  <si>
    <t xml:space="preserve">SATIN-GOLD-QUEEN</t>
  </si>
  <si>
    <t xml:space="preserve">53401686626359</t>
  </si>
  <si>
    <t xml:space="preserve">DSS4-SP-Silk Sheets Full-[Silk|Full]-(MSV)-Exact-(Ranking)-DO-SATIN-FULL-BLACK</t>
  </si>
  <si>
    <t xml:space="preserve">34608790713465</t>
  </si>
  <si>
    <t xml:space="preserve">DSS4-SP-Silk Bedsheets-[Silk]-(LSV)-Exact-(Ranking)-DO-SATIN-QUEEN-BLACK</t>
  </si>
  <si>
    <t xml:space="preserve">240944286816337</t>
  </si>
  <si>
    <t xml:space="preserve">DSS4-SP-B08P16XLP2-(PAT)-Targeting-(Conquest)-DO-SATIN-QUEEN-BLACK</t>
  </si>
  <si>
    <t xml:space="preserve">152138103637187</t>
  </si>
  <si>
    <t xml:space="preserve">DSS4-SP-Satin Sheets King-[Satin|King]-(MSV)-Phrase-(Discovery)-DO-SATIN-4PC-KING-GREY</t>
  </si>
  <si>
    <t xml:space="preserve">192099983632467</t>
  </si>
  <si>
    <t xml:space="preserve">D-S4-gold satin sheets - [Satin] - Phrase - Conv - DO - SATIN-STRIPE-TWIN-GOLD</t>
  </si>
  <si>
    <t xml:space="preserve">170402329751715</t>
  </si>
  <si>
    <t xml:space="preserve">DSS4-SP-Satin Bed Sheets Queen-[Satin|Queen]-(MSV)-Broad-(Discovery)-DO-SATIN-QUEEN-GREY</t>
  </si>
  <si>
    <t xml:space="preserve">125893435398877</t>
  </si>
  <si>
    <t xml:space="preserve">DSS4-SP-Silk Satin Sheets-[Satin]-(LSV)-Phrase-(Discovery)-DO-SATIN-QUEEN-GREY</t>
  </si>
  <si>
    <t xml:space="preserve">CA - Day 1 (Oct 6, 2026) campaigns advertising each deal product</t>
  </si>
  <si>
    <t xml:space="preserve">Source: Ecotero Command Center PPC campaigns (campaign totals, CAD). A campaign that advertises several products is listed under each one ("Shared" = Yes); use "Count once" to total without double counting. "SKU in campaign name" is what the name says - names do not always match the ads actually running.</t>
  </si>
  <si>
    <t xml:space="preserve">Spend (CAD)</t>
  </si>
  <si>
    <t xml:space="preserve">CPC (CAD)</t>
  </si>
  <si>
    <t xml:space="preserve">Sales (CAD)</t>
  </si>
  <si>
    <t xml:space="preserve">58846483429019</t>
  </si>
  <si>
    <t xml:space="preserve">DBS4-CA-SP-AUTO-(PD-LTSF)-Aged Deal SKUs</t>
  </si>
  <si>
    <t xml:space="preserve">67523305673170</t>
  </si>
  <si>
    <t xml:space="preserve">DBS4-CA-SP-Auto-(AUTO)-Auto-(Discovery)-DO-BAMBOO-FULL-BLACK</t>
  </si>
  <si>
    <t xml:space="preserve">BAMBOO-FULL-BLACK</t>
  </si>
  <si>
    <t xml:space="preserve">556882202453641</t>
  </si>
  <si>
    <t xml:space="preserve">DECOLURE - All SKU - Prime Campaign - High LTSF Charge</t>
  </si>
  <si>
    <t xml:space="preserve">Satin 4pc, Satin 6pc</t>
  </si>
  <si>
    <t xml:space="preserve">722305506558</t>
  </si>
  <si>
    <t xml:space="preserve">DBS4-CA-SP-BROAD-(PD-LTSF)</t>
  </si>
  <si>
    <t xml:space="preserve">519336685394450</t>
  </si>
  <si>
    <t xml:space="preserve">BAMBOO-QUEEN-TAUPE SP EX - TT - 8124 bamboo sheets ZB</t>
  </si>
  <si>
    <t xml:space="preserve">184314823645958</t>
  </si>
  <si>
    <t xml:space="preserve">DBS4-CA-SP-Decolure Bamboo Sheets-(VLSV)-Exact-(Defensive)-DO-BAMBOO-KING-TAUPE</t>
  </si>
  <si>
    <t xml:space="preserve">420811336431276</t>
  </si>
  <si>
    <t xml:space="preserve">Bamboo 4 Pcs B08KQJMZ8Q - bamboo sheets queen size</t>
  </si>
  <si>
    <t xml:space="preserve">451730563061312</t>
  </si>
  <si>
    <t xml:space="preserve">DBS4-CA-SP-Bamboo Sheets King-[Bamboo|King]-(MSV)-Exact-(Ranking)-DO-BAMBOO-KING-TAUPE</t>
  </si>
  <si>
    <t xml:space="preserve">398348552892938</t>
  </si>
  <si>
    <t xml:space="preserve">BAMBOO-QUEEN-OLIVE SP BR 04102024 Decolure-Branded KW ZB</t>
  </si>
  <si>
    <t xml:space="preserve">376141856045333</t>
  </si>
  <si>
    <t xml:space="preserve">DBS4-CA-SP-Organic Bamboo Sheets-[Bamboo]-(VLSV)-Exact-(Ranking)-DO-BAMBOO-KING-TAUPE</t>
  </si>
  <si>
    <t xml:space="preserve">386318421864974</t>
  </si>
  <si>
    <t xml:space="preserve">DBS4-CA-SP-B08KQJ61T7-(PAT)-Targeting-(Ranking)-DO-BAMBOO-QUEEN-OLIVE</t>
  </si>
  <si>
    <t xml:space="preserve">559320196626290</t>
  </si>
  <si>
    <t xml:space="preserve">DBS4-CA-SP-Bamboo Queen Sheets-[Bamboo|Queen]-(VLSV)-Exact-(Ranking)-DO-BAMBOO-QUEEN-TAUPE</t>
  </si>
  <si>
    <t xml:space="preserve">33369664492843</t>
  </si>
  <si>
    <t xml:space="preserve">BAMBOO-QUEEN-OLIVE SP Exact 092822 High Rel 2 JP</t>
  </si>
  <si>
    <t xml:space="preserve">375066673206911</t>
  </si>
  <si>
    <t xml:space="preserve">Bamboo Sheets 4 Pcs B08KQHRDDG - bamboo king size bed sheets</t>
  </si>
  <si>
    <t xml:space="preserve">231651601426405</t>
  </si>
  <si>
    <t xml:space="preserve">DEAL CAMPAIGN B4-BROAD</t>
  </si>
  <si>
    <t xml:space="preserve">521448945097660</t>
  </si>
  <si>
    <t xml:space="preserve">DBS4-CA-SP-B07X8FPWJH-(PAT)-Targeting-(Conversion)-DO-BAMBOO-QUEEN-OLIVE</t>
  </si>
  <si>
    <t xml:space="preserve">380485763019154</t>
  </si>
  <si>
    <t xml:space="preserve">DBS4-CA-SP-King Size Bed Sheets Cooling-[Cooling|King]-(VLSV)-Exact-(Ranking)-DO-BAMBOO-KING-TAUPE</t>
  </si>
  <si>
    <t xml:space="preserve">459704733500591</t>
  </si>
  <si>
    <t xml:space="preserve">Decolure_Automatic_B4_CA_LTSF_1</t>
  </si>
  <si>
    <t xml:space="preserve">427699350598315</t>
  </si>
  <si>
    <t xml:space="preserve">DECOLURE - Bamboo 4 PCS - B08KQHRDDG - double bed sheets bamboo - Exact</t>
  </si>
  <si>
    <t xml:space="preserve">440404381964351</t>
  </si>
  <si>
    <t xml:space="preserve">BAMBOO-QUEEN-TAUPE SP EX - TT - 8124 queen sheets bamboo ZB</t>
  </si>
  <si>
    <t xml:space="preserve">47529222479606</t>
  </si>
  <si>
    <t xml:space="preserve">DBS4-CA-SP-Queen Bed Sheets Bamboo Cooling-(VLSV)-Exact-(Ranking)-DO-BAMBOO-QUEEN-WHITE</t>
  </si>
  <si>
    <t xml:space="preserve">191172769063677</t>
  </si>
  <si>
    <t xml:space="preserve">DBS4-CA-SP-Bamboo King Size Sheets-[Bamboo|King]-(VLSV)-Exact-(Ranking)-DO-BAMBOO-KING-TAUPE</t>
  </si>
  <si>
    <t xml:space="preserve">562624252747320</t>
  </si>
  <si>
    <t xml:space="preserve">Decolure_Automatic_B4_CA_LTSF_3</t>
  </si>
  <si>
    <t xml:space="preserve">530352029264453</t>
  </si>
  <si>
    <t xml:space="preserve">DBS4-CA-SP-Bamboo Viscose Sheets Queen-[Bamboo|Queen]-(VLSV)-Exact-(Ranking)-DO-BAMBOO-QUEEN-OLIVE</t>
  </si>
  <si>
    <t xml:space="preserve">367014870111009</t>
  </si>
  <si>
    <t xml:space="preserve">Decolure-SP_Exact_PAT_B0D69WR3MW_CA_Bamboo Queen 4 &amp; 6</t>
  </si>
  <si>
    <t xml:space="preserve">467706449994759</t>
  </si>
  <si>
    <t xml:space="preserve">Bamboo Sheets 4 Pcs B08KQHRDDG - king sheets bamboo</t>
  </si>
  <si>
    <t xml:space="preserve">251787466967113</t>
  </si>
  <si>
    <t xml:space="preserve">BAMBOO-QUEEN-OLIVE SP Exact 020823 3 JP</t>
  </si>
  <si>
    <t xml:space="preserve">132147199158670</t>
  </si>
  <si>
    <t xml:space="preserve">BAMBOO-QUEEN-OLIVE SP Exact 022323 STR 12 JP</t>
  </si>
  <si>
    <t xml:space="preserve">555946226950410</t>
  </si>
  <si>
    <t xml:space="preserve">DBS4-CA-SP-Sheets King-(VLSV)-Exact-(Ranking)-DO-BAMBOO-KING-TAUPE</t>
  </si>
  <si>
    <t xml:space="preserve">532495245231724</t>
  </si>
  <si>
    <t xml:space="preserve">DBS4-CA-SP-King Bed Sheets Cooling-[Cooling|King]-(VLSV)-Exact-(Conversion)-DO-BAMBOO-KING-WHITE</t>
  </si>
  <si>
    <t xml:space="preserve">296656623571415</t>
  </si>
  <si>
    <t xml:space="preserve">DBS4-CA-SP-Bamboo Full Sheets-[Bamboo|Full]-(VLSV)-Exact-(Ranking)-DO-BAMBOO-FULL-OLIVE</t>
  </si>
  <si>
    <t xml:space="preserve">401335870451730</t>
  </si>
  <si>
    <t xml:space="preserve">BAMBOO-QUEEN-OLIVE SP EXACT 1424 5 MA</t>
  </si>
  <si>
    <t xml:space="preserve">481721008407608</t>
  </si>
  <si>
    <t xml:space="preserve">Bamboo 4 Pcs B08KQJMZ8Q - drap bambou queen</t>
  </si>
  <si>
    <t xml:space="preserve">184371477344401</t>
  </si>
  <si>
    <t xml:space="preserve">Bamboo Sheets 4 Pcs - B08KQJ3M9N - bed sheets king size - Exact</t>
  </si>
  <si>
    <t xml:space="preserve">416805838954672</t>
  </si>
  <si>
    <t xml:space="preserve">DBS4-CA-SP-King Bamboo Sheets-[Bamboo|King]-(VLSV)-Exact-(Ranking)-DO-BAMBOO-KING-TAUPE</t>
  </si>
  <si>
    <t xml:space="preserve">394924617015340</t>
  </si>
  <si>
    <t xml:space="preserve">Decolure_Automatic_B4_CA_LTSF_2</t>
  </si>
  <si>
    <t xml:space="preserve">84609523123133</t>
  </si>
  <si>
    <t xml:space="preserve">DBS4-CA-SP-california king bamboo sheets-[Bamboo|California King]-(VLSV)-Broad-(DISC)-DO-BAMBOO-CALIFKING-WHITE</t>
  </si>
  <si>
    <t xml:space="preserve">335495821781973</t>
  </si>
  <si>
    <t xml:space="preserve">DBS4-CA-SP-+queen +bed +sheets-(NOSV)-Broad-(Ranking)-DO-BAMBOO-QUEEN-OLIVE</t>
  </si>
  <si>
    <t xml:space="preserve">291506687728421</t>
  </si>
  <si>
    <t xml:space="preserve">Decolure_Automatic_B4_CA_LTSF_4</t>
  </si>
  <si>
    <t xml:space="preserve">433915312721349</t>
  </si>
  <si>
    <t xml:space="preserve">Decolure_Automatic_B4_CA_LTSF_5</t>
  </si>
  <si>
    <t xml:space="preserve">406873592095709</t>
  </si>
  <si>
    <t xml:space="preserve">DBS4-CA-SP-Auto-(AUTO)-Auto-(Discovery)-DO-BAMBOO-QUEEN-OLIVE</t>
  </si>
  <si>
    <t xml:space="preserve">392333172623650</t>
  </si>
  <si>
    <t xml:space="preserve">DBS6-CA-SP-Bamboo Sheets-[Bamboo]-(HSV)-Exact-(Ranking)-DO-BAMBOO-QUEEN-WHITE-6PCS</t>
  </si>
  <si>
    <t xml:space="preserve">161103069385105</t>
  </si>
  <si>
    <t xml:space="preserve">DBS6-CA-SP-BROAD-(PD-LTSF)</t>
  </si>
  <si>
    <t xml:space="preserve">488836883884871</t>
  </si>
  <si>
    <t xml:space="preserve">DBS6-CA-SP-Bamboo Cooling Sheets Queen-[Bamboo|Cooling]-(VLSV)-Exact-(Ranking)-DO-BAMBOO-QUEEN-OLIVE-6PCS</t>
  </si>
  <si>
    <t xml:space="preserve">255614823896883</t>
  </si>
  <si>
    <t xml:space="preserve">DBS6-CA-SP-AUTO-(PD-LTSF)-Aged Deal SKUs</t>
  </si>
  <si>
    <t xml:space="preserve">330297761579189</t>
  </si>
  <si>
    <t xml:space="preserve">DBS6-CA-SP-Cooling Sheets King-[Cooling|King]-(MSV)-Exact-(Ranking)-DO-BAMBOO-KING-TAUPE-6PCS</t>
  </si>
  <si>
    <t xml:space="preserve">533870189147931</t>
  </si>
  <si>
    <t xml:space="preserve">BAMBOO-KING-OLIVE-6PCS SP BR Catch ALL</t>
  </si>
  <si>
    <t xml:space="preserve">BAMBOO-KING-OLIVE-6PCS</t>
  </si>
  <si>
    <t xml:space="preserve">372205280228814</t>
  </si>
  <si>
    <t xml:space="preserve">DBS6-CA-SP-Bamboo Sheet-[Bamboo]-(VLSV)-Broad-(Discovery)-DO-BAMBOO-QUEEN-WHITE-6PCS</t>
  </si>
  <si>
    <t xml:space="preserve">Broad · Exact</t>
  </si>
  <si>
    <t xml:space="preserve">547109180313907</t>
  </si>
  <si>
    <t xml:space="preserve">DBS6-CA-SP-Decolure Bamboo Sheets-(VLSV)-Exact-(Defensive)-DO-BAMBOO-QUEEN-OLIVE-6PCS</t>
  </si>
  <si>
    <t xml:space="preserve">517645806942534</t>
  </si>
  <si>
    <t xml:space="preserve">BAMBOO-FULL-OLIVE-6PCS decolure bamboo sheet SP EX 121024 ZB</t>
  </si>
  <si>
    <t xml:space="preserve">549186897285120</t>
  </si>
  <si>
    <t xml:space="preserve">DBS6-CA-SP-Bamboo Sheets Queen-[Bamboo|Queen]-(MSV)-Exact-(Conversion)-DO-BAMBOO-QUEEN-WHITE-6PCS</t>
  </si>
  <si>
    <t xml:space="preserve">448889457143871</t>
  </si>
  <si>
    <t xml:space="preserve">BAMBOO-KING-OLIVE-6PCS SP EX &amp; BR Catch</t>
  </si>
  <si>
    <t xml:space="preserve">369986076086717</t>
  </si>
  <si>
    <t xml:space="preserve">DBS6-CA-SP-King Size Bed Sheets Bamboo-[Bamboo|King]-(VLSV)-Exact-(Conversion)-DO-BAMBOO-KING-TAUPE-6PCS</t>
  </si>
  <si>
    <t xml:space="preserve">500006300623056</t>
  </si>
  <si>
    <t xml:space="preserve">DBS6-CA-SP-Queen Bed Sheets Cooling-[Cooling|Queen]-(VLSV)-Exact-(Ranking)-DO-BAMBOO-QUEEN-OLIVE-6PCS</t>
  </si>
  <si>
    <t xml:space="preserve">521946881101510</t>
  </si>
  <si>
    <t xml:space="preserve">DBS6-CA-SP-Queen Size Bamboo Sheets Set-[Bamboo|Queen]-(VLSV)-Exact-(Ranking)-DO-BAMBOO-QUEEN-OLIVE-6PCS</t>
  </si>
  <si>
    <t xml:space="preserve">494152600726781</t>
  </si>
  <si>
    <t xml:space="preserve">DBS6-CA-SP-Bamboo Queen Bed Sheets-[Bamboo|Queen]-(VLSV)-Exact-(Ranking)-DO-BAMBOO-QUEEN-OLIVE-6PCS</t>
  </si>
  <si>
    <t xml:space="preserve">295770313945930</t>
  </si>
  <si>
    <t xml:space="preserve">BAMBOO-KING-OLIVE-6PCS SP EX - bamboo sheet set</t>
  </si>
  <si>
    <t xml:space="preserve">386704827901149</t>
  </si>
  <si>
    <t xml:space="preserve">DBS6-CA-SP-Viscose Bamboo Sheets-[Bamboo]-(VLSV)-Exact-(Conversion)-DO-BAMBOO-QUEEN-WHITE-6PCS</t>
  </si>
  <si>
    <t xml:space="preserve">280275907179556</t>
  </si>
  <si>
    <t xml:space="preserve">Bamboo Sheets 6 Pcs - B0CQ32JTTK - california king sheet set - Exact</t>
  </si>
  <si>
    <t xml:space="preserve">552750242622772</t>
  </si>
  <si>
    <t xml:space="preserve">Decolure_Automatic_B6_CA_LTSF_8</t>
  </si>
  <si>
    <t xml:space="preserve">363895062243103</t>
  </si>
  <si>
    <t xml:space="preserve">DBS6-CA-SP-Bamboo Sheets King Size-[Bamboo|King]-(VLSV)-Exact-(Conversion)-DO-BAMBOO-KING-TAUPE-6PCS</t>
  </si>
  <si>
    <t xml:space="preserve">483747899626173</t>
  </si>
  <si>
    <t xml:space="preserve">DBS6-CA-SP-Drap Bambou Queen-(VLSV)-Exact-(Ranking)-DO-BAMBOO-QUEEN-WHITE-6PCS</t>
  </si>
  <si>
    <t xml:space="preserve">321865604245408</t>
  </si>
  <si>
    <t xml:space="preserve">DBS6-CA-SP-Bamboo King Sheet Set-[Bamboo|King]-(VLSV)-Exact-(Ranking)-DO-BAMBOO-KING-TAUPE-6PCS</t>
  </si>
  <si>
    <t xml:space="preserve">397290376478199</t>
  </si>
  <si>
    <t xml:space="preserve">DBS6-CA-SP-King Size Bamboo Sheets-[Bamboo|King]-(VLSV)-Exact-(Conversion)-DO-BAMBOO-KING-TAUPE-6PCS</t>
  </si>
  <si>
    <t xml:space="preserve">300851731388729</t>
  </si>
  <si>
    <t xml:space="preserve">DBS6-CA-SP-Bamboo King Sheets-[Bamboo|King]-(VLSV)-Exact-(Ranking)-DO-BAMBOO-KING-TAUPE-6PCS</t>
  </si>
  <si>
    <t xml:space="preserve">512838724899956</t>
  </si>
  <si>
    <t xml:space="preserve">BAMBOO-FULL-OLIVE-6PCS decolure SP EX 121024 ZB</t>
  </si>
  <si>
    <t xml:space="preserve">433452822955965</t>
  </si>
  <si>
    <t xml:space="preserve">DBS6-CA-SP-Bamboo Fitted Sheet King-(VLSV)-Exact-(Ranking)-DO-BAMBOO-KING-TAUPE-6PCS</t>
  </si>
  <si>
    <t xml:space="preserve">400951995677056</t>
  </si>
  <si>
    <t xml:space="preserve">BAMBOO-QUEEN-SAGE GREEN-6PCS SP BR - Catch All</t>
  </si>
  <si>
    <t xml:space="preserve">462182254773486</t>
  </si>
  <si>
    <t xml:space="preserve">Decolure_Automatic_B6_CA_LTSF_3</t>
  </si>
  <si>
    <t xml:space="preserve">537676926540767</t>
  </si>
  <si>
    <t xml:space="preserve">DBS6-CA-SP-Bamboo Sheets Full-[Bamboo|Full]-(VLSV)-Exact-(Conversion)-DO-BAMBOO-FULL-WHITE-6PCS</t>
  </si>
  <si>
    <t xml:space="preserve">28196451996457</t>
  </si>
  <si>
    <t xml:space="preserve">Bamboo Sheets 6 Pcs - B0CQ2ZWGNQ - bed sheets - Exact</t>
  </si>
  <si>
    <t xml:space="preserve">321155469011808</t>
  </si>
  <si>
    <t xml:space="preserve">DBS6-CA-SP-King Bamboo Sheet Set-[Bamboo|King]-(VLSV)-Exact-(Conversion)-DO-BAMBOO-KING-TAUPE-6PCS</t>
  </si>
  <si>
    <t xml:space="preserve">425453435636627</t>
  </si>
  <si>
    <t xml:space="preserve">DBS6-CA-SP-King Bamboo Sheets-[Bamboo|King]-(VLSV)-Exact-(Conversion)-DO-BAMBOO-KING-TAUPE-6PCS</t>
  </si>
  <si>
    <t xml:space="preserve">343050399498000</t>
  </si>
  <si>
    <t xml:space="preserve">DBS6-CA-SP-King Bed Sheets Bamboo-[Bamboo|King]-(VLSV)-Exact-(Conversion)-DO-BAMBOO-KING-TAUPE-6PCS</t>
  </si>
  <si>
    <t xml:space="preserve">312193550503862</t>
  </si>
  <si>
    <t xml:space="preserve">DBS6-CA-SP-Bamboo Bed Sheets-[Bamboo]-(VLSV)-Exact-(Conversion)-DO-BAMBOO-QUEEN-WHITE-6PCS</t>
  </si>
  <si>
    <t xml:space="preserve">412841891461578</t>
  </si>
  <si>
    <t xml:space="preserve">BAMBOO-QUEEN-WHITE-6PCS SP EX queen bamboo sheets ZB</t>
  </si>
  <si>
    <t xml:space="preserve">441389096470232</t>
  </si>
  <si>
    <t xml:space="preserve">DBS6-CA-SP-B0CQ2ZWGNQ-(PAT)-Targeting-(Defensive)-DO-BAMBOO-FULL-OLIVE-6PCS</t>
  </si>
  <si>
    <t xml:space="preserve">148879938841787</t>
  </si>
  <si>
    <t xml:space="preserve">DBS6-CA-SP-King Sheets Deep Pocket-(MSV)-Exact-(Ranking)-DO-BAMBOO-KING-TAUPE-6PCS</t>
  </si>
  <si>
    <t xml:space="preserve">327019649649414</t>
  </si>
  <si>
    <t xml:space="preserve">DBS6-CA-SP-+bamboo +sheets +king-(NOSV)-Broad-(Ranking)-DO-BAMBOO-KING-TAUPE-6PCS</t>
  </si>
  <si>
    <t xml:space="preserve">Bamboo 4pc, Satin 6pc</t>
  </si>
  <si>
    <t xml:space="preserve">498055566111220</t>
  </si>
  <si>
    <t xml:space="preserve">Decolure_Automatic_S6_CA_LTSF_8</t>
  </si>
  <si>
    <t xml:space="preserve">371412386139385</t>
  </si>
  <si>
    <t xml:space="preserve">DSS4-CA-SP-Auto-(AUTO)-Auto-(Discovery)-DO-SATIN-4PC-QUEEN-LAVENDER</t>
  </si>
  <si>
    <t xml:space="preserve">278575527241723</t>
  </si>
  <si>
    <t xml:space="preserve">Decolure - Satin 4 Pcs - Deal Specific - Broad Catch Alll</t>
  </si>
  <si>
    <t xml:space="preserve">407106337210701</t>
  </si>
  <si>
    <t xml:space="preserve">DSS4-CA-SP-Satin Sheets-[Satin]-(LSV)-Exact-(Ranking)-DO-SATIN-QUEEN-GREY</t>
  </si>
  <si>
    <t xml:space="preserve">25354163122093</t>
  </si>
  <si>
    <t xml:space="preserve">DSS4-CA-SP-Auto-(AUTO)-Auto-(Discovery)-DO-SATIN-FULL-PINK</t>
  </si>
  <si>
    <t xml:space="preserve">275284251040088</t>
  </si>
  <si>
    <t xml:space="preserve">DSS4-CA-SP-Queen Silk Sheets-[Silk|Queen]-(NOSV)-Exact-(Ranking)-DO-SATIN-QUEEN-GREY</t>
  </si>
  <si>
    <t xml:space="preserve">204071000448640</t>
  </si>
  <si>
    <t xml:space="preserve">DSS4-CA-SP-Satin Sheet-[Satin]-(NOSV)-Broad-(Discovery)-DO-SATIN-QUEEN-GREY</t>
  </si>
  <si>
    <t xml:space="preserve">536006927098485</t>
  </si>
  <si>
    <t xml:space="preserve">SATIN-QUEEN-GREY SP BR 04102024 Decolure-Branded KW ZB</t>
  </si>
  <si>
    <t xml:space="preserve">191957439751261</t>
  </si>
  <si>
    <t xml:space="preserve">SATIN-QUEEN-GREY SP Prod 092022 Tough competitor JP</t>
  </si>
  <si>
    <t xml:space="preserve">510191282535504</t>
  </si>
  <si>
    <t xml:space="preserve">SATIN-QUEEN-GREY SP AUTO SC 04112024 ZB</t>
  </si>
  <si>
    <t xml:space="preserve">47885105467399</t>
  </si>
  <si>
    <t xml:space="preserve">DSS4-CA-SP-satin sheet set-[Satin]-(NOSV)-Exact-(Conversion)-DO-SATIN-KING-BLACK-TEST</t>
  </si>
  <si>
    <t xml:space="preserve">SATIN-KING-BLACK-TEST</t>
  </si>
  <si>
    <t xml:space="preserve">45959642891442</t>
  </si>
  <si>
    <t xml:space="preserve">DSS4-CA-SP-Satin Sheet Double Bed-(NOSV)-Exact-(Ranking)-DO-SATIN-FULL-BLUSH PINK</t>
  </si>
  <si>
    <t xml:space="preserve">218713956714151</t>
  </si>
  <si>
    <t xml:space="preserve">DSS4-CA-SP-sheets-[unassigned]-(MSV)-Exact-(Conversion)-DO-SATIN-QUEEN-GREY-TEST</t>
  </si>
  <si>
    <t xml:space="preserve">SATIN-QUEEN-GREY-TEST</t>
  </si>
  <si>
    <t xml:space="preserve">74876011502861</t>
  </si>
  <si>
    <t xml:space="preserve">SATIN-GOLD-FULL SP Exact 081922 High Rel 13 JP</t>
  </si>
  <si>
    <t xml:space="preserve">SATIN-GOLD-FULL</t>
  </si>
  <si>
    <t xml:space="preserve">110811318222779</t>
  </si>
  <si>
    <t xml:space="preserve">DSS4-CA-SP-satin bed sheets-[Satin]-(VLSV)-Exact-(Conversion)-DO-SATIN-KING-BLACK-TEST</t>
  </si>
  <si>
    <t xml:space="preserve">59092921907123</t>
  </si>
  <si>
    <t xml:space="preserve">DSS4-CA-SP-Silk Sheet-[Silk]-(NOSV)-Phrase-(Discovery)-DO-SATIN-QUEEN-GREY</t>
  </si>
  <si>
    <t xml:space="preserve">479600440216523</t>
  </si>
  <si>
    <t xml:space="preserve">Decolure_Automatic_S4_CA_LTSF_7</t>
  </si>
  <si>
    <t xml:space="preserve">248304225563794</t>
  </si>
  <si>
    <t xml:space="preserve">DSS4-CA-SP-Silk Sheets Sets-(NOSV)-Exact-(Ranking)-DO-SATIN-QUEEN-GREY</t>
  </si>
  <si>
    <t xml:space="preserve">297093967991103</t>
  </si>
  <si>
    <t xml:space="preserve">DSS4-CA-SP-Satin Bed Sheets King-[Satin|King]-(NOSV)-Exact-(Ranking)-DO-SATIN-KING-BLACK</t>
  </si>
  <si>
    <t xml:space="preserve">373930642750601</t>
  </si>
  <si>
    <t xml:space="preserve">Satin Sheets 4 Pieces B0839LD2WQ - king size bed sheets silk</t>
  </si>
  <si>
    <t xml:space="preserve">271145467868131</t>
  </si>
  <si>
    <t xml:space="preserve">DSS4-CA-SP-Pink Satin Sheets-[Satin]-(NOSV)-Exact-(Ranking)-DO-SATIN-QUEEN-PINK</t>
  </si>
  <si>
    <t xml:space="preserve">88616211742022</t>
  </si>
  <si>
    <t xml:space="preserve">DSS4-CA-SP-Satin Sheets Queen Size-[Satin|Queen]-(NOSV)-Exact-(Ranking)-DO-SATIN-QUEEN-GREY</t>
  </si>
  <si>
    <t xml:space="preserve">198385860729982</t>
  </si>
  <si>
    <t xml:space="preserve">DSS4-CA-SP-Pink Silk Sheets Queen-[Silk|Queen]-(NOSV)-Exact-(Ranking)-DO-SATIN-QUEEN-PINK</t>
  </si>
  <si>
    <t xml:space="preserve">104837170920826</t>
  </si>
  <si>
    <t xml:space="preserve">DSS4-CA-SP-AUTO-(PD-LTSF)-Aged Deal SKUs</t>
  </si>
  <si>
    <t xml:space="preserve">118371645059933</t>
  </si>
  <si>
    <t xml:space="preserve">DSS4-CA-SP-Queen Satin Sheets-[Satin|Queen]-(NOSV)-Exact-(Ranking)-DO-SATIN-QUEEN-GREY</t>
  </si>
  <si>
    <t xml:space="preserve">267946406827772</t>
  </si>
  <si>
    <t xml:space="preserve">DSS4-CA-SP-Silk King Size Bed Sheets-(NOSV)-Exact-(Ranking)-DO-SATIN-KING-BLACK</t>
  </si>
  <si>
    <t xml:space="preserve">38005704095628</t>
  </si>
  <si>
    <t xml:space="preserve">DSS4-CA-SP-Black Satin Sheets King-[Satin|King]-(NOSV)-Exact-(Ranking)-DO-SATIN-4PC-KING-GREY</t>
  </si>
  <si>
    <t xml:space="preserve">524940404358085</t>
  </si>
  <si>
    <t xml:space="preserve">DSS4-CA-SP-Queen Sheets Set Silk-(NOSV)-Exact-(Ranking)-DO-SATIN-QUEEN-GREY</t>
  </si>
  <si>
    <t xml:space="preserve">228725844839043</t>
  </si>
  <si>
    <t xml:space="preserve">DSS4-CA-SP-Silk Sheet Set Full-[Silk|Full]-(NOSV)-Exact-(Ranking)-DO-SATIN-FULL-BLUSH PINK</t>
  </si>
  <si>
    <t xml:space="preserve">162039924550894</t>
  </si>
  <si>
    <t xml:space="preserve">DSS4-CA-SP-Satin Sheets Queen-[Satin|Queen]-(VLSV)-Exact-(Ranking)-DO-SATIN-QUEEN-GREY</t>
  </si>
  <si>
    <t xml:space="preserve">232248015668615</t>
  </si>
  <si>
    <t xml:space="preserve">DSS4-CA-SP-BROAD-(PD-LTSF)</t>
  </si>
  <si>
    <t xml:space="preserve">351898848635003</t>
  </si>
  <si>
    <t xml:space="preserve">DSS4-CA-SP-Deep Queen Sheet Set-(NOSV)-Exact-(Ranking)-DO-SATIN-QUEEN-GREY</t>
  </si>
  <si>
    <t xml:space="preserve">81846263840893</t>
  </si>
  <si>
    <t xml:space="preserve">DSS4-CA-SP-satin bed sheets queen-[Satin|Queen]-(VLSV)-Exact-(Conversion)-DO-SATIN-QUEEN-GREY-TEST</t>
  </si>
  <si>
    <t xml:space="preserve">223530203156046</t>
  </si>
  <si>
    <t xml:space="preserve">DSS4-CA-SP-silk double bed sheets-[unassigned]-(NOSV)-Exact-(Conversion)-DO-SATIN-FULL-BLACK-TEST</t>
  </si>
  <si>
    <t xml:space="preserve">224436912567900</t>
  </si>
  <si>
    <t xml:space="preserve">DSS4-CA-SP-Auto-(AUTO)-Auto-(Discovery)-DO-SATIN-QUEEN-GREY</t>
  </si>
  <si>
    <t xml:space="preserve">185090088184669</t>
  </si>
  <si>
    <t xml:space="preserve">DSS4-CA-SP-Double Satin Sheets-(NOSV)-Exact-(Conversion)-DO-SATIN-FULL-BLACK</t>
  </si>
  <si>
    <t xml:space="preserve">487684108513625</t>
  </si>
  <si>
    <t xml:space="preserve">DSS4-CA-SP-King Size Bed Sheets Deep Pocket-(VLSV)-Exact-(Ranking)-DO-SATIN-KING-BLACK</t>
  </si>
  <si>
    <t xml:space="preserve">445023565147994</t>
  </si>
  <si>
    <t xml:space="preserve">DSS4-CA-SP-Black Queen Bed Sheets-(NOSV)-Exact-(Ranking)-DO-SATIN-QUEEN-BLACK</t>
  </si>
  <si>
    <t xml:space="preserve">288529128953591</t>
  </si>
  <si>
    <t xml:space="preserve">Decolure_Automatic_S4_CA_LTSF_3</t>
  </si>
  <si>
    <t xml:space="preserve">539357346141805</t>
  </si>
  <si>
    <t xml:space="preserve">Decolure_Automatic_S4_CA_LTSF_1</t>
  </si>
  <si>
    <t xml:space="preserve">430281458579033</t>
  </si>
  <si>
    <t xml:space="preserve">DSS6-CA-SP-Satin Sheets-[Satin]-(LSV)-Exact-(Ranking)-DO-SATIN-QUEEN-BLACK-6-PCS</t>
  </si>
  <si>
    <t xml:space="preserve">62438660866279</t>
  </si>
  <si>
    <t xml:space="preserve">DSS6-CA-SP-satin sheets-[Satin]-(LSV)-Broad-(DISC)-DO-SATIN-QUEEN-BLACK-6-PCS</t>
  </si>
  <si>
    <t xml:space="preserve">267571686867721</t>
  </si>
  <si>
    <t xml:space="preserve">DSS6-CA-SP-AUTO-(PD-LTSF)-Aged Deal SKUs</t>
  </si>
  <si>
    <t xml:space="preserve">231283432284094</t>
  </si>
  <si>
    <t xml:space="preserve">DSS6-CA-SP-BROAD-(PD-LTSF)</t>
  </si>
  <si>
    <t xml:space="preserve">296849548675425</t>
  </si>
  <si>
    <t xml:space="preserve">DSS6-CA-SP-Satin Sheets King-[Satin|King]-(NOSV)-Exact-(Conversion)-DO-SATIN-STRIPE-KING-GRAY--6-PCS</t>
  </si>
  <si>
    <t xml:space="preserve">92085512881415</t>
  </si>
  <si>
    <t xml:space="preserve">DSS6-CA-SP-satin sheets queen-[Satin|Queen]-(VLSV)-Broad-(DISC)-DO-SATIN-QUEEN-BLACK-6-PCS</t>
  </si>
  <si>
    <t xml:space="preserve">453358455932880</t>
  </si>
  <si>
    <t xml:space="preserve">Decolure_Automatic_S6_CA_LTSF_1</t>
  </si>
  <si>
    <t xml:space="preserve">429770366751956</t>
  </si>
  <si>
    <t xml:space="preserve">DSS6-CA-SP-King Size Satin Sheets-[Satin|King]-(NOSV)-Exact-(Conversion)-DO-SATIN-STRIPE-KING-GRAY--6-PCS</t>
  </si>
  <si>
    <t xml:space="preserve">480168508097656</t>
  </si>
  <si>
    <t xml:space="preserve">DSS6-CA-SP-Satin Sheets-[Satin]-(LSV)-Exact-(Conversion)-DO-SATIN-STONEGREY-QUEEN-6PCS</t>
  </si>
  <si>
    <t xml:space="preserve">495221973635223</t>
  </si>
  <si>
    <t xml:space="preserve">DSS6-CA-SP-Queen Silk Sheets-[Silk|Queen]-(NOSV)-Exact-(Ranking)-DO-SATIN-QUEEN-BLACK-6-PCS</t>
  </si>
  <si>
    <t xml:space="preserve">277801828874037</t>
  </si>
  <si>
    <t xml:space="preserve">DSS6-CA-SP-silk sheet-[Silk]-(NOSV)-Exact-(Conversion)-DO-SATIN-QUEEN-BLACK-6-PCS-TEST</t>
  </si>
  <si>
    <t xml:space="preserve">SATIN-QUEEN-BLACK-6-PCS-TEST</t>
  </si>
  <si>
    <t xml:space="preserve">373593677422184</t>
  </si>
  <si>
    <t xml:space="preserve">DECOLURE_Manual_S6 _satin sheets king_BM</t>
  </si>
  <si>
    <t xml:space="preserve">383080065565490</t>
  </si>
  <si>
    <t xml:space="preserve">DSS6-CA-SP-King Size Bed Sheets Silk-[Silk|King]-(NOSV)-Exact-(Conversion)-DO-SATIN-STRIPE-KING-GRAY--6-PCS</t>
  </si>
  <si>
    <t xml:space="preserve">414411065467316</t>
  </si>
  <si>
    <t xml:space="preserve">DSS6-CA-SP-King Cooling Sheets-(NOSV)-Exact-(Ranking)-DO-SATIN-STRIPE-KING-GRAY--6-PCS</t>
  </si>
  <si>
    <t xml:space="preserve">441705068264067</t>
  </si>
  <si>
    <t xml:space="preserve">DSS6-CA-SP-King Size Silk Sheet Set-(NOSV)-Exact-(Ranking)-DO-SATIN-STRIPE-KING-GRAY--6-PCS</t>
  </si>
  <si>
    <t xml:space="preserve">354111041406787</t>
  </si>
  <si>
    <t xml:space="preserve">DECOLURE_Manual_S6 _silk sheets king_BM</t>
  </si>
  <si>
    <t xml:space="preserve">370507201021645</t>
  </si>
  <si>
    <t xml:space="preserve">Decolure_Automatic_S6_CA_LTSF_2</t>
  </si>
  <si>
    <t xml:space="preserve">414172343936588</t>
  </si>
  <si>
    <t xml:space="preserve">DSS6-CA-SP-King Satin Sheet Set-(NOSV)-Exact-(Conversion)-DO-SATIN-STRIPE-KING-GRAY--6-PCS</t>
  </si>
  <si>
    <t xml:space="preserve">494240982910997</t>
  </si>
  <si>
    <t xml:space="preserve">DSS6-CA-SP-Queen Bedsheet Sets-(NOSV)-Exact-(Ranking)-DO-SATIN-QUEEN-BLACK-6-PCS</t>
  </si>
  <si>
    <t xml:space="preserve">530488477665591</t>
  </si>
  <si>
    <t xml:space="preserve">DSS6-CA-SP-Drap Contour King-(VLSV)-Exact-(Ranking)-DO-SATIN-STRIPE-KING-GRAY--6-PCS</t>
  </si>
  <si>
    <t xml:space="preserve">278671111021006</t>
  </si>
  <si>
    <t xml:space="preserve">DSS6-CA-SP-silky sheets-[Silk]-(NOSV)-Exact-(Conversion)-DO-SATIN-QUEEN-BLACK-6-PCS-TEST</t>
  </si>
  <si>
    <t xml:space="preserve">490713015814110</t>
  </si>
  <si>
    <t xml:space="preserve">DSS6-CA-SP-King Bedsheet Sets-(NOSV)-Exact-(Ranking)-DO-SATIN-STRIPE-KING-GRAY--6-PCS</t>
  </si>
  <si>
    <t xml:space="preserve">483372698329865</t>
  </si>
  <si>
    <t xml:space="preserve">Decolure_Automatic_S6_CA_LTSF_3</t>
  </si>
  <si>
    <t xml:space="preserve">326792020803527</t>
  </si>
  <si>
    <t xml:space="preserve">DSS6-CA-SP-B0839LQK8K-(PAT)-Targeting-(Defensive)-DO-SATIN-IVORY-QUEEN-6PCS</t>
  </si>
  <si>
    <t xml:space="preserve">SATIN-IVORY-QUEEN-6PCS</t>
  </si>
  <si>
    <t xml:space="preserve">439538313916439</t>
  </si>
  <si>
    <t xml:space="preserve">DSS6-CA-SP-Satin Bed Sheets Double-(NOSV)-Exact-(Ranking)-DO-SATIN-FULL-BLACK-6PCS</t>
  </si>
  <si>
    <t xml:space="preserve">435902638663065</t>
  </si>
  <si>
    <t xml:space="preserve">Decolure_Automatic_S6_CA_LTSF_4</t>
  </si>
  <si>
    <t xml:space="preserve">520928700342895</t>
  </si>
  <si>
    <t xml:space="preserve">Decolure_Automatic_S6_CA_LTSF_6</t>
  </si>
  <si>
    <t xml:space="preserve">US - which campaigns carry the biggest non-hero SKUs (Day 1)</t>
  </si>
  <si>
    <t xml:space="preserve">Source: Sellerboard PPC, campaigns filtered by SKU text (substring search, so a 4pc search also matches the 6pc SKU of the same colour). Spend shown is the campaign total, not the SKU's share.</t>
  </si>
  <si>
    <t xml:space="preserve">Non-hero SKU</t>
  </si>
  <si>
    <t xml:space="preserve">SKU SP spend (USD)</t>
  </si>
  <si>
    <t xml:space="preserve">Campaign carrying it</t>
  </si>
  <si>
    <t xml:space="preserve">Campaign type</t>
  </si>
  <si>
    <t xml:space="preserve">Campaign spend (USD)</t>
  </si>
  <si>
    <t xml:space="preserve">CPC</t>
  </si>
  <si>
    <t xml:space="preserve">Comment</t>
  </si>
  <si>
    <t xml:space="preserve">Auto (multi-colour)</t>
  </si>
  <si>
    <t xml:space="preserve">Only campaign carrying this SKU. 167% of $200 budget used, est. -$153.72.</t>
  </si>
  <si>
    <t xml:space="preserve">Intended (aged stock).</t>
  </si>
  <si>
    <t xml:space="preserve">Named Queen White but also carries Olive. 1 order, est. -$73.32.</t>
  </si>
  <si>
    <t xml:space="preserve">Ranking exact named Queen White but carries Olive too.</t>
  </si>
  <si>
    <t xml:space="preserve">Ranking (colour keyword)</t>
  </si>
  <si>
    <t xml:space="preserve">Colour keyword - Olive is correct here.</t>
  </si>
  <si>
    <t xml:space="preserve">Match is the 6pc Full Olive.</t>
  </si>
  <si>
    <t xml:space="preserve">0 orders.</t>
  </si>
  <si>
    <t xml:space="preserve">Named Full White but carries Full Olive.</t>
  </si>
  <si>
    <t xml:space="preserve">Product targeting (defensive)</t>
  </si>
  <si>
    <t xml:space="preserve">Colour keyword.</t>
  </si>
  <si>
    <t xml:space="preserve">Same loss-making auto.</t>
  </si>
  <si>
    <t xml:space="preserve">$5 budget, 267% used.</t>
  </si>
  <si>
    <t xml:space="preserve">$5 budget, 202% used, 0 orders.</t>
  </si>
  <si>
    <t xml:space="preserve">$5 budget, 191% used, 0 orders.</t>
  </si>
  <si>
    <t xml:space="preserve">$5 budget, 143% used, 0 orders.</t>
  </si>
  <si>
    <t xml:space="preserve">BAMBOO-named LTSF broad carrying Satin SKUs. Est. -$203.80.</t>
  </si>
  <si>
    <t xml:space="preserve">121% of budget.</t>
  </si>
  <si>
    <t xml:space="preserve">7 more King Grey exacts (Sateen/Satin/Silk king terms)</t>
  </si>
  <si>
    <t xml:space="preserve">Ranking / Conversion</t>
  </si>
  <si>
    <t xml:space="preserve">Small campaigns, $0.83-$5.20 each.</t>
  </si>
  <si>
    <t xml:space="preserve">Issues to check / actions</t>
  </si>
  <si>
    <t xml:space="preserve">#</t>
  </si>
  <si>
    <t xml:space="preserve">Market</t>
  </si>
  <si>
    <t xml:space="preserve">Issue</t>
  </si>
  <si>
    <t xml:space="preserve">Campaign / ID</t>
  </si>
  <si>
    <t xml:space="preserve">Day 1 numbers</t>
  </si>
  <si>
    <t xml:space="preserve">Suggested action</t>
  </si>
  <si>
    <t xml:space="preserve">Owner</t>
  </si>
  <si>
    <t xml:space="preserve">Status</t>
  </si>
  <si>
    <t xml:space="preserve">US</t>
  </si>
  <si>
    <t xml:space="preserve">Bamboo 4pc LTSF broad is advertising Satin 4pc SKUs, so Bamboo 4pc has no LTSF broad and Satin has two.</t>
  </si>
  <si>
    <t xml:space="preserve">DBS4-SP-BROAD-(PD-LTSF) - 218935810648861</t>
  </si>
  <si>
    <t xml:space="preserve">$151.25 spend, 125 clicks, 14 orders, 34.3% ACoS, est. -$203.80 (Sellerboard). Carries SATIN-4PC-KING-GREY.</t>
  </si>
  <si>
    <t xml:space="preserve">Open the campaign in console and check product ads. Swap to Bamboo 4pc aged SKUs or rename and keep as a Satin campaign.</t>
  </si>
  <si>
    <t xml:space="preserve">Open</t>
  </si>
  <si>
    <t xml:space="preserve">Multi-colour discovery auto at very high CPC - biggest non-hero leak outside LTSF.</t>
  </si>
  <si>
    <t xml:space="preserve">DBS4-SP-Auto-(AUTO)-Auto-(Discovery)-DO-BAMBOO-FULL-GREY - 310976801193815</t>
  </si>
  <si>
    <t xml:space="preserve">$333.83, CPC $3.97, 52.8% ACoS, 167% of $200 budget, est. -$153.72. Carries Queen Midgrey, Twin Navy and others.</t>
  </si>
  <si>
    <t xml:space="preserve">Confirm the Day 2 hero-colour pause covered this campaign; keep only hero ads per size; check top-of-search modifier.</t>
  </si>
  <si>
    <t xml:space="preserve">Queen White 6pc auto carrying Olive at $4.65 CPC.</t>
  </si>
  <si>
    <t xml:space="preserve">DBS6-SP-Auto-(AUTO)-Auto-(Discovery)-DO-BAMBOO-QUEEN-WHITE-6PCS - 510803362556792</t>
  </si>
  <si>
    <t xml:space="preserve">$93.08, 20 clicks, 1 order, 146% ACoS, est. -$73.32.</t>
  </si>
  <si>
    <t xml:space="preserve">Pause non-hero ads in this auto; review bids/placements.</t>
  </si>
  <si>
    <t xml:space="preserve">Twin ranking exacts built on Twin Burgundy with $5 budgets running far over budget at $5-10 CPC.</t>
  </si>
  <si>
    <t xml:space="preserve">DBS4 Twin exacts (-DO-BAMBOO-TWIN-BURGUNDY-NEW)</t>
  </si>
  <si>
    <t xml:space="preserve">~$58 across 7 campaigns, 140-270% budget utilisation, mostly 0 orders.</t>
  </si>
  <si>
    <t xml:space="preserve">Decide the Twin preferred colour on CTR (Erik) and align all Twin exacts to it.</t>
  </si>
  <si>
    <t xml:space="preserve">King satin keywords run on King Grey rather than Black.</t>
  </si>
  <si>
    <t xml:space="preserve">DSS4 King exacts (-DO-SATIN-4PC-KING-GREY)</t>
  </si>
  <si>
    <t xml:space="preserve">~$85 across king ranking/test exacts; King Grey SKU total $126.20 incl. LTSF broad.</t>
  </si>
  <si>
    <t xml:space="preserve">Confirm King Grey is the intended King variation; test Black vs Grey on CTR.</t>
  </si>
  <si>
    <t xml:space="preserve">CA</t>
  </si>
  <si>
    <t xml:space="preserve">Bamboo 4pc puts ~2% of spend on White - campaigns are built on Taupe / Olive.</t>
  </si>
  <si>
    <t xml:space="preserve">DBS4-CA ranking + defensive campaigns (-DO-BAMBOO-KING-TAUPE / QUEEN-OLIVE)</t>
  </si>
  <si>
    <t xml:space="preserve">See Summary - CA block.</t>
  </si>
  <si>
    <t xml:space="preserve">Confirm CA preferred colours for Bamboo 4pc with Joseph/Erik; if White is preferred, re-point ads.</t>
  </si>
  <si>
    <t xml:space="preserve">Satin 4pc puts ~16% of spend on Black - ranking built on Queen Grey.</t>
  </si>
  <si>
    <t xml:space="preserve">DSS4-CA ranking campaigns (-DO-SATIN-QUEEN-GREY)</t>
  </si>
  <si>
    <t xml:space="preserve">Confirm CA preferred colour for Satin 4pc.</t>
  </si>
  <si>
    <t xml:space="preserve">Queen Lavender discovery auto losing money.</t>
  </si>
  <si>
    <t xml:space="preserve">DSS4-CA-SP-Auto-(AUTO)-Auto-(Discovery)-DO-SATIN-4PC-QUEEN-LAVENDER - 371412386139385</t>
  </si>
  <si>
    <t xml:space="preserve">C$73.31, 51 clicks, 1 order, 179.7% ACoS.</t>
  </si>
  <si>
    <t xml:space="preserve">Pause or cut bids; move budget to hero.</t>
  </si>
  <si>
    <t xml:space="preserve">Abnormal CTR on Bamboo 6pc Olive exacts - possible invalid clicks.</t>
  </si>
  <si>
    <t xml:space="preserve">DBS6-CA exacts on QUEEN-OLIVE-6PCS: "bamboo cooling sheets queen" (488836883884871), "queen bed sheets cooling", "queen size bamboo sheets set", "bamboo queen bed sheets"</t>
  </si>
  <si>
    <t xml:space="preserve">116 imp/69 clicks, 18/16, 25/17, 48/17 - CTR 35-89%. ~C$65 spend, 1 order.</t>
  </si>
  <si>
    <t xml:space="preserve">Check search-term report; if clicks look invalid, pause and raise with Amazon Ads support for invalid-click credit.</t>
  </si>
  <si>
    <t xml:space="preserve">Owner and Status columns (yellow) are for the team to fill in.</t>
  </si>
  <si>
    <t xml:space="preserve">Method and caveats</t>
  </si>
  <si>
    <t xml:space="preserve">Window: Oct 6, 2026 (Prime Big Deal Days, Day 1), whole UTC day as returned by Sellerboard and Ecotero.</t>
  </si>
  <si>
    <t xml:space="preserve">Spend by variation: Sellerboard (Ecotero account) per-SKU Sponsored Products spend. Coverage: US 98.7% of account SP spend; remaining SKUs under $1.44 each. Product totals match Ecotero within 1.5%.</t>
  </si>
  <si>
    <t xml:space="preserve">Hero definition: White for Bamboo 4pc/6pc, Black for Satin 4pc/6pc (per Joseph's Day 1 variation note). Canada preferred colours are not confirmed - see Issues_To_Check.</t>
  </si>
  <si>
    <t xml:space="preserve">LTSF spend: Ecotero campaign data - campaigns whose name contains LTSF / Clearance / AGED or whose objective is Liquidation. Includes older LTSF campaigns, not only the 16 PD-LTSF campaigns, so it is higher than the portfolio figure posted in Slack ($1,086 US).</t>
  </si>
  <si>
    <t xml:space="preserve">Campaign spend is the campaign total. A campaign that advertises several products is listed under each one; the Summary separates "this product only" from "shared" LTSF spend and shows a low/high range.</t>
  </si>
  <si>
    <t xml:space="preserve">"SKU in campaign name" comes from the naming convention. Several campaigns carry SKUs other than the one in their name (e.g. the FULL-GREY auto), so treat it as a label, not the ad list.</t>
  </si>
  <si>
    <t xml:space="preserve">Not included: CTR by colour. The tools used here do not expose advertised-product (ad-level) impressions/clicks, so Erik's CTR-first rule cannot be tested directly from this file. A fair test = same keyword and placement, colour swapped.</t>
  </si>
  <si>
    <t xml:space="preserve">Canada: Sellerboard reports CA spend converted to USD; the CAD columns divide by the FX input on Summary (0.72). Ecotero campaign data for CA is already in CAD. Expect a ~2-3% gap between the two sources.</t>
  </si>
  <si>
    <t xml:space="preserve">Sellerboard per-SKU "units from PPC" is known to undercount, so ad-attributed units per SKU are not used.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</si>
</sst>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\$#,##0.00;&quot;($&quot;#,##0.00\);\-"/>
    <numFmt numFmtId="167" formatCode="0.0%;\(0.0%\);\-"/>
    <numFmt numFmtId="168" formatCode="&quot;C$&quot;#,##0.00;&quot;(C$&quot;#,##0.00\);\-"/>
    <numFmt numFmtId="169" formatCode="#,##0;\(#,##0\);\-"/>
    <numFmt numFmtId="170" formatCode="0.00%;\(0.00%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E699"/>
        <bgColor rgb="FFF8CBAD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9" min="8" style="0" width="15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 t="n">
        <v>0.72</v>
      </c>
      <c r="D4" s="2" t="s">
        <v>3</v>
      </c>
    </row>
    <row r="6" customFormat="false" ht="15" hidden="false" customHeight="false" outlineLevel="0" collapsed="false">
      <c r="A6" s="5" t="s">
        <v>4</v>
      </c>
    </row>
    <row r="7" customFormat="false" ht="31.5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11</v>
      </c>
      <c r="H7" s="6" t="s">
        <v>12</v>
      </c>
      <c r="I7" s="6" t="s">
        <v>13</v>
      </c>
      <c r="J7" s="6" t="s">
        <v>14</v>
      </c>
    </row>
    <row r="8" customFormat="false" ht="15" hidden="false" customHeight="false" outlineLevel="0" collapsed="false">
      <c r="A8" s="3" t="s">
        <v>15</v>
      </c>
      <c r="B8" s="7" t="n">
        <f aca="false">SUMIFS(US_SKU_Spend!$F:$F,US_SKU_Spend!$A:$A,$A8)</f>
        <v>1880.85</v>
      </c>
      <c r="C8" s="7" t="n">
        <f aca="false">SUMIFS(US_SKU_Spend!$F:$F,US_SKU_Spend!$A:$A,$A8,US_SKU_Spend!$E:$E,"Yes")</f>
        <v>983.13</v>
      </c>
      <c r="D8" s="8" t="n">
        <f aca="false">IFERROR(C8/B8,0)</f>
        <v>0.522705159901109</v>
      </c>
      <c r="E8" s="9" t="n">
        <f aca="false">B8-C8</f>
        <v>897.72</v>
      </c>
      <c r="F8" s="7" t="n">
        <f aca="false">SUMIFS(US_Campaigns!$O:$O,US_Campaigns!$A:$A,$A8,US_Campaigns!$D:$D,"LTSF / Clearance",US_Campaigns!$I:$I,"No")</f>
        <v>541.12</v>
      </c>
      <c r="G8" s="7" t="n">
        <f aca="false">SUMIFS(US_Campaigns!$O:$O,US_Campaigns!$A:$A,$A8,US_Campaigns!$D:$D,"LTSF / Clearance",US_Campaigns!$I:$I,"Yes")</f>
        <v>59.65</v>
      </c>
      <c r="H8" s="9" t="n">
        <f aca="false">MAX(E8-F8-G8,0)</f>
        <v>296.95</v>
      </c>
      <c r="I8" s="9" t="n">
        <f aca="false">MAX(E8-F8,0)</f>
        <v>356.6</v>
      </c>
      <c r="J8" s="8" t="n">
        <f aca="false">IFERROR(C8/(B8-F8),0)</f>
        <v>0.733826965134766</v>
      </c>
    </row>
    <row r="9" customFormat="false" ht="15" hidden="false" customHeight="false" outlineLevel="0" collapsed="false">
      <c r="A9" s="3" t="s">
        <v>16</v>
      </c>
      <c r="B9" s="7" t="n">
        <f aca="false">SUMIFS(US_SKU_Spend!$F:$F,US_SKU_Spend!$A:$A,$A9)</f>
        <v>1496.44</v>
      </c>
      <c r="C9" s="7" t="n">
        <f aca="false">SUMIFS(US_SKU_Spend!$F:$F,US_SKU_Spend!$A:$A,$A9,US_SKU_Spend!$E:$E,"Yes")</f>
        <v>894.8</v>
      </c>
      <c r="D9" s="8" t="n">
        <f aca="false">IFERROR(C9/B9,0)</f>
        <v>0.597952473871321</v>
      </c>
      <c r="E9" s="9" t="n">
        <f aca="false">B9-C9</f>
        <v>601.64</v>
      </c>
      <c r="F9" s="7" t="n">
        <f aca="false">SUMIFS(US_Campaigns!$O:$O,US_Campaigns!$A:$A,$A9,US_Campaigns!$D:$D,"LTSF / Clearance",US_Campaigns!$I:$I,"No")</f>
        <v>322.82</v>
      </c>
      <c r="G9" s="7" t="n">
        <f aca="false">SUMIFS(US_Campaigns!$O:$O,US_Campaigns!$A:$A,$A9,US_Campaigns!$D:$D,"LTSF / Clearance",US_Campaigns!$I:$I,"Yes")</f>
        <v>59.65</v>
      </c>
      <c r="H9" s="9" t="n">
        <f aca="false">MAX(E9-F9-G9,0)</f>
        <v>219.17</v>
      </c>
      <c r="I9" s="9" t="n">
        <f aca="false">MAX(E9-F9,0)</f>
        <v>278.82</v>
      </c>
      <c r="J9" s="8" t="n">
        <f aca="false">IFERROR(C9/(B9-F9),0)</f>
        <v>0.762427361496907</v>
      </c>
    </row>
    <row r="10" customFormat="false" ht="15" hidden="false" customHeight="false" outlineLevel="0" collapsed="false">
      <c r="A10" s="3" t="s">
        <v>17</v>
      </c>
      <c r="B10" s="7" t="n">
        <f aca="false">SUMIFS(US_SKU_Spend!$F:$F,US_SKU_Spend!$A:$A,$A10)</f>
        <v>899.35</v>
      </c>
      <c r="C10" s="7" t="n">
        <f aca="false">SUMIFS(US_SKU_Spend!$F:$F,US_SKU_Spend!$A:$A,$A10,US_SKU_Spend!$E:$E,"Yes")</f>
        <v>472.37</v>
      </c>
      <c r="D10" s="8" t="n">
        <f aca="false">IFERROR(C10/B10,0)</f>
        <v>0.525234891866348</v>
      </c>
      <c r="E10" s="9" t="n">
        <f aca="false">B10-C10</f>
        <v>426.98</v>
      </c>
      <c r="F10" s="7" t="n">
        <f aca="false">SUMIFS(US_Campaigns!$O:$O,US_Campaigns!$A:$A,$A10,US_Campaigns!$D:$D,"LTSF / Clearance",US_Campaigns!$I:$I,"No")</f>
        <v>206.93</v>
      </c>
      <c r="G10" s="7" t="n">
        <f aca="false">SUMIFS(US_Campaigns!$O:$O,US_Campaigns!$A:$A,$A10,US_Campaigns!$D:$D,"LTSF / Clearance",US_Campaigns!$I:$I,"Yes")</f>
        <v>7.96</v>
      </c>
      <c r="H10" s="9" t="n">
        <f aca="false">MAX(E10-F10-G10,0)</f>
        <v>212.09</v>
      </c>
      <c r="I10" s="9" t="n">
        <f aca="false">MAX(E10-F10,0)</f>
        <v>220.05</v>
      </c>
      <c r="J10" s="8" t="n">
        <f aca="false">IFERROR(C10/(B10-F10),0)</f>
        <v>0.682201553970134</v>
      </c>
    </row>
    <row r="11" customFormat="false" ht="15" hidden="false" customHeight="false" outlineLevel="0" collapsed="false">
      <c r="A11" s="10" t="s">
        <v>18</v>
      </c>
      <c r="B11" s="11" t="n">
        <f aca="false">SUM(B8:B10)</f>
        <v>4276.64</v>
      </c>
      <c r="C11" s="11" t="n">
        <f aca="false">SUM(C8:C10)</f>
        <v>2350.3</v>
      </c>
      <c r="D11" s="12" t="n">
        <f aca="false">IFERROR(C11/B11,0)</f>
        <v>0.549566949754948</v>
      </c>
      <c r="E11" s="11" t="n">
        <f aca="false">SUM(E8:E10)</f>
        <v>1926.34</v>
      </c>
      <c r="F11" s="11" t="n">
        <f aca="false">SUM(F8:F10)</f>
        <v>1070.87</v>
      </c>
      <c r="G11" s="11" t="n">
        <f aca="false">SUMIFS(US_Campaigns!$O:$O,US_Campaigns!$D:$D,"LTSF / Clearance",US_Campaigns!$I:$I,"Yes",US_Campaigns!$K:$K,"Yes")</f>
        <v>59.65</v>
      </c>
      <c r="H11" s="11" t="n">
        <f aca="false">MAX(E11-F11-G11,0)</f>
        <v>795.82</v>
      </c>
      <c r="I11" s="11" t="n">
        <f aca="false">MAX(E11-F11,0)</f>
        <v>855.47</v>
      </c>
      <c r="J11" s="12" t="n">
        <f aca="false">IFERROR(C11/(B11-F11-G11),0)</f>
        <v>0.747047156497527</v>
      </c>
    </row>
    <row r="12" customFormat="false" ht="15" hidden="false" customHeight="false" outlineLevel="0" collapsed="false">
      <c r="A12" s="2" t="s">
        <v>19</v>
      </c>
    </row>
    <row r="14" customFormat="false" ht="15" hidden="false" customHeight="false" outlineLevel="0" collapsed="false">
      <c r="A14" s="5" t="s">
        <v>20</v>
      </c>
    </row>
    <row r="15" customFormat="false" ht="31.5" hidden="false" customHeight="true" outlineLevel="0" collapsed="false">
      <c r="A15" s="6" t="s">
        <v>5</v>
      </c>
      <c r="B15" s="6" t="s">
        <v>6</v>
      </c>
      <c r="C15" s="6" t="s">
        <v>7</v>
      </c>
      <c r="D15" s="6" t="s">
        <v>8</v>
      </c>
      <c r="E15" s="6" t="s">
        <v>9</v>
      </c>
      <c r="F15" s="6" t="s">
        <v>10</v>
      </c>
      <c r="G15" s="6" t="s">
        <v>11</v>
      </c>
      <c r="H15" s="6" t="s">
        <v>12</v>
      </c>
      <c r="I15" s="6" t="s">
        <v>13</v>
      </c>
      <c r="J15" s="6" t="s">
        <v>14</v>
      </c>
    </row>
    <row r="16" customFormat="false" ht="15" hidden="false" customHeight="false" outlineLevel="0" collapsed="false">
      <c r="A16" s="3" t="s">
        <v>15</v>
      </c>
      <c r="B16" s="13" t="n">
        <f aca="false">SUMIFS(CA_SKU_Spend!$F:$F,CA_SKU_Spend!$A:$A,$A16)/$C$4</f>
        <v>910.902777777778</v>
      </c>
      <c r="C16" s="13" t="n">
        <f aca="false">SUMIFS(CA_SKU_Spend!$F:$F,CA_SKU_Spend!$A:$A,$A16,CA_SKU_Spend!$E:$E,"Yes")/$C$4</f>
        <v>16.2777777777778</v>
      </c>
      <c r="D16" s="8" t="n">
        <f aca="false">IFERROR(C16/B16,0)</f>
        <v>0.0178699397728139</v>
      </c>
      <c r="E16" s="14" t="n">
        <f aca="false">B16-C16</f>
        <v>894.625</v>
      </c>
      <c r="F16" s="13" t="n">
        <f aca="false">SUMIFS(CA_Campaigns!$O:$O,CA_Campaigns!$A:$A,$A16,CA_Campaigns!$D:$D,"LTSF / Clearance",CA_Campaigns!$I:$I,"No")</f>
        <v>336.5</v>
      </c>
      <c r="G16" s="13" t="n">
        <f aca="false">SUMIFS(CA_Campaigns!$O:$O,CA_Campaigns!$A:$A,$A16,CA_Campaigns!$D:$D,"LTSF / Clearance",CA_Campaigns!$I:$I,"Yes")</f>
        <v>123.09</v>
      </c>
      <c r="H16" s="14" t="n">
        <f aca="false">MAX(E16-F16-G16,0)</f>
        <v>435.035</v>
      </c>
      <c r="I16" s="14" t="n">
        <f aca="false">MAX(E16-F16,0)</f>
        <v>558.125</v>
      </c>
      <c r="J16" s="8" t="n">
        <f aca="false">IFERROR(C16/(B16-F16),0)</f>
        <v>0.0283386125686099</v>
      </c>
    </row>
    <row r="17" customFormat="false" ht="15" hidden="false" customHeight="false" outlineLevel="0" collapsed="false">
      <c r="A17" s="3" t="s">
        <v>16</v>
      </c>
      <c r="B17" s="13" t="n">
        <f aca="false">SUMIFS(CA_SKU_Spend!$F:$F,CA_SKU_Spend!$A:$A,$A17)/$C$4</f>
        <v>553.208333333333</v>
      </c>
      <c r="C17" s="13" t="n">
        <f aca="false">SUMIFS(CA_SKU_Spend!$F:$F,CA_SKU_Spend!$A:$A,$A17,CA_SKU_Spend!$E:$E,"Yes")/$C$4</f>
        <v>316.305555555556</v>
      </c>
      <c r="D17" s="8" t="n">
        <f aca="false">IFERROR(C17/B17,0)</f>
        <v>0.571765710125279</v>
      </c>
      <c r="E17" s="14" t="n">
        <f aca="false">B17-C17</f>
        <v>236.902777777778</v>
      </c>
      <c r="F17" s="13" t="n">
        <f aca="false">SUMIFS(CA_Campaigns!$O:$O,CA_Campaigns!$A:$A,$A17,CA_Campaigns!$D:$D,"LTSF / Clearance",CA_Campaigns!$I:$I,"No")</f>
        <v>83.09</v>
      </c>
      <c r="G17" s="13" t="n">
        <f aca="false">SUMIFS(CA_Campaigns!$O:$O,CA_Campaigns!$A:$A,$A17,CA_Campaigns!$D:$D,"LTSF / Clearance",CA_Campaigns!$I:$I,"Yes")</f>
        <v>0</v>
      </c>
      <c r="H17" s="14" t="n">
        <f aca="false">MAX(E17-F17-G17,0)</f>
        <v>153.812777777778</v>
      </c>
      <c r="I17" s="14" t="n">
        <f aca="false">MAX(E17-F17,0)</f>
        <v>153.812777777778</v>
      </c>
      <c r="J17" s="8" t="n">
        <f aca="false">IFERROR(C17/(B17-F17),0)</f>
        <v>0.672821145503555</v>
      </c>
    </row>
    <row r="18" customFormat="false" ht="15" hidden="false" customHeight="false" outlineLevel="0" collapsed="false">
      <c r="A18" s="3" t="s">
        <v>17</v>
      </c>
      <c r="B18" s="13" t="n">
        <f aca="false">SUMIFS(CA_SKU_Spend!$F:$F,CA_SKU_Spend!$A:$A,$A18)/$C$4</f>
        <v>378.333333333333</v>
      </c>
      <c r="C18" s="13" t="n">
        <f aca="false">SUMIFS(CA_SKU_Spend!$F:$F,CA_SKU_Spend!$A:$A,$A18,CA_SKU_Spend!$E:$E,"Yes")/$C$4</f>
        <v>59.375</v>
      </c>
      <c r="D18" s="8" t="n">
        <f aca="false">IFERROR(C18/B18,0)</f>
        <v>0.156938325991189</v>
      </c>
      <c r="E18" s="14" t="n">
        <f aca="false">B18-C18</f>
        <v>318.958333333333</v>
      </c>
      <c r="F18" s="13" t="n">
        <f aca="false">SUMIFS(CA_Campaigns!$O:$O,CA_Campaigns!$A:$A,$A18,CA_Campaigns!$D:$D,"LTSF / Clearance",CA_Campaigns!$I:$I,"No")</f>
        <v>5.11</v>
      </c>
      <c r="G18" s="13" t="n">
        <f aca="false">SUMIFS(CA_Campaigns!$O:$O,CA_Campaigns!$A:$A,$A18,CA_Campaigns!$D:$D,"LTSF / Clearance",CA_Campaigns!$I:$I,"Yes")</f>
        <v>228.43</v>
      </c>
      <c r="H18" s="14" t="n">
        <f aca="false">MAX(E18-F18-G18,0)</f>
        <v>85.4183333333333</v>
      </c>
      <c r="I18" s="14" t="n">
        <f aca="false">MAX(E18-F18,0)</f>
        <v>313.848333333333</v>
      </c>
      <c r="J18" s="8" t="n">
        <f aca="false">IFERROR(C18/(B18-F18),0)</f>
        <v>0.159087052435093</v>
      </c>
    </row>
    <row r="19" customFormat="false" ht="15" hidden="false" customHeight="false" outlineLevel="0" collapsed="false">
      <c r="A19" s="3" t="s">
        <v>21</v>
      </c>
      <c r="B19" s="13" t="n">
        <f aca="false">SUMIFS(CA_SKU_Spend!$F:$F,CA_SKU_Spend!$A:$A,$A19)/$C$4</f>
        <v>260.486111111111</v>
      </c>
      <c r="C19" s="13" t="n">
        <f aca="false">SUMIFS(CA_SKU_Spend!$F:$F,CA_SKU_Spend!$A:$A,$A19,CA_SKU_Spend!$E:$E,"Yes")/$C$4</f>
        <v>105.680555555556</v>
      </c>
      <c r="D19" s="8" t="n">
        <f aca="false">IFERROR(C19/B19,0)</f>
        <v>0.405705145294588</v>
      </c>
      <c r="E19" s="14" t="n">
        <f aca="false">B19-C19</f>
        <v>154.805555555556</v>
      </c>
      <c r="F19" s="13" t="n">
        <f aca="false">SUMIFS(CA_Campaigns!$O:$O,CA_Campaigns!$A:$A,$A19,CA_Campaigns!$D:$D,"LTSF / Clearance",CA_Campaigns!$I:$I,"No")</f>
        <v>49.57</v>
      </c>
      <c r="G19" s="13" t="n">
        <f aca="false">SUMIFS(CA_Campaigns!$O:$O,CA_Campaigns!$A:$A,$A19,CA_Campaigns!$D:$D,"LTSF / Clearance",CA_Campaigns!$I:$I,"Yes")</f>
        <v>228.43</v>
      </c>
      <c r="H19" s="14" t="n">
        <f aca="false">MAX(E19-F19-G19,0)</f>
        <v>0</v>
      </c>
      <c r="I19" s="14" t="n">
        <f aca="false">MAX(E19-F19,0)</f>
        <v>105.235555555556</v>
      </c>
      <c r="J19" s="8" t="n">
        <f aca="false">IFERROR(C19/(B19-F19),0)</f>
        <v>0.501054921783015</v>
      </c>
    </row>
    <row r="20" customFormat="false" ht="15" hidden="false" customHeight="false" outlineLevel="0" collapsed="false">
      <c r="A20" s="10" t="s">
        <v>18</v>
      </c>
      <c r="B20" s="15" t="n">
        <f aca="false">SUM(B16:B19)</f>
        <v>2102.93055555556</v>
      </c>
      <c r="C20" s="15" t="n">
        <f aca="false">SUM(C16:C19)</f>
        <v>497.638888888889</v>
      </c>
      <c r="D20" s="12" t="n">
        <f aca="false">IFERROR(C20/B20,0)</f>
        <v>0.236640666794354</v>
      </c>
      <c r="E20" s="15" t="n">
        <f aca="false">SUM(E16:E19)</f>
        <v>1605.29166666667</v>
      </c>
      <c r="F20" s="15" t="n">
        <f aca="false">SUM(F16:F19)</f>
        <v>474.27</v>
      </c>
      <c r="G20" s="15" t="n">
        <f aca="false">SUMIFS(CA_Campaigns!$O:$O,CA_Campaigns!$D:$D,"LTSF / Clearance",CA_Campaigns!$I:$I,"Yes",CA_Campaigns!$K:$K,"Yes")</f>
        <v>228.43</v>
      </c>
      <c r="H20" s="15" t="n">
        <f aca="false">MAX(E20-F20-G20,0)</f>
        <v>902.591666666667</v>
      </c>
      <c r="I20" s="15" t="n">
        <f aca="false">MAX(E20-F20,0)</f>
        <v>1131.02166666667</v>
      </c>
      <c r="J20" s="12" t="n">
        <f aca="false">IFERROR(C20/(B20-F20-G20),0)</f>
        <v>0.355397821390525</v>
      </c>
    </row>
    <row r="21" customFormat="false" ht="15" hidden="false" customHeight="false" outlineLevel="0" collapsed="false">
      <c r="A21" s="2" t="s">
        <v>19</v>
      </c>
    </row>
    <row r="23" customFormat="false" ht="15" hidden="false" customHeight="false" outlineLevel="0" collapsed="false">
      <c r="A23" s="5" t="s">
        <v>22</v>
      </c>
    </row>
    <row r="24" customFormat="false" ht="31.5" hidden="false" customHeight="true" outlineLevel="0" collapsed="false">
      <c r="A24" s="6" t="s">
        <v>23</v>
      </c>
      <c r="B24" s="6" t="s">
        <v>24</v>
      </c>
      <c r="C24" s="6" t="s">
        <v>25</v>
      </c>
      <c r="D24" s="6" t="s">
        <v>26</v>
      </c>
      <c r="E24" s="6" t="s">
        <v>27</v>
      </c>
    </row>
    <row r="25" customFormat="false" ht="15" hidden="false" customHeight="false" outlineLevel="0" collapsed="false">
      <c r="A25" s="3" t="s">
        <v>28</v>
      </c>
      <c r="B25" s="7" t="n">
        <f aca="false">SUMIFS(US_Campaigns!$O:$O,US_Campaigns!$D:$D,$A25,US_Campaigns!$K:$K,"Yes")</f>
        <v>1549.4</v>
      </c>
      <c r="C25" s="8" t="n">
        <f aca="false">IFERROR(B25/B$33,0)</f>
        <v>0.357248261487097</v>
      </c>
      <c r="D25" s="13" t="n">
        <f aca="false">SUMIFS(CA_Campaigns!$O:$O,CA_Campaigns!$D:$D,$A25,CA_Campaigns!$K:$K,"Yes")</f>
        <v>726.72</v>
      </c>
      <c r="E25" s="8" t="n">
        <f aca="false">IFERROR(D25/D$33,0)</f>
        <v>0.329989783176297</v>
      </c>
    </row>
    <row r="26" customFormat="false" ht="15" hidden="false" customHeight="false" outlineLevel="0" collapsed="false">
      <c r="A26" s="3" t="s">
        <v>29</v>
      </c>
      <c r="B26" s="7" t="n">
        <f aca="false">SUMIFS(US_Campaigns!$O:$O,US_Campaigns!$D:$D,$A26,US_Campaigns!$K:$K,"Yes")</f>
        <v>25.75</v>
      </c>
      <c r="C26" s="8" t="n">
        <f aca="false">IFERROR(B26/B$33,0)</f>
        <v>0.00593722907789644</v>
      </c>
      <c r="D26" s="13" t="n">
        <f aca="false">SUMIFS(CA_Campaigns!$O:$O,CA_Campaigns!$D:$D,$A26,CA_Campaigns!$K:$K,"Yes")</f>
        <v>123.88</v>
      </c>
      <c r="E26" s="8" t="n">
        <f aca="false">IFERROR(D26/D$33,0)</f>
        <v>0.0562515609036213</v>
      </c>
    </row>
    <row r="27" customFormat="false" ht="15" hidden="false" customHeight="false" outlineLevel="0" collapsed="false">
      <c r="A27" s="3" t="s">
        <v>30</v>
      </c>
      <c r="B27" s="7" t="n">
        <f aca="false">SUMIFS(US_Campaigns!$O:$O,US_Campaigns!$D:$D,$A27,US_Campaigns!$K:$K,"Yes")</f>
        <v>227.66</v>
      </c>
      <c r="C27" s="8" t="n">
        <f aca="false">IFERROR(B27/B$33,0)</f>
        <v>0.0524920222086953</v>
      </c>
      <c r="D27" s="13" t="n">
        <f aca="false">SUMIFS(CA_Campaigns!$O:$O,CA_Campaigns!$D:$D,$A27,CA_Campaigns!$K:$K,"Yes")</f>
        <v>161.06</v>
      </c>
      <c r="E27" s="8" t="n">
        <f aca="false">IFERROR(D27/D$33,0)</f>
        <v>0.0731342944715632</v>
      </c>
    </row>
    <row r="28" customFormat="false" ht="15" hidden="false" customHeight="false" outlineLevel="0" collapsed="false">
      <c r="A28" s="3" t="s">
        <v>31</v>
      </c>
      <c r="B28" s="7" t="n">
        <f aca="false">SUMIFS(US_Campaigns!$O:$O,US_Campaigns!$D:$D,$A28,US_Campaigns!$K:$K,"Yes")</f>
        <v>134.57</v>
      </c>
      <c r="C28" s="8" t="n">
        <f aca="false">IFERROR(B28/B$33,0)</f>
        <v>0.0310280744470883</v>
      </c>
      <c r="D28" s="13" t="n">
        <f aca="false">SUMIFS(CA_Campaigns!$O:$O,CA_Campaigns!$D:$D,$A28,CA_Campaigns!$K:$K,"Yes")</f>
        <v>183.03</v>
      </c>
      <c r="E28" s="8" t="n">
        <f aca="false">IFERROR(D28/D$33,0)</f>
        <v>0.0831104552162561</v>
      </c>
    </row>
    <row r="29" customFormat="false" ht="15" hidden="false" customHeight="false" outlineLevel="0" collapsed="false">
      <c r="A29" s="3" t="s">
        <v>32</v>
      </c>
      <c r="B29" s="7" t="n">
        <f aca="false">SUMIFS(US_Campaigns!$O:$O,US_Campaigns!$D:$D,$A29,US_Campaigns!$K:$K,"Yes")</f>
        <v>795.73</v>
      </c>
      <c r="C29" s="8" t="n">
        <f aca="false">IFERROR(B29/B$33,0)</f>
        <v>0.183473059967167</v>
      </c>
      <c r="D29" s="13" t="n">
        <f aca="false">SUMIFS(CA_Campaigns!$O:$O,CA_Campaigns!$D:$D,$A29,CA_Campaigns!$K:$K,"Yes")</f>
        <v>268.13</v>
      </c>
      <c r="E29" s="8" t="n">
        <f aca="false">IFERROR(D29/D$33,0)</f>
        <v>0.121752752866387</v>
      </c>
    </row>
    <row r="30" customFormat="false" ht="15" hidden="false" customHeight="false" outlineLevel="0" collapsed="false">
      <c r="A30" s="3" t="s">
        <v>33</v>
      </c>
      <c r="B30" s="7" t="n">
        <f aca="false">SUMIFS(US_Campaigns!$O:$O,US_Campaigns!$D:$D,$A30,US_Campaigns!$K:$K,"Yes")</f>
        <v>454.85</v>
      </c>
      <c r="C30" s="8" t="n">
        <f aca="false">IFERROR(B30/B$33,0)</f>
        <v>0.104875675575969</v>
      </c>
      <c r="D30" s="13" t="n">
        <f aca="false">SUMIFS(CA_Campaigns!$O:$O,CA_Campaigns!$D:$D,$A30,CA_Campaigns!$K:$K,"Yes")</f>
        <v>36.73</v>
      </c>
      <c r="E30" s="8" t="n">
        <f aca="false">IFERROR(D30/D$33,0)</f>
        <v>0.0166783970938813</v>
      </c>
    </row>
    <row r="31" customFormat="false" ht="15" hidden="false" customHeight="false" outlineLevel="0" collapsed="false">
      <c r="A31" s="3" t="s">
        <v>34</v>
      </c>
      <c r="B31" s="7" t="n">
        <f aca="false">SUMIFS(US_Campaigns!$O:$O,US_Campaigns!$D:$D,$A31,US_Campaigns!$K:$K,"Yes")</f>
        <v>1130.52</v>
      </c>
      <c r="C31" s="8" t="n">
        <f aca="false">IFERROR(B31/B$33,0)</f>
        <v>0.260666260859941</v>
      </c>
      <c r="D31" s="13" t="n">
        <f aca="false">SUMIFS(CA_Campaigns!$O:$O,CA_Campaigns!$D:$D,$A31,CA_Campaigns!$K:$K,"Yes")</f>
        <v>702.7</v>
      </c>
      <c r="E31" s="8" t="n">
        <f aca="false">IFERROR(D31/D$33,0)</f>
        <v>0.319082756271995</v>
      </c>
    </row>
    <row r="32" customFormat="false" ht="15" hidden="false" customHeight="false" outlineLevel="0" collapsed="false">
      <c r="A32" s="3" t="s">
        <v>35</v>
      </c>
      <c r="B32" s="7" t="n">
        <f aca="false">SUMIFS(US_Campaigns!$O:$O,US_Campaigns!$D:$D,$A32,US_Campaigns!$K:$K,"Yes")</f>
        <v>18.56</v>
      </c>
      <c r="C32" s="8" t="n">
        <f aca="false">IFERROR(B32/B$33,0)</f>
        <v>0.00427941637614594</v>
      </c>
      <c r="D32" s="13" t="n">
        <f aca="false">SUMIFS(CA_Campaigns!$O:$O,CA_Campaigns!$D:$D,$A32,CA_Campaigns!$K:$K,"Yes")</f>
        <v>0</v>
      </c>
      <c r="E32" s="8" t="n">
        <f aca="false">IFERROR(D32/D$33,0)</f>
        <v>0</v>
      </c>
    </row>
    <row r="33" customFormat="false" ht="15" hidden="false" customHeight="false" outlineLevel="0" collapsed="false">
      <c r="A33" s="10" t="s">
        <v>18</v>
      </c>
      <c r="B33" s="11" t="n">
        <f aca="false">SUM(B25:B32)</f>
        <v>4337.04</v>
      </c>
      <c r="C33" s="12" t="n">
        <f aca="false">SUM(C25:C32)</f>
        <v>1</v>
      </c>
      <c r="D33" s="15" t="n">
        <f aca="false">SUM(D25:D32)</f>
        <v>2202.25</v>
      </c>
      <c r="E33" s="12" t="n">
        <f aca="false">SUM(E25:E32)</f>
        <v>1</v>
      </c>
    </row>
    <row r="34" customFormat="false" ht="15" hidden="false" customHeight="false" outlineLevel="0" collapsed="false">
      <c r="A34" s="2" t="s">
        <v>36</v>
      </c>
    </row>
    <row r="36" customFormat="false" ht="15" hidden="false" customHeight="false" outlineLevel="0" collapsed="false">
      <c r="A36" s="5" t="s">
        <v>37</v>
      </c>
    </row>
    <row r="37" customFormat="false" ht="30" hidden="false" customHeight="true" outlineLevel="0" collapsed="false">
      <c r="A37" s="16" t="s">
        <v>38</v>
      </c>
      <c r="B37" s="16"/>
      <c r="C37" s="16"/>
      <c r="D37" s="16"/>
      <c r="E37" s="16"/>
      <c r="F37" s="16"/>
      <c r="G37" s="16"/>
      <c r="H37" s="16"/>
      <c r="I37" s="16"/>
      <c r="J37" s="16"/>
    </row>
    <row r="38" customFormat="false" ht="30" hidden="false" customHeight="true" outlineLevel="0" collapsed="false">
      <c r="A38" s="16" t="s">
        <v>39</v>
      </c>
      <c r="B38" s="16"/>
      <c r="C38" s="16"/>
      <c r="D38" s="16"/>
      <c r="E38" s="16"/>
      <c r="F38" s="16"/>
      <c r="G38" s="16"/>
      <c r="H38" s="16"/>
      <c r="I38" s="16"/>
      <c r="J38" s="16"/>
    </row>
    <row r="39" customFormat="false" ht="30" hidden="false" customHeight="true" outlineLevel="0" collapsed="false">
      <c r="A39" s="16" t="s">
        <v>40</v>
      </c>
      <c r="B39" s="16"/>
      <c r="C39" s="16"/>
      <c r="D39" s="16"/>
      <c r="E39" s="16"/>
      <c r="F39" s="16"/>
      <c r="G39" s="16"/>
      <c r="H39" s="16"/>
      <c r="I39" s="16"/>
      <c r="J39" s="16"/>
    </row>
    <row r="40" customFormat="false" ht="30" hidden="false" customHeight="true" outlineLevel="0" collapsed="false">
      <c r="A40" s="16" t="s">
        <v>41</v>
      </c>
      <c r="B40" s="16"/>
      <c r="C40" s="16"/>
      <c r="D40" s="16"/>
      <c r="E40" s="16"/>
      <c r="F40" s="16"/>
      <c r="G40" s="16"/>
      <c r="H40" s="16"/>
      <c r="I40" s="16"/>
      <c r="J40" s="16"/>
    </row>
    <row r="41" customFormat="false" ht="30" hidden="false" customHeight="true" outlineLevel="0" collapsed="false">
      <c r="A41" s="16" t="s">
        <v>42</v>
      </c>
      <c r="B41" s="16"/>
      <c r="C41" s="16"/>
      <c r="D41" s="16"/>
      <c r="E41" s="16"/>
      <c r="F41" s="16"/>
      <c r="G41" s="16"/>
      <c r="H41" s="16"/>
      <c r="I41" s="16"/>
      <c r="J41" s="16"/>
    </row>
    <row r="42" customFormat="false" ht="30" hidden="false" customHeight="true" outlineLevel="0" collapsed="false">
      <c r="A42" s="16" t="s">
        <v>43</v>
      </c>
      <c r="B42" s="16"/>
      <c r="C42" s="16"/>
      <c r="D42" s="16"/>
      <c r="E42" s="16"/>
      <c r="F42" s="16"/>
      <c r="G42" s="16"/>
      <c r="H42" s="16"/>
      <c r="I42" s="16"/>
      <c r="J42" s="16"/>
    </row>
  </sheetData>
  <mergeCells count="6">
    <mergeCell ref="A37:J37"/>
    <mergeCell ref="A38:J38"/>
    <mergeCell ref="A39:J39"/>
    <mergeCell ref="A40:J40"/>
    <mergeCell ref="A41:J41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10" min="9" style="0" width="12"/>
    <col collapsed="false" customWidth="true" hidden="false" outlineLevel="0" max="11" min="11" style="0" width="70"/>
  </cols>
  <sheetData>
    <row r="1" customFormat="false" ht="17.3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31.5" hidden="false" customHeight="true" outlineLevel="0" collapsed="false">
      <c r="A4" s="6" t="s">
        <v>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  <c r="G4" s="6" t="s">
        <v>51</v>
      </c>
      <c r="H4" s="6" t="s">
        <v>52</v>
      </c>
      <c r="I4" s="6" t="s">
        <v>53</v>
      </c>
      <c r="J4" s="6" t="s">
        <v>54</v>
      </c>
      <c r="K4" s="6" t="s">
        <v>55</v>
      </c>
    </row>
    <row r="5" customFormat="false" ht="15" hidden="false" customHeight="false" outlineLevel="0" collapsed="false">
      <c r="A5" s="17" t="s">
        <v>15</v>
      </c>
      <c r="B5" s="17" t="s">
        <v>56</v>
      </c>
      <c r="C5" s="17" t="s">
        <v>57</v>
      </c>
      <c r="D5" s="17" t="s">
        <v>58</v>
      </c>
      <c r="E5" s="18" t="s">
        <v>59</v>
      </c>
      <c r="F5" s="19" t="n">
        <v>811.22</v>
      </c>
      <c r="G5" s="19" t="n">
        <v>22.18</v>
      </c>
      <c r="H5" s="9" t="n">
        <f aca="false">F5+G5</f>
        <v>833.4</v>
      </c>
      <c r="I5" s="8" t="n">
        <f aca="false">IFERROR(F5/SUMIFS($F:$F,$A:$A,A5),0)</f>
        <v>0.431304995082011</v>
      </c>
      <c r="J5" s="20" t="n">
        <v>42</v>
      </c>
      <c r="K5" s="17"/>
    </row>
    <row r="6" customFormat="false" ht="15" hidden="false" customHeight="false" outlineLevel="0" collapsed="false">
      <c r="A6" s="17" t="s">
        <v>15</v>
      </c>
      <c r="B6" s="17" t="s">
        <v>60</v>
      </c>
      <c r="C6" s="17" t="s">
        <v>61</v>
      </c>
      <c r="D6" s="17" t="s">
        <v>58</v>
      </c>
      <c r="E6" s="18" t="s">
        <v>59</v>
      </c>
      <c r="F6" s="19" t="n">
        <v>142.39</v>
      </c>
      <c r="G6" s="19" t="n">
        <v>3.01</v>
      </c>
      <c r="H6" s="9" t="n">
        <f aca="false">F6+G6</f>
        <v>145.4</v>
      </c>
      <c r="I6" s="8" t="n">
        <f aca="false">IFERROR(F6/SUMIFS($F:$F,$A:$A,A6),0)</f>
        <v>0.0757051333173831</v>
      </c>
      <c r="J6" s="20" t="n">
        <v>27</v>
      </c>
      <c r="K6" s="17"/>
    </row>
    <row r="7" customFormat="false" ht="15" hidden="false" customHeight="false" outlineLevel="0" collapsed="false">
      <c r="A7" s="17" t="s">
        <v>15</v>
      </c>
      <c r="B7" s="17" t="s">
        <v>62</v>
      </c>
      <c r="C7" s="17" t="s">
        <v>63</v>
      </c>
      <c r="D7" s="17" t="s">
        <v>64</v>
      </c>
      <c r="E7" s="17" t="s">
        <v>65</v>
      </c>
      <c r="F7" s="19" t="n">
        <v>99.72</v>
      </c>
      <c r="G7" s="19" t="n">
        <v>0.62</v>
      </c>
      <c r="H7" s="9" t="n">
        <f aca="false">F7+G7</f>
        <v>100.34</v>
      </c>
      <c r="I7" s="8" t="n">
        <f aca="false">IFERROR(F7/SUMIFS($F:$F,$A:$A,A7),0)</f>
        <v>0.0530185820240849</v>
      </c>
      <c r="J7" s="20" t="n">
        <v>5</v>
      </c>
      <c r="K7" s="17" t="s">
        <v>66</v>
      </c>
    </row>
    <row r="8" customFormat="false" ht="15" hidden="false" customHeight="false" outlineLevel="0" collapsed="false">
      <c r="A8" s="17" t="s">
        <v>15</v>
      </c>
      <c r="B8" s="17" t="s">
        <v>67</v>
      </c>
      <c r="C8" s="17" t="s">
        <v>68</v>
      </c>
      <c r="D8" s="17" t="s">
        <v>69</v>
      </c>
      <c r="E8" s="17" t="s">
        <v>65</v>
      </c>
      <c r="F8" s="19" t="n">
        <v>85.44</v>
      </c>
      <c r="G8" s="19" t="n">
        <v>0</v>
      </c>
      <c r="H8" s="9" t="n">
        <f aca="false">F8+G8</f>
        <v>85.44</v>
      </c>
      <c r="I8" s="8" t="n">
        <f aca="false">IFERROR(F8/SUMIFS($F:$F,$A:$A,A8),0)</f>
        <v>0.0454262700374831</v>
      </c>
      <c r="J8" s="20" t="n">
        <v>2</v>
      </c>
      <c r="K8" s="17" t="s">
        <v>70</v>
      </c>
    </row>
    <row r="9" customFormat="false" ht="15" hidden="false" customHeight="false" outlineLevel="0" collapsed="false">
      <c r="A9" s="17" t="s">
        <v>15</v>
      </c>
      <c r="B9" s="17" t="s">
        <v>71</v>
      </c>
      <c r="C9" s="17" t="s">
        <v>61</v>
      </c>
      <c r="D9" s="17" t="s">
        <v>72</v>
      </c>
      <c r="E9" s="17" t="s">
        <v>65</v>
      </c>
      <c r="F9" s="19" t="n">
        <v>78.62</v>
      </c>
      <c r="G9" s="19" t="n">
        <v>0</v>
      </c>
      <c r="H9" s="9" t="n">
        <f aca="false">F9+G9</f>
        <v>78.62</v>
      </c>
      <c r="I9" s="8" t="n">
        <f aca="false">IFERROR(F9/SUMIFS($F:$F,$A:$A,A9),0)</f>
        <v>0.0418002498870192</v>
      </c>
      <c r="J9" s="20" t="n">
        <v>14</v>
      </c>
      <c r="K9" s="17" t="s">
        <v>73</v>
      </c>
    </row>
    <row r="10" customFormat="false" ht="15" hidden="false" customHeight="false" outlineLevel="0" collapsed="false">
      <c r="A10" s="17" t="s">
        <v>15</v>
      </c>
      <c r="B10" s="17" t="s">
        <v>74</v>
      </c>
      <c r="C10" s="17" t="s">
        <v>68</v>
      </c>
      <c r="D10" s="17" t="s">
        <v>75</v>
      </c>
      <c r="E10" s="17" t="s">
        <v>65</v>
      </c>
      <c r="F10" s="19" t="n">
        <v>72.78</v>
      </c>
      <c r="G10" s="19" t="n">
        <v>0</v>
      </c>
      <c r="H10" s="9" t="n">
        <f aca="false">F10+G10</f>
        <v>72.78</v>
      </c>
      <c r="I10" s="8" t="n">
        <f aca="false">IFERROR(F10/SUMIFS($F:$F,$A:$A,A10),0)</f>
        <v>0.0386952707552436</v>
      </c>
      <c r="J10" s="20" t="n">
        <v>0</v>
      </c>
      <c r="K10" s="17" t="s">
        <v>76</v>
      </c>
    </row>
    <row r="11" customFormat="false" ht="15" hidden="false" customHeight="false" outlineLevel="0" collapsed="false">
      <c r="A11" s="17" t="s">
        <v>15</v>
      </c>
      <c r="B11" s="17" t="s">
        <v>77</v>
      </c>
      <c r="C11" s="17" t="s">
        <v>63</v>
      </c>
      <c r="D11" s="17" t="s">
        <v>78</v>
      </c>
      <c r="E11" s="17" t="s">
        <v>65</v>
      </c>
      <c r="F11" s="19" t="n">
        <v>69.9</v>
      </c>
      <c r="G11" s="19" t="n">
        <v>0</v>
      </c>
      <c r="H11" s="9" t="n">
        <f aca="false">F11+G11</f>
        <v>69.9</v>
      </c>
      <c r="I11" s="8" t="n">
        <f aca="false">IFERROR(F11/SUMIFS($F:$F,$A:$A,A11),0)</f>
        <v>0.0371640481697105</v>
      </c>
      <c r="J11" s="20" t="n">
        <v>2</v>
      </c>
      <c r="K11" s="17"/>
    </row>
    <row r="12" customFormat="false" ht="15" hidden="false" customHeight="false" outlineLevel="0" collapsed="false">
      <c r="A12" s="17" t="s">
        <v>15</v>
      </c>
      <c r="B12" s="17" t="s">
        <v>79</v>
      </c>
      <c r="C12" s="17" t="s">
        <v>68</v>
      </c>
      <c r="D12" s="17" t="s">
        <v>80</v>
      </c>
      <c r="E12" s="17" t="s">
        <v>65</v>
      </c>
      <c r="F12" s="19" t="n">
        <v>62.82</v>
      </c>
      <c r="G12" s="19" t="n">
        <v>0</v>
      </c>
      <c r="H12" s="9" t="n">
        <f aca="false">F12+G12</f>
        <v>62.82</v>
      </c>
      <c r="I12" s="8" t="n">
        <f aca="false">IFERROR(F12/SUMIFS($F:$F,$A:$A,A12),0)</f>
        <v>0.0333997926469416</v>
      </c>
      <c r="J12" s="20" t="n">
        <v>1</v>
      </c>
      <c r="K12" s="17" t="s">
        <v>81</v>
      </c>
    </row>
    <row r="13" customFormat="false" ht="15" hidden="false" customHeight="false" outlineLevel="0" collapsed="false">
      <c r="A13" s="17" t="s">
        <v>15</v>
      </c>
      <c r="B13" s="17" t="s">
        <v>82</v>
      </c>
      <c r="C13" s="17" t="s">
        <v>57</v>
      </c>
      <c r="D13" s="17" t="s">
        <v>83</v>
      </c>
      <c r="E13" s="17" t="s">
        <v>65</v>
      </c>
      <c r="F13" s="19" t="n">
        <v>57.91</v>
      </c>
      <c r="G13" s="19" t="n">
        <v>0</v>
      </c>
      <c r="H13" s="9" t="n">
        <f aca="false">F13+G13</f>
        <v>57.91</v>
      </c>
      <c r="I13" s="8" t="n">
        <f aca="false">IFERROR(F13/SUMIFS($F:$F,$A:$A,A13),0)</f>
        <v>0.0307892708084111</v>
      </c>
      <c r="J13" s="20" t="n">
        <v>11</v>
      </c>
      <c r="K13" s="17"/>
    </row>
    <row r="14" customFormat="false" ht="15" hidden="false" customHeight="false" outlineLevel="0" collapsed="false">
      <c r="A14" s="17" t="s">
        <v>15</v>
      </c>
      <c r="B14" s="17" t="s">
        <v>84</v>
      </c>
      <c r="C14" s="17" t="s">
        <v>61</v>
      </c>
      <c r="D14" s="17" t="s">
        <v>83</v>
      </c>
      <c r="E14" s="17" t="s">
        <v>65</v>
      </c>
      <c r="F14" s="19" t="n">
        <v>49.47</v>
      </c>
      <c r="G14" s="19" t="n">
        <v>0</v>
      </c>
      <c r="H14" s="9" t="n">
        <f aca="false">F14+G14</f>
        <v>49.47</v>
      </c>
      <c r="I14" s="8" t="n">
        <f aca="false">IFERROR(F14/SUMIFS($F:$F,$A:$A,A14),0)</f>
        <v>0.0263019379535848</v>
      </c>
      <c r="J14" s="20" t="n">
        <v>10</v>
      </c>
      <c r="K14" s="17"/>
    </row>
    <row r="15" customFormat="false" ht="15" hidden="false" customHeight="false" outlineLevel="0" collapsed="false">
      <c r="A15" s="17" t="s">
        <v>15</v>
      </c>
      <c r="B15" s="17" t="s">
        <v>85</v>
      </c>
      <c r="C15" s="17" t="s">
        <v>61</v>
      </c>
      <c r="D15" s="17" t="s">
        <v>64</v>
      </c>
      <c r="E15" s="17" t="s">
        <v>65</v>
      </c>
      <c r="F15" s="19" t="n">
        <v>49.42</v>
      </c>
      <c r="G15" s="19" t="n">
        <v>16.76</v>
      </c>
      <c r="H15" s="9" t="n">
        <f aca="false">F15+G15</f>
        <v>66.18</v>
      </c>
      <c r="I15" s="8" t="n">
        <f aca="false">IFERROR(F15/SUMIFS($F:$F,$A:$A,A15),0)</f>
        <v>0.0262753542281415</v>
      </c>
      <c r="J15" s="20" t="n">
        <v>15</v>
      </c>
      <c r="K15" s="17"/>
    </row>
    <row r="16" customFormat="false" ht="15" hidden="false" customHeight="false" outlineLevel="0" collapsed="false">
      <c r="A16" s="17" t="s">
        <v>15</v>
      </c>
      <c r="B16" s="17" t="s">
        <v>86</v>
      </c>
      <c r="C16" s="17" t="s">
        <v>57</v>
      </c>
      <c r="D16" s="17" t="s">
        <v>75</v>
      </c>
      <c r="E16" s="17" t="s">
        <v>65</v>
      </c>
      <c r="F16" s="19" t="n">
        <v>48.98</v>
      </c>
      <c r="G16" s="19" t="n">
        <v>0</v>
      </c>
      <c r="H16" s="9" t="n">
        <f aca="false">F16+G16</f>
        <v>48.98</v>
      </c>
      <c r="I16" s="8" t="n">
        <f aca="false">IFERROR(F16/SUMIFS($F:$F,$A:$A,A16),0)</f>
        <v>0.0260414174442406</v>
      </c>
      <c r="J16" s="20" t="n">
        <v>15</v>
      </c>
      <c r="K16" s="17"/>
    </row>
    <row r="17" customFormat="false" ht="15" hidden="false" customHeight="false" outlineLevel="0" collapsed="false">
      <c r="A17" s="17" t="s">
        <v>15</v>
      </c>
      <c r="B17" s="17" t="s">
        <v>87</v>
      </c>
      <c r="C17" s="17" t="s">
        <v>68</v>
      </c>
      <c r="D17" s="17" t="s">
        <v>64</v>
      </c>
      <c r="E17" s="17" t="s">
        <v>65</v>
      </c>
      <c r="F17" s="19" t="n">
        <v>44.95</v>
      </c>
      <c r="G17" s="19" t="n">
        <v>0</v>
      </c>
      <c r="H17" s="9" t="n">
        <f aca="false">F17+G17</f>
        <v>44.95</v>
      </c>
      <c r="I17" s="8" t="n">
        <f aca="false">IFERROR(F17/SUMIFS($F:$F,$A:$A,A17),0)</f>
        <v>0.023898769173512</v>
      </c>
      <c r="J17" s="20" t="n">
        <v>1</v>
      </c>
      <c r="K17" s="17"/>
    </row>
    <row r="18" customFormat="false" ht="15" hidden="false" customHeight="false" outlineLevel="0" collapsed="false">
      <c r="A18" s="17" t="s">
        <v>15</v>
      </c>
      <c r="B18" s="17" t="s">
        <v>88</v>
      </c>
      <c r="C18" s="17" t="s">
        <v>63</v>
      </c>
      <c r="D18" s="17" t="s">
        <v>89</v>
      </c>
      <c r="E18" s="17" t="s">
        <v>65</v>
      </c>
      <c r="F18" s="19" t="n">
        <v>30.99</v>
      </c>
      <c r="G18" s="19" t="n">
        <v>0</v>
      </c>
      <c r="H18" s="9" t="n">
        <f aca="false">F18+G18</f>
        <v>30.99</v>
      </c>
      <c r="I18" s="8" t="n">
        <f aca="false">IFERROR(F18/SUMIFS($F:$F,$A:$A,A18),0)</f>
        <v>0.0164765930297472</v>
      </c>
      <c r="J18" s="20" t="n">
        <v>2</v>
      </c>
      <c r="K18" s="17"/>
    </row>
    <row r="19" customFormat="false" ht="15" hidden="false" customHeight="false" outlineLevel="0" collapsed="false">
      <c r="A19" s="17" t="s">
        <v>15</v>
      </c>
      <c r="B19" s="17" t="s">
        <v>90</v>
      </c>
      <c r="C19" s="17" t="s">
        <v>68</v>
      </c>
      <c r="D19" s="17" t="s">
        <v>58</v>
      </c>
      <c r="E19" s="18" t="s">
        <v>59</v>
      </c>
      <c r="F19" s="19" t="n">
        <v>29.52</v>
      </c>
      <c r="G19" s="19" t="n">
        <v>0</v>
      </c>
      <c r="H19" s="9" t="n">
        <f aca="false">F19+G19</f>
        <v>29.52</v>
      </c>
      <c r="I19" s="8" t="n">
        <f aca="false">IFERROR(F19/SUMIFS($F:$F,$A:$A,A19),0)</f>
        <v>0.0156950315017147</v>
      </c>
      <c r="J19" s="20" t="n">
        <v>18</v>
      </c>
      <c r="K19" s="17"/>
    </row>
    <row r="20" customFormat="false" ht="15" hidden="false" customHeight="false" outlineLevel="0" collapsed="false">
      <c r="A20" s="17" t="s">
        <v>15</v>
      </c>
      <c r="B20" s="17" t="s">
        <v>91</v>
      </c>
      <c r="C20" s="17" t="s">
        <v>63</v>
      </c>
      <c r="D20" s="17" t="s">
        <v>92</v>
      </c>
      <c r="E20" s="17" t="s">
        <v>65</v>
      </c>
      <c r="F20" s="19" t="n">
        <v>20.84</v>
      </c>
      <c r="G20" s="19" t="n">
        <v>0</v>
      </c>
      <c r="H20" s="9" t="n">
        <f aca="false">F20+G20</f>
        <v>20.84</v>
      </c>
      <c r="I20" s="8" t="n">
        <f aca="false">IFERROR(F20/SUMIFS($F:$F,$A:$A,A20),0)</f>
        <v>0.0110800967647606</v>
      </c>
      <c r="J20" s="20" t="n">
        <v>1</v>
      </c>
      <c r="K20" s="17"/>
    </row>
    <row r="21" customFormat="false" ht="15" hidden="false" customHeight="false" outlineLevel="0" collapsed="false">
      <c r="A21" s="17" t="s">
        <v>15</v>
      </c>
      <c r="B21" s="17" t="s">
        <v>93</v>
      </c>
      <c r="C21" s="17" t="s">
        <v>57</v>
      </c>
      <c r="D21" s="17" t="s">
        <v>64</v>
      </c>
      <c r="E21" s="17" t="s">
        <v>65</v>
      </c>
      <c r="F21" s="19" t="n">
        <v>18.45</v>
      </c>
      <c r="G21" s="19" t="n">
        <v>2.56</v>
      </c>
      <c r="H21" s="9" t="n">
        <f aca="false">F21+G21</f>
        <v>21.01</v>
      </c>
      <c r="I21" s="8" t="n">
        <f aca="false">IFERROR(F21/SUMIFS($F:$F,$A:$A,A21),0)</f>
        <v>0.00980939468857166</v>
      </c>
      <c r="J21" s="20" t="n">
        <v>14</v>
      </c>
      <c r="K21" s="17"/>
    </row>
    <row r="22" customFormat="false" ht="15" hidden="false" customHeight="false" outlineLevel="0" collapsed="false">
      <c r="A22" s="17" t="s">
        <v>15</v>
      </c>
      <c r="B22" s="17" t="s">
        <v>94</v>
      </c>
      <c r="C22" s="17" t="s">
        <v>68</v>
      </c>
      <c r="D22" s="17" t="s">
        <v>78</v>
      </c>
      <c r="E22" s="17" t="s">
        <v>65</v>
      </c>
      <c r="F22" s="19" t="n">
        <v>17.15</v>
      </c>
      <c r="G22" s="19" t="n">
        <v>0</v>
      </c>
      <c r="H22" s="9" t="n">
        <f aca="false">F22+G22</f>
        <v>17.15</v>
      </c>
      <c r="I22" s="8" t="n">
        <f aca="false">IFERROR(F22/SUMIFS($F:$F,$A:$A,A22),0)</f>
        <v>0.00911821782704628</v>
      </c>
      <c r="J22" s="20" t="n">
        <v>2</v>
      </c>
      <c r="K22" s="17"/>
    </row>
    <row r="23" customFormat="false" ht="15" hidden="false" customHeight="false" outlineLevel="0" collapsed="false">
      <c r="A23" s="17" t="s">
        <v>15</v>
      </c>
      <c r="B23" s="17" t="s">
        <v>95</v>
      </c>
      <c r="C23" s="17" t="s">
        <v>68</v>
      </c>
      <c r="D23" s="17" t="s">
        <v>83</v>
      </c>
      <c r="E23" s="17" t="s">
        <v>65</v>
      </c>
      <c r="F23" s="19" t="n">
        <v>15.59</v>
      </c>
      <c r="G23" s="19" t="n">
        <v>0</v>
      </c>
      <c r="H23" s="9" t="n">
        <f aca="false">F23+G23</f>
        <v>15.59</v>
      </c>
      <c r="I23" s="8" t="n">
        <f aca="false">IFERROR(F23/SUMIFS($F:$F,$A:$A,A23),0)</f>
        <v>0.00828880559321583</v>
      </c>
      <c r="J23" s="20" t="n">
        <v>7</v>
      </c>
      <c r="K23" s="17"/>
    </row>
    <row r="24" customFormat="false" ht="15" hidden="false" customHeight="false" outlineLevel="0" collapsed="false">
      <c r="A24" s="17" t="s">
        <v>15</v>
      </c>
      <c r="B24" s="17" t="s">
        <v>96</v>
      </c>
      <c r="C24" s="17" t="s">
        <v>97</v>
      </c>
      <c r="D24" s="17" t="s">
        <v>98</v>
      </c>
      <c r="E24" s="17" t="s">
        <v>65</v>
      </c>
      <c r="F24" s="19" t="n">
        <v>14.42</v>
      </c>
      <c r="G24" s="19" t="n">
        <v>0</v>
      </c>
      <c r="H24" s="9" t="n">
        <f aca="false">F24+G24</f>
        <v>14.42</v>
      </c>
      <c r="I24" s="8" t="n">
        <f aca="false">IFERROR(F24/SUMIFS($F:$F,$A:$A,A24),0)</f>
        <v>0.007666746417843</v>
      </c>
      <c r="J24" s="20" t="n">
        <v>2</v>
      </c>
      <c r="K24" s="17"/>
    </row>
    <row r="25" customFormat="false" ht="15" hidden="false" customHeight="false" outlineLevel="0" collapsed="false">
      <c r="A25" s="17" t="s">
        <v>15</v>
      </c>
      <c r="B25" s="17" t="s">
        <v>99</v>
      </c>
      <c r="C25" s="17" t="s">
        <v>57</v>
      </c>
      <c r="D25" s="17" t="s">
        <v>100</v>
      </c>
      <c r="E25" s="17" t="s">
        <v>65</v>
      </c>
      <c r="F25" s="19" t="n">
        <v>12.81</v>
      </c>
      <c r="G25" s="19" t="n">
        <v>0</v>
      </c>
      <c r="H25" s="9" t="n">
        <f aca="false">F25+G25</f>
        <v>12.81</v>
      </c>
      <c r="I25" s="8" t="n">
        <f aca="false">IFERROR(F25/SUMIFS($F:$F,$A:$A,A25),0)</f>
        <v>0.00681075045856926</v>
      </c>
      <c r="J25" s="20" t="n">
        <v>16</v>
      </c>
      <c r="K25" s="17"/>
    </row>
    <row r="26" customFormat="false" ht="15" hidden="false" customHeight="false" outlineLevel="0" collapsed="false">
      <c r="A26" s="17" t="s">
        <v>15</v>
      </c>
      <c r="B26" s="17" t="s">
        <v>101</v>
      </c>
      <c r="C26" s="17" t="s">
        <v>68</v>
      </c>
      <c r="D26" s="17" t="s">
        <v>102</v>
      </c>
      <c r="E26" s="17" t="s">
        <v>65</v>
      </c>
      <c r="F26" s="19" t="n">
        <v>7.63</v>
      </c>
      <c r="G26" s="19" t="n">
        <v>0</v>
      </c>
      <c r="H26" s="9" t="n">
        <f aca="false">F26+G26</f>
        <v>7.63</v>
      </c>
      <c r="I26" s="8" t="n">
        <f aca="false">IFERROR(F26/SUMIFS($F:$F,$A:$A,A26),0)</f>
        <v>0.00405667650264508</v>
      </c>
      <c r="J26" s="20" t="n">
        <v>2</v>
      </c>
      <c r="K26" s="17"/>
    </row>
    <row r="27" customFormat="false" ht="15" hidden="false" customHeight="false" outlineLevel="0" collapsed="false">
      <c r="A27" s="17" t="s">
        <v>15</v>
      </c>
      <c r="B27" s="17" t="s">
        <v>103</v>
      </c>
      <c r="C27" s="17" t="s">
        <v>68</v>
      </c>
      <c r="D27" s="17" t="s">
        <v>92</v>
      </c>
      <c r="E27" s="17" t="s">
        <v>65</v>
      </c>
      <c r="F27" s="19" t="n">
        <v>7.16</v>
      </c>
      <c r="G27" s="19" t="n">
        <v>0</v>
      </c>
      <c r="H27" s="9" t="n">
        <f aca="false">F27+G27</f>
        <v>7.16</v>
      </c>
      <c r="I27" s="8" t="n">
        <f aca="false">IFERROR(F27/SUMIFS($F:$F,$A:$A,A27),0)</f>
        <v>0.00380678948347822</v>
      </c>
      <c r="J27" s="20" t="n">
        <v>0</v>
      </c>
      <c r="K27" s="17"/>
    </row>
    <row r="28" customFormat="false" ht="15" hidden="false" customHeight="false" outlineLevel="0" collapsed="false">
      <c r="A28" s="17" t="s">
        <v>15</v>
      </c>
      <c r="B28" s="17" t="s">
        <v>104</v>
      </c>
      <c r="C28" s="17" t="s">
        <v>63</v>
      </c>
      <c r="D28" s="17" t="s">
        <v>100</v>
      </c>
      <c r="E28" s="17" t="s">
        <v>65</v>
      </c>
      <c r="F28" s="19" t="n">
        <v>5.57</v>
      </c>
      <c r="G28" s="19" t="n">
        <v>0</v>
      </c>
      <c r="H28" s="9" t="n">
        <f aca="false">F28+G28</f>
        <v>5.57</v>
      </c>
      <c r="I28" s="8" t="n">
        <f aca="false">IFERROR(F28/SUMIFS($F:$F,$A:$A,A28),0)</f>
        <v>0.0029614270143818</v>
      </c>
      <c r="J28" s="20" t="n">
        <v>1</v>
      </c>
      <c r="K28" s="17"/>
    </row>
    <row r="29" customFormat="false" ht="15" hidden="false" customHeight="false" outlineLevel="0" collapsed="false">
      <c r="A29" s="17" t="s">
        <v>15</v>
      </c>
      <c r="B29" s="17" t="s">
        <v>105</v>
      </c>
      <c r="C29" s="17" t="s">
        <v>68</v>
      </c>
      <c r="D29" s="17" t="s">
        <v>72</v>
      </c>
      <c r="E29" s="17" t="s">
        <v>65</v>
      </c>
      <c r="F29" s="19" t="n">
        <v>4.99</v>
      </c>
      <c r="G29" s="19" t="n">
        <v>0</v>
      </c>
      <c r="H29" s="9" t="n">
        <f aca="false">F29+G29</f>
        <v>4.99</v>
      </c>
      <c r="I29" s="8" t="n">
        <f aca="false">IFERROR(F29/SUMIFS($F:$F,$A:$A,A29),0)</f>
        <v>0.00265305579923971</v>
      </c>
      <c r="J29" s="20" t="n">
        <v>1</v>
      </c>
      <c r="K29" s="17"/>
    </row>
    <row r="30" customFormat="false" ht="15" hidden="false" customHeight="false" outlineLevel="0" collapsed="false">
      <c r="A30" s="17" t="s">
        <v>15</v>
      </c>
      <c r="B30" s="17" t="s">
        <v>106</v>
      </c>
      <c r="C30" s="17" t="s">
        <v>61</v>
      </c>
      <c r="D30" s="17" t="s">
        <v>78</v>
      </c>
      <c r="E30" s="17" t="s">
        <v>65</v>
      </c>
      <c r="F30" s="19" t="n">
        <v>4.75</v>
      </c>
      <c r="G30" s="19" t="n">
        <v>0</v>
      </c>
      <c r="H30" s="9" t="n">
        <f aca="false">F30+G30</f>
        <v>4.75</v>
      </c>
      <c r="I30" s="8" t="n">
        <f aca="false">IFERROR(F30/SUMIFS($F:$F,$A:$A,A30),0)</f>
        <v>0.00252545391711194</v>
      </c>
      <c r="J30" s="20" t="n">
        <v>1</v>
      </c>
      <c r="K30" s="17"/>
    </row>
    <row r="31" customFormat="false" ht="15" hidden="false" customHeight="false" outlineLevel="0" collapsed="false">
      <c r="A31" s="17" t="s">
        <v>15</v>
      </c>
      <c r="B31" s="17" t="s">
        <v>107</v>
      </c>
      <c r="C31" s="17" t="s">
        <v>68</v>
      </c>
      <c r="D31" s="17" t="s">
        <v>108</v>
      </c>
      <c r="E31" s="17" t="s">
        <v>65</v>
      </c>
      <c r="F31" s="19" t="n">
        <v>4.1</v>
      </c>
      <c r="G31" s="19" t="n">
        <v>0</v>
      </c>
      <c r="H31" s="9" t="n">
        <f aca="false">F31+G31</f>
        <v>4.1</v>
      </c>
      <c r="I31" s="8" t="n">
        <f aca="false">IFERROR(F31/SUMIFS($F:$F,$A:$A,A31),0)</f>
        <v>0.00217986548634926</v>
      </c>
      <c r="J31" s="20" t="n">
        <v>1</v>
      </c>
      <c r="K31" s="17"/>
    </row>
    <row r="32" customFormat="false" ht="15" hidden="false" customHeight="false" outlineLevel="0" collapsed="false">
      <c r="A32" s="17" t="s">
        <v>15</v>
      </c>
      <c r="B32" s="17" t="s">
        <v>109</v>
      </c>
      <c r="C32" s="17" t="s">
        <v>63</v>
      </c>
      <c r="D32" s="17" t="s">
        <v>108</v>
      </c>
      <c r="E32" s="17" t="s">
        <v>65</v>
      </c>
      <c r="F32" s="19" t="n">
        <v>3.81</v>
      </c>
      <c r="G32" s="19" t="n">
        <v>0</v>
      </c>
      <c r="H32" s="9" t="n">
        <f aca="false">F32+G32</f>
        <v>3.81</v>
      </c>
      <c r="I32" s="8" t="n">
        <f aca="false">IFERROR(F32/SUMIFS($F:$F,$A:$A,A32),0)</f>
        <v>0.00202567987877821</v>
      </c>
      <c r="J32" s="20" t="n">
        <v>0</v>
      </c>
      <c r="K32" s="17"/>
    </row>
    <row r="33" customFormat="false" ht="15" hidden="false" customHeight="false" outlineLevel="0" collapsed="false">
      <c r="A33" s="17" t="s">
        <v>15</v>
      </c>
      <c r="B33" s="17" t="s">
        <v>110</v>
      </c>
      <c r="C33" s="17" t="s">
        <v>97</v>
      </c>
      <c r="D33" s="17" t="s">
        <v>75</v>
      </c>
      <c r="E33" s="17" t="s">
        <v>65</v>
      </c>
      <c r="F33" s="19" t="n">
        <v>3.3</v>
      </c>
      <c r="G33" s="19" t="n">
        <v>0</v>
      </c>
      <c r="H33" s="9" t="n">
        <f aca="false">F33+G33</f>
        <v>3.3</v>
      </c>
      <c r="I33" s="8" t="n">
        <f aca="false">IFERROR(F33/SUMIFS($F:$F,$A:$A,A33),0)</f>
        <v>0.00175452587925672</v>
      </c>
      <c r="J33" s="20" t="n">
        <v>1</v>
      </c>
      <c r="K33" s="17"/>
    </row>
    <row r="34" customFormat="false" ht="15" hidden="false" customHeight="false" outlineLevel="0" collapsed="false">
      <c r="A34" s="17" t="s">
        <v>15</v>
      </c>
      <c r="B34" s="17" t="s">
        <v>111</v>
      </c>
      <c r="C34" s="17" t="s">
        <v>68</v>
      </c>
      <c r="D34" s="17" t="s">
        <v>98</v>
      </c>
      <c r="E34" s="17" t="s">
        <v>65</v>
      </c>
      <c r="F34" s="19" t="n">
        <v>2.62</v>
      </c>
      <c r="G34" s="19" t="n">
        <v>0</v>
      </c>
      <c r="H34" s="9" t="n">
        <f aca="false">F34+G34</f>
        <v>2.62</v>
      </c>
      <c r="I34" s="8" t="n">
        <f aca="false">IFERROR(F34/SUMIFS($F:$F,$A:$A,A34),0)</f>
        <v>0.00139298721322806</v>
      </c>
      <c r="J34" s="20" t="n">
        <v>0</v>
      </c>
      <c r="K34" s="17"/>
    </row>
    <row r="35" customFormat="false" ht="15" hidden="false" customHeight="false" outlineLevel="0" collapsed="false">
      <c r="A35" s="17" t="s">
        <v>15</v>
      </c>
      <c r="B35" s="17" t="s">
        <v>112</v>
      </c>
      <c r="C35" s="17" t="s">
        <v>63</v>
      </c>
      <c r="D35" s="17" t="s">
        <v>72</v>
      </c>
      <c r="E35" s="17" t="s">
        <v>65</v>
      </c>
      <c r="F35" s="19" t="n">
        <v>2.08</v>
      </c>
      <c r="G35" s="19" t="n">
        <v>0</v>
      </c>
      <c r="H35" s="9" t="n">
        <f aca="false">F35+G35</f>
        <v>2.08</v>
      </c>
      <c r="I35" s="8" t="n">
        <f aca="false">IFERROR(F35/SUMIFS($F:$F,$A:$A,A35),0)</f>
        <v>0.0011058829784406</v>
      </c>
      <c r="J35" s="20" t="n">
        <v>8</v>
      </c>
      <c r="K35" s="17"/>
    </row>
    <row r="36" customFormat="false" ht="15" hidden="false" customHeight="false" outlineLevel="0" collapsed="false">
      <c r="A36" s="17" t="s">
        <v>15</v>
      </c>
      <c r="B36" s="17" t="s">
        <v>113</v>
      </c>
      <c r="C36" s="17" t="s">
        <v>68</v>
      </c>
      <c r="D36" s="17" t="s">
        <v>100</v>
      </c>
      <c r="E36" s="17" t="s">
        <v>65</v>
      </c>
      <c r="F36" s="19" t="n">
        <v>1.45</v>
      </c>
      <c r="G36" s="19" t="n">
        <v>0</v>
      </c>
      <c r="H36" s="9" t="n">
        <f aca="false">F36+G36</f>
        <v>1.45</v>
      </c>
      <c r="I36" s="8" t="n">
        <f aca="false">IFERROR(F36/SUMIFS($F:$F,$A:$A,A36),0)</f>
        <v>0.000770928037855225</v>
      </c>
      <c r="J36" s="20" t="n">
        <v>1</v>
      </c>
      <c r="K36" s="17"/>
    </row>
    <row r="37" customFormat="false" ht="15" hidden="false" customHeight="false" outlineLevel="0" collapsed="false">
      <c r="A37" s="17" t="s">
        <v>16</v>
      </c>
      <c r="B37" s="17" t="s">
        <v>114</v>
      </c>
      <c r="C37" s="17" t="s">
        <v>57</v>
      </c>
      <c r="D37" s="17" t="s">
        <v>58</v>
      </c>
      <c r="E37" s="18" t="s">
        <v>59</v>
      </c>
      <c r="F37" s="19" t="n">
        <v>770.42</v>
      </c>
      <c r="G37" s="19" t="n">
        <v>0.53</v>
      </c>
      <c r="H37" s="9" t="n">
        <f aca="false">F37+G37</f>
        <v>770.95</v>
      </c>
      <c r="I37" s="8" t="n">
        <f aca="false">IFERROR(F37/SUMIFS($F:$F,$A:$A,A37),0)</f>
        <v>0.514835208895779</v>
      </c>
      <c r="J37" s="20" t="n">
        <v>50</v>
      </c>
      <c r="K37" s="17"/>
    </row>
    <row r="38" customFormat="false" ht="15" hidden="false" customHeight="false" outlineLevel="0" collapsed="false">
      <c r="A38" s="17" t="s">
        <v>16</v>
      </c>
      <c r="B38" s="17" t="s">
        <v>115</v>
      </c>
      <c r="C38" s="17" t="s">
        <v>61</v>
      </c>
      <c r="D38" s="17" t="s">
        <v>64</v>
      </c>
      <c r="E38" s="17" t="s">
        <v>65</v>
      </c>
      <c r="F38" s="19" t="n">
        <v>244.49</v>
      </c>
      <c r="G38" s="19" t="n">
        <v>0</v>
      </c>
      <c r="H38" s="9" t="n">
        <f aca="false">F38+G38</f>
        <v>244.49</v>
      </c>
      <c r="I38" s="8" t="n">
        <f aca="false">IFERROR(F38/SUMIFS($F:$F,$A:$A,A38),0)</f>
        <v>0.163381091122932</v>
      </c>
      <c r="J38" s="20" t="n">
        <v>7</v>
      </c>
      <c r="K38" s="17" t="s">
        <v>116</v>
      </c>
    </row>
    <row r="39" customFormat="false" ht="15" hidden="false" customHeight="false" outlineLevel="0" collapsed="false">
      <c r="A39" s="17" t="s">
        <v>16</v>
      </c>
      <c r="B39" s="17" t="s">
        <v>117</v>
      </c>
      <c r="C39" s="17" t="s">
        <v>61</v>
      </c>
      <c r="D39" s="17" t="s">
        <v>58</v>
      </c>
      <c r="E39" s="18" t="s">
        <v>59</v>
      </c>
      <c r="F39" s="19" t="n">
        <v>118.69</v>
      </c>
      <c r="G39" s="19" t="n">
        <v>0.3</v>
      </c>
      <c r="H39" s="9" t="n">
        <f aca="false">F39+G39</f>
        <v>118.99</v>
      </c>
      <c r="I39" s="8" t="n">
        <f aca="false">IFERROR(F39/SUMIFS($F:$F,$A:$A,A39),0)</f>
        <v>0.0793149073801823</v>
      </c>
      <c r="J39" s="20" t="n">
        <v>30</v>
      </c>
      <c r="K39" s="17"/>
    </row>
    <row r="40" customFormat="false" ht="15" hidden="false" customHeight="false" outlineLevel="0" collapsed="false">
      <c r="A40" s="17" t="s">
        <v>16</v>
      </c>
      <c r="B40" s="17" t="s">
        <v>118</v>
      </c>
      <c r="C40" s="17" t="s">
        <v>57</v>
      </c>
      <c r="D40" s="17" t="s">
        <v>98</v>
      </c>
      <c r="E40" s="17" t="s">
        <v>65</v>
      </c>
      <c r="F40" s="19" t="n">
        <v>75.08</v>
      </c>
      <c r="G40" s="19" t="n">
        <v>0</v>
      </c>
      <c r="H40" s="9" t="n">
        <f aca="false">F40+G40</f>
        <v>75.08</v>
      </c>
      <c r="I40" s="8" t="n">
        <f aca="false">IFERROR(F40/SUMIFS($F:$F,$A:$A,A40),0)</f>
        <v>0.0501724091844645</v>
      </c>
      <c r="J40" s="20" t="n">
        <v>3</v>
      </c>
      <c r="K40" s="17"/>
    </row>
    <row r="41" customFormat="false" ht="15" hidden="false" customHeight="false" outlineLevel="0" collapsed="false">
      <c r="A41" s="17" t="s">
        <v>16</v>
      </c>
      <c r="B41" s="17" t="s">
        <v>119</v>
      </c>
      <c r="C41" s="17" t="s">
        <v>61</v>
      </c>
      <c r="D41" s="17" t="s">
        <v>69</v>
      </c>
      <c r="E41" s="17" t="s">
        <v>65</v>
      </c>
      <c r="F41" s="19" t="n">
        <v>65.07</v>
      </c>
      <c r="G41" s="19" t="n">
        <v>0</v>
      </c>
      <c r="H41" s="9" t="n">
        <f aca="false">F41+G41</f>
        <v>65.07</v>
      </c>
      <c r="I41" s="8" t="n">
        <f aca="false">IFERROR(F41/SUMIFS($F:$F,$A:$A,A41),0)</f>
        <v>0.0434832001283045</v>
      </c>
      <c r="J41" s="20" t="n">
        <v>10</v>
      </c>
      <c r="K41" s="17"/>
    </row>
    <row r="42" customFormat="false" ht="15" hidden="false" customHeight="false" outlineLevel="0" collapsed="false">
      <c r="A42" s="17" t="s">
        <v>16</v>
      </c>
      <c r="B42" s="17" t="s">
        <v>120</v>
      </c>
      <c r="C42" s="17" t="s">
        <v>63</v>
      </c>
      <c r="D42" s="17" t="s">
        <v>64</v>
      </c>
      <c r="E42" s="17" t="s">
        <v>65</v>
      </c>
      <c r="F42" s="19" t="n">
        <v>36.84</v>
      </c>
      <c r="G42" s="19" t="n">
        <v>0</v>
      </c>
      <c r="H42" s="9" t="n">
        <f aca="false">F42+G42</f>
        <v>36.84</v>
      </c>
      <c r="I42" s="8" t="n">
        <f aca="false">IFERROR(F42/SUMIFS($F:$F,$A:$A,A42),0)</f>
        <v>0.0246184277351581</v>
      </c>
      <c r="J42" s="20" t="n">
        <v>1</v>
      </c>
      <c r="K42" s="17"/>
    </row>
    <row r="43" customFormat="false" ht="15" hidden="false" customHeight="false" outlineLevel="0" collapsed="false">
      <c r="A43" s="17" t="s">
        <v>16</v>
      </c>
      <c r="B43" s="17" t="s">
        <v>121</v>
      </c>
      <c r="C43" s="17" t="s">
        <v>57</v>
      </c>
      <c r="D43" s="17" t="s">
        <v>78</v>
      </c>
      <c r="E43" s="17" t="s">
        <v>65</v>
      </c>
      <c r="F43" s="19" t="n">
        <v>35.67</v>
      </c>
      <c r="G43" s="19" t="n">
        <v>0</v>
      </c>
      <c r="H43" s="9" t="n">
        <f aca="false">F43+G43</f>
        <v>35.67</v>
      </c>
      <c r="I43" s="8" t="n">
        <f aca="false">IFERROR(F43/SUMIFS($F:$F,$A:$A,A43),0)</f>
        <v>0.0238365721311914</v>
      </c>
      <c r="J43" s="20" t="n">
        <v>15</v>
      </c>
      <c r="K43" s="17"/>
    </row>
    <row r="44" customFormat="false" ht="15" hidden="false" customHeight="false" outlineLevel="0" collapsed="false">
      <c r="A44" s="17" t="s">
        <v>16</v>
      </c>
      <c r="B44" s="17" t="s">
        <v>122</v>
      </c>
      <c r="C44" s="17" t="s">
        <v>61</v>
      </c>
      <c r="D44" s="17" t="s">
        <v>92</v>
      </c>
      <c r="E44" s="17" t="s">
        <v>65</v>
      </c>
      <c r="F44" s="19" t="n">
        <v>22.76</v>
      </c>
      <c r="G44" s="19" t="n">
        <v>0</v>
      </c>
      <c r="H44" s="9" t="n">
        <f aca="false">F44+G44</f>
        <v>22.76</v>
      </c>
      <c r="I44" s="8" t="n">
        <f aca="false">IFERROR(F44/SUMIFS($F:$F,$A:$A,A44),0)</f>
        <v>0.0152094303814386</v>
      </c>
      <c r="J44" s="20" t="n">
        <v>1</v>
      </c>
      <c r="K44" s="17"/>
    </row>
    <row r="45" customFormat="false" ht="15" hidden="false" customHeight="false" outlineLevel="0" collapsed="false">
      <c r="A45" s="17" t="s">
        <v>16</v>
      </c>
      <c r="B45" s="17" t="s">
        <v>123</v>
      </c>
      <c r="C45" s="17" t="s">
        <v>68</v>
      </c>
      <c r="D45" s="17" t="s">
        <v>64</v>
      </c>
      <c r="E45" s="17" t="s">
        <v>65</v>
      </c>
      <c r="F45" s="19" t="n">
        <v>20.2</v>
      </c>
      <c r="G45" s="19" t="n">
        <v>0</v>
      </c>
      <c r="H45" s="9" t="n">
        <f aca="false">F45+G45</f>
        <v>20.2</v>
      </c>
      <c r="I45" s="8" t="n">
        <f aca="false">IFERROR(F45/SUMIFS($F:$F,$A:$A,A45),0)</f>
        <v>0.0134987035898533</v>
      </c>
      <c r="J45" s="20" t="n">
        <v>0</v>
      </c>
      <c r="K45" s="17"/>
    </row>
    <row r="46" customFormat="false" ht="15" hidden="false" customHeight="false" outlineLevel="0" collapsed="false">
      <c r="A46" s="17" t="s">
        <v>16</v>
      </c>
      <c r="B46" s="17" t="s">
        <v>124</v>
      </c>
      <c r="C46" s="17" t="s">
        <v>61</v>
      </c>
      <c r="D46" s="17" t="s">
        <v>89</v>
      </c>
      <c r="E46" s="17" t="s">
        <v>65</v>
      </c>
      <c r="F46" s="19" t="n">
        <v>17.2</v>
      </c>
      <c r="G46" s="19" t="n">
        <v>0</v>
      </c>
      <c r="H46" s="9" t="n">
        <f aca="false">F46+G46</f>
        <v>17.2</v>
      </c>
      <c r="I46" s="8" t="n">
        <f aca="false">IFERROR(F46/SUMIFS($F:$F,$A:$A,A46),0)</f>
        <v>0.0114939456309642</v>
      </c>
      <c r="J46" s="20" t="n">
        <v>15</v>
      </c>
      <c r="K46" s="17"/>
    </row>
    <row r="47" customFormat="false" ht="15" hidden="false" customHeight="false" outlineLevel="0" collapsed="false">
      <c r="A47" s="17" t="s">
        <v>16</v>
      </c>
      <c r="B47" s="17" t="s">
        <v>125</v>
      </c>
      <c r="C47" s="17" t="s">
        <v>63</v>
      </c>
      <c r="D47" s="17" t="s">
        <v>78</v>
      </c>
      <c r="E47" s="17" t="s">
        <v>65</v>
      </c>
      <c r="F47" s="19" t="n">
        <v>13.52</v>
      </c>
      <c r="G47" s="19" t="n">
        <v>0</v>
      </c>
      <c r="H47" s="9" t="n">
        <f aca="false">F47+G47</f>
        <v>13.52</v>
      </c>
      <c r="I47" s="8" t="n">
        <f aca="false">IFERROR(F47/SUMIFS($F:$F,$A:$A,A47),0)</f>
        <v>0.0090347758680602</v>
      </c>
      <c r="J47" s="20" t="n">
        <v>0</v>
      </c>
      <c r="K47" s="17"/>
    </row>
    <row r="48" customFormat="false" ht="15" hidden="false" customHeight="false" outlineLevel="0" collapsed="false">
      <c r="A48" s="17" t="s">
        <v>16</v>
      </c>
      <c r="B48" s="17" t="s">
        <v>126</v>
      </c>
      <c r="C48" s="17" t="s">
        <v>61</v>
      </c>
      <c r="D48" s="17" t="s">
        <v>83</v>
      </c>
      <c r="E48" s="17" t="s">
        <v>65</v>
      </c>
      <c r="F48" s="19" t="n">
        <v>13.19</v>
      </c>
      <c r="G48" s="19" t="n">
        <v>0</v>
      </c>
      <c r="H48" s="9" t="n">
        <f aca="false">F48+G48</f>
        <v>13.19</v>
      </c>
      <c r="I48" s="8" t="n">
        <f aca="false">IFERROR(F48/SUMIFS($F:$F,$A:$A,A48),0)</f>
        <v>0.0088142524925824</v>
      </c>
      <c r="J48" s="20" t="n">
        <v>7</v>
      </c>
      <c r="K48" s="17"/>
    </row>
    <row r="49" customFormat="false" ht="15" hidden="false" customHeight="false" outlineLevel="0" collapsed="false">
      <c r="A49" s="17" t="s">
        <v>16</v>
      </c>
      <c r="B49" s="17" t="s">
        <v>127</v>
      </c>
      <c r="C49" s="17" t="s">
        <v>68</v>
      </c>
      <c r="D49" s="17" t="s">
        <v>89</v>
      </c>
      <c r="E49" s="17" t="s">
        <v>65</v>
      </c>
      <c r="F49" s="19" t="n">
        <v>8.24</v>
      </c>
      <c r="G49" s="19" t="n">
        <v>0</v>
      </c>
      <c r="H49" s="9" t="n">
        <f aca="false">F49+G49</f>
        <v>8.24</v>
      </c>
      <c r="I49" s="8" t="n">
        <f aca="false">IFERROR(F49/SUMIFS($F:$F,$A:$A,A49),0)</f>
        <v>0.00550640186041539</v>
      </c>
      <c r="J49" s="20" t="n">
        <v>0</v>
      </c>
      <c r="K49" s="17"/>
    </row>
    <row r="50" customFormat="false" ht="15" hidden="false" customHeight="false" outlineLevel="0" collapsed="false">
      <c r="A50" s="17" t="s">
        <v>16</v>
      </c>
      <c r="B50" s="17" t="s">
        <v>128</v>
      </c>
      <c r="C50" s="17" t="s">
        <v>57</v>
      </c>
      <c r="D50" s="17" t="s">
        <v>89</v>
      </c>
      <c r="E50" s="17" t="s">
        <v>65</v>
      </c>
      <c r="F50" s="19" t="n">
        <v>7.76</v>
      </c>
      <c r="G50" s="19" t="n">
        <v>0</v>
      </c>
      <c r="H50" s="9" t="n">
        <f aca="false">F50+G50</f>
        <v>7.76</v>
      </c>
      <c r="I50" s="8" t="n">
        <f aca="false">IFERROR(F50/SUMIFS($F:$F,$A:$A,A50),0)</f>
        <v>0.00518564058699313</v>
      </c>
      <c r="J50" s="20" t="n">
        <v>7</v>
      </c>
      <c r="K50" s="17"/>
    </row>
    <row r="51" customFormat="false" ht="15" hidden="false" customHeight="false" outlineLevel="0" collapsed="false">
      <c r="A51" s="17" t="s">
        <v>16</v>
      </c>
      <c r="B51" s="17" t="s">
        <v>129</v>
      </c>
      <c r="C51" s="17" t="s">
        <v>68</v>
      </c>
      <c r="D51" s="17" t="s">
        <v>80</v>
      </c>
      <c r="E51" s="17" t="s">
        <v>65</v>
      </c>
      <c r="F51" s="19" t="n">
        <v>7.18</v>
      </c>
      <c r="G51" s="19" t="n">
        <v>0</v>
      </c>
      <c r="H51" s="9" t="n">
        <f aca="false">F51+G51</f>
        <v>7.18</v>
      </c>
      <c r="I51" s="8" t="n">
        <f aca="false">IFERROR(F51/SUMIFS($F:$F,$A:$A,A51),0)</f>
        <v>0.00479805404827457</v>
      </c>
      <c r="J51" s="20" t="n">
        <v>6</v>
      </c>
      <c r="K51" s="17"/>
    </row>
    <row r="52" customFormat="false" ht="15" hidden="false" customHeight="false" outlineLevel="0" collapsed="false">
      <c r="A52" s="17" t="s">
        <v>16</v>
      </c>
      <c r="B52" s="17" t="s">
        <v>130</v>
      </c>
      <c r="C52" s="17" t="s">
        <v>57</v>
      </c>
      <c r="D52" s="17" t="s">
        <v>75</v>
      </c>
      <c r="E52" s="17" t="s">
        <v>65</v>
      </c>
      <c r="F52" s="19" t="n">
        <v>6.51</v>
      </c>
      <c r="G52" s="19" t="n">
        <v>0</v>
      </c>
      <c r="H52" s="9" t="n">
        <f aca="false">F52+G52</f>
        <v>6.51</v>
      </c>
      <c r="I52" s="8" t="n">
        <f aca="false">IFERROR(F52/SUMIFS($F:$F,$A:$A,A52),0)</f>
        <v>0.00435032477078934</v>
      </c>
      <c r="J52" s="20" t="n">
        <v>10</v>
      </c>
      <c r="K52" s="17"/>
    </row>
    <row r="53" customFormat="false" ht="15" hidden="false" customHeight="false" outlineLevel="0" collapsed="false">
      <c r="A53" s="17" t="s">
        <v>16</v>
      </c>
      <c r="B53" s="17" t="s">
        <v>131</v>
      </c>
      <c r="C53" s="17" t="s">
        <v>97</v>
      </c>
      <c r="D53" s="17" t="s">
        <v>132</v>
      </c>
      <c r="E53" s="17" t="s">
        <v>65</v>
      </c>
      <c r="F53" s="19" t="n">
        <v>6.16</v>
      </c>
      <c r="G53" s="19" t="n">
        <v>0</v>
      </c>
      <c r="H53" s="9" t="n">
        <f aca="false">F53+G53</f>
        <v>6.16</v>
      </c>
      <c r="I53" s="8" t="n">
        <f aca="false">IFERROR(F53/SUMIFS($F:$F,$A:$A,A53),0)</f>
        <v>0.00411643634225228</v>
      </c>
      <c r="J53" s="20" t="n">
        <v>0</v>
      </c>
      <c r="K53" s="17"/>
    </row>
    <row r="54" customFormat="false" ht="15" hidden="false" customHeight="false" outlineLevel="0" collapsed="false">
      <c r="A54" s="17" t="s">
        <v>16</v>
      </c>
      <c r="B54" s="17" t="s">
        <v>133</v>
      </c>
      <c r="C54" s="17" t="s">
        <v>63</v>
      </c>
      <c r="D54" s="17" t="s">
        <v>92</v>
      </c>
      <c r="E54" s="17" t="s">
        <v>65</v>
      </c>
      <c r="F54" s="19" t="n">
        <v>5.73</v>
      </c>
      <c r="G54" s="19" t="n">
        <v>0</v>
      </c>
      <c r="H54" s="9" t="n">
        <f aca="false">F54+G54</f>
        <v>5.73</v>
      </c>
      <c r="I54" s="8" t="n">
        <f aca="false">IFERROR(F54/SUMIFS($F:$F,$A:$A,A54),0)</f>
        <v>0.00382908770147818</v>
      </c>
      <c r="J54" s="20" t="n">
        <v>0</v>
      </c>
      <c r="K54" s="17"/>
    </row>
    <row r="55" customFormat="false" ht="15" hidden="false" customHeight="false" outlineLevel="0" collapsed="false">
      <c r="A55" s="17" t="s">
        <v>16</v>
      </c>
      <c r="B55" s="17" t="s">
        <v>134</v>
      </c>
      <c r="C55" s="17" t="s">
        <v>97</v>
      </c>
      <c r="D55" s="17" t="s">
        <v>58</v>
      </c>
      <c r="E55" s="18" t="s">
        <v>59</v>
      </c>
      <c r="F55" s="19" t="n">
        <v>5.69</v>
      </c>
      <c r="G55" s="19" t="n">
        <v>0</v>
      </c>
      <c r="H55" s="9" t="n">
        <f aca="false">F55+G55</f>
        <v>5.69</v>
      </c>
      <c r="I55" s="8" t="n">
        <f aca="false">IFERROR(F55/SUMIFS($F:$F,$A:$A,A55),0)</f>
        <v>0.00380235759535965</v>
      </c>
      <c r="J55" s="20" t="n">
        <v>2</v>
      </c>
      <c r="K55" s="17"/>
    </row>
    <row r="56" customFormat="false" ht="15" hidden="false" customHeight="false" outlineLevel="0" collapsed="false">
      <c r="A56" s="17" t="s">
        <v>16</v>
      </c>
      <c r="B56" s="17" t="s">
        <v>135</v>
      </c>
      <c r="C56" s="17" t="s">
        <v>61</v>
      </c>
      <c r="D56" s="17" t="s">
        <v>100</v>
      </c>
      <c r="E56" s="17" t="s">
        <v>65</v>
      </c>
      <c r="F56" s="19" t="n">
        <v>5.63</v>
      </c>
      <c r="G56" s="19" t="n">
        <v>0</v>
      </c>
      <c r="H56" s="9" t="n">
        <f aca="false">F56+G56</f>
        <v>5.63</v>
      </c>
      <c r="I56" s="8" t="n">
        <f aca="false">IFERROR(F56/SUMIFS($F:$F,$A:$A,A56),0)</f>
        <v>0.00376226243618187</v>
      </c>
      <c r="J56" s="20" t="n">
        <v>16</v>
      </c>
      <c r="K56" s="17"/>
    </row>
    <row r="57" customFormat="false" ht="15" hidden="false" customHeight="false" outlineLevel="0" collapsed="false">
      <c r="A57" s="17" t="s">
        <v>16</v>
      </c>
      <c r="B57" s="17" t="s">
        <v>136</v>
      </c>
      <c r="C57" s="17" t="s">
        <v>63</v>
      </c>
      <c r="D57" s="17" t="s">
        <v>100</v>
      </c>
      <c r="E57" s="17" t="s">
        <v>65</v>
      </c>
      <c r="F57" s="19" t="n">
        <v>5.16</v>
      </c>
      <c r="G57" s="19" t="n">
        <v>0</v>
      </c>
      <c r="H57" s="9" t="n">
        <f aca="false">F57+G57</f>
        <v>5.16</v>
      </c>
      <c r="I57" s="8" t="n">
        <f aca="false">IFERROR(F57/SUMIFS($F:$F,$A:$A,A57),0)</f>
        <v>0.00344818368928925</v>
      </c>
      <c r="J57" s="20" t="n">
        <v>7</v>
      </c>
      <c r="K57" s="17"/>
    </row>
    <row r="58" customFormat="false" ht="15" hidden="false" customHeight="false" outlineLevel="0" collapsed="false">
      <c r="A58" s="17" t="s">
        <v>16</v>
      </c>
      <c r="B58" s="17" t="s">
        <v>137</v>
      </c>
      <c r="C58" s="17" t="s">
        <v>97</v>
      </c>
      <c r="D58" s="17" t="s">
        <v>100</v>
      </c>
      <c r="E58" s="17" t="s">
        <v>65</v>
      </c>
      <c r="F58" s="19" t="n">
        <v>3</v>
      </c>
      <c r="G58" s="19" t="n">
        <v>0</v>
      </c>
      <c r="H58" s="9" t="n">
        <f aca="false">F58+G58</f>
        <v>3</v>
      </c>
      <c r="I58" s="8" t="n">
        <f aca="false">IFERROR(F58/SUMIFS($F:$F,$A:$A,A58),0)</f>
        <v>0.0020047579588891</v>
      </c>
      <c r="J58" s="20" t="n">
        <v>2</v>
      </c>
      <c r="K58" s="17"/>
    </row>
    <row r="59" customFormat="false" ht="15" hidden="false" customHeight="false" outlineLevel="0" collapsed="false">
      <c r="A59" s="17" t="s">
        <v>16</v>
      </c>
      <c r="B59" s="17" t="s">
        <v>138</v>
      </c>
      <c r="C59" s="17" t="s">
        <v>68</v>
      </c>
      <c r="D59" s="17" t="s">
        <v>92</v>
      </c>
      <c r="E59" s="17" t="s">
        <v>65</v>
      </c>
      <c r="F59" s="19" t="n">
        <v>2.25</v>
      </c>
      <c r="G59" s="19" t="n">
        <v>0</v>
      </c>
      <c r="H59" s="9" t="n">
        <f aca="false">F59+G59</f>
        <v>2.25</v>
      </c>
      <c r="I59" s="8" t="n">
        <f aca="false">IFERROR(F59/SUMIFS($F:$F,$A:$A,A59),0)</f>
        <v>0.00150356846916682</v>
      </c>
      <c r="J59" s="20" t="n">
        <v>0</v>
      </c>
      <c r="K59" s="17"/>
    </row>
    <row r="60" customFormat="false" ht="15" hidden="false" customHeight="false" outlineLevel="0" collapsed="false">
      <c r="A60" s="17" t="s">
        <v>17</v>
      </c>
      <c r="B60" s="17" t="s">
        <v>139</v>
      </c>
      <c r="C60" s="17" t="s">
        <v>61</v>
      </c>
      <c r="D60" s="17" t="s">
        <v>132</v>
      </c>
      <c r="E60" s="18" t="s">
        <v>59</v>
      </c>
      <c r="F60" s="19" t="n">
        <v>362.32</v>
      </c>
      <c r="G60" s="19" t="n">
        <v>23.1</v>
      </c>
      <c r="H60" s="9" t="n">
        <f aca="false">F60+G60</f>
        <v>385.42</v>
      </c>
      <c r="I60" s="8" t="n">
        <f aca="false">IFERROR(F60/SUMIFS($F:$F,$A:$A,A60),0)</f>
        <v>0.402868738533385</v>
      </c>
      <c r="J60" s="20" t="n">
        <v>60</v>
      </c>
      <c r="K60" s="17"/>
    </row>
    <row r="61" customFormat="false" ht="15" hidden="false" customHeight="false" outlineLevel="0" collapsed="false">
      <c r="A61" s="17" t="s">
        <v>17</v>
      </c>
      <c r="B61" s="17" t="s">
        <v>140</v>
      </c>
      <c r="C61" s="17" t="s">
        <v>57</v>
      </c>
      <c r="D61" s="17" t="s">
        <v>108</v>
      </c>
      <c r="E61" s="17" t="s">
        <v>65</v>
      </c>
      <c r="F61" s="19" t="n">
        <v>126.2</v>
      </c>
      <c r="G61" s="19" t="n">
        <v>0</v>
      </c>
      <c r="H61" s="9" t="n">
        <f aca="false">F61+G61</f>
        <v>126.2</v>
      </c>
      <c r="I61" s="8" t="n">
        <f aca="false">IFERROR(F61/SUMIFS($F:$F,$A:$A,A61),0)</f>
        <v>0.140323567020626</v>
      </c>
      <c r="J61" s="20" t="n">
        <v>10</v>
      </c>
      <c r="K61" s="17" t="s">
        <v>141</v>
      </c>
    </row>
    <row r="62" customFormat="false" ht="15" hidden="false" customHeight="false" outlineLevel="0" collapsed="false">
      <c r="A62" s="17" t="s">
        <v>17</v>
      </c>
      <c r="B62" s="17" t="s">
        <v>142</v>
      </c>
      <c r="C62" s="17" t="s">
        <v>63</v>
      </c>
      <c r="D62" s="17" t="s">
        <v>132</v>
      </c>
      <c r="E62" s="18" t="s">
        <v>59</v>
      </c>
      <c r="F62" s="19" t="n">
        <v>72.82</v>
      </c>
      <c r="G62" s="19" t="n">
        <v>83.73</v>
      </c>
      <c r="H62" s="9" t="n">
        <f aca="false">F62+G62</f>
        <v>156.55</v>
      </c>
      <c r="I62" s="8" t="n">
        <f aca="false">IFERROR(F62/SUMIFS($F:$F,$A:$A,A62),0)</f>
        <v>0.0809695891477178</v>
      </c>
      <c r="J62" s="20" t="n">
        <v>16</v>
      </c>
      <c r="K62" s="17"/>
    </row>
    <row r="63" customFormat="false" ht="15" hidden="false" customHeight="false" outlineLevel="0" collapsed="false">
      <c r="A63" s="17" t="s">
        <v>17</v>
      </c>
      <c r="B63" s="17" t="s">
        <v>143</v>
      </c>
      <c r="C63" s="17" t="s">
        <v>63</v>
      </c>
      <c r="D63" s="17" t="s">
        <v>144</v>
      </c>
      <c r="E63" s="17" t="s">
        <v>65</v>
      </c>
      <c r="F63" s="19" t="n">
        <v>58.47</v>
      </c>
      <c r="G63" s="19" t="n">
        <v>0</v>
      </c>
      <c r="H63" s="9" t="n">
        <f aca="false">F63+G63</f>
        <v>58.47</v>
      </c>
      <c r="I63" s="8" t="n">
        <f aca="false">IFERROR(F63/SUMIFS($F:$F,$A:$A,A63),0)</f>
        <v>0.0650136209484628</v>
      </c>
      <c r="J63" s="20" t="n">
        <v>0</v>
      </c>
      <c r="K63" s="17"/>
    </row>
    <row r="64" customFormat="false" ht="15" hidden="false" customHeight="false" outlineLevel="0" collapsed="false">
      <c r="A64" s="17" t="s">
        <v>17</v>
      </c>
      <c r="B64" s="17" t="s">
        <v>145</v>
      </c>
      <c r="C64" s="17" t="s">
        <v>61</v>
      </c>
      <c r="D64" s="17" t="s">
        <v>108</v>
      </c>
      <c r="E64" s="17" t="s">
        <v>65</v>
      </c>
      <c r="F64" s="19" t="n">
        <v>47.53</v>
      </c>
      <c r="G64" s="19" t="n">
        <v>12.7</v>
      </c>
      <c r="H64" s="9" t="n">
        <f aca="false">F64+G64</f>
        <v>60.23</v>
      </c>
      <c r="I64" s="8" t="n">
        <f aca="false">IFERROR(F64/SUMIFS($F:$F,$A:$A,A64),0)</f>
        <v>0.0528492800355813</v>
      </c>
      <c r="J64" s="20" t="n">
        <v>13</v>
      </c>
      <c r="K64" s="17"/>
    </row>
    <row r="65" customFormat="false" ht="15" hidden="false" customHeight="false" outlineLevel="0" collapsed="false">
      <c r="A65" s="17" t="s">
        <v>17</v>
      </c>
      <c r="B65" s="17" t="s">
        <v>146</v>
      </c>
      <c r="C65" s="17" t="s">
        <v>61</v>
      </c>
      <c r="D65" s="17" t="s">
        <v>58</v>
      </c>
      <c r="E65" s="17" t="s">
        <v>65</v>
      </c>
      <c r="F65" s="19" t="n">
        <v>34.9</v>
      </c>
      <c r="G65" s="19" t="n">
        <v>1.67</v>
      </c>
      <c r="H65" s="9" t="n">
        <f aca="false">F65+G65</f>
        <v>36.57</v>
      </c>
      <c r="I65" s="8" t="n">
        <f aca="false">IFERROR(F65/SUMIFS($F:$F,$A:$A,A65),0)</f>
        <v>0.0388058041919164</v>
      </c>
      <c r="J65" s="20" t="n">
        <v>6</v>
      </c>
      <c r="K65" s="17"/>
    </row>
    <row r="66" customFormat="false" ht="15" hidden="false" customHeight="false" outlineLevel="0" collapsed="false">
      <c r="A66" s="17" t="s">
        <v>17</v>
      </c>
      <c r="B66" s="17" t="s">
        <v>147</v>
      </c>
      <c r="C66" s="17" t="s">
        <v>63</v>
      </c>
      <c r="D66" s="17" t="s">
        <v>108</v>
      </c>
      <c r="E66" s="17" t="s">
        <v>65</v>
      </c>
      <c r="F66" s="19" t="n">
        <v>31.4</v>
      </c>
      <c r="G66" s="19" t="n">
        <v>7.1</v>
      </c>
      <c r="H66" s="9" t="n">
        <f aca="false">F66+G66</f>
        <v>38.5</v>
      </c>
      <c r="I66" s="8" t="n">
        <f aca="false">IFERROR(F66/SUMIFS($F:$F,$A:$A,A66),0)</f>
        <v>0.0349141046311225</v>
      </c>
      <c r="J66" s="20" t="n">
        <v>6</v>
      </c>
      <c r="K66" s="17"/>
    </row>
    <row r="67" customFormat="false" ht="15" hidden="false" customHeight="false" outlineLevel="0" collapsed="false">
      <c r="A67" s="17" t="s">
        <v>17</v>
      </c>
      <c r="B67" s="17" t="s">
        <v>148</v>
      </c>
      <c r="C67" s="17" t="s">
        <v>68</v>
      </c>
      <c r="D67" s="17" t="s">
        <v>132</v>
      </c>
      <c r="E67" s="18" t="s">
        <v>59</v>
      </c>
      <c r="F67" s="19" t="n">
        <v>26.64</v>
      </c>
      <c r="G67" s="19" t="n">
        <v>0</v>
      </c>
      <c r="H67" s="9" t="n">
        <f aca="false">F67+G67</f>
        <v>26.64</v>
      </c>
      <c r="I67" s="8" t="n">
        <f aca="false">IFERROR(F67/SUMIFS($F:$F,$A:$A,A67),0)</f>
        <v>0.0296213932284428</v>
      </c>
      <c r="J67" s="20" t="n">
        <v>9</v>
      </c>
      <c r="K67" s="17"/>
    </row>
    <row r="68" customFormat="false" ht="15" hidden="false" customHeight="false" outlineLevel="0" collapsed="false">
      <c r="A68" s="17" t="s">
        <v>17</v>
      </c>
      <c r="B68" s="17" t="s">
        <v>149</v>
      </c>
      <c r="C68" s="17" t="s">
        <v>63</v>
      </c>
      <c r="D68" s="17" t="s">
        <v>150</v>
      </c>
      <c r="E68" s="17" t="s">
        <v>65</v>
      </c>
      <c r="F68" s="19" t="n">
        <v>15.92</v>
      </c>
      <c r="G68" s="19" t="n">
        <v>0</v>
      </c>
      <c r="H68" s="9" t="n">
        <f aca="false">F68+G68</f>
        <v>15.92</v>
      </c>
      <c r="I68" s="8" t="n">
        <f aca="false">IFERROR(F68/SUMIFS($F:$F,$A:$A,A68),0)</f>
        <v>0.0177016734308111</v>
      </c>
      <c r="J68" s="20" t="n">
        <v>1</v>
      </c>
      <c r="K68" s="17"/>
    </row>
    <row r="69" customFormat="false" ht="15" hidden="false" customHeight="false" outlineLevel="0" collapsed="false">
      <c r="A69" s="17" t="s">
        <v>17</v>
      </c>
      <c r="B69" s="17" t="s">
        <v>151</v>
      </c>
      <c r="C69" s="17" t="s">
        <v>57</v>
      </c>
      <c r="D69" s="17" t="s">
        <v>152</v>
      </c>
      <c r="E69" s="17" t="s">
        <v>65</v>
      </c>
      <c r="F69" s="19" t="n">
        <v>12.12</v>
      </c>
      <c r="G69" s="19" t="n">
        <v>0</v>
      </c>
      <c r="H69" s="9" t="n">
        <f aca="false">F69+G69</f>
        <v>12.12</v>
      </c>
      <c r="I69" s="8" t="n">
        <f aca="false">IFERROR(F69/SUMIFS($F:$F,$A:$A,A69),0)</f>
        <v>0.0134763996219492</v>
      </c>
      <c r="J69" s="20" t="n">
        <v>8</v>
      </c>
      <c r="K69" s="17"/>
    </row>
    <row r="70" customFormat="false" ht="15" hidden="false" customHeight="false" outlineLevel="0" collapsed="false">
      <c r="A70" s="17" t="s">
        <v>17</v>
      </c>
      <c r="B70" s="17" t="s">
        <v>153</v>
      </c>
      <c r="C70" s="17" t="s">
        <v>68</v>
      </c>
      <c r="D70" s="17" t="s">
        <v>154</v>
      </c>
      <c r="E70" s="17" t="s">
        <v>65</v>
      </c>
      <c r="F70" s="19" t="n">
        <v>10.69</v>
      </c>
      <c r="G70" s="19" t="n">
        <v>0</v>
      </c>
      <c r="H70" s="9" t="n">
        <f aca="false">F70+G70</f>
        <v>10.69</v>
      </c>
      <c r="I70" s="8" t="n">
        <f aca="false">IFERROR(F70/SUMIFS($F:$F,$A:$A,A70),0)</f>
        <v>0.0118863623728248</v>
      </c>
      <c r="J70" s="20" t="n">
        <v>2</v>
      </c>
      <c r="K70" s="17"/>
    </row>
    <row r="71" customFormat="false" ht="15" hidden="false" customHeight="false" outlineLevel="0" collapsed="false">
      <c r="A71" s="17" t="s">
        <v>17</v>
      </c>
      <c r="B71" s="17" t="s">
        <v>155</v>
      </c>
      <c r="C71" s="17" t="s">
        <v>63</v>
      </c>
      <c r="D71" s="17" t="s">
        <v>156</v>
      </c>
      <c r="E71" s="17" t="s">
        <v>65</v>
      </c>
      <c r="F71" s="19" t="n">
        <v>10.19</v>
      </c>
      <c r="G71" s="19" t="n">
        <v>0</v>
      </c>
      <c r="H71" s="9" t="n">
        <f aca="false">F71+G71</f>
        <v>10.19</v>
      </c>
      <c r="I71" s="8" t="n">
        <f aca="false">IFERROR(F71/SUMIFS($F:$F,$A:$A,A71),0)</f>
        <v>0.0113304052927114</v>
      </c>
      <c r="J71" s="20" t="n">
        <v>1</v>
      </c>
      <c r="K71" s="17"/>
    </row>
    <row r="72" customFormat="false" ht="15" hidden="false" customHeight="false" outlineLevel="0" collapsed="false">
      <c r="A72" s="17" t="s">
        <v>17</v>
      </c>
      <c r="B72" s="17" t="s">
        <v>157</v>
      </c>
      <c r="C72" s="17" t="s">
        <v>57</v>
      </c>
      <c r="D72" s="17" t="s">
        <v>78</v>
      </c>
      <c r="E72" s="17" t="s">
        <v>65</v>
      </c>
      <c r="F72" s="19" t="n">
        <v>7.39</v>
      </c>
      <c r="G72" s="19" t="n">
        <v>0</v>
      </c>
      <c r="H72" s="9" t="n">
        <f aca="false">F72+G72</f>
        <v>7.39</v>
      </c>
      <c r="I72" s="8" t="n">
        <f aca="false">IFERROR(F72/SUMIFS($F:$F,$A:$A,A72),0)</f>
        <v>0.00821704564407628</v>
      </c>
      <c r="J72" s="20" t="n">
        <v>7</v>
      </c>
      <c r="K72" s="17"/>
    </row>
    <row r="73" customFormat="false" ht="15" hidden="false" customHeight="false" outlineLevel="0" collapsed="false">
      <c r="A73" s="17" t="s">
        <v>17</v>
      </c>
      <c r="B73" s="17" t="s">
        <v>158</v>
      </c>
      <c r="C73" s="17" t="s">
        <v>68</v>
      </c>
      <c r="D73" s="17" t="s">
        <v>108</v>
      </c>
      <c r="E73" s="17" t="s">
        <v>65</v>
      </c>
      <c r="F73" s="19" t="n">
        <v>7.36</v>
      </c>
      <c r="G73" s="19" t="n">
        <v>0</v>
      </c>
      <c r="H73" s="9" t="n">
        <f aca="false">F73+G73</f>
        <v>7.36</v>
      </c>
      <c r="I73" s="8" t="n">
        <f aca="false">IFERROR(F73/SUMIFS($F:$F,$A:$A,A73),0)</f>
        <v>0.00818368821926947</v>
      </c>
      <c r="J73" s="20" t="n">
        <v>1</v>
      </c>
      <c r="K73" s="17"/>
    </row>
    <row r="74" customFormat="false" ht="15" hidden="false" customHeight="false" outlineLevel="0" collapsed="false">
      <c r="A74" s="17" t="s">
        <v>17</v>
      </c>
      <c r="B74" s="17" t="s">
        <v>159</v>
      </c>
      <c r="C74" s="17" t="s">
        <v>63</v>
      </c>
      <c r="D74" s="17" t="s">
        <v>160</v>
      </c>
      <c r="E74" s="17" t="s">
        <v>65</v>
      </c>
      <c r="F74" s="19" t="n">
        <v>6.89</v>
      </c>
      <c r="G74" s="19" t="n">
        <v>10.68</v>
      </c>
      <c r="H74" s="9" t="n">
        <f aca="false">F74+G74</f>
        <v>17.57</v>
      </c>
      <c r="I74" s="8" t="n">
        <f aca="false">IFERROR(F74/SUMIFS($F:$F,$A:$A,A74),0)</f>
        <v>0.00766108856396286</v>
      </c>
      <c r="J74" s="20" t="n">
        <v>2</v>
      </c>
      <c r="K74" s="17"/>
    </row>
    <row r="75" customFormat="false" ht="15" hidden="false" customHeight="false" outlineLevel="0" collapsed="false">
      <c r="A75" s="17" t="s">
        <v>17</v>
      </c>
      <c r="B75" s="17" t="s">
        <v>161</v>
      </c>
      <c r="C75" s="17" t="s">
        <v>57</v>
      </c>
      <c r="D75" s="17" t="s">
        <v>132</v>
      </c>
      <c r="E75" s="18" t="s">
        <v>59</v>
      </c>
      <c r="F75" s="19" t="n">
        <v>6.21</v>
      </c>
      <c r="G75" s="19" t="n">
        <v>3.49</v>
      </c>
      <c r="H75" s="9" t="n">
        <f aca="false">F75+G75</f>
        <v>9.7</v>
      </c>
      <c r="I75" s="8" t="n">
        <f aca="false">IFERROR(F75/SUMIFS($F:$F,$A:$A,A75),0)</f>
        <v>0.00690498693500862</v>
      </c>
      <c r="J75" s="20" t="n">
        <v>9</v>
      </c>
      <c r="K75" s="17"/>
    </row>
    <row r="76" customFormat="false" ht="15" hidden="false" customHeight="false" outlineLevel="0" collapsed="false">
      <c r="A76" s="17" t="s">
        <v>17</v>
      </c>
      <c r="B76" s="17" t="s">
        <v>162</v>
      </c>
      <c r="C76" s="17" t="s">
        <v>68</v>
      </c>
      <c r="D76" s="17" t="s">
        <v>163</v>
      </c>
      <c r="E76" s="17" t="s">
        <v>65</v>
      </c>
      <c r="F76" s="19" t="n">
        <v>5.36</v>
      </c>
      <c r="G76" s="19" t="n">
        <v>0</v>
      </c>
      <c r="H76" s="9" t="n">
        <f aca="false">F76+G76</f>
        <v>5.36</v>
      </c>
      <c r="I76" s="8" t="n">
        <f aca="false">IFERROR(F76/SUMIFS($F:$F,$A:$A,A76),0)</f>
        <v>0.00595985989881581</v>
      </c>
      <c r="J76" s="20" t="n">
        <v>0</v>
      </c>
      <c r="K76" s="17"/>
    </row>
    <row r="77" customFormat="false" ht="15" hidden="false" customHeight="false" outlineLevel="0" collapsed="false">
      <c r="A77" s="17" t="s">
        <v>17</v>
      </c>
      <c r="B77" s="17" t="s">
        <v>164</v>
      </c>
      <c r="C77" s="17" t="s">
        <v>63</v>
      </c>
      <c r="D77" s="17" t="s">
        <v>78</v>
      </c>
      <c r="E77" s="17" t="s">
        <v>65</v>
      </c>
      <c r="F77" s="19" t="n">
        <v>4.75</v>
      </c>
      <c r="G77" s="19" t="n">
        <v>10.83</v>
      </c>
      <c r="H77" s="9" t="n">
        <f aca="false">F77+G77</f>
        <v>15.58</v>
      </c>
      <c r="I77" s="8" t="n">
        <f aca="false">IFERROR(F77/SUMIFS($F:$F,$A:$A,A77),0)</f>
        <v>0.00528159226107744</v>
      </c>
      <c r="J77" s="20" t="n">
        <v>3</v>
      </c>
      <c r="K77" s="17"/>
    </row>
    <row r="78" customFormat="false" ht="15" hidden="false" customHeight="false" outlineLevel="0" collapsed="false">
      <c r="A78" s="17" t="s">
        <v>17</v>
      </c>
      <c r="B78" s="17" t="s">
        <v>165</v>
      </c>
      <c r="C78" s="17" t="s">
        <v>61</v>
      </c>
      <c r="D78" s="17" t="s">
        <v>78</v>
      </c>
      <c r="E78" s="17" t="s">
        <v>65</v>
      </c>
      <c r="F78" s="19" t="n">
        <v>4.45</v>
      </c>
      <c r="G78" s="19" t="n">
        <v>0.02</v>
      </c>
      <c r="H78" s="9" t="n">
        <f aca="false">F78+G78</f>
        <v>4.47</v>
      </c>
      <c r="I78" s="8" t="n">
        <f aca="false">IFERROR(F78/SUMIFS($F:$F,$A:$A,A78),0)</f>
        <v>0.0049480180130094</v>
      </c>
      <c r="J78" s="20" t="n">
        <v>4</v>
      </c>
      <c r="K78" s="17"/>
    </row>
    <row r="79" customFormat="false" ht="15" hidden="false" customHeight="false" outlineLevel="0" collapsed="false">
      <c r="A79" s="17" t="s">
        <v>17</v>
      </c>
      <c r="B79" s="17" t="s">
        <v>166</v>
      </c>
      <c r="C79" s="17" t="s">
        <v>63</v>
      </c>
      <c r="D79" s="17" t="s">
        <v>78</v>
      </c>
      <c r="E79" s="17" t="s">
        <v>65</v>
      </c>
      <c r="F79" s="19" t="n">
        <v>4.4</v>
      </c>
      <c r="G79" s="19" t="n">
        <v>0</v>
      </c>
      <c r="H79" s="9" t="n">
        <f aca="false">F79+G79</f>
        <v>4.4</v>
      </c>
      <c r="I79" s="8" t="n">
        <f aca="false">IFERROR(F79/SUMIFS($F:$F,$A:$A,A79),0)</f>
        <v>0.00489242230499805</v>
      </c>
      <c r="J79" s="20" t="n">
        <v>1</v>
      </c>
      <c r="K79" s="17"/>
    </row>
    <row r="80" customFormat="false" ht="15" hidden="false" customHeight="false" outlineLevel="0" collapsed="false">
      <c r="A80" s="17" t="s">
        <v>17</v>
      </c>
      <c r="B80" s="17" t="s">
        <v>167</v>
      </c>
      <c r="C80" s="17" t="s">
        <v>68</v>
      </c>
      <c r="D80" s="17" t="s">
        <v>132</v>
      </c>
      <c r="E80" s="18" t="s">
        <v>59</v>
      </c>
      <c r="F80" s="19" t="n">
        <v>4.38</v>
      </c>
      <c r="G80" s="19" t="n">
        <v>0</v>
      </c>
      <c r="H80" s="9" t="n">
        <f aca="false">F80+G80</f>
        <v>4.38</v>
      </c>
      <c r="I80" s="8" t="n">
        <f aca="false">IFERROR(F80/SUMIFS($F:$F,$A:$A,A80),0)</f>
        <v>0.00487018402179352</v>
      </c>
      <c r="J80" s="20" t="n">
        <v>1</v>
      </c>
      <c r="K80" s="17"/>
    </row>
    <row r="81" customFormat="false" ht="15" hidden="false" customHeight="false" outlineLevel="0" collapsed="false">
      <c r="A81" s="17" t="s">
        <v>17</v>
      </c>
      <c r="B81" s="17" t="s">
        <v>168</v>
      </c>
      <c r="C81" s="17" t="s">
        <v>61</v>
      </c>
      <c r="D81" s="17" t="s">
        <v>169</v>
      </c>
      <c r="E81" s="17" t="s">
        <v>65</v>
      </c>
      <c r="F81" s="19" t="n">
        <v>4.32</v>
      </c>
      <c r="G81" s="19" t="n">
        <v>0</v>
      </c>
      <c r="H81" s="9" t="n">
        <f aca="false">F81+G81</f>
        <v>4.32</v>
      </c>
      <c r="I81" s="8" t="n">
        <f aca="false">IFERROR(F81/SUMIFS($F:$F,$A:$A,A81),0)</f>
        <v>0.00480346917217991</v>
      </c>
      <c r="J81" s="20" t="n">
        <v>2</v>
      </c>
      <c r="K81" s="17"/>
    </row>
    <row r="82" customFormat="false" ht="15" hidden="false" customHeight="false" outlineLevel="0" collapsed="false">
      <c r="A82" s="17" t="s">
        <v>17</v>
      </c>
      <c r="B82" s="17" t="s">
        <v>170</v>
      </c>
      <c r="C82" s="17" t="s">
        <v>61</v>
      </c>
      <c r="D82" s="17" t="s">
        <v>154</v>
      </c>
      <c r="E82" s="17" t="s">
        <v>65</v>
      </c>
      <c r="F82" s="19" t="n">
        <v>3.45</v>
      </c>
      <c r="G82" s="19" t="n">
        <v>0</v>
      </c>
      <c r="H82" s="9" t="n">
        <f aca="false">F82+G82</f>
        <v>3.45</v>
      </c>
      <c r="I82" s="8" t="n">
        <f aca="false">IFERROR(F82/SUMIFS($F:$F,$A:$A,A82),0)</f>
        <v>0.00383610385278257</v>
      </c>
      <c r="J82" s="20" t="n">
        <v>1</v>
      </c>
      <c r="K82" s="17"/>
    </row>
    <row r="83" customFormat="false" ht="15" hidden="false" customHeight="false" outlineLevel="0" collapsed="false">
      <c r="A83" s="17" t="s">
        <v>17</v>
      </c>
      <c r="B83" s="17" t="s">
        <v>171</v>
      </c>
      <c r="C83" s="17" t="s">
        <v>61</v>
      </c>
      <c r="D83" s="17" t="s">
        <v>160</v>
      </c>
      <c r="E83" s="17" t="s">
        <v>65</v>
      </c>
      <c r="F83" s="19" t="n">
        <v>3.34</v>
      </c>
      <c r="G83" s="19" t="n">
        <v>0.03</v>
      </c>
      <c r="H83" s="9" t="n">
        <f aca="false">F83+G83</f>
        <v>3.37</v>
      </c>
      <c r="I83" s="8" t="n">
        <f aca="false">IFERROR(F83/SUMIFS($F:$F,$A:$A,A83),0)</f>
        <v>0.00371379329515761</v>
      </c>
      <c r="J83" s="20" t="n">
        <v>4</v>
      </c>
      <c r="K83" s="17"/>
    </row>
    <row r="84" customFormat="false" ht="15" hidden="false" customHeight="false" outlineLevel="0" collapsed="false">
      <c r="A84" s="17" t="s">
        <v>17</v>
      </c>
      <c r="B84" s="17" t="s">
        <v>172</v>
      </c>
      <c r="C84" s="17" t="s">
        <v>57</v>
      </c>
      <c r="D84" s="17" t="s">
        <v>160</v>
      </c>
      <c r="E84" s="17" t="s">
        <v>65</v>
      </c>
      <c r="F84" s="19" t="n">
        <v>3</v>
      </c>
      <c r="G84" s="19" t="n">
        <v>0</v>
      </c>
      <c r="H84" s="9" t="n">
        <f aca="false">F84+G84</f>
        <v>3</v>
      </c>
      <c r="I84" s="8" t="n">
        <f aca="false">IFERROR(F84/SUMIFS($F:$F,$A:$A,A84),0)</f>
        <v>0.00333574248068049</v>
      </c>
      <c r="J84" s="20" t="n">
        <v>7</v>
      </c>
      <c r="K84" s="17"/>
    </row>
    <row r="85" customFormat="false" ht="15" hidden="false" customHeight="false" outlineLevel="0" collapsed="false">
      <c r="A85" s="17" t="s">
        <v>17</v>
      </c>
      <c r="B85" s="17" t="s">
        <v>173</v>
      </c>
      <c r="C85" s="17" t="s">
        <v>68</v>
      </c>
      <c r="D85" s="17" t="s">
        <v>150</v>
      </c>
      <c r="E85" s="17" t="s">
        <v>65</v>
      </c>
      <c r="F85" s="19" t="n">
        <v>2.8</v>
      </c>
      <c r="G85" s="19" t="n">
        <v>0</v>
      </c>
      <c r="H85" s="9" t="n">
        <f aca="false">F85+G85</f>
        <v>2.8</v>
      </c>
      <c r="I85" s="8" t="n">
        <f aca="false">IFERROR(F85/SUMIFS($F:$F,$A:$A,A85),0)</f>
        <v>0.00311335964863513</v>
      </c>
      <c r="J85" s="20" t="n">
        <v>0</v>
      </c>
      <c r="K85" s="17"/>
    </row>
    <row r="86" customFormat="false" ht="15" hidden="false" customHeight="false" outlineLevel="0" collapsed="false">
      <c r="A86" s="17" t="s">
        <v>17</v>
      </c>
      <c r="B86" s="17" t="s">
        <v>174</v>
      </c>
      <c r="C86" s="17" t="s">
        <v>68</v>
      </c>
      <c r="D86" s="17" t="s">
        <v>175</v>
      </c>
      <c r="E86" s="17" t="s">
        <v>65</v>
      </c>
      <c r="F86" s="19" t="n">
        <v>2.78</v>
      </c>
      <c r="G86" s="19" t="n">
        <v>0</v>
      </c>
      <c r="H86" s="9" t="n">
        <f aca="false">F86+G86</f>
        <v>2.78</v>
      </c>
      <c r="I86" s="8" t="n">
        <f aca="false">IFERROR(F86/SUMIFS($F:$F,$A:$A,A86),0)</f>
        <v>0.00309112136543059</v>
      </c>
      <c r="J86" s="20" t="n">
        <v>2</v>
      </c>
      <c r="K86" s="17"/>
    </row>
    <row r="87" customFormat="false" ht="15" hidden="false" customHeight="false" outlineLevel="0" collapsed="false">
      <c r="A87" s="17" t="s">
        <v>17</v>
      </c>
      <c r="B87" s="17" t="s">
        <v>176</v>
      </c>
      <c r="C87" s="17" t="s">
        <v>68</v>
      </c>
      <c r="D87" s="17" t="s">
        <v>177</v>
      </c>
      <c r="E87" s="17" t="s">
        <v>65</v>
      </c>
      <c r="F87" s="19" t="n">
        <v>2.64</v>
      </c>
      <c r="G87" s="19" t="n">
        <v>0</v>
      </c>
      <c r="H87" s="9" t="n">
        <f aca="false">F87+G87</f>
        <v>2.64</v>
      </c>
      <c r="I87" s="8" t="n">
        <f aca="false">IFERROR(F87/SUMIFS($F:$F,$A:$A,A87),0)</f>
        <v>0.00293545338299883</v>
      </c>
      <c r="J87" s="20" t="n">
        <v>0</v>
      </c>
      <c r="K87" s="17"/>
    </row>
    <row r="88" customFormat="false" ht="15" hidden="false" customHeight="false" outlineLevel="0" collapsed="false">
      <c r="A88" s="17" t="s">
        <v>17</v>
      </c>
      <c r="B88" s="17" t="s">
        <v>178</v>
      </c>
      <c r="C88" s="17" t="s">
        <v>68</v>
      </c>
      <c r="D88" s="17" t="s">
        <v>156</v>
      </c>
      <c r="E88" s="17" t="s">
        <v>65</v>
      </c>
      <c r="F88" s="19" t="n">
        <v>2.3</v>
      </c>
      <c r="G88" s="19" t="n">
        <v>0</v>
      </c>
      <c r="H88" s="9" t="n">
        <f aca="false">F88+G88</f>
        <v>2.3</v>
      </c>
      <c r="I88" s="8" t="n">
        <f aca="false">IFERROR(F88/SUMIFS($F:$F,$A:$A,A88),0)</f>
        <v>0.00255740256852171</v>
      </c>
      <c r="J88" s="20" t="n">
        <v>2</v>
      </c>
      <c r="K88" s="17"/>
    </row>
    <row r="89" customFormat="false" ht="15" hidden="false" customHeight="false" outlineLevel="0" collapsed="false">
      <c r="A89" s="17" t="s">
        <v>17</v>
      </c>
      <c r="B89" s="17" t="s">
        <v>179</v>
      </c>
      <c r="C89" s="17" t="s">
        <v>63</v>
      </c>
      <c r="D89" s="17" t="s">
        <v>89</v>
      </c>
      <c r="E89" s="17" t="s">
        <v>65</v>
      </c>
      <c r="F89" s="19" t="n">
        <v>2.3</v>
      </c>
      <c r="G89" s="19" t="n">
        <v>0</v>
      </c>
      <c r="H89" s="9" t="n">
        <f aca="false">F89+G89</f>
        <v>2.3</v>
      </c>
      <c r="I89" s="8" t="n">
        <f aca="false">IFERROR(F89/SUMIFS($F:$F,$A:$A,A89),0)</f>
        <v>0.00255740256852171</v>
      </c>
      <c r="J89" s="20" t="n">
        <v>2</v>
      </c>
      <c r="K89" s="17"/>
    </row>
    <row r="90" customFormat="false" ht="15" hidden="false" customHeight="false" outlineLevel="0" collapsed="false">
      <c r="A90" s="17" t="s">
        <v>17</v>
      </c>
      <c r="B90" s="17" t="s">
        <v>180</v>
      </c>
      <c r="C90" s="17" t="s">
        <v>57</v>
      </c>
      <c r="D90" s="17" t="s">
        <v>144</v>
      </c>
      <c r="E90" s="17" t="s">
        <v>65</v>
      </c>
      <c r="F90" s="19" t="n">
        <v>2.27</v>
      </c>
      <c r="G90" s="19" t="n">
        <v>0</v>
      </c>
      <c r="H90" s="9" t="n">
        <f aca="false">F90+G90</f>
        <v>2.27</v>
      </c>
      <c r="I90" s="8" t="n">
        <f aca="false">IFERROR(F90/SUMIFS($F:$F,$A:$A,A90),0)</f>
        <v>0.00252404514371491</v>
      </c>
      <c r="J90" s="20" t="n">
        <v>5</v>
      </c>
      <c r="K90" s="17"/>
    </row>
    <row r="91" customFormat="false" ht="15" hidden="false" customHeight="false" outlineLevel="0" collapsed="false">
      <c r="A91" s="17" t="s">
        <v>17</v>
      </c>
      <c r="B91" s="17" t="s">
        <v>181</v>
      </c>
      <c r="C91" s="17" t="s">
        <v>68</v>
      </c>
      <c r="D91" s="17" t="s">
        <v>160</v>
      </c>
      <c r="E91" s="17" t="s">
        <v>65</v>
      </c>
      <c r="F91" s="19" t="n">
        <v>1.99</v>
      </c>
      <c r="G91" s="19" t="n">
        <v>0</v>
      </c>
      <c r="H91" s="9" t="n">
        <f aca="false">F91+G91</f>
        <v>1.99</v>
      </c>
      <c r="I91" s="8" t="n">
        <f aca="false">IFERROR(F91/SUMIFS($F:$F,$A:$A,A91),0)</f>
        <v>0.00221270917885139</v>
      </c>
      <c r="J91" s="20" t="n">
        <v>0</v>
      </c>
      <c r="K91" s="17"/>
    </row>
    <row r="92" customFormat="false" ht="15" hidden="false" customHeight="false" outlineLevel="0" collapsed="false">
      <c r="A92" s="17" t="s">
        <v>17</v>
      </c>
      <c r="B92" s="17" t="s">
        <v>182</v>
      </c>
      <c r="C92" s="17" t="s">
        <v>68</v>
      </c>
      <c r="D92" s="17" t="s">
        <v>89</v>
      </c>
      <c r="E92" s="17" t="s">
        <v>65</v>
      </c>
      <c r="F92" s="19" t="n">
        <v>1.84</v>
      </c>
      <c r="G92" s="19" t="n">
        <v>0</v>
      </c>
      <c r="H92" s="9" t="n">
        <f aca="false">F92+G92</f>
        <v>1.84</v>
      </c>
      <c r="I92" s="8" t="n">
        <f aca="false">IFERROR(F92/SUMIFS($F:$F,$A:$A,A92),0)</f>
        <v>0.00204592205481737</v>
      </c>
      <c r="J92" s="20" t="n">
        <v>0</v>
      </c>
      <c r="K92" s="17"/>
    </row>
    <row r="93" customFormat="false" ht="15" hidden="false" customHeight="false" outlineLevel="0" collapsed="false">
      <c r="A93" s="17" t="s">
        <v>17</v>
      </c>
      <c r="B93" s="17" t="s">
        <v>183</v>
      </c>
      <c r="C93" s="17" t="s">
        <v>57</v>
      </c>
      <c r="D93" s="17" t="s">
        <v>184</v>
      </c>
      <c r="E93" s="17" t="s">
        <v>65</v>
      </c>
      <c r="F93" s="19" t="n">
        <v>1.5</v>
      </c>
      <c r="G93" s="19" t="n">
        <v>0</v>
      </c>
      <c r="H93" s="9" t="n">
        <f aca="false">F93+G93</f>
        <v>1.5</v>
      </c>
      <c r="I93" s="8" t="n">
        <f aca="false">IFERROR(F93/SUMIFS($F:$F,$A:$A,A93),0)</f>
        <v>0.00166787124034025</v>
      </c>
      <c r="J93" s="20" t="n">
        <v>2</v>
      </c>
      <c r="K93" s="17"/>
    </row>
    <row r="94" customFormat="false" ht="15" hidden="false" customHeight="false" outlineLevel="0" collapsed="false">
      <c r="A94" s="17" t="s">
        <v>17</v>
      </c>
      <c r="B94" s="17" t="s">
        <v>185</v>
      </c>
      <c r="C94" s="17" t="s">
        <v>63</v>
      </c>
      <c r="D94" s="17" t="s">
        <v>152</v>
      </c>
      <c r="E94" s="17" t="s">
        <v>65</v>
      </c>
      <c r="F94" s="19" t="n">
        <v>1.48</v>
      </c>
      <c r="G94" s="19" t="n">
        <v>0</v>
      </c>
      <c r="H94" s="9" t="n">
        <f aca="false">F94+G94</f>
        <v>1.48</v>
      </c>
      <c r="I94" s="8" t="n">
        <f aca="false">IFERROR(F94/SUMIFS($F:$F,$A:$A,A94),0)</f>
        <v>0.00164563295713571</v>
      </c>
      <c r="J94" s="20" t="n">
        <v>2</v>
      </c>
      <c r="K94" s="17"/>
    </row>
    <row r="95" customFormat="false" ht="15" hidden="false" customHeight="false" outlineLevel="0" collapsed="false">
      <c r="A95" s="17" t="s">
        <v>17</v>
      </c>
      <c r="B95" s="17" t="s">
        <v>186</v>
      </c>
      <c r="C95" s="17" t="s">
        <v>61</v>
      </c>
      <c r="D95" s="17" t="s">
        <v>144</v>
      </c>
      <c r="E95" s="17" t="s">
        <v>65</v>
      </c>
      <c r="F95" s="19" t="n">
        <v>1.48</v>
      </c>
      <c r="G95" s="19" t="n">
        <v>0</v>
      </c>
      <c r="H95" s="9" t="n">
        <f aca="false">F95+G95</f>
        <v>1.48</v>
      </c>
      <c r="I95" s="8" t="n">
        <f aca="false">IFERROR(F95/SUMIFS($F:$F,$A:$A,A95),0)</f>
        <v>0.00164563295713571</v>
      </c>
      <c r="J95" s="20" t="n">
        <v>6</v>
      </c>
      <c r="K95" s="17"/>
    </row>
    <row r="96" customFormat="false" ht="15" hidden="false" customHeight="false" outlineLevel="0" collapsed="false">
      <c r="A96" s="17" t="s">
        <v>17</v>
      </c>
      <c r="B96" s="17" t="s">
        <v>187</v>
      </c>
      <c r="C96" s="17" t="s">
        <v>68</v>
      </c>
      <c r="D96" s="17" t="s">
        <v>188</v>
      </c>
      <c r="E96" s="17" t="s">
        <v>65</v>
      </c>
      <c r="F96" s="19" t="n">
        <v>1.47</v>
      </c>
      <c r="G96" s="19" t="n">
        <v>0</v>
      </c>
      <c r="H96" s="9" t="n">
        <f aca="false">F96+G96</f>
        <v>1.47</v>
      </c>
      <c r="I96" s="8" t="n">
        <f aca="false">IFERROR(F96/SUMIFS($F:$F,$A:$A,A96),0)</f>
        <v>0.00163451381553344</v>
      </c>
      <c r="J96" s="20" t="n">
        <v>0</v>
      </c>
      <c r="K96" s="17"/>
    </row>
  </sheetData>
  <autoFilter ref="A4:K9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9" min="6" style="0" width="14"/>
    <col collapsed="false" customWidth="true" hidden="false" outlineLevel="0" max="11" min="10" style="0" width="12"/>
    <col collapsed="false" customWidth="true" hidden="false" outlineLevel="0" max="12" min="12" style="0" width="70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31.5" hidden="false" customHeight="true" outlineLevel="0" collapsed="false">
      <c r="A4" s="6" t="s">
        <v>5</v>
      </c>
      <c r="B4" s="6" t="s">
        <v>46</v>
      </c>
      <c r="C4" s="6" t="s">
        <v>47</v>
      </c>
      <c r="D4" s="6" t="s">
        <v>48</v>
      </c>
      <c r="E4" s="6" t="s">
        <v>49</v>
      </c>
      <c r="F4" s="6" t="s">
        <v>50</v>
      </c>
      <c r="G4" s="6" t="s">
        <v>191</v>
      </c>
      <c r="H4" s="6" t="s">
        <v>51</v>
      </c>
      <c r="I4" s="6" t="s">
        <v>52</v>
      </c>
      <c r="J4" s="6" t="s">
        <v>53</v>
      </c>
      <c r="K4" s="6" t="s">
        <v>54</v>
      </c>
      <c r="L4" s="6" t="s">
        <v>55</v>
      </c>
    </row>
    <row r="5" customFormat="false" ht="15" hidden="false" customHeight="false" outlineLevel="0" collapsed="false">
      <c r="A5" s="17" t="s">
        <v>15</v>
      </c>
      <c r="B5" s="17" t="s">
        <v>192</v>
      </c>
      <c r="C5" s="17" t="s">
        <v>57</v>
      </c>
      <c r="D5" s="17" t="s">
        <v>102</v>
      </c>
      <c r="E5" s="17" t="s">
        <v>65</v>
      </c>
      <c r="F5" s="19" t="n">
        <v>155.43</v>
      </c>
      <c r="G5" s="14" t="n">
        <f aca="false">F5/Summary!$C$4</f>
        <v>215.875</v>
      </c>
      <c r="H5" s="19" t="n">
        <v>0</v>
      </c>
      <c r="I5" s="9" t="n">
        <f aca="false">F5+H5</f>
        <v>155.43</v>
      </c>
      <c r="J5" s="8" t="n">
        <f aca="false">IFERROR(F5/SUMIFS($F:$F,$A:$A,A5),0)</f>
        <v>0.236990165434169</v>
      </c>
      <c r="K5" s="20" t="n">
        <v>4</v>
      </c>
      <c r="L5" s="17"/>
    </row>
    <row r="6" customFormat="false" ht="15" hidden="false" customHeight="false" outlineLevel="0" collapsed="false">
      <c r="A6" s="17" t="s">
        <v>15</v>
      </c>
      <c r="B6" s="17" t="s">
        <v>62</v>
      </c>
      <c r="C6" s="17" t="s">
        <v>63</v>
      </c>
      <c r="D6" s="17" t="s">
        <v>64</v>
      </c>
      <c r="E6" s="17" t="s">
        <v>65</v>
      </c>
      <c r="F6" s="19" t="n">
        <v>131.17</v>
      </c>
      <c r="G6" s="14" t="n">
        <f aca="false">F6/Summary!$C$4</f>
        <v>182.180555555556</v>
      </c>
      <c r="H6" s="19" t="n">
        <v>0</v>
      </c>
      <c r="I6" s="9" t="n">
        <f aca="false">F6+H6</f>
        <v>131.17</v>
      </c>
      <c r="J6" s="8" t="n">
        <f aca="false">IFERROR(F6/SUMIFS($F:$F,$A:$A,A6),0)</f>
        <v>0.2</v>
      </c>
      <c r="K6" s="20" t="n">
        <v>3</v>
      </c>
      <c r="L6" s="17"/>
    </row>
    <row r="7" customFormat="false" ht="15" hidden="false" customHeight="false" outlineLevel="0" collapsed="false">
      <c r="A7" s="17" t="s">
        <v>15</v>
      </c>
      <c r="B7" s="17" t="s">
        <v>85</v>
      </c>
      <c r="C7" s="17" t="s">
        <v>61</v>
      </c>
      <c r="D7" s="17" t="s">
        <v>64</v>
      </c>
      <c r="E7" s="17" t="s">
        <v>65</v>
      </c>
      <c r="F7" s="19" t="n">
        <v>108.2</v>
      </c>
      <c r="G7" s="14" t="n">
        <f aca="false">F7/Summary!$C$4</f>
        <v>150.277777777778</v>
      </c>
      <c r="H7" s="19" t="n">
        <v>0</v>
      </c>
      <c r="I7" s="9" t="n">
        <f aca="false">F7+H7</f>
        <v>108.2</v>
      </c>
      <c r="J7" s="8" t="n">
        <f aca="false">IFERROR(F7/SUMIFS($F:$F,$A:$A,A7),0)</f>
        <v>0.164976747731951</v>
      </c>
      <c r="K7" s="20" t="n">
        <v>9</v>
      </c>
      <c r="L7" s="17"/>
    </row>
    <row r="8" customFormat="false" ht="15" hidden="false" customHeight="false" outlineLevel="0" collapsed="false">
      <c r="A8" s="17" t="s">
        <v>15</v>
      </c>
      <c r="B8" s="17" t="s">
        <v>193</v>
      </c>
      <c r="C8" s="17" t="s">
        <v>61</v>
      </c>
      <c r="D8" s="17" t="s">
        <v>102</v>
      </c>
      <c r="E8" s="17" t="s">
        <v>65</v>
      </c>
      <c r="F8" s="19" t="n">
        <v>50.78</v>
      </c>
      <c r="G8" s="14" t="n">
        <f aca="false">F8/Summary!$C$4</f>
        <v>70.5277777777778</v>
      </c>
      <c r="H8" s="19" t="n">
        <v>0</v>
      </c>
      <c r="I8" s="9" t="n">
        <f aca="false">F8+H8</f>
        <v>50.78</v>
      </c>
      <c r="J8" s="8" t="n">
        <f aca="false">IFERROR(F8/SUMIFS($F:$F,$A:$A,A8),0)</f>
        <v>0.0774262407562705</v>
      </c>
      <c r="K8" s="20" t="n">
        <v>9</v>
      </c>
      <c r="L8" s="17"/>
    </row>
    <row r="9" customFormat="false" ht="15" hidden="false" customHeight="false" outlineLevel="0" collapsed="false">
      <c r="A9" s="17" t="s">
        <v>15</v>
      </c>
      <c r="B9" s="17" t="s">
        <v>91</v>
      </c>
      <c r="C9" s="17" t="s">
        <v>63</v>
      </c>
      <c r="D9" s="17" t="s">
        <v>92</v>
      </c>
      <c r="E9" s="17" t="s">
        <v>65</v>
      </c>
      <c r="F9" s="19" t="n">
        <v>47.55</v>
      </c>
      <c r="G9" s="14" t="n">
        <f aca="false">F9/Summary!$C$4</f>
        <v>66.0416666666667</v>
      </c>
      <c r="H9" s="19" t="n">
        <v>0</v>
      </c>
      <c r="I9" s="9" t="n">
        <f aca="false">F9+H9</f>
        <v>47.55</v>
      </c>
      <c r="J9" s="8" t="n">
        <f aca="false">IFERROR(F9/SUMIFS($F:$F,$A:$A,A9),0)</f>
        <v>0.0725013341465274</v>
      </c>
      <c r="K9" s="20" t="n">
        <v>1</v>
      </c>
      <c r="L9" s="17"/>
    </row>
    <row r="10" customFormat="false" ht="15" hidden="false" customHeight="false" outlineLevel="0" collapsed="false">
      <c r="A10" s="17" t="s">
        <v>15</v>
      </c>
      <c r="B10" s="17" t="s">
        <v>194</v>
      </c>
      <c r="C10" s="17" t="s">
        <v>97</v>
      </c>
      <c r="D10" s="17" t="s">
        <v>100</v>
      </c>
      <c r="E10" s="17" t="s">
        <v>65</v>
      </c>
      <c r="F10" s="19" t="n">
        <v>28.38</v>
      </c>
      <c r="G10" s="14" t="n">
        <f aca="false">F10/Summary!$C$4</f>
        <v>39.4166666666667</v>
      </c>
      <c r="H10" s="19" t="n">
        <v>17.18</v>
      </c>
      <c r="I10" s="9" t="n">
        <f aca="false">F10+H10</f>
        <v>45.56</v>
      </c>
      <c r="J10" s="8" t="n">
        <f aca="false">IFERROR(F10/SUMIFS($F:$F,$A:$A,A10),0)</f>
        <v>0.0432720896546466</v>
      </c>
      <c r="K10" s="20" t="n">
        <v>1</v>
      </c>
      <c r="L10" s="17"/>
    </row>
    <row r="11" customFormat="false" ht="15" hidden="false" customHeight="false" outlineLevel="0" collapsed="false">
      <c r="A11" s="17" t="s">
        <v>15</v>
      </c>
      <c r="B11" s="17" t="s">
        <v>82</v>
      </c>
      <c r="C11" s="17" t="s">
        <v>57</v>
      </c>
      <c r="D11" s="17" t="s">
        <v>83</v>
      </c>
      <c r="E11" s="17" t="s">
        <v>65</v>
      </c>
      <c r="F11" s="19" t="n">
        <v>16.42</v>
      </c>
      <c r="G11" s="14" t="n">
        <f aca="false">F11/Summary!$C$4</f>
        <v>22.8055555555556</v>
      </c>
      <c r="H11" s="19" t="n">
        <v>0</v>
      </c>
      <c r="I11" s="9" t="n">
        <f aca="false">F11+H11</f>
        <v>16.42</v>
      </c>
      <c r="J11" s="8" t="n">
        <f aca="false">IFERROR(F11/SUMIFS($F:$F,$A:$A,A11),0)</f>
        <v>0.0250362125486011</v>
      </c>
      <c r="K11" s="20" t="n">
        <v>9</v>
      </c>
      <c r="L11" s="17"/>
    </row>
    <row r="12" customFormat="false" ht="15" hidden="false" customHeight="false" outlineLevel="0" collapsed="false">
      <c r="A12" s="17" t="s">
        <v>15</v>
      </c>
      <c r="B12" s="17" t="s">
        <v>71</v>
      </c>
      <c r="C12" s="17" t="s">
        <v>61</v>
      </c>
      <c r="D12" s="17" t="s">
        <v>72</v>
      </c>
      <c r="E12" s="17" t="s">
        <v>65</v>
      </c>
      <c r="F12" s="19" t="n">
        <v>15.4</v>
      </c>
      <c r="G12" s="14" t="n">
        <f aca="false">F12/Summary!$C$4</f>
        <v>21.3888888888889</v>
      </c>
      <c r="H12" s="19" t="n">
        <v>0</v>
      </c>
      <c r="I12" s="9" t="n">
        <f aca="false">F12+H12</f>
        <v>15.4</v>
      </c>
      <c r="J12" s="8" t="n">
        <f aca="false">IFERROR(F12/SUMIFS($F:$F,$A:$A,A12),0)</f>
        <v>0.0234809788823664</v>
      </c>
      <c r="K12" s="20" t="n">
        <v>7</v>
      </c>
      <c r="L12" s="17"/>
    </row>
    <row r="13" customFormat="false" ht="15" hidden="false" customHeight="false" outlineLevel="0" collapsed="false">
      <c r="A13" s="17" t="s">
        <v>15</v>
      </c>
      <c r="B13" s="17" t="s">
        <v>77</v>
      </c>
      <c r="C13" s="17" t="s">
        <v>63</v>
      </c>
      <c r="D13" s="17" t="s">
        <v>78</v>
      </c>
      <c r="E13" s="17" t="s">
        <v>65</v>
      </c>
      <c r="F13" s="19" t="n">
        <v>9.32</v>
      </c>
      <c r="G13" s="14" t="n">
        <f aca="false">F13/Summary!$C$4</f>
        <v>12.9444444444444</v>
      </c>
      <c r="H13" s="19" t="n">
        <v>0</v>
      </c>
      <c r="I13" s="9" t="n">
        <f aca="false">F13+H13</f>
        <v>9.32</v>
      </c>
      <c r="J13" s="8" t="n">
        <f aca="false">IFERROR(F13/SUMIFS($F:$F,$A:$A,A13),0)</f>
        <v>0.0142105664404971</v>
      </c>
      <c r="K13" s="20" t="n">
        <v>2</v>
      </c>
      <c r="L13" s="17"/>
    </row>
    <row r="14" customFormat="false" ht="15" hidden="false" customHeight="false" outlineLevel="0" collapsed="false">
      <c r="A14" s="17" t="s">
        <v>15</v>
      </c>
      <c r="B14" s="17" t="s">
        <v>84</v>
      </c>
      <c r="C14" s="17" t="s">
        <v>61</v>
      </c>
      <c r="D14" s="17" t="s">
        <v>83</v>
      </c>
      <c r="E14" s="17" t="s">
        <v>65</v>
      </c>
      <c r="F14" s="19" t="n">
        <v>8.99</v>
      </c>
      <c r="G14" s="14" t="n">
        <f aca="false">F14/Summary!$C$4</f>
        <v>12.4861111111111</v>
      </c>
      <c r="H14" s="19" t="n">
        <v>0</v>
      </c>
      <c r="I14" s="9" t="n">
        <f aca="false">F14+H14</f>
        <v>8.99</v>
      </c>
      <c r="J14" s="8" t="n">
        <f aca="false">IFERROR(F14/SUMIFS($F:$F,$A:$A,A14),0)</f>
        <v>0.0137074026073035</v>
      </c>
      <c r="K14" s="20" t="n">
        <v>6</v>
      </c>
      <c r="L14" s="17"/>
    </row>
    <row r="15" customFormat="false" ht="15" hidden="false" customHeight="false" outlineLevel="0" collapsed="false">
      <c r="A15" s="17" t="s">
        <v>15</v>
      </c>
      <c r="B15" s="17" t="s">
        <v>195</v>
      </c>
      <c r="C15" s="17" t="s">
        <v>97</v>
      </c>
      <c r="D15" s="17" t="s">
        <v>72</v>
      </c>
      <c r="E15" s="17" t="s">
        <v>65</v>
      </c>
      <c r="F15" s="19" t="n">
        <v>8.25</v>
      </c>
      <c r="G15" s="14" t="n">
        <f aca="false">F15/Summary!$C$4</f>
        <v>11.4583333333333</v>
      </c>
      <c r="H15" s="19" t="n">
        <v>0</v>
      </c>
      <c r="I15" s="9" t="n">
        <f aca="false">F15+H15</f>
        <v>8.25</v>
      </c>
      <c r="J15" s="8" t="n">
        <f aca="false">IFERROR(F15/SUMIFS($F:$F,$A:$A,A15),0)</f>
        <v>0.0125790958298391</v>
      </c>
      <c r="K15" s="20" t="n">
        <v>0</v>
      </c>
      <c r="L15" s="17"/>
    </row>
    <row r="16" customFormat="false" ht="15" hidden="false" customHeight="false" outlineLevel="0" collapsed="false">
      <c r="A16" s="17" t="s">
        <v>15</v>
      </c>
      <c r="B16" s="17" t="s">
        <v>196</v>
      </c>
      <c r="C16" s="17" t="s">
        <v>97</v>
      </c>
      <c r="D16" s="17" t="s">
        <v>69</v>
      </c>
      <c r="E16" s="17" t="s">
        <v>65</v>
      </c>
      <c r="F16" s="19" t="n">
        <v>7.77</v>
      </c>
      <c r="G16" s="14" t="n">
        <f aca="false">F16/Summary!$C$4</f>
        <v>10.7916666666667</v>
      </c>
      <c r="H16" s="19" t="n">
        <v>0</v>
      </c>
      <c r="I16" s="9" t="n">
        <f aca="false">F16+H16</f>
        <v>7.77</v>
      </c>
      <c r="J16" s="8" t="n">
        <f aca="false">IFERROR(F16/SUMIFS($F:$F,$A:$A,A16),0)</f>
        <v>0.0118472211633758</v>
      </c>
      <c r="K16" s="20" t="n">
        <v>1</v>
      </c>
      <c r="L16" s="17"/>
    </row>
    <row r="17" customFormat="false" ht="15" hidden="false" customHeight="false" outlineLevel="0" collapsed="false">
      <c r="A17" s="17" t="s">
        <v>15</v>
      </c>
      <c r="B17" s="17" t="s">
        <v>79</v>
      </c>
      <c r="C17" s="17" t="s">
        <v>68</v>
      </c>
      <c r="D17" s="17" t="s">
        <v>80</v>
      </c>
      <c r="E17" s="17" t="s">
        <v>65</v>
      </c>
      <c r="F17" s="19" t="n">
        <v>6.45</v>
      </c>
      <c r="G17" s="14" t="n">
        <f aca="false">F17/Summary!$C$4</f>
        <v>8.95833333333333</v>
      </c>
      <c r="H17" s="19" t="n">
        <v>0</v>
      </c>
      <c r="I17" s="9" t="n">
        <f aca="false">F17+H17</f>
        <v>6.45</v>
      </c>
      <c r="J17" s="8" t="n">
        <f aca="false">IFERROR(F17/SUMIFS($F:$F,$A:$A,A17),0)</f>
        <v>0.00983456583060151</v>
      </c>
      <c r="K17" s="20" t="n">
        <v>2</v>
      </c>
      <c r="L17" s="17"/>
    </row>
    <row r="18" customFormat="false" ht="15" hidden="false" customHeight="false" outlineLevel="0" collapsed="false">
      <c r="A18" s="17" t="s">
        <v>15</v>
      </c>
      <c r="B18" s="17" t="s">
        <v>56</v>
      </c>
      <c r="C18" s="17" t="s">
        <v>57</v>
      </c>
      <c r="D18" s="17" t="s">
        <v>58</v>
      </c>
      <c r="E18" s="18" t="s">
        <v>59</v>
      </c>
      <c r="F18" s="19" t="n">
        <v>5.91</v>
      </c>
      <c r="G18" s="14" t="n">
        <f aca="false">F18/Summary!$C$4</f>
        <v>8.20833333333333</v>
      </c>
      <c r="H18" s="19" t="n">
        <v>0</v>
      </c>
      <c r="I18" s="9" t="n">
        <f aca="false">F18+H18</f>
        <v>5.91</v>
      </c>
      <c r="J18" s="8" t="n">
        <f aca="false">IFERROR(F18/SUMIFS($F:$F,$A:$A,A18),0)</f>
        <v>0.00901120683083022</v>
      </c>
      <c r="K18" s="20" t="n">
        <v>10</v>
      </c>
      <c r="L18" s="17"/>
    </row>
    <row r="19" customFormat="false" ht="15" hidden="false" customHeight="false" outlineLevel="0" collapsed="false">
      <c r="A19" s="17" t="s">
        <v>15</v>
      </c>
      <c r="B19" s="17" t="s">
        <v>197</v>
      </c>
      <c r="C19" s="17" t="s">
        <v>57</v>
      </c>
      <c r="D19" s="17" t="s">
        <v>132</v>
      </c>
      <c r="E19" s="17" t="s">
        <v>65</v>
      </c>
      <c r="F19" s="19" t="n">
        <v>5.64</v>
      </c>
      <c r="G19" s="14" t="n">
        <f aca="false">F19/Summary!$C$4</f>
        <v>7.83333333333333</v>
      </c>
      <c r="H19" s="19" t="n">
        <v>0</v>
      </c>
      <c r="I19" s="9" t="n">
        <f aca="false">F19+H19</f>
        <v>5.64</v>
      </c>
      <c r="J19" s="8" t="n">
        <f aca="false">IFERROR(F19/SUMIFS($F:$F,$A:$A,A19),0)</f>
        <v>0.00859952733094458</v>
      </c>
      <c r="K19" s="20" t="n">
        <v>9</v>
      </c>
      <c r="L19" s="17"/>
    </row>
    <row r="20" customFormat="false" ht="15" hidden="false" customHeight="false" outlineLevel="0" collapsed="false">
      <c r="A20" s="17" t="s">
        <v>15</v>
      </c>
      <c r="B20" s="17" t="s">
        <v>74</v>
      </c>
      <c r="C20" s="17" t="s">
        <v>68</v>
      </c>
      <c r="D20" s="17" t="s">
        <v>75</v>
      </c>
      <c r="E20" s="17" t="s">
        <v>65</v>
      </c>
      <c r="F20" s="19" t="n">
        <v>4.78</v>
      </c>
      <c r="G20" s="14" t="n">
        <f aca="false">F20/Summary!$C$4</f>
        <v>6.63888888888889</v>
      </c>
      <c r="H20" s="19" t="n">
        <v>0</v>
      </c>
      <c r="I20" s="9" t="n">
        <f aca="false">F20+H20</f>
        <v>4.78</v>
      </c>
      <c r="J20" s="8" t="n">
        <f aca="false">IFERROR(F20/SUMIFS($F:$F,$A:$A,A20),0)</f>
        <v>0.00728825188686437</v>
      </c>
      <c r="K20" s="20" t="n">
        <v>2</v>
      </c>
      <c r="L20" s="17"/>
    </row>
    <row r="21" customFormat="false" ht="15" hidden="false" customHeight="false" outlineLevel="0" collapsed="false">
      <c r="A21" s="17" t="s">
        <v>15</v>
      </c>
      <c r="B21" s="17" t="s">
        <v>198</v>
      </c>
      <c r="C21" s="17" t="s">
        <v>63</v>
      </c>
      <c r="D21" s="17" t="s">
        <v>83</v>
      </c>
      <c r="E21" s="17" t="s">
        <v>65</v>
      </c>
      <c r="F21" s="19" t="n">
        <v>4.32</v>
      </c>
      <c r="G21" s="14" t="n">
        <f aca="false">F21/Summary!$C$4</f>
        <v>6</v>
      </c>
      <c r="H21" s="19" t="n">
        <v>0</v>
      </c>
      <c r="I21" s="9" t="n">
        <f aca="false">F21+H21</f>
        <v>4.32</v>
      </c>
      <c r="J21" s="8" t="n">
        <f aca="false">IFERROR(F21/SUMIFS($F:$F,$A:$A,A21),0)</f>
        <v>0.00658687199817031</v>
      </c>
      <c r="K21" s="20" t="n">
        <v>1</v>
      </c>
      <c r="L21" s="17"/>
    </row>
    <row r="22" customFormat="false" ht="15" hidden="false" customHeight="false" outlineLevel="0" collapsed="false">
      <c r="A22" s="17" t="s">
        <v>15</v>
      </c>
      <c r="B22" s="17" t="s">
        <v>199</v>
      </c>
      <c r="C22" s="17" t="s">
        <v>61</v>
      </c>
      <c r="D22" s="17" t="s">
        <v>69</v>
      </c>
      <c r="E22" s="17" t="s">
        <v>65</v>
      </c>
      <c r="F22" s="19" t="n">
        <v>4.05</v>
      </c>
      <c r="G22" s="14" t="n">
        <f aca="false">F22/Summary!$C$4</f>
        <v>5.625</v>
      </c>
      <c r="H22" s="19" t="n">
        <v>0</v>
      </c>
      <c r="I22" s="9" t="n">
        <f aca="false">F22+H22</f>
        <v>4.05</v>
      </c>
      <c r="J22" s="8" t="n">
        <f aca="false">IFERROR(F22/SUMIFS($F:$F,$A:$A,A22),0)</f>
        <v>0.00617519249828467</v>
      </c>
      <c r="K22" s="20" t="n">
        <v>3</v>
      </c>
      <c r="L22" s="17"/>
    </row>
    <row r="23" customFormat="false" ht="15" hidden="false" customHeight="false" outlineLevel="0" collapsed="false">
      <c r="A23" s="17" t="s">
        <v>15</v>
      </c>
      <c r="B23" s="17" t="s">
        <v>200</v>
      </c>
      <c r="C23" s="17" t="s">
        <v>57</v>
      </c>
      <c r="D23" s="17" t="s">
        <v>98</v>
      </c>
      <c r="E23" s="17" t="s">
        <v>65</v>
      </c>
      <c r="F23" s="19" t="n">
        <v>3.78</v>
      </c>
      <c r="G23" s="14" t="n">
        <f aca="false">F23/Summary!$C$4</f>
        <v>5.25</v>
      </c>
      <c r="H23" s="19" t="n">
        <v>0</v>
      </c>
      <c r="I23" s="9" t="n">
        <f aca="false">F23+H23</f>
        <v>3.78</v>
      </c>
      <c r="J23" s="8" t="n">
        <f aca="false">IFERROR(F23/SUMIFS($F:$F,$A:$A,A23),0)</f>
        <v>0.00576351299839902</v>
      </c>
      <c r="K23" s="20" t="n">
        <v>2</v>
      </c>
      <c r="L23" s="17"/>
    </row>
    <row r="24" customFormat="false" ht="15" hidden="false" customHeight="false" outlineLevel="0" collapsed="false">
      <c r="A24" s="17" t="s">
        <v>15</v>
      </c>
      <c r="B24" s="17" t="s">
        <v>201</v>
      </c>
      <c r="C24" s="17" t="s">
        <v>68</v>
      </c>
      <c r="D24" s="17" t="s">
        <v>89</v>
      </c>
      <c r="E24" s="17" t="s">
        <v>65</v>
      </c>
      <c r="F24" s="19" t="n">
        <v>3.73</v>
      </c>
      <c r="G24" s="14" t="n">
        <f aca="false">F24/Summary!$C$4</f>
        <v>5.18055555555556</v>
      </c>
      <c r="H24" s="19" t="n">
        <v>0</v>
      </c>
      <c r="I24" s="9" t="n">
        <f aca="false">F24+H24</f>
        <v>3.73</v>
      </c>
      <c r="J24" s="8" t="n">
        <f aca="false">IFERROR(F24/SUMIFS($F:$F,$A:$A,A24),0)</f>
        <v>0.00568727605397576</v>
      </c>
      <c r="K24" s="20" t="n">
        <v>0</v>
      </c>
      <c r="L24" s="17"/>
    </row>
    <row r="25" customFormat="false" ht="15" hidden="false" customHeight="false" outlineLevel="0" collapsed="false">
      <c r="A25" s="17" t="s">
        <v>15</v>
      </c>
      <c r="B25" s="17" t="s">
        <v>202</v>
      </c>
      <c r="C25" s="17" t="s">
        <v>61</v>
      </c>
      <c r="D25" s="17" t="s">
        <v>75</v>
      </c>
      <c r="E25" s="17" t="s">
        <v>65</v>
      </c>
      <c r="F25" s="19" t="n">
        <v>3.63</v>
      </c>
      <c r="G25" s="14" t="n">
        <f aca="false">F25/Summary!$C$4</f>
        <v>5.04166666666667</v>
      </c>
      <c r="H25" s="19" t="n">
        <v>0</v>
      </c>
      <c r="I25" s="9" t="n">
        <f aca="false">F25+H25</f>
        <v>3.63</v>
      </c>
      <c r="J25" s="8" t="n">
        <f aca="false">IFERROR(F25/SUMIFS($F:$F,$A:$A,A25),0)</f>
        <v>0.00553480216512922</v>
      </c>
      <c r="K25" s="20" t="n">
        <v>0</v>
      </c>
      <c r="L25" s="17"/>
    </row>
    <row r="26" customFormat="false" ht="15" hidden="false" customHeight="false" outlineLevel="0" collapsed="false">
      <c r="A26" s="17" t="s">
        <v>15</v>
      </c>
      <c r="B26" s="17" t="s">
        <v>86</v>
      </c>
      <c r="C26" s="17" t="s">
        <v>57</v>
      </c>
      <c r="D26" s="17" t="s">
        <v>75</v>
      </c>
      <c r="E26" s="17" t="s">
        <v>65</v>
      </c>
      <c r="F26" s="19" t="n">
        <v>3.59</v>
      </c>
      <c r="G26" s="14" t="n">
        <f aca="false">F26/Summary!$C$4</f>
        <v>4.98611111111111</v>
      </c>
      <c r="H26" s="19" t="n">
        <v>0</v>
      </c>
      <c r="I26" s="9" t="n">
        <f aca="false">F26+H26</f>
        <v>3.59</v>
      </c>
      <c r="J26" s="8" t="n">
        <f aca="false">IFERROR(F26/SUMIFS($F:$F,$A:$A,A26),0)</f>
        <v>0.00547381260959061</v>
      </c>
      <c r="K26" s="20" t="n">
        <v>7</v>
      </c>
      <c r="L26" s="17"/>
    </row>
    <row r="27" customFormat="false" ht="15" hidden="false" customHeight="false" outlineLevel="0" collapsed="false">
      <c r="A27" s="17" t="s">
        <v>15</v>
      </c>
      <c r="B27" s="17" t="s">
        <v>203</v>
      </c>
      <c r="C27" s="17" t="s">
        <v>57</v>
      </c>
      <c r="D27" s="17" t="s">
        <v>69</v>
      </c>
      <c r="E27" s="17" t="s">
        <v>65</v>
      </c>
      <c r="F27" s="19" t="n">
        <v>2.95</v>
      </c>
      <c r="G27" s="14" t="n">
        <f aca="false">F27/Summary!$C$4</f>
        <v>4.09722222222222</v>
      </c>
      <c r="H27" s="19" t="n">
        <v>0</v>
      </c>
      <c r="I27" s="9" t="n">
        <f aca="false">F27+H27</f>
        <v>2.95</v>
      </c>
      <c r="J27" s="8" t="n">
        <f aca="false">IFERROR(F27/SUMIFS($F:$F,$A:$A,A27),0)</f>
        <v>0.00449797972097278</v>
      </c>
      <c r="K27" s="20" t="n">
        <v>7</v>
      </c>
      <c r="L27" s="17"/>
    </row>
    <row r="28" customFormat="false" ht="15" hidden="false" customHeight="false" outlineLevel="0" collapsed="false">
      <c r="A28" s="17" t="s">
        <v>15</v>
      </c>
      <c r="B28" s="17" t="s">
        <v>106</v>
      </c>
      <c r="C28" s="17" t="s">
        <v>61</v>
      </c>
      <c r="D28" s="17" t="s">
        <v>78</v>
      </c>
      <c r="E28" s="17" t="s">
        <v>65</v>
      </c>
      <c r="F28" s="19" t="n">
        <v>2.95</v>
      </c>
      <c r="G28" s="14" t="n">
        <f aca="false">F28/Summary!$C$4</f>
        <v>4.09722222222222</v>
      </c>
      <c r="H28" s="19" t="n">
        <v>0</v>
      </c>
      <c r="I28" s="9" t="n">
        <f aca="false">F28+H28</f>
        <v>2.95</v>
      </c>
      <c r="J28" s="8" t="n">
        <f aca="false">IFERROR(F28/SUMIFS($F:$F,$A:$A,A28),0)</f>
        <v>0.00449797972097278</v>
      </c>
      <c r="K28" s="20" t="n">
        <v>8</v>
      </c>
      <c r="L28" s="17"/>
    </row>
    <row r="29" customFormat="false" ht="15" hidden="false" customHeight="false" outlineLevel="0" collapsed="false">
      <c r="A29" s="17" t="s">
        <v>15</v>
      </c>
      <c r="B29" s="17" t="s">
        <v>60</v>
      </c>
      <c r="C29" s="17" t="s">
        <v>61</v>
      </c>
      <c r="D29" s="17" t="s">
        <v>58</v>
      </c>
      <c r="E29" s="18" t="s">
        <v>59</v>
      </c>
      <c r="F29" s="19" t="n">
        <v>2.16</v>
      </c>
      <c r="G29" s="14" t="n">
        <f aca="false">F29/Summary!$C$4</f>
        <v>3</v>
      </c>
      <c r="H29" s="19" t="n">
        <v>0</v>
      </c>
      <c r="I29" s="9" t="n">
        <f aca="false">F29+H29</f>
        <v>2.16</v>
      </c>
      <c r="J29" s="8" t="n">
        <f aca="false">IFERROR(F29/SUMIFS($F:$F,$A:$A,A29),0)</f>
        <v>0.00329343599908516</v>
      </c>
      <c r="K29" s="20" t="n">
        <v>11</v>
      </c>
      <c r="L29" s="17"/>
    </row>
    <row r="30" customFormat="false" ht="15" hidden="false" customHeight="false" outlineLevel="0" collapsed="false">
      <c r="A30" s="17" t="s">
        <v>15</v>
      </c>
      <c r="B30" s="17" t="s">
        <v>204</v>
      </c>
      <c r="C30" s="17" t="s">
        <v>61</v>
      </c>
      <c r="D30" s="17" t="s">
        <v>89</v>
      </c>
      <c r="E30" s="17" t="s">
        <v>65</v>
      </c>
      <c r="F30" s="19" t="n">
        <v>2.15</v>
      </c>
      <c r="G30" s="14" t="n">
        <f aca="false">F30/Summary!$C$4</f>
        <v>2.98611111111111</v>
      </c>
      <c r="H30" s="19" t="n">
        <v>0</v>
      </c>
      <c r="I30" s="9" t="n">
        <f aca="false">F30+H30</f>
        <v>2.15</v>
      </c>
      <c r="J30" s="8" t="n">
        <f aca="false">IFERROR(F30/SUMIFS($F:$F,$A:$A,A30),0)</f>
        <v>0.0032781886102005</v>
      </c>
      <c r="K30" s="20" t="n">
        <v>3</v>
      </c>
      <c r="L30" s="17"/>
    </row>
    <row r="31" customFormat="false" ht="15" hidden="false" customHeight="false" outlineLevel="0" collapsed="false">
      <c r="A31" s="17" t="s">
        <v>15</v>
      </c>
      <c r="B31" s="17" t="s">
        <v>205</v>
      </c>
      <c r="C31" s="17" t="s">
        <v>97</v>
      </c>
      <c r="D31" s="17" t="s">
        <v>58</v>
      </c>
      <c r="E31" s="18" t="s">
        <v>59</v>
      </c>
      <c r="F31" s="19" t="n">
        <v>2.12</v>
      </c>
      <c r="G31" s="14" t="n">
        <f aca="false">F31/Summary!$C$4</f>
        <v>2.94444444444444</v>
      </c>
      <c r="H31" s="19" t="n">
        <v>0</v>
      </c>
      <c r="I31" s="9" t="n">
        <f aca="false">F31+H31</f>
        <v>2.12</v>
      </c>
      <c r="J31" s="8" t="n">
        <f aca="false">IFERROR(F31/SUMIFS($F:$F,$A:$A,A31),0)</f>
        <v>0.00323244644354654</v>
      </c>
      <c r="K31" s="20" t="n">
        <v>2</v>
      </c>
      <c r="L31" s="17"/>
    </row>
    <row r="32" customFormat="false" ht="15" hidden="false" customHeight="false" outlineLevel="0" collapsed="false">
      <c r="A32" s="17" t="s">
        <v>15</v>
      </c>
      <c r="B32" s="17" t="s">
        <v>96</v>
      </c>
      <c r="C32" s="17" t="s">
        <v>97</v>
      </c>
      <c r="D32" s="17" t="s">
        <v>98</v>
      </c>
      <c r="E32" s="17" t="s">
        <v>65</v>
      </c>
      <c r="F32" s="19" t="n">
        <v>1.9</v>
      </c>
      <c r="G32" s="14" t="n">
        <f aca="false">F32/Summary!$C$4</f>
        <v>2.63888888888889</v>
      </c>
      <c r="H32" s="19" t="n">
        <v>0</v>
      </c>
      <c r="I32" s="9" t="n">
        <f aca="false">F32+H32</f>
        <v>1.9</v>
      </c>
      <c r="J32" s="8" t="n">
        <f aca="false">IFERROR(F32/SUMIFS($F:$F,$A:$A,A32),0)</f>
        <v>0.00289700388808417</v>
      </c>
      <c r="K32" s="20" t="n">
        <v>0</v>
      </c>
      <c r="L32" s="17"/>
    </row>
    <row r="33" customFormat="false" ht="15" hidden="false" customHeight="false" outlineLevel="0" collapsed="false">
      <c r="A33" s="17" t="s">
        <v>15</v>
      </c>
      <c r="B33" s="17" t="s">
        <v>206</v>
      </c>
      <c r="C33" s="17" t="s">
        <v>61</v>
      </c>
      <c r="D33" s="17" t="s">
        <v>98</v>
      </c>
      <c r="E33" s="17" t="s">
        <v>65</v>
      </c>
      <c r="F33" s="19" t="n">
        <v>1.86</v>
      </c>
      <c r="G33" s="14" t="n">
        <f aca="false">F33/Summary!$C$4</f>
        <v>2.58333333333333</v>
      </c>
      <c r="H33" s="19" t="n">
        <v>0</v>
      </c>
      <c r="I33" s="9" t="n">
        <f aca="false">F33+H33</f>
        <v>1.86</v>
      </c>
      <c r="J33" s="8" t="n">
        <f aca="false">IFERROR(F33/SUMIFS($F:$F,$A:$A,A33),0)</f>
        <v>0.00283601433254555</v>
      </c>
      <c r="K33" s="20" t="n">
        <v>0</v>
      </c>
      <c r="L33" s="17"/>
    </row>
    <row r="34" customFormat="false" ht="15" hidden="false" customHeight="false" outlineLevel="0" collapsed="false">
      <c r="A34" s="17" t="s">
        <v>15</v>
      </c>
      <c r="B34" s="17" t="s">
        <v>207</v>
      </c>
      <c r="C34" s="17" t="s">
        <v>97</v>
      </c>
      <c r="D34" s="17" t="s">
        <v>132</v>
      </c>
      <c r="E34" s="17" t="s">
        <v>65</v>
      </c>
      <c r="F34" s="19" t="n">
        <v>1.85</v>
      </c>
      <c r="G34" s="14" t="n">
        <f aca="false">F34/Summary!$C$4</f>
        <v>2.56944444444444</v>
      </c>
      <c r="H34" s="19" t="n">
        <v>0</v>
      </c>
      <c r="I34" s="9" t="n">
        <f aca="false">F34+H34</f>
        <v>1.85</v>
      </c>
      <c r="J34" s="8" t="n">
        <f aca="false">IFERROR(F34/SUMIFS($F:$F,$A:$A,A34),0)</f>
        <v>0.0028207669436609</v>
      </c>
      <c r="K34" s="20" t="n">
        <v>0</v>
      </c>
      <c r="L34" s="17"/>
    </row>
    <row r="35" customFormat="false" ht="15" hidden="false" customHeight="false" outlineLevel="0" collapsed="false">
      <c r="A35" s="17" t="s">
        <v>15</v>
      </c>
      <c r="B35" s="17" t="s">
        <v>94</v>
      </c>
      <c r="C35" s="17" t="s">
        <v>68</v>
      </c>
      <c r="D35" s="17" t="s">
        <v>78</v>
      </c>
      <c r="E35" s="17" t="s">
        <v>65</v>
      </c>
      <c r="F35" s="19" t="n">
        <v>1.55</v>
      </c>
      <c r="G35" s="14" t="n">
        <f aca="false">F35/Summary!$C$4</f>
        <v>2.15277777777778</v>
      </c>
      <c r="H35" s="19" t="n">
        <v>0</v>
      </c>
      <c r="I35" s="9" t="n">
        <f aca="false">F35+H35</f>
        <v>1.55</v>
      </c>
      <c r="J35" s="8" t="n">
        <f aca="false">IFERROR(F35/SUMIFS($F:$F,$A:$A,A35),0)</f>
        <v>0.00236334527712129</v>
      </c>
      <c r="K35" s="20" t="n">
        <v>0</v>
      </c>
      <c r="L35" s="17"/>
    </row>
    <row r="36" customFormat="false" ht="15" hidden="false" customHeight="false" outlineLevel="0" collapsed="false">
      <c r="A36" s="17" t="s">
        <v>15</v>
      </c>
      <c r="B36" s="17" t="s">
        <v>90</v>
      </c>
      <c r="C36" s="17" t="s">
        <v>68</v>
      </c>
      <c r="D36" s="17" t="s">
        <v>58</v>
      </c>
      <c r="E36" s="18" t="s">
        <v>59</v>
      </c>
      <c r="F36" s="19" t="n">
        <v>1.53</v>
      </c>
      <c r="G36" s="14" t="n">
        <f aca="false">F36/Summary!$C$4</f>
        <v>2.125</v>
      </c>
      <c r="H36" s="19" t="n">
        <v>0</v>
      </c>
      <c r="I36" s="9" t="n">
        <f aca="false">F36+H36</f>
        <v>1.53</v>
      </c>
      <c r="J36" s="8" t="n">
        <f aca="false">IFERROR(F36/SUMIFS($F:$F,$A:$A,A36),0)</f>
        <v>0.00233285049935199</v>
      </c>
      <c r="K36" s="20" t="n">
        <v>0</v>
      </c>
      <c r="L36" s="17"/>
    </row>
    <row r="37" customFormat="false" ht="15" hidden="false" customHeight="false" outlineLevel="0" collapsed="false">
      <c r="A37" s="17" t="s">
        <v>15</v>
      </c>
      <c r="B37" s="17" t="s">
        <v>208</v>
      </c>
      <c r="C37" s="17" t="s">
        <v>57</v>
      </c>
      <c r="D37" s="17" t="s">
        <v>108</v>
      </c>
      <c r="E37" s="17" t="s">
        <v>65</v>
      </c>
      <c r="F37" s="19" t="n">
        <v>1.29</v>
      </c>
      <c r="G37" s="14" t="n">
        <f aca="false">F37/Summary!$C$4</f>
        <v>1.79166666666667</v>
      </c>
      <c r="H37" s="19" t="n">
        <v>0</v>
      </c>
      <c r="I37" s="9" t="n">
        <f aca="false">F37+H37</f>
        <v>1.29</v>
      </c>
      <c r="J37" s="8" t="n">
        <f aca="false">IFERROR(F37/SUMIFS($F:$F,$A:$A,A37),0)</f>
        <v>0.0019669131661203</v>
      </c>
      <c r="K37" s="20" t="n">
        <v>7</v>
      </c>
      <c r="L37" s="17"/>
    </row>
    <row r="38" customFormat="false" ht="15" hidden="false" customHeight="false" outlineLevel="0" collapsed="false">
      <c r="A38" s="17" t="s">
        <v>16</v>
      </c>
      <c r="B38" s="17" t="s">
        <v>117</v>
      </c>
      <c r="C38" s="17" t="s">
        <v>61</v>
      </c>
      <c r="D38" s="17" t="s">
        <v>58</v>
      </c>
      <c r="E38" s="18" t="s">
        <v>59</v>
      </c>
      <c r="F38" s="19" t="n">
        <v>199.33</v>
      </c>
      <c r="G38" s="14" t="n">
        <f aca="false">F38/Summary!$C$4</f>
        <v>276.847222222222</v>
      </c>
      <c r="H38" s="19" t="n">
        <v>0</v>
      </c>
      <c r="I38" s="9" t="n">
        <f aca="false">F38+H38</f>
        <v>199.33</v>
      </c>
      <c r="J38" s="8" t="n">
        <f aca="false">IFERROR(F38/SUMIFS($F:$F,$A:$A,A38),0)</f>
        <v>0.500439356280284</v>
      </c>
      <c r="K38" s="20" t="n">
        <v>1</v>
      </c>
      <c r="L38" s="17"/>
    </row>
    <row r="39" customFormat="false" ht="15" hidden="false" customHeight="false" outlineLevel="0" collapsed="false">
      <c r="A39" s="17" t="s">
        <v>16</v>
      </c>
      <c r="B39" s="17" t="s">
        <v>115</v>
      </c>
      <c r="C39" s="17" t="s">
        <v>61</v>
      </c>
      <c r="D39" s="17" t="s">
        <v>64</v>
      </c>
      <c r="E39" s="17" t="s">
        <v>65</v>
      </c>
      <c r="F39" s="19" t="n">
        <v>63.58</v>
      </c>
      <c r="G39" s="14" t="n">
        <f aca="false">F39/Summary!$C$4</f>
        <v>88.3055555555556</v>
      </c>
      <c r="H39" s="19" t="n">
        <v>0</v>
      </c>
      <c r="I39" s="9" t="n">
        <f aca="false">F39+H39</f>
        <v>63.58</v>
      </c>
      <c r="J39" s="8" t="n">
        <f aca="false">IFERROR(F39/SUMIFS($F:$F,$A:$A,A39),0)</f>
        <v>0.15962441314554</v>
      </c>
      <c r="K39" s="20" t="n">
        <v>9</v>
      </c>
      <c r="L39" s="17"/>
    </row>
    <row r="40" customFormat="false" ht="15" hidden="false" customHeight="false" outlineLevel="0" collapsed="false">
      <c r="A40" s="17" t="s">
        <v>16</v>
      </c>
      <c r="B40" s="17" t="s">
        <v>209</v>
      </c>
      <c r="C40" s="17" t="s">
        <v>57</v>
      </c>
      <c r="D40" s="17" t="s">
        <v>102</v>
      </c>
      <c r="E40" s="17" t="s">
        <v>65</v>
      </c>
      <c r="F40" s="19" t="n">
        <v>53.48</v>
      </c>
      <c r="G40" s="14" t="n">
        <f aca="false">F40/Summary!$C$4</f>
        <v>74.2777777777778</v>
      </c>
      <c r="H40" s="19" t="n">
        <v>0</v>
      </c>
      <c r="I40" s="9" t="n">
        <f aca="false">F40+H40</f>
        <v>53.48</v>
      </c>
      <c r="J40" s="8" t="n">
        <f aca="false">IFERROR(F40/SUMIFS($F:$F,$A:$A,A40),0)</f>
        <v>0.134267279254852</v>
      </c>
      <c r="K40" s="20" t="n">
        <v>15</v>
      </c>
      <c r="L40" s="17"/>
    </row>
    <row r="41" customFormat="false" ht="15" hidden="false" customHeight="false" outlineLevel="0" collapsed="false">
      <c r="A41" s="17" t="s">
        <v>16</v>
      </c>
      <c r="B41" s="17" t="s">
        <v>210</v>
      </c>
      <c r="C41" s="17" t="s">
        <v>63</v>
      </c>
      <c r="D41" s="17" t="s">
        <v>58</v>
      </c>
      <c r="E41" s="18" t="s">
        <v>59</v>
      </c>
      <c r="F41" s="19" t="n">
        <v>23.19</v>
      </c>
      <c r="G41" s="14" t="n">
        <f aca="false">F41/Summary!$C$4</f>
        <v>32.2083333333333</v>
      </c>
      <c r="H41" s="19" t="n">
        <v>0</v>
      </c>
      <c r="I41" s="9" t="n">
        <f aca="false">F41+H41</f>
        <v>23.19</v>
      </c>
      <c r="J41" s="8" t="n">
        <f aca="false">IFERROR(F41/SUMIFS($F:$F,$A:$A,A41),0)</f>
        <v>0.0582209836559464</v>
      </c>
      <c r="K41" s="20" t="n">
        <v>2</v>
      </c>
      <c r="L41" s="17"/>
    </row>
    <row r="42" customFormat="false" ht="15" hidden="false" customHeight="false" outlineLevel="0" collapsed="false">
      <c r="A42" s="17" t="s">
        <v>16</v>
      </c>
      <c r="B42" s="17" t="s">
        <v>122</v>
      </c>
      <c r="C42" s="17" t="s">
        <v>61</v>
      </c>
      <c r="D42" s="17" t="s">
        <v>92</v>
      </c>
      <c r="E42" s="17" t="s">
        <v>65</v>
      </c>
      <c r="F42" s="19" t="n">
        <v>23.01</v>
      </c>
      <c r="G42" s="14" t="n">
        <f aca="false">F42/Summary!$C$4</f>
        <v>31.9583333333333</v>
      </c>
      <c r="H42" s="19" t="n">
        <v>0</v>
      </c>
      <c r="I42" s="9" t="n">
        <f aca="false">F42+H42</f>
        <v>23.01</v>
      </c>
      <c r="J42" s="8" t="n">
        <f aca="false">IFERROR(F42/SUMIFS($F:$F,$A:$A,A42),0)</f>
        <v>0.0577690743390826</v>
      </c>
      <c r="K42" s="20" t="n">
        <v>3</v>
      </c>
      <c r="L42" s="17"/>
    </row>
    <row r="43" customFormat="false" ht="15" hidden="false" customHeight="false" outlineLevel="0" collapsed="false">
      <c r="A43" s="17" t="s">
        <v>16</v>
      </c>
      <c r="B43" s="17" t="s">
        <v>211</v>
      </c>
      <c r="C43" s="17" t="s">
        <v>57</v>
      </c>
      <c r="D43" s="17" t="s">
        <v>83</v>
      </c>
      <c r="E43" s="17" t="s">
        <v>65</v>
      </c>
      <c r="F43" s="19" t="n">
        <v>13.3</v>
      </c>
      <c r="G43" s="14" t="n">
        <f aca="false">F43/Summary!$C$4</f>
        <v>18.4722222222222</v>
      </c>
      <c r="H43" s="19" t="n">
        <v>0</v>
      </c>
      <c r="I43" s="9" t="n">
        <f aca="false">F43+H43</f>
        <v>13.3</v>
      </c>
      <c r="J43" s="8" t="n">
        <f aca="false">IFERROR(F43/SUMIFS($F:$F,$A:$A,A43),0)</f>
        <v>0.0333910773015993</v>
      </c>
      <c r="K43" s="20" t="n">
        <v>5</v>
      </c>
      <c r="L43" s="17"/>
    </row>
    <row r="44" customFormat="false" ht="15" hidden="false" customHeight="false" outlineLevel="0" collapsed="false">
      <c r="A44" s="17" t="s">
        <v>16</v>
      </c>
      <c r="B44" s="17" t="s">
        <v>212</v>
      </c>
      <c r="C44" s="17" t="s">
        <v>97</v>
      </c>
      <c r="D44" s="17" t="s">
        <v>108</v>
      </c>
      <c r="E44" s="17" t="s">
        <v>65</v>
      </c>
      <c r="F44" s="19" t="n">
        <v>9.99</v>
      </c>
      <c r="G44" s="14" t="n">
        <f aca="false">F44/Summary!$C$4</f>
        <v>13.875</v>
      </c>
      <c r="H44" s="19" t="n">
        <v>0</v>
      </c>
      <c r="I44" s="9" t="n">
        <f aca="false">F44+H44</f>
        <v>9.99</v>
      </c>
      <c r="J44" s="8" t="n">
        <f aca="false">IFERROR(F44/SUMIFS($F:$F,$A:$A,A44),0)</f>
        <v>0.0250809670859381</v>
      </c>
      <c r="K44" s="20" t="n">
        <v>0</v>
      </c>
      <c r="L44" s="17"/>
    </row>
    <row r="45" customFormat="false" ht="15" hidden="false" customHeight="false" outlineLevel="0" collapsed="false">
      <c r="A45" s="17" t="s">
        <v>16</v>
      </c>
      <c r="B45" s="17" t="s">
        <v>134</v>
      </c>
      <c r="C45" s="17" t="s">
        <v>97</v>
      </c>
      <c r="D45" s="17" t="s">
        <v>58</v>
      </c>
      <c r="E45" s="18" t="s">
        <v>59</v>
      </c>
      <c r="F45" s="19" t="n">
        <v>5.22</v>
      </c>
      <c r="G45" s="14" t="n">
        <f aca="false">F45/Summary!$C$4</f>
        <v>7.25</v>
      </c>
      <c r="H45" s="19" t="n">
        <v>0</v>
      </c>
      <c r="I45" s="9" t="n">
        <f aca="false">F45+H45</f>
        <v>5.22</v>
      </c>
      <c r="J45" s="8" t="n">
        <f aca="false">IFERROR(F45/SUMIFS($F:$F,$A:$A,A45),0)</f>
        <v>0.0131053701890487</v>
      </c>
      <c r="K45" s="20" t="n">
        <v>0</v>
      </c>
      <c r="L45" s="17"/>
    </row>
    <row r="46" customFormat="false" ht="15" hidden="false" customHeight="false" outlineLevel="0" collapsed="false">
      <c r="A46" s="17" t="s">
        <v>16</v>
      </c>
      <c r="B46" s="17" t="s">
        <v>213</v>
      </c>
      <c r="C46" s="17" t="s">
        <v>97</v>
      </c>
      <c r="D46" s="17" t="s">
        <v>83</v>
      </c>
      <c r="E46" s="17" t="s">
        <v>65</v>
      </c>
      <c r="F46" s="19" t="n">
        <v>4.76</v>
      </c>
      <c r="G46" s="14" t="n">
        <f aca="false">F46/Summary!$C$4</f>
        <v>6.61111111111111</v>
      </c>
      <c r="H46" s="19" t="n">
        <v>0</v>
      </c>
      <c r="I46" s="9" t="n">
        <f aca="false">F46+H46</f>
        <v>4.76</v>
      </c>
      <c r="J46" s="8" t="n">
        <f aca="false">IFERROR(F46/SUMIFS($F:$F,$A:$A,A46),0)</f>
        <v>0.0119504908237303</v>
      </c>
      <c r="K46" s="20" t="n">
        <v>0</v>
      </c>
      <c r="L46" s="17"/>
    </row>
    <row r="47" customFormat="false" ht="15" hidden="false" customHeight="false" outlineLevel="0" collapsed="false">
      <c r="A47" s="17" t="s">
        <v>16</v>
      </c>
      <c r="B47" s="17" t="s">
        <v>214</v>
      </c>
      <c r="C47" s="17" t="s">
        <v>97</v>
      </c>
      <c r="D47" s="17" t="s">
        <v>80</v>
      </c>
      <c r="E47" s="17" t="s">
        <v>65</v>
      </c>
      <c r="F47" s="19" t="n">
        <v>2.45</v>
      </c>
      <c r="G47" s="14" t="n">
        <f aca="false">F47/Summary!$C$4</f>
        <v>3.40277777777778</v>
      </c>
      <c r="H47" s="19" t="n">
        <v>0</v>
      </c>
      <c r="I47" s="9" t="n">
        <f aca="false">F47+H47</f>
        <v>2.45</v>
      </c>
      <c r="J47" s="8" t="n">
        <f aca="false">IFERROR(F47/SUMIFS($F:$F,$A:$A,A47),0)</f>
        <v>0.00615098792397881</v>
      </c>
      <c r="K47" s="20" t="n">
        <v>0</v>
      </c>
      <c r="L47" s="17"/>
    </row>
    <row r="48" customFormat="false" ht="15" hidden="false" customHeight="false" outlineLevel="0" collapsed="false">
      <c r="A48" s="17" t="s">
        <v>17</v>
      </c>
      <c r="B48" s="17" t="s">
        <v>145</v>
      </c>
      <c r="C48" s="17" t="s">
        <v>61</v>
      </c>
      <c r="D48" s="17" t="s">
        <v>108</v>
      </c>
      <c r="E48" s="17" t="s">
        <v>65</v>
      </c>
      <c r="F48" s="19" t="n">
        <v>86.66</v>
      </c>
      <c r="G48" s="14" t="n">
        <f aca="false">F48/Summary!$C$4</f>
        <v>120.361111111111</v>
      </c>
      <c r="H48" s="19" t="n">
        <v>0</v>
      </c>
      <c r="I48" s="9" t="n">
        <f aca="false">F48+H48</f>
        <v>86.66</v>
      </c>
      <c r="J48" s="8" t="n">
        <f aca="false">IFERROR(F48/SUMIFS($F:$F,$A:$A,A48),0)</f>
        <v>0.318135095447871</v>
      </c>
      <c r="K48" s="20" t="n">
        <v>2</v>
      </c>
      <c r="L48" s="17"/>
    </row>
    <row r="49" customFormat="false" ht="15" hidden="false" customHeight="false" outlineLevel="0" collapsed="false">
      <c r="A49" s="17" t="s">
        <v>17</v>
      </c>
      <c r="B49" s="17" t="s">
        <v>161</v>
      </c>
      <c r="C49" s="17" t="s">
        <v>57</v>
      </c>
      <c r="D49" s="17" t="s">
        <v>132</v>
      </c>
      <c r="E49" s="18" t="s">
        <v>59</v>
      </c>
      <c r="F49" s="19" t="n">
        <v>24.49</v>
      </c>
      <c r="G49" s="14" t="n">
        <f aca="false">F49/Summary!$C$4</f>
        <v>34.0138888888889</v>
      </c>
      <c r="H49" s="19" t="n">
        <v>0</v>
      </c>
      <c r="I49" s="9" t="n">
        <f aca="false">F49+H49</f>
        <v>24.49</v>
      </c>
      <c r="J49" s="8" t="n">
        <f aca="false">IFERROR(F49/SUMIFS($F:$F,$A:$A,A49),0)</f>
        <v>0.0899045521292217</v>
      </c>
      <c r="K49" s="20" t="n">
        <v>5</v>
      </c>
      <c r="L49" s="17"/>
    </row>
    <row r="50" customFormat="false" ht="15" hidden="false" customHeight="false" outlineLevel="0" collapsed="false">
      <c r="A50" s="17" t="s">
        <v>17</v>
      </c>
      <c r="B50" s="17" t="s">
        <v>215</v>
      </c>
      <c r="C50" s="17" t="s">
        <v>61</v>
      </c>
      <c r="D50" s="17" t="s">
        <v>175</v>
      </c>
      <c r="E50" s="17" t="s">
        <v>65</v>
      </c>
      <c r="F50" s="19" t="n">
        <v>18.35</v>
      </c>
      <c r="G50" s="14" t="n">
        <f aca="false">F50/Summary!$C$4</f>
        <v>25.4861111111111</v>
      </c>
      <c r="H50" s="19" t="n">
        <v>0</v>
      </c>
      <c r="I50" s="9" t="n">
        <f aca="false">F50+H50</f>
        <v>18.35</v>
      </c>
      <c r="J50" s="8" t="n">
        <f aca="false">IFERROR(F50/SUMIFS($F:$F,$A:$A,A50),0)</f>
        <v>0.0673641703377386</v>
      </c>
      <c r="K50" s="20" t="n">
        <v>0</v>
      </c>
      <c r="L50" s="17"/>
    </row>
    <row r="51" customFormat="false" ht="15" hidden="false" customHeight="false" outlineLevel="0" collapsed="false">
      <c r="A51" s="17" t="s">
        <v>17</v>
      </c>
      <c r="B51" s="17" t="s">
        <v>216</v>
      </c>
      <c r="C51" s="17" t="s">
        <v>61</v>
      </c>
      <c r="D51" s="17" t="s">
        <v>132</v>
      </c>
      <c r="E51" s="18" t="s">
        <v>59</v>
      </c>
      <c r="F51" s="19" t="n">
        <v>11.33</v>
      </c>
      <c r="G51" s="14" t="n">
        <f aca="false">F51/Summary!$C$4</f>
        <v>15.7361111111111</v>
      </c>
      <c r="H51" s="19" t="n">
        <v>0</v>
      </c>
      <c r="I51" s="9" t="n">
        <f aca="false">F51+H51</f>
        <v>11.33</v>
      </c>
      <c r="J51" s="8" t="n">
        <f aca="false">IFERROR(F51/SUMIFS($F:$F,$A:$A,A51),0)</f>
        <v>0.0415932452276065</v>
      </c>
      <c r="K51" s="20" t="n">
        <v>2</v>
      </c>
      <c r="L51" s="17"/>
    </row>
    <row r="52" customFormat="false" ht="15" hidden="false" customHeight="false" outlineLevel="0" collapsed="false">
      <c r="A52" s="17" t="s">
        <v>17</v>
      </c>
      <c r="B52" s="17" t="s">
        <v>217</v>
      </c>
      <c r="C52" s="17" t="s">
        <v>61</v>
      </c>
      <c r="D52" s="17" t="s">
        <v>89</v>
      </c>
      <c r="E52" s="17" t="s">
        <v>65</v>
      </c>
      <c r="F52" s="19" t="n">
        <v>9.84</v>
      </c>
      <c r="G52" s="14" t="n">
        <f aca="false">F52/Summary!$C$4</f>
        <v>13.6666666666667</v>
      </c>
      <c r="H52" s="19" t="n">
        <v>0</v>
      </c>
      <c r="I52" s="9" t="n">
        <f aca="false">F52+H52</f>
        <v>9.84</v>
      </c>
      <c r="J52" s="8" t="n">
        <f aca="false">IFERROR(F52/SUMIFS($F:$F,$A:$A,A52),0)</f>
        <v>0.0361233480176212</v>
      </c>
      <c r="K52" s="20" t="n">
        <v>2</v>
      </c>
      <c r="L52" s="17"/>
    </row>
    <row r="53" customFormat="false" ht="15" hidden="false" customHeight="false" outlineLevel="0" collapsed="false">
      <c r="A53" s="17" t="s">
        <v>17</v>
      </c>
      <c r="B53" s="17" t="s">
        <v>218</v>
      </c>
      <c r="C53" s="17" t="s">
        <v>57</v>
      </c>
      <c r="D53" s="17" t="s">
        <v>169</v>
      </c>
      <c r="E53" s="17" t="s">
        <v>65</v>
      </c>
      <c r="F53" s="19" t="n">
        <v>8.61</v>
      </c>
      <c r="G53" s="14" t="n">
        <f aca="false">F53/Summary!$C$4</f>
        <v>11.9583333333333</v>
      </c>
      <c r="H53" s="19" t="n">
        <v>0</v>
      </c>
      <c r="I53" s="9" t="n">
        <f aca="false">F53+H53</f>
        <v>8.61</v>
      </c>
      <c r="J53" s="8" t="n">
        <f aca="false">IFERROR(F53/SUMIFS($F:$F,$A:$A,A53),0)</f>
        <v>0.0316079295154185</v>
      </c>
      <c r="K53" s="20" t="n">
        <v>0</v>
      </c>
      <c r="L53" s="17"/>
    </row>
    <row r="54" customFormat="false" ht="15" hidden="false" customHeight="false" outlineLevel="0" collapsed="false">
      <c r="A54" s="17" t="s">
        <v>17</v>
      </c>
      <c r="B54" s="17" t="s">
        <v>140</v>
      </c>
      <c r="C54" s="17" t="s">
        <v>57</v>
      </c>
      <c r="D54" s="17" t="s">
        <v>108</v>
      </c>
      <c r="E54" s="17" t="s">
        <v>65</v>
      </c>
      <c r="F54" s="19" t="n">
        <v>8.4</v>
      </c>
      <c r="G54" s="14" t="n">
        <f aca="false">F54/Summary!$C$4</f>
        <v>11.6666666666667</v>
      </c>
      <c r="H54" s="19" t="n">
        <v>0</v>
      </c>
      <c r="I54" s="9" t="n">
        <f aca="false">F54+H54</f>
        <v>8.4</v>
      </c>
      <c r="J54" s="8" t="n">
        <f aca="false">IFERROR(F54/SUMIFS($F:$F,$A:$A,A54),0)</f>
        <v>0.0308370044052863</v>
      </c>
      <c r="K54" s="20" t="n">
        <v>2</v>
      </c>
      <c r="L54" s="17"/>
    </row>
    <row r="55" customFormat="false" ht="15" hidden="false" customHeight="false" outlineLevel="0" collapsed="false">
      <c r="A55" s="17" t="s">
        <v>17</v>
      </c>
      <c r="B55" s="17" t="s">
        <v>153</v>
      </c>
      <c r="C55" s="17" t="s">
        <v>68</v>
      </c>
      <c r="D55" s="17" t="s">
        <v>154</v>
      </c>
      <c r="E55" s="17" t="s">
        <v>65</v>
      </c>
      <c r="F55" s="19" t="n">
        <v>8.37</v>
      </c>
      <c r="G55" s="14" t="n">
        <f aca="false">F55/Summary!$C$4</f>
        <v>11.625</v>
      </c>
      <c r="H55" s="19" t="n">
        <v>0</v>
      </c>
      <c r="I55" s="9" t="n">
        <f aca="false">F55+H55</f>
        <v>8.37</v>
      </c>
      <c r="J55" s="8" t="n">
        <f aca="false">IFERROR(F55/SUMIFS($F:$F,$A:$A,A55),0)</f>
        <v>0.030726872246696</v>
      </c>
      <c r="K55" s="20" t="n">
        <v>0</v>
      </c>
      <c r="L55" s="17"/>
    </row>
    <row r="56" customFormat="false" ht="15" hidden="false" customHeight="false" outlineLevel="0" collapsed="false">
      <c r="A56" s="17" t="s">
        <v>17</v>
      </c>
      <c r="B56" s="17" t="s">
        <v>219</v>
      </c>
      <c r="C56" s="17" t="s">
        <v>63</v>
      </c>
      <c r="D56" s="17" t="s">
        <v>188</v>
      </c>
      <c r="E56" s="17" t="s">
        <v>65</v>
      </c>
      <c r="F56" s="19" t="n">
        <v>8.06</v>
      </c>
      <c r="G56" s="14" t="n">
        <f aca="false">F56/Summary!$C$4</f>
        <v>11.1944444444444</v>
      </c>
      <c r="H56" s="19" t="n">
        <v>0</v>
      </c>
      <c r="I56" s="9" t="n">
        <f aca="false">F56+H56</f>
        <v>8.06</v>
      </c>
      <c r="J56" s="8" t="n">
        <f aca="false">IFERROR(F56/SUMIFS($F:$F,$A:$A,A56),0)</f>
        <v>0.0295888399412629</v>
      </c>
      <c r="K56" s="20" t="n">
        <v>1</v>
      </c>
      <c r="L56" s="17"/>
    </row>
    <row r="57" customFormat="false" ht="15" hidden="false" customHeight="false" outlineLevel="0" collapsed="false">
      <c r="A57" s="17" t="s">
        <v>17</v>
      </c>
      <c r="B57" s="17" t="s">
        <v>220</v>
      </c>
      <c r="C57" s="17" t="s">
        <v>61</v>
      </c>
      <c r="D57" s="17" t="s">
        <v>152</v>
      </c>
      <c r="E57" s="17" t="s">
        <v>65</v>
      </c>
      <c r="F57" s="19" t="n">
        <v>7.85</v>
      </c>
      <c r="G57" s="14" t="n">
        <f aca="false">F57/Summary!$C$4</f>
        <v>10.9027777777778</v>
      </c>
      <c r="H57" s="19" t="n">
        <v>0</v>
      </c>
      <c r="I57" s="9" t="n">
        <f aca="false">F57+H57</f>
        <v>7.85</v>
      </c>
      <c r="J57" s="8" t="n">
        <f aca="false">IFERROR(F57/SUMIFS($F:$F,$A:$A,A57),0)</f>
        <v>0.0288179148311307</v>
      </c>
      <c r="K57" s="20" t="n">
        <v>0</v>
      </c>
      <c r="L57" s="17"/>
    </row>
    <row r="58" customFormat="false" ht="15" hidden="false" customHeight="false" outlineLevel="0" collapsed="false">
      <c r="A58" s="17" t="s">
        <v>17</v>
      </c>
      <c r="B58" s="17" t="s">
        <v>221</v>
      </c>
      <c r="C58" s="17" t="s">
        <v>61</v>
      </c>
      <c r="D58" s="17" t="s">
        <v>177</v>
      </c>
      <c r="E58" s="17" t="s">
        <v>65</v>
      </c>
      <c r="F58" s="19" t="n">
        <v>7.44</v>
      </c>
      <c r="G58" s="14" t="n">
        <f aca="false">F58/Summary!$C$4</f>
        <v>10.3333333333333</v>
      </c>
      <c r="H58" s="19" t="n">
        <v>0</v>
      </c>
      <c r="I58" s="9" t="n">
        <f aca="false">F58+H58</f>
        <v>7.44</v>
      </c>
      <c r="J58" s="8" t="n">
        <f aca="false">IFERROR(F58/SUMIFS($F:$F,$A:$A,A58),0)</f>
        <v>0.0273127753303965</v>
      </c>
      <c r="K58" s="20" t="n">
        <v>0</v>
      </c>
      <c r="L58" s="17"/>
    </row>
    <row r="59" customFormat="false" ht="15" hidden="false" customHeight="false" outlineLevel="0" collapsed="false">
      <c r="A59" s="17" t="s">
        <v>17</v>
      </c>
      <c r="B59" s="17" t="s">
        <v>168</v>
      </c>
      <c r="C59" s="17" t="s">
        <v>61</v>
      </c>
      <c r="D59" s="17" t="s">
        <v>169</v>
      </c>
      <c r="E59" s="17" t="s">
        <v>65</v>
      </c>
      <c r="F59" s="19" t="n">
        <v>7.28</v>
      </c>
      <c r="G59" s="14" t="n">
        <f aca="false">F59/Summary!$C$4</f>
        <v>10.1111111111111</v>
      </c>
      <c r="H59" s="19" t="n">
        <v>0</v>
      </c>
      <c r="I59" s="9" t="n">
        <f aca="false">F59+H59</f>
        <v>7.28</v>
      </c>
      <c r="J59" s="8" t="n">
        <f aca="false">IFERROR(F59/SUMIFS($F:$F,$A:$A,A59),0)</f>
        <v>0.0267254038179148</v>
      </c>
      <c r="K59" s="20" t="n">
        <v>5</v>
      </c>
      <c r="L59" s="17"/>
    </row>
    <row r="60" customFormat="false" ht="15" hidden="false" customHeight="false" outlineLevel="0" collapsed="false">
      <c r="A60" s="17" t="s">
        <v>17</v>
      </c>
      <c r="B60" s="17" t="s">
        <v>222</v>
      </c>
      <c r="C60" s="17" t="s">
        <v>63</v>
      </c>
      <c r="D60" s="17" t="s">
        <v>152</v>
      </c>
      <c r="E60" s="17" t="s">
        <v>65</v>
      </c>
      <c r="F60" s="19" t="n">
        <v>6.08</v>
      </c>
      <c r="G60" s="14" t="n">
        <f aca="false">F60/Summary!$C$4</f>
        <v>8.44444444444445</v>
      </c>
      <c r="H60" s="19" t="n">
        <v>0</v>
      </c>
      <c r="I60" s="9" t="n">
        <f aca="false">F60+H60</f>
        <v>6.08</v>
      </c>
      <c r="J60" s="8" t="n">
        <f aca="false">IFERROR(F60/SUMIFS($F:$F,$A:$A,A60),0)</f>
        <v>0.0223201174743025</v>
      </c>
      <c r="K60" s="20" t="n">
        <v>0</v>
      </c>
      <c r="L60" s="17"/>
    </row>
    <row r="61" customFormat="false" ht="15" hidden="false" customHeight="false" outlineLevel="0" collapsed="false">
      <c r="A61" s="17" t="s">
        <v>17</v>
      </c>
      <c r="B61" s="17" t="s">
        <v>142</v>
      </c>
      <c r="C61" s="17" t="s">
        <v>63</v>
      </c>
      <c r="D61" s="17" t="s">
        <v>132</v>
      </c>
      <c r="E61" s="18" t="s">
        <v>59</v>
      </c>
      <c r="F61" s="19" t="n">
        <v>5.93</v>
      </c>
      <c r="G61" s="14" t="n">
        <f aca="false">F61/Summary!$C$4</f>
        <v>8.23611111111111</v>
      </c>
      <c r="H61" s="19" t="n">
        <v>4.69</v>
      </c>
      <c r="I61" s="9" t="n">
        <f aca="false">F61+H61</f>
        <v>10.62</v>
      </c>
      <c r="J61" s="8" t="n">
        <f aca="false">IFERROR(F61/SUMIFS($F:$F,$A:$A,A61),0)</f>
        <v>0.021769456681351</v>
      </c>
      <c r="K61" s="20" t="n">
        <v>2</v>
      </c>
      <c r="L61" s="17"/>
    </row>
    <row r="62" customFormat="false" ht="15" hidden="false" customHeight="false" outlineLevel="0" collapsed="false">
      <c r="A62" s="17" t="s">
        <v>17</v>
      </c>
      <c r="B62" s="17" t="s">
        <v>185</v>
      </c>
      <c r="C62" s="17" t="s">
        <v>63</v>
      </c>
      <c r="D62" s="17" t="s">
        <v>152</v>
      </c>
      <c r="E62" s="17" t="s">
        <v>65</v>
      </c>
      <c r="F62" s="19" t="n">
        <v>5.12</v>
      </c>
      <c r="G62" s="14" t="n">
        <f aca="false">F62/Summary!$C$4</f>
        <v>7.11111111111111</v>
      </c>
      <c r="H62" s="19" t="n">
        <v>0</v>
      </c>
      <c r="I62" s="9" t="n">
        <f aca="false">F62+H62</f>
        <v>5.12</v>
      </c>
      <c r="J62" s="8" t="n">
        <f aca="false">IFERROR(F62/SUMIFS($F:$F,$A:$A,A62),0)</f>
        <v>0.0187958883994126</v>
      </c>
      <c r="K62" s="20" t="n">
        <v>2</v>
      </c>
      <c r="L62" s="17"/>
    </row>
    <row r="63" customFormat="false" ht="15" hidden="false" customHeight="false" outlineLevel="0" collapsed="false">
      <c r="A63" s="17" t="s">
        <v>17</v>
      </c>
      <c r="B63" s="17" t="s">
        <v>166</v>
      </c>
      <c r="C63" s="17" t="s">
        <v>63</v>
      </c>
      <c r="D63" s="17" t="s">
        <v>78</v>
      </c>
      <c r="E63" s="17" t="s">
        <v>65</v>
      </c>
      <c r="F63" s="19" t="n">
        <v>5</v>
      </c>
      <c r="G63" s="14" t="n">
        <f aca="false">F63/Summary!$C$4</f>
        <v>6.94444444444445</v>
      </c>
      <c r="H63" s="19" t="n">
        <v>0</v>
      </c>
      <c r="I63" s="9" t="n">
        <f aca="false">F63+H63</f>
        <v>5</v>
      </c>
      <c r="J63" s="8" t="n">
        <f aca="false">IFERROR(F63/SUMIFS($F:$F,$A:$A,A63),0)</f>
        <v>0.0183553597650514</v>
      </c>
      <c r="K63" s="20" t="n">
        <v>0</v>
      </c>
      <c r="L63" s="17"/>
    </row>
    <row r="64" customFormat="false" ht="15" hidden="false" customHeight="false" outlineLevel="0" collapsed="false">
      <c r="A64" s="17" t="s">
        <v>17</v>
      </c>
      <c r="B64" s="17" t="s">
        <v>223</v>
      </c>
      <c r="C64" s="17" t="s">
        <v>63</v>
      </c>
      <c r="D64" s="17" t="s">
        <v>169</v>
      </c>
      <c r="E64" s="17" t="s">
        <v>65</v>
      </c>
      <c r="F64" s="19" t="n">
        <v>4.8</v>
      </c>
      <c r="G64" s="14" t="n">
        <f aca="false">F64/Summary!$C$4</f>
        <v>6.66666666666667</v>
      </c>
      <c r="H64" s="19" t="n">
        <v>0</v>
      </c>
      <c r="I64" s="9" t="n">
        <f aca="false">F64+H64</f>
        <v>4.8</v>
      </c>
      <c r="J64" s="8" t="n">
        <f aca="false">IFERROR(F64/SUMIFS($F:$F,$A:$A,A64),0)</f>
        <v>0.0176211453744493</v>
      </c>
      <c r="K64" s="20" t="n">
        <v>2</v>
      </c>
      <c r="L64" s="17"/>
    </row>
    <row r="65" customFormat="false" ht="15" hidden="false" customHeight="false" outlineLevel="0" collapsed="false">
      <c r="A65" s="17" t="s">
        <v>17</v>
      </c>
      <c r="B65" s="17" t="s">
        <v>162</v>
      </c>
      <c r="C65" s="17" t="s">
        <v>68</v>
      </c>
      <c r="D65" s="17" t="s">
        <v>163</v>
      </c>
      <c r="E65" s="17" t="s">
        <v>65</v>
      </c>
      <c r="F65" s="19" t="n">
        <v>4.75</v>
      </c>
      <c r="G65" s="14" t="n">
        <f aca="false">F65/Summary!$C$4</f>
        <v>6.59722222222222</v>
      </c>
      <c r="H65" s="19" t="n">
        <v>0</v>
      </c>
      <c r="I65" s="9" t="n">
        <f aca="false">F65+H65</f>
        <v>4.75</v>
      </c>
      <c r="J65" s="8" t="n">
        <f aca="false">IFERROR(F65/SUMIFS($F:$F,$A:$A,A65),0)</f>
        <v>0.0174375917767988</v>
      </c>
      <c r="K65" s="20" t="n">
        <v>0</v>
      </c>
      <c r="L65" s="17"/>
    </row>
    <row r="66" customFormat="false" ht="15" hidden="false" customHeight="false" outlineLevel="0" collapsed="false">
      <c r="A66" s="17" t="s">
        <v>17</v>
      </c>
      <c r="B66" s="17" t="s">
        <v>224</v>
      </c>
      <c r="C66" s="17" t="s">
        <v>68</v>
      </c>
      <c r="D66" s="17" t="s">
        <v>58</v>
      </c>
      <c r="E66" s="17" t="s">
        <v>65</v>
      </c>
      <c r="F66" s="19" t="n">
        <v>4.72</v>
      </c>
      <c r="G66" s="14" t="n">
        <f aca="false">F66/Summary!$C$4</f>
        <v>6.55555555555556</v>
      </c>
      <c r="H66" s="19" t="n">
        <v>0</v>
      </c>
      <c r="I66" s="9" t="n">
        <f aca="false">F66+H66</f>
        <v>4.72</v>
      </c>
      <c r="J66" s="8" t="n">
        <f aca="false">IFERROR(F66/SUMIFS($F:$F,$A:$A,A66),0)</f>
        <v>0.0173274596182085</v>
      </c>
      <c r="K66" s="20" t="n">
        <v>2</v>
      </c>
      <c r="L66" s="17"/>
    </row>
    <row r="67" customFormat="false" ht="15" hidden="false" customHeight="false" outlineLevel="0" collapsed="false">
      <c r="A67" s="17" t="s">
        <v>17</v>
      </c>
      <c r="B67" s="17" t="s">
        <v>225</v>
      </c>
      <c r="C67" s="17" t="s">
        <v>68</v>
      </c>
      <c r="D67" s="17" t="s">
        <v>150</v>
      </c>
      <c r="E67" s="17" t="s">
        <v>65</v>
      </c>
      <c r="F67" s="19" t="n">
        <v>4.41</v>
      </c>
      <c r="G67" s="14" t="n">
        <f aca="false">F67/Summary!$C$4</f>
        <v>6.125</v>
      </c>
      <c r="H67" s="19" t="n">
        <v>0</v>
      </c>
      <c r="I67" s="9" t="n">
        <f aca="false">F67+H67</f>
        <v>4.41</v>
      </c>
      <c r="J67" s="8" t="n">
        <f aca="false">IFERROR(F67/SUMIFS($F:$F,$A:$A,A67),0)</f>
        <v>0.0161894273127753</v>
      </c>
      <c r="K67" s="20" t="n">
        <v>0</v>
      </c>
      <c r="L67" s="17"/>
    </row>
    <row r="68" customFormat="false" ht="15" hidden="false" customHeight="false" outlineLevel="0" collapsed="false">
      <c r="A68" s="17" t="s">
        <v>17</v>
      </c>
      <c r="B68" s="17" t="s">
        <v>155</v>
      </c>
      <c r="C68" s="17" t="s">
        <v>63</v>
      </c>
      <c r="D68" s="17" t="s">
        <v>156</v>
      </c>
      <c r="E68" s="17" t="s">
        <v>65</v>
      </c>
      <c r="F68" s="19" t="n">
        <v>4.11</v>
      </c>
      <c r="G68" s="14" t="n">
        <f aca="false">F68/Summary!$C$4</f>
        <v>5.70833333333333</v>
      </c>
      <c r="H68" s="19" t="n">
        <v>0</v>
      </c>
      <c r="I68" s="9" t="n">
        <f aca="false">F68+H68</f>
        <v>4.11</v>
      </c>
      <c r="J68" s="8" t="n">
        <f aca="false">IFERROR(F68/SUMIFS($F:$F,$A:$A,A68),0)</f>
        <v>0.0150881057268722</v>
      </c>
      <c r="K68" s="20" t="n">
        <v>1</v>
      </c>
      <c r="L68" s="17"/>
    </row>
    <row r="69" customFormat="false" ht="15" hidden="false" customHeight="false" outlineLevel="0" collapsed="false">
      <c r="A69" s="17" t="s">
        <v>17</v>
      </c>
      <c r="B69" s="17" t="s">
        <v>226</v>
      </c>
      <c r="C69" s="17" t="s">
        <v>61</v>
      </c>
      <c r="D69" s="17" t="s">
        <v>152</v>
      </c>
      <c r="E69" s="17" t="s">
        <v>65</v>
      </c>
      <c r="F69" s="19" t="n">
        <v>3.84</v>
      </c>
      <c r="G69" s="14" t="n">
        <f aca="false">F69/Summary!$C$4</f>
        <v>5.33333333333333</v>
      </c>
      <c r="H69" s="19" t="n">
        <v>0</v>
      </c>
      <c r="I69" s="9" t="n">
        <f aca="false">F69+H69</f>
        <v>3.84</v>
      </c>
      <c r="J69" s="8" t="n">
        <f aca="false">IFERROR(F69/SUMIFS($F:$F,$A:$A,A69),0)</f>
        <v>0.0140969162995595</v>
      </c>
      <c r="K69" s="20" t="n">
        <v>2</v>
      </c>
      <c r="L69" s="17"/>
    </row>
    <row r="70" customFormat="false" ht="15" hidden="false" customHeight="false" outlineLevel="0" collapsed="false">
      <c r="A70" s="17" t="s">
        <v>17</v>
      </c>
      <c r="B70" s="17" t="s">
        <v>227</v>
      </c>
      <c r="C70" s="17" t="s">
        <v>63</v>
      </c>
      <c r="D70" s="17" t="s">
        <v>58</v>
      </c>
      <c r="E70" s="17" t="s">
        <v>65</v>
      </c>
      <c r="F70" s="19" t="n">
        <v>3.43</v>
      </c>
      <c r="G70" s="14" t="n">
        <f aca="false">F70/Summary!$C$4</f>
        <v>4.76388888888889</v>
      </c>
      <c r="H70" s="19" t="n">
        <v>0</v>
      </c>
      <c r="I70" s="9" t="n">
        <f aca="false">F70+H70</f>
        <v>3.43</v>
      </c>
      <c r="J70" s="8" t="n">
        <f aca="false">IFERROR(F70/SUMIFS($F:$F,$A:$A,A70),0)</f>
        <v>0.0125917767988253</v>
      </c>
      <c r="K70" s="20" t="n">
        <v>0</v>
      </c>
      <c r="L70" s="17"/>
    </row>
    <row r="71" customFormat="false" ht="15" hidden="false" customHeight="false" outlineLevel="0" collapsed="false">
      <c r="A71" s="17" t="s">
        <v>17</v>
      </c>
      <c r="B71" s="17" t="s">
        <v>228</v>
      </c>
      <c r="C71" s="17" t="s">
        <v>57</v>
      </c>
      <c r="D71" s="17" t="s">
        <v>150</v>
      </c>
      <c r="E71" s="17" t="s">
        <v>65</v>
      </c>
      <c r="F71" s="19" t="n">
        <v>2.32</v>
      </c>
      <c r="G71" s="14" t="n">
        <f aca="false">F71/Summary!$C$4</f>
        <v>3.22222222222222</v>
      </c>
      <c r="H71" s="19" t="n">
        <v>0</v>
      </c>
      <c r="I71" s="9" t="n">
        <f aca="false">F71+H71</f>
        <v>2.32</v>
      </c>
      <c r="J71" s="8" t="n">
        <f aca="false">IFERROR(F71/SUMIFS($F:$F,$A:$A,A71),0)</f>
        <v>0.00851688693098385</v>
      </c>
      <c r="K71" s="20" t="n">
        <v>0</v>
      </c>
      <c r="L71" s="17"/>
    </row>
    <row r="72" customFormat="false" ht="15" hidden="false" customHeight="false" outlineLevel="0" collapsed="false">
      <c r="A72" s="17" t="s">
        <v>17</v>
      </c>
      <c r="B72" s="17" t="s">
        <v>229</v>
      </c>
      <c r="C72" s="17" t="s">
        <v>61</v>
      </c>
      <c r="D72" s="17" t="s">
        <v>102</v>
      </c>
      <c r="E72" s="17" t="s">
        <v>65</v>
      </c>
      <c r="F72" s="19" t="n">
        <v>2.11</v>
      </c>
      <c r="G72" s="14" t="n">
        <f aca="false">F72/Summary!$C$4</f>
        <v>2.93055555555556</v>
      </c>
      <c r="H72" s="19" t="n">
        <v>0</v>
      </c>
      <c r="I72" s="9" t="n">
        <f aca="false">F72+H72</f>
        <v>2.11</v>
      </c>
      <c r="J72" s="8" t="n">
        <f aca="false">IFERROR(F72/SUMIFS($F:$F,$A:$A,A72),0)</f>
        <v>0.00774596182085169</v>
      </c>
      <c r="K72" s="20" t="n">
        <v>0</v>
      </c>
      <c r="L72" s="17"/>
    </row>
    <row r="73" customFormat="false" ht="15" hidden="false" customHeight="false" outlineLevel="0" collapsed="false">
      <c r="A73" s="17" t="s">
        <v>17</v>
      </c>
      <c r="B73" s="17" t="s">
        <v>230</v>
      </c>
      <c r="C73" s="17" t="s">
        <v>61</v>
      </c>
      <c r="D73" s="17" t="s">
        <v>163</v>
      </c>
      <c r="E73" s="17" t="s">
        <v>65</v>
      </c>
      <c r="F73" s="19" t="n">
        <v>1.95</v>
      </c>
      <c r="G73" s="14" t="n">
        <f aca="false">F73/Summary!$C$4</f>
        <v>2.70833333333333</v>
      </c>
      <c r="H73" s="19" t="n">
        <v>0</v>
      </c>
      <c r="I73" s="9" t="n">
        <f aca="false">F73+H73</f>
        <v>1.95</v>
      </c>
      <c r="J73" s="8" t="n">
        <f aca="false">IFERROR(F73/SUMIFS($F:$F,$A:$A,A73),0)</f>
        <v>0.00715859030837004</v>
      </c>
      <c r="K73" s="20" t="n">
        <v>0</v>
      </c>
      <c r="L73" s="17"/>
    </row>
    <row r="74" customFormat="false" ht="15" hidden="false" customHeight="false" outlineLevel="0" collapsed="false">
      <c r="A74" s="17" t="s">
        <v>17</v>
      </c>
      <c r="B74" s="17" t="s">
        <v>171</v>
      </c>
      <c r="C74" s="17" t="s">
        <v>61</v>
      </c>
      <c r="D74" s="17" t="s">
        <v>160</v>
      </c>
      <c r="E74" s="17" t="s">
        <v>65</v>
      </c>
      <c r="F74" s="19" t="n">
        <v>1.54</v>
      </c>
      <c r="G74" s="14" t="n">
        <f aca="false">F74/Summary!$C$4</f>
        <v>2.13888888888889</v>
      </c>
      <c r="H74" s="19" t="n">
        <v>0</v>
      </c>
      <c r="I74" s="9" t="n">
        <f aca="false">F74+H74</f>
        <v>1.54</v>
      </c>
      <c r="J74" s="8" t="n">
        <f aca="false">IFERROR(F74/SUMIFS($F:$F,$A:$A,A74),0)</f>
        <v>0.00565345080763583</v>
      </c>
      <c r="K74" s="20" t="n">
        <v>3</v>
      </c>
      <c r="L74" s="17"/>
    </row>
    <row r="75" customFormat="false" ht="15" hidden="false" customHeight="false" outlineLevel="0" collapsed="false">
      <c r="A75" s="17" t="s">
        <v>17</v>
      </c>
      <c r="B75" s="17" t="s">
        <v>231</v>
      </c>
      <c r="C75" s="17" t="s">
        <v>68</v>
      </c>
      <c r="D75" s="17" t="s">
        <v>169</v>
      </c>
      <c r="E75" s="17" t="s">
        <v>65</v>
      </c>
      <c r="F75" s="19" t="n">
        <v>1.32</v>
      </c>
      <c r="G75" s="14" t="n">
        <f aca="false">F75/Summary!$C$4</f>
        <v>1.83333333333333</v>
      </c>
      <c r="H75" s="19" t="n">
        <v>0</v>
      </c>
      <c r="I75" s="9" t="n">
        <f aca="false">F75+H75</f>
        <v>1.32</v>
      </c>
      <c r="J75" s="8" t="n">
        <f aca="false">IFERROR(F75/SUMIFS($F:$F,$A:$A,A75),0)</f>
        <v>0.00484581497797357</v>
      </c>
      <c r="K75" s="20" t="n">
        <v>0</v>
      </c>
      <c r="L75" s="17"/>
    </row>
    <row r="76" customFormat="false" ht="15" hidden="false" customHeight="false" outlineLevel="0" collapsed="false">
      <c r="A76" s="17" t="s">
        <v>17</v>
      </c>
      <c r="B76" s="17" t="s">
        <v>232</v>
      </c>
      <c r="C76" s="17" t="s">
        <v>61</v>
      </c>
      <c r="D76" s="17" t="s">
        <v>78</v>
      </c>
      <c r="E76" s="17" t="s">
        <v>65</v>
      </c>
      <c r="F76" s="19" t="n">
        <v>1.17</v>
      </c>
      <c r="G76" s="14" t="n">
        <f aca="false">F76/Summary!$C$4</f>
        <v>1.625</v>
      </c>
      <c r="H76" s="19" t="n">
        <v>0</v>
      </c>
      <c r="I76" s="9" t="n">
        <f aca="false">F76+H76</f>
        <v>1.17</v>
      </c>
      <c r="J76" s="8" t="n">
        <f aca="false">IFERROR(F76/SUMIFS($F:$F,$A:$A,A76),0)</f>
        <v>0.00429515418502203</v>
      </c>
      <c r="K76" s="20" t="n">
        <v>0</v>
      </c>
      <c r="L76" s="17"/>
    </row>
    <row r="77" customFormat="false" ht="15" hidden="false" customHeight="false" outlineLevel="0" collapsed="false">
      <c r="A77" s="17" t="s">
        <v>17</v>
      </c>
      <c r="B77" s="17" t="s">
        <v>233</v>
      </c>
      <c r="C77" s="17" t="s">
        <v>61</v>
      </c>
      <c r="D77" s="17" t="s">
        <v>150</v>
      </c>
      <c r="E77" s="17" t="s">
        <v>65</v>
      </c>
      <c r="F77" s="19" t="n">
        <v>1.11</v>
      </c>
      <c r="G77" s="14" t="n">
        <f aca="false">F77/Summary!$C$4</f>
        <v>1.54166666666667</v>
      </c>
      <c r="H77" s="19" t="n">
        <v>0</v>
      </c>
      <c r="I77" s="9" t="n">
        <f aca="false">F77+H77</f>
        <v>1.11</v>
      </c>
      <c r="J77" s="8" t="n">
        <f aca="false">IFERROR(F77/SUMIFS($F:$F,$A:$A,A77),0)</f>
        <v>0.00407488986784141</v>
      </c>
      <c r="K77" s="20" t="n">
        <v>0</v>
      </c>
      <c r="L77" s="17"/>
    </row>
    <row r="78" customFormat="false" ht="15" hidden="false" customHeight="false" outlineLevel="0" collapsed="false">
      <c r="A78" s="17" t="s">
        <v>17</v>
      </c>
      <c r="B78" s="17" t="s">
        <v>234</v>
      </c>
      <c r="C78" s="17" t="s">
        <v>63</v>
      </c>
      <c r="D78" s="17" t="s">
        <v>235</v>
      </c>
      <c r="E78" s="17" t="s">
        <v>65</v>
      </c>
      <c r="F78" s="19" t="n">
        <v>1.01</v>
      </c>
      <c r="G78" s="14" t="n">
        <f aca="false">F78/Summary!$C$4</f>
        <v>1.40277777777778</v>
      </c>
      <c r="H78" s="19" t="n">
        <v>0</v>
      </c>
      <c r="I78" s="9" t="n">
        <f aca="false">F78+H78</f>
        <v>1.01</v>
      </c>
      <c r="J78" s="8" t="n">
        <f aca="false">IFERROR(F78/SUMIFS($F:$F,$A:$A,A78),0)</f>
        <v>0.00370778267254038</v>
      </c>
      <c r="K78" s="20" t="n">
        <v>2</v>
      </c>
      <c r="L78" s="17"/>
    </row>
    <row r="79" customFormat="false" ht="15" hidden="false" customHeight="false" outlineLevel="0" collapsed="false">
      <c r="A79" s="17" t="s">
        <v>17</v>
      </c>
      <c r="B79" s="17" t="s">
        <v>167</v>
      </c>
      <c r="C79" s="17" t="s">
        <v>68</v>
      </c>
      <c r="D79" s="17" t="s">
        <v>132</v>
      </c>
      <c r="E79" s="18" t="s">
        <v>59</v>
      </c>
      <c r="F79" s="19" t="n">
        <v>1</v>
      </c>
      <c r="G79" s="14" t="n">
        <f aca="false">F79/Summary!$C$4</f>
        <v>1.38888888888889</v>
      </c>
      <c r="H79" s="19" t="n">
        <v>0</v>
      </c>
      <c r="I79" s="9" t="n">
        <f aca="false">F79+H79</f>
        <v>1</v>
      </c>
      <c r="J79" s="8" t="n">
        <f aca="false">IFERROR(F79/SUMIFS($F:$F,$A:$A,A79),0)</f>
        <v>0.00367107195301028</v>
      </c>
      <c r="K79" s="20" t="n">
        <v>0</v>
      </c>
      <c r="L79" s="17"/>
    </row>
    <row r="80" customFormat="false" ht="15" hidden="false" customHeight="false" outlineLevel="0" collapsed="false">
      <c r="A80" s="17" t="s">
        <v>21</v>
      </c>
      <c r="B80" s="17" t="s">
        <v>236</v>
      </c>
      <c r="C80" s="17" t="s">
        <v>61</v>
      </c>
      <c r="D80" s="17" t="s">
        <v>132</v>
      </c>
      <c r="E80" s="18" t="s">
        <v>59</v>
      </c>
      <c r="F80" s="19" t="n">
        <v>60.27</v>
      </c>
      <c r="G80" s="14" t="n">
        <f aca="false">F80/Summary!$C$4</f>
        <v>83.7083333333333</v>
      </c>
      <c r="H80" s="19" t="n">
        <v>0</v>
      </c>
      <c r="I80" s="9" t="n">
        <f aca="false">F80+H80</f>
        <v>60.27</v>
      </c>
      <c r="J80" s="8" t="n">
        <f aca="false">IFERROR(F80/SUMIFS($F:$F,$A:$A,A80),0)</f>
        <v>0.321354305518528</v>
      </c>
      <c r="K80" s="20" t="n">
        <v>5</v>
      </c>
      <c r="L80" s="17"/>
    </row>
    <row r="81" customFormat="false" ht="15" hidden="false" customHeight="false" outlineLevel="0" collapsed="false">
      <c r="A81" s="17" t="s">
        <v>21</v>
      </c>
      <c r="B81" s="17" t="s">
        <v>237</v>
      </c>
      <c r="C81" s="17" t="s">
        <v>57</v>
      </c>
      <c r="D81" s="17" t="s">
        <v>238</v>
      </c>
      <c r="E81" s="17" t="s">
        <v>65</v>
      </c>
      <c r="F81" s="19" t="n">
        <v>32.51</v>
      </c>
      <c r="G81" s="14" t="n">
        <f aca="false">F81/Summary!$C$4</f>
        <v>45.1527777777778</v>
      </c>
      <c r="H81" s="19" t="n">
        <v>0</v>
      </c>
      <c r="I81" s="9" t="n">
        <f aca="false">F81+H81</f>
        <v>32.51</v>
      </c>
      <c r="J81" s="8" t="n">
        <f aca="false">IFERROR(F81/SUMIFS($F:$F,$A:$A,A81),0)</f>
        <v>0.173340442548654</v>
      </c>
      <c r="K81" s="20" t="n">
        <v>1</v>
      </c>
      <c r="L81" s="17"/>
    </row>
    <row r="82" customFormat="false" ht="15" hidden="false" customHeight="false" outlineLevel="0" collapsed="false">
      <c r="A82" s="17" t="s">
        <v>21</v>
      </c>
      <c r="B82" s="17" t="s">
        <v>239</v>
      </c>
      <c r="C82" s="17" t="s">
        <v>63</v>
      </c>
      <c r="D82" s="17" t="s">
        <v>132</v>
      </c>
      <c r="E82" s="18" t="s">
        <v>59</v>
      </c>
      <c r="F82" s="19" t="n">
        <v>9.77</v>
      </c>
      <c r="G82" s="14" t="n">
        <f aca="false">F82/Summary!$C$4</f>
        <v>13.5694444444444</v>
      </c>
      <c r="H82" s="19" t="n">
        <v>0</v>
      </c>
      <c r="I82" s="9" t="n">
        <f aca="false">F82+H82</f>
        <v>9.77</v>
      </c>
      <c r="J82" s="8" t="n">
        <f aca="false">IFERROR(F82/SUMIFS($F:$F,$A:$A,A82),0)</f>
        <v>0.0520927752599307</v>
      </c>
      <c r="K82" s="20" t="n">
        <v>0</v>
      </c>
      <c r="L82" s="17"/>
    </row>
    <row r="83" customFormat="false" ht="15" hidden="false" customHeight="false" outlineLevel="0" collapsed="false">
      <c r="A83" s="17" t="s">
        <v>21</v>
      </c>
      <c r="B83" s="17" t="s">
        <v>240</v>
      </c>
      <c r="C83" s="17" t="s">
        <v>63</v>
      </c>
      <c r="D83" s="17" t="s">
        <v>58</v>
      </c>
      <c r="E83" s="17" t="s">
        <v>65</v>
      </c>
      <c r="F83" s="19" t="n">
        <v>8.24</v>
      </c>
      <c r="G83" s="14" t="n">
        <f aca="false">F83/Summary!$C$4</f>
        <v>11.4444444444444</v>
      </c>
      <c r="H83" s="19" t="n">
        <v>0</v>
      </c>
      <c r="I83" s="9" t="n">
        <f aca="false">F83+H83</f>
        <v>8.24</v>
      </c>
      <c r="J83" s="8" t="n">
        <f aca="false">IFERROR(F83/SUMIFS($F:$F,$A:$A,A83),0)</f>
        <v>0.0439349506798187</v>
      </c>
      <c r="K83" s="20" t="n">
        <v>1</v>
      </c>
      <c r="L83" s="17"/>
    </row>
    <row r="84" customFormat="false" ht="15" hidden="false" customHeight="false" outlineLevel="0" collapsed="false">
      <c r="A84" s="17" t="s">
        <v>21</v>
      </c>
      <c r="B84" s="17" t="s">
        <v>241</v>
      </c>
      <c r="C84" s="17" t="s">
        <v>61</v>
      </c>
      <c r="D84" s="17" t="s">
        <v>242</v>
      </c>
      <c r="E84" s="17" t="s">
        <v>65</v>
      </c>
      <c r="F84" s="19" t="n">
        <v>8.09</v>
      </c>
      <c r="G84" s="14" t="n">
        <f aca="false">F84/Summary!$C$4</f>
        <v>11.2361111111111</v>
      </c>
      <c r="H84" s="19" t="n">
        <v>0</v>
      </c>
      <c r="I84" s="9" t="n">
        <f aca="false">F84+H84</f>
        <v>8.09</v>
      </c>
      <c r="J84" s="8" t="n">
        <f aca="false">IFERROR(F84/SUMIFS($F:$F,$A:$A,A84),0)</f>
        <v>0.0431351639562783</v>
      </c>
      <c r="K84" s="20" t="n">
        <v>0</v>
      </c>
      <c r="L84" s="17"/>
    </row>
    <row r="85" customFormat="false" ht="15" hidden="false" customHeight="false" outlineLevel="0" collapsed="false">
      <c r="A85" s="17" t="s">
        <v>21</v>
      </c>
      <c r="B85" s="17" t="s">
        <v>243</v>
      </c>
      <c r="C85" s="17" t="s">
        <v>57</v>
      </c>
      <c r="D85" s="17" t="s">
        <v>58</v>
      </c>
      <c r="E85" s="17" t="s">
        <v>65</v>
      </c>
      <c r="F85" s="19" t="n">
        <v>8.03</v>
      </c>
      <c r="G85" s="14" t="n">
        <f aca="false">F85/Summary!$C$4</f>
        <v>11.1527777777778</v>
      </c>
      <c r="H85" s="19" t="n">
        <v>0</v>
      </c>
      <c r="I85" s="9" t="n">
        <f aca="false">F85+H85</f>
        <v>8.03</v>
      </c>
      <c r="J85" s="8" t="n">
        <f aca="false">IFERROR(F85/SUMIFS($F:$F,$A:$A,A85),0)</f>
        <v>0.0428152492668622</v>
      </c>
      <c r="K85" s="20" t="n">
        <v>0</v>
      </c>
      <c r="L85" s="17"/>
    </row>
    <row r="86" customFormat="false" ht="15" hidden="false" customHeight="false" outlineLevel="0" collapsed="false">
      <c r="A86" s="17" t="s">
        <v>21</v>
      </c>
      <c r="B86" s="17" t="s">
        <v>244</v>
      </c>
      <c r="C86" s="17" t="s">
        <v>68</v>
      </c>
      <c r="D86" s="17" t="s">
        <v>144</v>
      </c>
      <c r="E86" s="17" t="s">
        <v>65</v>
      </c>
      <c r="F86" s="19" t="n">
        <v>7.71</v>
      </c>
      <c r="G86" s="14" t="n">
        <f aca="false">F86/Summary!$C$4</f>
        <v>10.7083333333333</v>
      </c>
      <c r="H86" s="19" t="n">
        <v>0</v>
      </c>
      <c r="I86" s="9" t="n">
        <f aca="false">F86+H86</f>
        <v>7.71</v>
      </c>
      <c r="J86" s="8" t="n">
        <f aca="false">IFERROR(F86/SUMIFS($F:$F,$A:$A,A86),0)</f>
        <v>0.041109037589976</v>
      </c>
      <c r="K86" s="20" t="n">
        <v>0</v>
      </c>
      <c r="L86" s="17"/>
    </row>
    <row r="87" customFormat="false" ht="15" hidden="false" customHeight="false" outlineLevel="0" collapsed="false">
      <c r="A87" s="17" t="s">
        <v>21</v>
      </c>
      <c r="B87" s="17" t="s">
        <v>245</v>
      </c>
      <c r="C87" s="17" t="s">
        <v>61</v>
      </c>
      <c r="D87" s="17" t="s">
        <v>144</v>
      </c>
      <c r="E87" s="17" t="s">
        <v>65</v>
      </c>
      <c r="F87" s="19" t="n">
        <v>7.11</v>
      </c>
      <c r="G87" s="14" t="n">
        <f aca="false">F87/Summary!$C$4</f>
        <v>9.875</v>
      </c>
      <c r="H87" s="19" t="n">
        <v>0</v>
      </c>
      <c r="I87" s="9" t="n">
        <f aca="false">F87+H87</f>
        <v>7.11</v>
      </c>
      <c r="J87" s="8" t="n">
        <f aca="false">IFERROR(F87/SUMIFS($F:$F,$A:$A,A87),0)</f>
        <v>0.0379098906958145</v>
      </c>
      <c r="K87" s="20" t="n">
        <v>3</v>
      </c>
      <c r="L87" s="17"/>
    </row>
    <row r="88" customFormat="false" ht="15" hidden="false" customHeight="false" outlineLevel="0" collapsed="false">
      <c r="A88" s="17" t="s">
        <v>21</v>
      </c>
      <c r="B88" s="17" t="s">
        <v>246</v>
      </c>
      <c r="C88" s="17" t="s">
        <v>63</v>
      </c>
      <c r="D88" s="17" t="s">
        <v>154</v>
      </c>
      <c r="E88" s="17" t="s">
        <v>65</v>
      </c>
      <c r="F88" s="19" t="n">
        <v>6.81</v>
      </c>
      <c r="G88" s="14" t="n">
        <f aca="false">F88/Summary!$C$4</f>
        <v>9.45833333333333</v>
      </c>
      <c r="H88" s="19" t="n">
        <v>0</v>
      </c>
      <c r="I88" s="9" t="n">
        <f aca="false">F88+H88</f>
        <v>6.81</v>
      </c>
      <c r="J88" s="8" t="n">
        <f aca="false">IFERROR(F88/SUMIFS($F:$F,$A:$A,A88),0)</f>
        <v>0.0363103172487337</v>
      </c>
      <c r="K88" s="20" t="n">
        <v>1</v>
      </c>
      <c r="L88" s="17"/>
    </row>
    <row r="89" customFormat="false" ht="15" hidden="false" customHeight="false" outlineLevel="0" collapsed="false">
      <c r="A89" s="17" t="s">
        <v>21</v>
      </c>
      <c r="B89" s="17" t="s">
        <v>247</v>
      </c>
      <c r="C89" s="17" t="s">
        <v>57</v>
      </c>
      <c r="D89" s="17" t="s">
        <v>154</v>
      </c>
      <c r="E89" s="17" t="s">
        <v>65</v>
      </c>
      <c r="F89" s="19" t="n">
        <v>6.22</v>
      </c>
      <c r="G89" s="14" t="n">
        <f aca="false">F89/Summary!$C$4</f>
        <v>8.63888888888889</v>
      </c>
      <c r="H89" s="19" t="n">
        <v>0</v>
      </c>
      <c r="I89" s="9" t="n">
        <f aca="false">F89+H89</f>
        <v>6.22</v>
      </c>
      <c r="J89" s="8" t="n">
        <f aca="false">IFERROR(F89/SUMIFS($F:$F,$A:$A,A89),0)</f>
        <v>0.0331644894694748</v>
      </c>
      <c r="K89" s="20" t="n">
        <v>1</v>
      </c>
      <c r="L89" s="17"/>
    </row>
    <row r="90" customFormat="false" ht="15" hidden="false" customHeight="false" outlineLevel="0" collapsed="false">
      <c r="A90" s="17" t="s">
        <v>21</v>
      </c>
      <c r="B90" s="17" t="s">
        <v>248</v>
      </c>
      <c r="C90" s="17" t="s">
        <v>61</v>
      </c>
      <c r="D90" s="17" t="s">
        <v>169</v>
      </c>
      <c r="E90" s="17" t="s">
        <v>65</v>
      </c>
      <c r="F90" s="19" t="n">
        <v>4.19</v>
      </c>
      <c r="G90" s="14" t="n">
        <f aca="false">F90/Summary!$C$4</f>
        <v>5.81944444444445</v>
      </c>
      <c r="H90" s="19" t="n">
        <v>0</v>
      </c>
      <c r="I90" s="9" t="n">
        <f aca="false">F90+H90</f>
        <v>4.19</v>
      </c>
      <c r="J90" s="8" t="n">
        <f aca="false">IFERROR(F90/SUMIFS($F:$F,$A:$A,A90),0)</f>
        <v>0.0223407091442282</v>
      </c>
      <c r="K90" s="20" t="n">
        <v>1</v>
      </c>
      <c r="L90" s="17"/>
    </row>
    <row r="91" customFormat="false" ht="15" hidden="false" customHeight="false" outlineLevel="0" collapsed="false">
      <c r="A91" s="17" t="s">
        <v>21</v>
      </c>
      <c r="B91" s="17" t="s">
        <v>249</v>
      </c>
      <c r="C91" s="17" t="s">
        <v>63</v>
      </c>
      <c r="D91" s="17" t="s">
        <v>132</v>
      </c>
      <c r="E91" s="18" t="s">
        <v>59</v>
      </c>
      <c r="F91" s="19" t="n">
        <v>3.81</v>
      </c>
      <c r="G91" s="14" t="n">
        <f aca="false">F91/Summary!$C$4</f>
        <v>5.29166666666667</v>
      </c>
      <c r="H91" s="19" t="n">
        <v>0</v>
      </c>
      <c r="I91" s="9" t="n">
        <f aca="false">F91+H91</f>
        <v>3.81</v>
      </c>
      <c r="J91" s="8" t="n">
        <f aca="false">IFERROR(F91/SUMIFS($F:$F,$A:$A,A91),0)</f>
        <v>0.0203145827779259</v>
      </c>
      <c r="K91" s="20" t="n">
        <v>0</v>
      </c>
      <c r="L91" s="17"/>
    </row>
    <row r="92" customFormat="false" ht="15" hidden="false" customHeight="false" outlineLevel="0" collapsed="false">
      <c r="A92" s="17" t="s">
        <v>21</v>
      </c>
      <c r="B92" s="17" t="s">
        <v>250</v>
      </c>
      <c r="C92" s="17" t="s">
        <v>61</v>
      </c>
      <c r="D92" s="17" t="s">
        <v>152</v>
      </c>
      <c r="E92" s="17" t="s">
        <v>65</v>
      </c>
      <c r="F92" s="19" t="n">
        <v>3.56</v>
      </c>
      <c r="G92" s="14" t="n">
        <f aca="false">F92/Summary!$C$4</f>
        <v>4.94444444444445</v>
      </c>
      <c r="H92" s="19" t="n">
        <v>0</v>
      </c>
      <c r="I92" s="9" t="n">
        <f aca="false">F92+H92</f>
        <v>3.56</v>
      </c>
      <c r="J92" s="8" t="n">
        <f aca="false">IFERROR(F92/SUMIFS($F:$F,$A:$A,A92),0)</f>
        <v>0.0189816049053586</v>
      </c>
      <c r="K92" s="20" t="n">
        <v>1</v>
      </c>
      <c r="L92" s="17"/>
    </row>
    <row r="93" customFormat="false" ht="15" hidden="false" customHeight="false" outlineLevel="0" collapsed="false">
      <c r="A93" s="17" t="s">
        <v>21</v>
      </c>
      <c r="B93" s="17" t="s">
        <v>251</v>
      </c>
      <c r="C93" s="17" t="s">
        <v>57</v>
      </c>
      <c r="D93" s="17" t="s">
        <v>169</v>
      </c>
      <c r="E93" s="17" t="s">
        <v>65</v>
      </c>
      <c r="F93" s="19" t="n">
        <v>3.54</v>
      </c>
      <c r="G93" s="14" t="n">
        <f aca="false">F93/Summary!$C$4</f>
        <v>4.91666666666667</v>
      </c>
      <c r="H93" s="19" t="n">
        <v>0</v>
      </c>
      <c r="I93" s="9" t="n">
        <f aca="false">F93+H93</f>
        <v>3.54</v>
      </c>
      <c r="J93" s="8" t="n">
        <f aca="false">IFERROR(F93/SUMIFS($F:$F,$A:$A,A93),0)</f>
        <v>0.0188749666755532</v>
      </c>
      <c r="K93" s="20" t="n">
        <v>1</v>
      </c>
      <c r="L93" s="17"/>
    </row>
    <row r="94" customFormat="false" ht="15" hidden="false" customHeight="false" outlineLevel="0" collapsed="false">
      <c r="A94" s="17" t="s">
        <v>21</v>
      </c>
      <c r="B94" s="17" t="s">
        <v>252</v>
      </c>
      <c r="C94" s="17" t="s">
        <v>61</v>
      </c>
      <c r="D94" s="17" t="s">
        <v>188</v>
      </c>
      <c r="E94" s="17" t="s">
        <v>65</v>
      </c>
      <c r="F94" s="19" t="n">
        <v>3.38</v>
      </c>
      <c r="G94" s="14" t="n">
        <f aca="false">F94/Summary!$C$4</f>
        <v>4.69444444444445</v>
      </c>
      <c r="H94" s="19" t="n">
        <v>0</v>
      </c>
      <c r="I94" s="9" t="n">
        <f aca="false">F94+H94</f>
        <v>3.38</v>
      </c>
      <c r="J94" s="8" t="n">
        <f aca="false">IFERROR(F94/SUMIFS($F:$F,$A:$A,A94),0)</f>
        <v>0.0180218608371101</v>
      </c>
      <c r="K94" s="20" t="n">
        <v>0</v>
      </c>
      <c r="L94" s="17"/>
    </row>
    <row r="95" customFormat="false" ht="15" hidden="false" customHeight="false" outlineLevel="0" collapsed="false">
      <c r="A95" s="17" t="s">
        <v>21</v>
      </c>
      <c r="B95" s="17" t="s">
        <v>253</v>
      </c>
      <c r="C95" s="17" t="s">
        <v>68</v>
      </c>
      <c r="D95" s="17" t="s">
        <v>78</v>
      </c>
      <c r="E95" s="17" t="s">
        <v>65</v>
      </c>
      <c r="F95" s="19" t="n">
        <v>2.32</v>
      </c>
      <c r="G95" s="14" t="n">
        <f aca="false">F95/Summary!$C$4</f>
        <v>3.22222222222222</v>
      </c>
      <c r="H95" s="19" t="n">
        <v>0</v>
      </c>
      <c r="I95" s="9" t="n">
        <f aca="false">F95+H95</f>
        <v>2.32</v>
      </c>
      <c r="J95" s="8" t="n">
        <f aca="false">IFERROR(F95/SUMIFS($F:$F,$A:$A,A95),0)</f>
        <v>0.0123700346574247</v>
      </c>
      <c r="K95" s="20" t="n">
        <v>1</v>
      </c>
      <c r="L95" s="17"/>
    </row>
    <row r="96" customFormat="false" ht="15" hidden="false" customHeight="false" outlineLevel="0" collapsed="false">
      <c r="A96" s="17" t="s">
        <v>21</v>
      </c>
      <c r="B96" s="17" t="s">
        <v>254</v>
      </c>
      <c r="C96" s="17" t="s">
        <v>68</v>
      </c>
      <c r="D96" s="17" t="s">
        <v>132</v>
      </c>
      <c r="E96" s="18" t="s">
        <v>59</v>
      </c>
      <c r="F96" s="19" t="n">
        <v>2.24</v>
      </c>
      <c r="G96" s="14" t="n">
        <f aca="false">F96/Summary!$C$4</f>
        <v>3.11111111111111</v>
      </c>
      <c r="H96" s="19" t="n">
        <v>0</v>
      </c>
      <c r="I96" s="9" t="n">
        <f aca="false">F96+H96</f>
        <v>2.24</v>
      </c>
      <c r="J96" s="8" t="n">
        <f aca="false">IFERROR(F96/SUMIFS($F:$F,$A:$A,A96),0)</f>
        <v>0.0119434817382031</v>
      </c>
      <c r="K96" s="20" t="n">
        <v>0</v>
      </c>
      <c r="L96" s="17"/>
    </row>
    <row r="97" customFormat="false" ht="15" hidden="false" customHeight="false" outlineLevel="0" collapsed="false">
      <c r="A97" s="17" t="s">
        <v>21</v>
      </c>
      <c r="B97" s="17" t="s">
        <v>255</v>
      </c>
      <c r="C97" s="17" t="s">
        <v>63</v>
      </c>
      <c r="D97" s="17" t="s">
        <v>256</v>
      </c>
      <c r="E97" s="17" t="s">
        <v>65</v>
      </c>
      <c r="F97" s="19" t="n">
        <v>2.07</v>
      </c>
      <c r="G97" s="14" t="n">
        <f aca="false">F97/Summary!$C$4</f>
        <v>2.875</v>
      </c>
      <c r="H97" s="19" t="n">
        <v>0</v>
      </c>
      <c r="I97" s="9" t="n">
        <f aca="false">F97+H97</f>
        <v>2.07</v>
      </c>
      <c r="J97" s="8" t="n">
        <f aca="false">IFERROR(F97/SUMIFS($F:$F,$A:$A,A97),0)</f>
        <v>0.0110370567848574</v>
      </c>
      <c r="K97" s="20" t="n">
        <v>1</v>
      </c>
      <c r="L97" s="17"/>
    </row>
    <row r="98" customFormat="false" ht="15" hidden="false" customHeight="false" outlineLevel="0" collapsed="false">
      <c r="A98" s="17" t="s">
        <v>21</v>
      </c>
      <c r="B98" s="17" t="s">
        <v>257</v>
      </c>
      <c r="C98" s="17" t="s">
        <v>57</v>
      </c>
      <c r="D98" s="17" t="s">
        <v>78</v>
      </c>
      <c r="E98" s="17" t="s">
        <v>65</v>
      </c>
      <c r="F98" s="19" t="n">
        <v>1.55</v>
      </c>
      <c r="G98" s="14" t="n">
        <f aca="false">F98/Summary!$C$4</f>
        <v>2.15277777777778</v>
      </c>
      <c r="H98" s="19" t="n">
        <v>0</v>
      </c>
      <c r="I98" s="9" t="n">
        <f aca="false">F98+H98</f>
        <v>1.55</v>
      </c>
      <c r="J98" s="8" t="n">
        <f aca="false">IFERROR(F98/SUMIFS($F:$F,$A:$A,A98),0)</f>
        <v>0.00826446280991736</v>
      </c>
      <c r="K98" s="20" t="n">
        <v>1</v>
      </c>
      <c r="L98" s="17"/>
    </row>
    <row r="99" customFormat="false" ht="15" hidden="false" customHeight="false" outlineLevel="0" collapsed="false">
      <c r="A99" s="17" t="s">
        <v>21</v>
      </c>
      <c r="B99" s="17" t="s">
        <v>258</v>
      </c>
      <c r="C99" s="17" t="s">
        <v>61</v>
      </c>
      <c r="D99" s="17" t="s">
        <v>58</v>
      </c>
      <c r="E99" s="17" t="s">
        <v>65</v>
      </c>
      <c r="F99" s="19" t="n">
        <v>1.55</v>
      </c>
      <c r="G99" s="14" t="n">
        <f aca="false">F99/Summary!$C$4</f>
        <v>2.15277777777778</v>
      </c>
      <c r="H99" s="19" t="n">
        <v>0</v>
      </c>
      <c r="I99" s="9" t="n">
        <f aca="false">F99+H99</f>
        <v>1.55</v>
      </c>
      <c r="J99" s="8" t="n">
        <f aca="false">IFERROR(F99/SUMIFS($F:$F,$A:$A,A99),0)</f>
        <v>0.00826446280991736</v>
      </c>
      <c r="K99" s="20" t="n">
        <v>1</v>
      </c>
      <c r="L99" s="17"/>
    </row>
    <row r="100" customFormat="false" ht="15" hidden="false" customHeight="false" outlineLevel="0" collapsed="false">
      <c r="A100" s="17" t="s">
        <v>21</v>
      </c>
      <c r="B100" s="17" t="s">
        <v>259</v>
      </c>
      <c r="C100" s="17" t="s">
        <v>63</v>
      </c>
      <c r="D100" s="17" t="s">
        <v>175</v>
      </c>
      <c r="E100" s="17" t="s">
        <v>65</v>
      </c>
      <c r="F100" s="19" t="n">
        <v>1.24</v>
      </c>
      <c r="G100" s="14" t="n">
        <f aca="false">F100/Summary!$C$4</f>
        <v>1.72222222222222</v>
      </c>
      <c r="H100" s="19" t="n">
        <v>0</v>
      </c>
      <c r="I100" s="9" t="n">
        <f aca="false">F100+H100</f>
        <v>1.24</v>
      </c>
      <c r="J100" s="8" t="n">
        <f aca="false">IFERROR(F100/SUMIFS($F:$F,$A:$A,A100),0)</f>
        <v>0.00661157024793388</v>
      </c>
      <c r="K100" s="20" t="n">
        <v>1</v>
      </c>
      <c r="L100" s="17"/>
    </row>
    <row r="101" customFormat="false" ht="15" hidden="false" customHeight="false" outlineLevel="0" collapsed="false">
      <c r="A101" s="17" t="s">
        <v>21</v>
      </c>
      <c r="B101" s="17" t="s">
        <v>260</v>
      </c>
      <c r="C101" s="17" t="s">
        <v>57</v>
      </c>
      <c r="D101" s="17" t="s">
        <v>150</v>
      </c>
      <c r="E101" s="17" t="s">
        <v>65</v>
      </c>
      <c r="F101" s="19" t="n">
        <v>1.17</v>
      </c>
      <c r="G101" s="14" t="n">
        <f aca="false">F101/Summary!$C$4</f>
        <v>1.625</v>
      </c>
      <c r="H101" s="19" t="n">
        <v>0</v>
      </c>
      <c r="I101" s="9" t="n">
        <f aca="false">F101+H101</f>
        <v>1.17</v>
      </c>
      <c r="J101" s="8" t="n">
        <f aca="false">IFERROR(F101/SUMIFS($F:$F,$A:$A,A101),0)</f>
        <v>0.00623833644361504</v>
      </c>
      <c r="K101" s="20" t="n">
        <v>0</v>
      </c>
      <c r="L101" s="17"/>
    </row>
    <row r="102" customFormat="false" ht="15" hidden="false" customHeight="false" outlineLevel="0" collapsed="false">
      <c r="A102" s="17" t="s">
        <v>21</v>
      </c>
      <c r="B102" s="17" t="s">
        <v>261</v>
      </c>
      <c r="C102" s="17" t="s">
        <v>61</v>
      </c>
      <c r="D102" s="17" t="s">
        <v>58</v>
      </c>
      <c r="E102" s="17" t="s">
        <v>65</v>
      </c>
      <c r="F102" s="19" t="n">
        <v>1.1</v>
      </c>
      <c r="G102" s="14" t="n">
        <f aca="false">F102/Summary!$C$4</f>
        <v>1.52777777777778</v>
      </c>
      <c r="H102" s="19" t="n">
        <v>0</v>
      </c>
      <c r="I102" s="9" t="n">
        <f aca="false">F102+H102</f>
        <v>1.1</v>
      </c>
      <c r="J102" s="8" t="n">
        <f aca="false">IFERROR(F102/SUMIFS($F:$F,$A:$A,A102),0)</f>
        <v>0.00586510263929619</v>
      </c>
      <c r="K102" s="20" t="n">
        <v>0</v>
      </c>
      <c r="L102" s="17"/>
    </row>
    <row r="103" customFormat="false" ht="15" hidden="false" customHeight="false" outlineLevel="0" collapsed="false">
      <c r="A103" s="17" t="s">
        <v>21</v>
      </c>
      <c r="B103" s="17" t="s">
        <v>262</v>
      </c>
      <c r="C103" s="17" t="s">
        <v>61</v>
      </c>
      <c r="D103" s="17" t="s">
        <v>150</v>
      </c>
      <c r="E103" s="17" t="s">
        <v>65</v>
      </c>
      <c r="F103" s="19" t="n">
        <v>1.07</v>
      </c>
      <c r="G103" s="14" t="n">
        <f aca="false">F103/Summary!$C$4</f>
        <v>1.48611111111111</v>
      </c>
      <c r="H103" s="19" t="n">
        <v>0</v>
      </c>
      <c r="I103" s="9" t="n">
        <f aca="false">F103+H103</f>
        <v>1.07</v>
      </c>
      <c r="J103" s="8" t="n">
        <f aca="false">IFERROR(F103/SUMIFS($F:$F,$A:$A,A103),0)</f>
        <v>0.00570514529458811</v>
      </c>
      <c r="K103" s="20" t="n">
        <v>0</v>
      </c>
      <c r="L103" s="17"/>
    </row>
  </sheetData>
  <autoFilter ref="A4:L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4" min="13" style="0" width="8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2"/>
    <col collapsed="false" customWidth="true" hidden="false" outlineLevel="0" max="20" min="19" style="0" width="9"/>
  </cols>
  <sheetData>
    <row r="1" customFormat="false" ht="17.35" hidden="false" customHeight="false" outlineLevel="0" collapsed="false">
      <c r="A1" s="1" t="s">
        <v>263</v>
      </c>
    </row>
    <row r="2" customFormat="false" ht="15" hidden="false" customHeight="false" outlineLevel="0" collapsed="false">
      <c r="A2" s="2" t="s">
        <v>264</v>
      </c>
    </row>
    <row r="4" customFormat="false" ht="31.5" hidden="false" customHeight="true" outlineLevel="0" collapsed="false">
      <c r="A4" s="6" t="s">
        <v>5</v>
      </c>
      <c r="B4" s="6" t="s">
        <v>265</v>
      </c>
      <c r="C4" s="6" t="s">
        <v>266</v>
      </c>
      <c r="D4" s="6" t="s">
        <v>23</v>
      </c>
      <c r="E4" s="6" t="s">
        <v>267</v>
      </c>
      <c r="F4" s="6" t="s">
        <v>268</v>
      </c>
      <c r="G4" s="6" t="s">
        <v>269</v>
      </c>
      <c r="H4" s="6" t="s">
        <v>270</v>
      </c>
      <c r="I4" s="6" t="s">
        <v>271</v>
      </c>
      <c r="J4" s="6" t="s">
        <v>272</v>
      </c>
      <c r="K4" s="6" t="s">
        <v>273</v>
      </c>
      <c r="L4" s="6" t="s">
        <v>274</v>
      </c>
      <c r="M4" s="6" t="s">
        <v>275</v>
      </c>
      <c r="N4" s="6" t="s">
        <v>276</v>
      </c>
      <c r="O4" s="6" t="s">
        <v>277</v>
      </c>
      <c r="P4" s="6" t="s">
        <v>278</v>
      </c>
      <c r="Q4" s="6" t="s">
        <v>279</v>
      </c>
      <c r="R4" s="6" t="s">
        <v>280</v>
      </c>
      <c r="S4" s="6" t="s">
        <v>281</v>
      </c>
      <c r="T4" s="6" t="s">
        <v>282</v>
      </c>
    </row>
    <row r="5" customFormat="false" ht="15" hidden="false" customHeight="false" outlineLevel="0" collapsed="false">
      <c r="A5" s="17" t="s">
        <v>15</v>
      </c>
      <c r="B5" s="17" t="s">
        <v>283</v>
      </c>
      <c r="C5" s="17" t="s">
        <v>284</v>
      </c>
      <c r="D5" s="21" t="s">
        <v>34</v>
      </c>
      <c r="E5" s="17" t="s">
        <v>285</v>
      </c>
      <c r="F5" s="17"/>
      <c r="G5" s="17"/>
      <c r="H5" s="17"/>
      <c r="I5" s="17" t="s">
        <v>65</v>
      </c>
      <c r="J5" s="17"/>
      <c r="K5" s="17" t="s">
        <v>59</v>
      </c>
      <c r="L5" s="20" t="n">
        <v>42507</v>
      </c>
      <c r="M5" s="20" t="n">
        <v>377</v>
      </c>
      <c r="N5" s="22" t="n">
        <f aca="false">IFERROR(M5/L5,0)</f>
        <v>0.00886912743783377</v>
      </c>
      <c r="O5" s="19" t="n">
        <v>501.26</v>
      </c>
      <c r="P5" s="9" t="n">
        <f aca="false">IFERROR(O5/M5,0)</f>
        <v>1.32960212201592</v>
      </c>
      <c r="Q5" s="20" t="n">
        <v>21</v>
      </c>
      <c r="R5" s="19" t="n">
        <v>1364.14</v>
      </c>
      <c r="S5" s="8" t="n">
        <f aca="false">IFERROR(O5/R5,0)</f>
        <v>0.367454953303913</v>
      </c>
      <c r="T5" s="8" t="n">
        <f aca="false">IFERROR(Q5/M5,0)</f>
        <v>0.0557029177718833</v>
      </c>
    </row>
    <row r="6" customFormat="false" ht="15" hidden="false" customHeight="false" outlineLevel="0" collapsed="false">
      <c r="A6" s="17" t="s">
        <v>15</v>
      </c>
      <c r="B6" s="17" t="s">
        <v>286</v>
      </c>
      <c r="C6" s="17" t="s">
        <v>287</v>
      </c>
      <c r="D6" s="23" t="s">
        <v>32</v>
      </c>
      <c r="E6" s="17" t="s">
        <v>285</v>
      </c>
      <c r="F6" s="17" t="s">
        <v>288</v>
      </c>
      <c r="G6" s="17" t="s">
        <v>109</v>
      </c>
      <c r="H6" s="23" t="s">
        <v>65</v>
      </c>
      <c r="I6" s="17" t="s">
        <v>59</v>
      </c>
      <c r="J6" s="17" t="s">
        <v>16</v>
      </c>
      <c r="K6" s="17" t="s">
        <v>59</v>
      </c>
      <c r="L6" s="20" t="n">
        <v>17347</v>
      </c>
      <c r="M6" s="20" t="n">
        <v>90</v>
      </c>
      <c r="N6" s="22" t="n">
        <f aca="false">IFERROR(M6/L6,0)</f>
        <v>0.00518821698276359</v>
      </c>
      <c r="O6" s="19" t="n">
        <v>337.28</v>
      </c>
      <c r="P6" s="9" t="n">
        <f aca="false">IFERROR(O6/M6,0)</f>
        <v>3.74755555555556</v>
      </c>
      <c r="Q6" s="20" t="n">
        <v>11</v>
      </c>
      <c r="R6" s="19" t="n">
        <v>701.04</v>
      </c>
      <c r="S6" s="8" t="n">
        <f aca="false">IFERROR(O6/R6,0)</f>
        <v>0.481113773821751</v>
      </c>
      <c r="T6" s="8" t="n">
        <f aca="false">IFERROR(Q6/M6,0)</f>
        <v>0.122222222222222</v>
      </c>
    </row>
    <row r="7" customFormat="false" ht="15" hidden="false" customHeight="false" outlineLevel="0" collapsed="false">
      <c r="A7" s="17" t="s">
        <v>15</v>
      </c>
      <c r="B7" s="17" t="s">
        <v>289</v>
      </c>
      <c r="C7" s="17" t="s">
        <v>290</v>
      </c>
      <c r="D7" s="23" t="s">
        <v>32</v>
      </c>
      <c r="E7" s="17" t="s">
        <v>285</v>
      </c>
      <c r="F7" s="17" t="s">
        <v>288</v>
      </c>
      <c r="G7" s="17" t="s">
        <v>56</v>
      </c>
      <c r="H7" s="18" t="s">
        <v>59</v>
      </c>
      <c r="I7" s="17" t="s">
        <v>65</v>
      </c>
      <c r="J7" s="17"/>
      <c r="K7" s="17" t="s">
        <v>59</v>
      </c>
      <c r="L7" s="20" t="n">
        <v>15071</v>
      </c>
      <c r="M7" s="20" t="n">
        <v>64</v>
      </c>
      <c r="N7" s="22" t="n">
        <f aca="false">IFERROR(M7/L7,0)</f>
        <v>0.00424656625306881</v>
      </c>
      <c r="O7" s="19" t="n">
        <v>303.01</v>
      </c>
      <c r="P7" s="9" t="n">
        <f aca="false">IFERROR(O7/M7,0)</f>
        <v>4.73453125</v>
      </c>
      <c r="Q7" s="20" t="n">
        <v>13</v>
      </c>
      <c r="R7" s="19" t="n">
        <v>972.3</v>
      </c>
      <c r="S7" s="8" t="n">
        <f aca="false">IFERROR(O7/R7,0)</f>
        <v>0.311642497171655</v>
      </c>
      <c r="T7" s="8" t="n">
        <f aca="false">IFERROR(Q7/M7,0)</f>
        <v>0.203125</v>
      </c>
    </row>
    <row r="8" customFormat="false" ht="15" hidden="false" customHeight="false" outlineLevel="0" collapsed="false">
      <c r="A8" s="17" t="s">
        <v>15</v>
      </c>
      <c r="B8" s="17" t="s">
        <v>291</v>
      </c>
      <c r="C8" s="17" t="s">
        <v>292</v>
      </c>
      <c r="D8" s="17" t="s">
        <v>30</v>
      </c>
      <c r="E8" s="17" t="s">
        <v>293</v>
      </c>
      <c r="F8" s="17" t="s">
        <v>294</v>
      </c>
      <c r="G8" s="17" t="s">
        <v>56</v>
      </c>
      <c r="H8" s="18" t="s">
        <v>59</v>
      </c>
      <c r="I8" s="17" t="s">
        <v>65</v>
      </c>
      <c r="J8" s="17"/>
      <c r="K8" s="17" t="s">
        <v>59</v>
      </c>
      <c r="L8" s="20" t="n">
        <v>11995</v>
      </c>
      <c r="M8" s="20" t="n">
        <v>69</v>
      </c>
      <c r="N8" s="22" t="n">
        <f aca="false">IFERROR(M8/L8,0)</f>
        <v>0.00575239683201334</v>
      </c>
      <c r="O8" s="19" t="n">
        <v>202.39</v>
      </c>
      <c r="P8" s="9" t="n">
        <f aca="false">IFERROR(O8/M8,0)</f>
        <v>2.9331884057971</v>
      </c>
      <c r="Q8" s="20" t="n">
        <v>14</v>
      </c>
      <c r="R8" s="19" t="n">
        <v>943.56</v>
      </c>
      <c r="S8" s="8" t="n">
        <f aca="false">IFERROR(O8/R8,0)</f>
        <v>0.214496163466022</v>
      </c>
      <c r="T8" s="8" t="n">
        <f aca="false">IFERROR(Q8/M8,0)</f>
        <v>0.202898550724638</v>
      </c>
    </row>
    <row r="9" customFormat="false" ht="15" hidden="false" customHeight="false" outlineLevel="0" collapsed="false">
      <c r="A9" s="17" t="s">
        <v>15</v>
      </c>
      <c r="B9" s="17" t="s">
        <v>295</v>
      </c>
      <c r="C9" s="17" t="s">
        <v>296</v>
      </c>
      <c r="D9" s="17" t="s">
        <v>28</v>
      </c>
      <c r="E9" s="17" t="s">
        <v>297</v>
      </c>
      <c r="F9" s="17" t="s">
        <v>28</v>
      </c>
      <c r="G9" s="17" t="s">
        <v>56</v>
      </c>
      <c r="H9" s="18" t="s">
        <v>59</v>
      </c>
      <c r="I9" s="17" t="s">
        <v>65</v>
      </c>
      <c r="J9" s="17"/>
      <c r="K9" s="17" t="s">
        <v>59</v>
      </c>
      <c r="L9" s="20" t="n">
        <v>164</v>
      </c>
      <c r="M9" s="20" t="n">
        <v>11</v>
      </c>
      <c r="N9" s="22" t="n">
        <f aca="false">IFERROR(M9/L9,0)</f>
        <v>0.0670731707317073</v>
      </c>
      <c r="O9" s="19" t="n">
        <v>71.6</v>
      </c>
      <c r="P9" s="9" t="n">
        <f aca="false">IFERROR(O9/M9,0)</f>
        <v>6.50909090909091</v>
      </c>
      <c r="Q9" s="20" t="n">
        <v>2</v>
      </c>
      <c r="R9" s="19" t="n">
        <v>135.53</v>
      </c>
      <c r="S9" s="8" t="n">
        <f aca="false">IFERROR(O9/R9,0)</f>
        <v>0.528296318158341</v>
      </c>
      <c r="T9" s="8" t="n">
        <f aca="false">IFERROR(Q9/M9,0)</f>
        <v>0.181818181818182</v>
      </c>
    </row>
    <row r="10" customFormat="false" ht="15" hidden="false" customHeight="false" outlineLevel="0" collapsed="false">
      <c r="A10" s="17" t="s">
        <v>15</v>
      </c>
      <c r="B10" s="17" t="s">
        <v>298</v>
      </c>
      <c r="C10" s="17" t="s">
        <v>299</v>
      </c>
      <c r="D10" s="17" t="s">
        <v>33</v>
      </c>
      <c r="E10" s="17" t="s">
        <v>300</v>
      </c>
      <c r="F10" s="17" t="s">
        <v>301</v>
      </c>
      <c r="G10" s="17" t="s">
        <v>56</v>
      </c>
      <c r="H10" s="18" t="s">
        <v>59</v>
      </c>
      <c r="I10" s="17" t="s">
        <v>65</v>
      </c>
      <c r="J10" s="17"/>
      <c r="K10" s="17" t="s">
        <v>59</v>
      </c>
      <c r="L10" s="20" t="n">
        <v>1821</v>
      </c>
      <c r="M10" s="20" t="n">
        <v>32</v>
      </c>
      <c r="N10" s="22" t="n">
        <f aca="false">IFERROR(M10/L10,0)</f>
        <v>0.0175727622185612</v>
      </c>
      <c r="O10" s="19" t="n">
        <v>62.68</v>
      </c>
      <c r="P10" s="9" t="n">
        <f aca="false">IFERROR(O10/M10,0)</f>
        <v>1.95875</v>
      </c>
      <c r="Q10" s="20" t="n">
        <v>6</v>
      </c>
      <c r="R10" s="19" t="n">
        <v>410.34</v>
      </c>
      <c r="S10" s="8" t="n">
        <f aca="false">IFERROR(O10/R10,0)</f>
        <v>0.152751376906955</v>
      </c>
      <c r="T10" s="8" t="n">
        <f aca="false">IFERROR(Q10/M10,0)</f>
        <v>0.1875</v>
      </c>
    </row>
    <row r="11" customFormat="false" ht="15" hidden="false" customHeight="false" outlineLevel="0" collapsed="false">
      <c r="A11" s="17" t="s">
        <v>15</v>
      </c>
      <c r="B11" s="17" t="s">
        <v>302</v>
      </c>
      <c r="C11" s="17" t="s">
        <v>303</v>
      </c>
      <c r="D11" s="17" t="s">
        <v>31</v>
      </c>
      <c r="E11" s="17" t="s">
        <v>293</v>
      </c>
      <c r="F11" s="17" t="s">
        <v>288</v>
      </c>
      <c r="G11" s="17" t="s">
        <v>60</v>
      </c>
      <c r="H11" s="18" t="s">
        <v>59</v>
      </c>
      <c r="I11" s="17" t="s">
        <v>65</v>
      </c>
      <c r="J11" s="17"/>
      <c r="K11" s="17" t="s">
        <v>59</v>
      </c>
      <c r="L11" s="20" t="n">
        <v>4102</v>
      </c>
      <c r="M11" s="20" t="n">
        <v>12</v>
      </c>
      <c r="N11" s="22" t="n">
        <f aca="false">IFERROR(M11/L11,0)</f>
        <v>0.00292540224280839</v>
      </c>
      <c r="O11" s="19" t="n">
        <v>51.63</v>
      </c>
      <c r="P11" s="9" t="n">
        <f aca="false">IFERROR(O11/M11,0)</f>
        <v>4.3025</v>
      </c>
      <c r="Q11" s="20" t="n">
        <v>3</v>
      </c>
      <c r="R11" s="19" t="n">
        <v>196.37</v>
      </c>
      <c r="S11" s="8" t="n">
        <f aca="false">IFERROR(O11/R11,0)</f>
        <v>0.262922034934053</v>
      </c>
      <c r="T11" s="8" t="n">
        <f aca="false">IFERROR(Q11/M11,0)</f>
        <v>0.25</v>
      </c>
    </row>
    <row r="12" customFormat="false" ht="15" hidden="false" customHeight="false" outlineLevel="0" collapsed="false">
      <c r="A12" s="17" t="s">
        <v>15</v>
      </c>
      <c r="B12" s="17" t="s">
        <v>304</v>
      </c>
      <c r="C12" s="17" t="s">
        <v>305</v>
      </c>
      <c r="D12" s="17" t="s">
        <v>33</v>
      </c>
      <c r="E12" s="17" t="s">
        <v>300</v>
      </c>
      <c r="F12" s="17"/>
      <c r="G12" s="17" t="s">
        <v>306</v>
      </c>
      <c r="H12" s="18" t="s">
        <v>59</v>
      </c>
      <c r="I12" s="17" t="s">
        <v>65</v>
      </c>
      <c r="J12" s="17"/>
      <c r="K12" s="17" t="s">
        <v>59</v>
      </c>
      <c r="L12" s="20" t="n">
        <v>6173</v>
      </c>
      <c r="M12" s="20" t="n">
        <v>22</v>
      </c>
      <c r="N12" s="22" t="n">
        <f aca="false">IFERROR(M12/L12,0)</f>
        <v>0.0035639073384092</v>
      </c>
      <c r="O12" s="19" t="n">
        <v>47.74</v>
      </c>
      <c r="P12" s="9" t="n">
        <f aca="false">IFERROR(O12/M12,0)</f>
        <v>2.17</v>
      </c>
      <c r="Q12" s="20" t="n">
        <v>0</v>
      </c>
      <c r="R12" s="19" t="n">
        <v>0</v>
      </c>
      <c r="S12" s="8" t="n">
        <f aca="false">IFERROR(O12/R12,0)</f>
        <v>0</v>
      </c>
      <c r="T12" s="8" t="n">
        <f aca="false">IFERROR(Q12/M12,0)</f>
        <v>0</v>
      </c>
    </row>
    <row r="13" customFormat="false" ht="15" hidden="false" customHeight="false" outlineLevel="0" collapsed="false">
      <c r="A13" s="17" t="s">
        <v>15</v>
      </c>
      <c r="B13" s="17" t="s">
        <v>307</v>
      </c>
      <c r="C13" s="17" t="s">
        <v>308</v>
      </c>
      <c r="D13" s="17" t="s">
        <v>33</v>
      </c>
      <c r="E13" s="17" t="s">
        <v>300</v>
      </c>
      <c r="F13" s="17" t="s">
        <v>294</v>
      </c>
      <c r="G13" s="17"/>
      <c r="H13" s="17"/>
      <c r="I13" s="17" t="s">
        <v>59</v>
      </c>
      <c r="J13" s="17" t="s">
        <v>309</v>
      </c>
      <c r="K13" s="17" t="s">
        <v>59</v>
      </c>
      <c r="L13" s="20" t="n">
        <v>10572</v>
      </c>
      <c r="M13" s="20" t="n">
        <v>64</v>
      </c>
      <c r="N13" s="22" t="n">
        <f aca="false">IFERROR(M13/L13,0)</f>
        <v>0.006053726825577</v>
      </c>
      <c r="O13" s="19" t="n">
        <v>47.6</v>
      </c>
      <c r="P13" s="9" t="n">
        <f aca="false">IFERROR(O13/M13,0)</f>
        <v>0.74375</v>
      </c>
      <c r="Q13" s="20" t="n">
        <v>10</v>
      </c>
      <c r="R13" s="19" t="n">
        <v>453.42</v>
      </c>
      <c r="S13" s="8" t="n">
        <f aca="false">IFERROR(O13/R13,0)</f>
        <v>0.104979930307441</v>
      </c>
      <c r="T13" s="8" t="n">
        <f aca="false">IFERROR(Q13/M13,0)</f>
        <v>0.15625</v>
      </c>
    </row>
    <row r="14" customFormat="false" ht="15" hidden="false" customHeight="false" outlineLevel="0" collapsed="false">
      <c r="A14" s="17" t="s">
        <v>15</v>
      </c>
      <c r="B14" s="17" t="s">
        <v>310</v>
      </c>
      <c r="C14" s="17" t="s">
        <v>311</v>
      </c>
      <c r="D14" s="17" t="s">
        <v>28</v>
      </c>
      <c r="E14" s="17" t="s">
        <v>297</v>
      </c>
      <c r="F14" s="17" t="s">
        <v>28</v>
      </c>
      <c r="G14" s="17" t="s">
        <v>60</v>
      </c>
      <c r="H14" s="18" t="s">
        <v>59</v>
      </c>
      <c r="I14" s="17" t="s">
        <v>65</v>
      </c>
      <c r="J14" s="17"/>
      <c r="K14" s="17" t="s">
        <v>59</v>
      </c>
      <c r="L14" s="20" t="n">
        <v>1141</v>
      </c>
      <c r="M14" s="20" t="n">
        <v>11</v>
      </c>
      <c r="N14" s="22" t="n">
        <f aca="false">IFERROR(M14/L14,0)</f>
        <v>0.00964066608238387</v>
      </c>
      <c r="O14" s="19" t="n">
        <v>39.09</v>
      </c>
      <c r="P14" s="9" t="n">
        <f aca="false">IFERROR(O14/M14,0)</f>
        <v>3.55363636363636</v>
      </c>
      <c r="Q14" s="20" t="n">
        <v>5</v>
      </c>
      <c r="R14" s="19" t="n">
        <v>396.49</v>
      </c>
      <c r="S14" s="8" t="n">
        <f aca="false">IFERROR(O14/R14,0)</f>
        <v>0.0985901283765038</v>
      </c>
      <c r="T14" s="8" t="n">
        <f aca="false">IFERROR(Q14/M14,0)</f>
        <v>0.454545454545455</v>
      </c>
    </row>
    <row r="15" customFormat="false" ht="15" hidden="false" customHeight="false" outlineLevel="0" collapsed="false">
      <c r="A15" s="17" t="s">
        <v>15</v>
      </c>
      <c r="B15" s="17" t="s">
        <v>312</v>
      </c>
      <c r="C15" s="17" t="s">
        <v>313</v>
      </c>
      <c r="D15" s="21" t="s">
        <v>34</v>
      </c>
      <c r="E15" s="17" t="s">
        <v>285</v>
      </c>
      <c r="F15" s="17" t="s">
        <v>314</v>
      </c>
      <c r="G15" s="17"/>
      <c r="H15" s="17"/>
      <c r="I15" s="17" t="s">
        <v>59</v>
      </c>
      <c r="J15" s="17" t="s">
        <v>16</v>
      </c>
      <c r="K15" s="17" t="s">
        <v>59</v>
      </c>
      <c r="L15" s="20" t="n">
        <v>2304</v>
      </c>
      <c r="M15" s="20" t="n">
        <v>16</v>
      </c>
      <c r="N15" s="22" t="n">
        <f aca="false">IFERROR(M15/L15,0)</f>
        <v>0.00694444444444444</v>
      </c>
      <c r="O15" s="19" t="n">
        <v>38.42</v>
      </c>
      <c r="P15" s="9" t="n">
        <f aca="false">IFERROR(O15/M15,0)</f>
        <v>2.40125</v>
      </c>
      <c r="Q15" s="20" t="n">
        <v>0</v>
      </c>
      <c r="R15" s="19" t="n">
        <v>0</v>
      </c>
      <c r="S15" s="8" t="n">
        <f aca="false">IFERROR(O15/R15,0)</f>
        <v>0</v>
      </c>
      <c r="T15" s="8" t="n">
        <f aca="false">IFERROR(Q15/M15,0)</f>
        <v>0</v>
      </c>
    </row>
    <row r="16" customFormat="false" ht="15" hidden="false" customHeight="false" outlineLevel="0" collapsed="false">
      <c r="A16" s="17" t="s">
        <v>15</v>
      </c>
      <c r="B16" s="17" t="s">
        <v>315</v>
      </c>
      <c r="C16" s="17" t="s">
        <v>316</v>
      </c>
      <c r="D16" s="17" t="s">
        <v>28</v>
      </c>
      <c r="E16" s="17" t="s">
        <v>297</v>
      </c>
      <c r="F16" s="17" t="s">
        <v>28</v>
      </c>
      <c r="G16" s="17" t="s">
        <v>56</v>
      </c>
      <c r="H16" s="18" t="s">
        <v>59</v>
      </c>
      <c r="I16" s="17" t="s">
        <v>65</v>
      </c>
      <c r="J16" s="17"/>
      <c r="K16" s="17" t="s">
        <v>59</v>
      </c>
      <c r="L16" s="20" t="n">
        <v>47</v>
      </c>
      <c r="M16" s="20" t="n">
        <v>3</v>
      </c>
      <c r="N16" s="22" t="n">
        <f aca="false">IFERROR(M16/L16,0)</f>
        <v>0.0638297872340426</v>
      </c>
      <c r="O16" s="19" t="n">
        <v>25.23</v>
      </c>
      <c r="P16" s="9" t="n">
        <f aca="false">IFERROR(O16/M16,0)</f>
        <v>8.41</v>
      </c>
      <c r="Q16" s="20" t="n">
        <v>0</v>
      </c>
      <c r="R16" s="19" t="n">
        <v>0</v>
      </c>
      <c r="S16" s="8" t="n">
        <f aca="false">IFERROR(O16/R16,0)</f>
        <v>0</v>
      </c>
      <c r="T16" s="8" t="n">
        <f aca="false">IFERROR(Q16/M16,0)</f>
        <v>0</v>
      </c>
    </row>
    <row r="17" customFormat="false" ht="15" hidden="false" customHeight="false" outlineLevel="0" collapsed="false">
      <c r="A17" s="17" t="s">
        <v>15</v>
      </c>
      <c r="B17" s="17" t="s">
        <v>317</v>
      </c>
      <c r="C17" s="17" t="s">
        <v>318</v>
      </c>
      <c r="D17" s="17" t="s">
        <v>28</v>
      </c>
      <c r="E17" s="17" t="s">
        <v>297</v>
      </c>
      <c r="F17" s="17" t="s">
        <v>28</v>
      </c>
      <c r="G17" s="17" t="s">
        <v>56</v>
      </c>
      <c r="H17" s="18" t="s">
        <v>59</v>
      </c>
      <c r="I17" s="17" t="s">
        <v>65</v>
      </c>
      <c r="J17" s="17"/>
      <c r="K17" s="17" t="s">
        <v>59</v>
      </c>
      <c r="L17" s="20" t="n">
        <v>815</v>
      </c>
      <c r="M17" s="20" t="n">
        <v>3</v>
      </c>
      <c r="N17" s="22" t="n">
        <f aca="false">IFERROR(M17/L17,0)</f>
        <v>0.00368098159509202</v>
      </c>
      <c r="O17" s="19" t="n">
        <v>24.28</v>
      </c>
      <c r="P17" s="9" t="n">
        <f aca="false">IFERROR(O17/M17,0)</f>
        <v>8.09333333333333</v>
      </c>
      <c r="Q17" s="20" t="n">
        <v>2</v>
      </c>
      <c r="R17" s="19" t="n">
        <v>135.98</v>
      </c>
      <c r="S17" s="8" t="n">
        <f aca="false">IFERROR(O17/R17,0)</f>
        <v>0.178555669951463</v>
      </c>
      <c r="T17" s="8" t="n">
        <f aca="false">IFERROR(Q17/M17,0)</f>
        <v>0.666666666666667</v>
      </c>
    </row>
    <row r="18" customFormat="false" ht="15" hidden="false" customHeight="false" outlineLevel="0" collapsed="false">
      <c r="A18" s="17" t="s">
        <v>15</v>
      </c>
      <c r="B18" s="17" t="s">
        <v>319</v>
      </c>
      <c r="C18" s="17" t="s">
        <v>320</v>
      </c>
      <c r="D18" s="21" t="s">
        <v>34</v>
      </c>
      <c r="E18" s="17" t="s">
        <v>293</v>
      </c>
      <c r="F18" s="17" t="s">
        <v>314</v>
      </c>
      <c r="G18" s="17" t="s">
        <v>321</v>
      </c>
      <c r="H18" s="23" t="s">
        <v>65</v>
      </c>
      <c r="I18" s="17" t="s">
        <v>65</v>
      </c>
      <c r="J18" s="17"/>
      <c r="K18" s="17" t="s">
        <v>59</v>
      </c>
      <c r="L18" s="20" t="n">
        <v>2758</v>
      </c>
      <c r="M18" s="20" t="n">
        <v>23</v>
      </c>
      <c r="N18" s="22" t="n">
        <f aca="false">IFERROR(M18/L18,0)</f>
        <v>0.00833937635968093</v>
      </c>
      <c r="O18" s="19" t="n">
        <v>24.22</v>
      </c>
      <c r="P18" s="9" t="n">
        <f aca="false">IFERROR(O18/M18,0)</f>
        <v>1.05304347826087</v>
      </c>
      <c r="Q18" s="20" t="n">
        <v>1</v>
      </c>
      <c r="R18" s="19" t="n">
        <v>79.99</v>
      </c>
      <c r="S18" s="8" t="n">
        <f aca="false">IFERROR(O18/R18,0)</f>
        <v>0.30278784848106</v>
      </c>
      <c r="T18" s="8" t="n">
        <f aca="false">IFERROR(Q18/M18,0)</f>
        <v>0.0434782608695652</v>
      </c>
    </row>
    <row r="19" customFormat="false" ht="15" hidden="false" customHeight="false" outlineLevel="0" collapsed="false">
      <c r="A19" s="17" t="s">
        <v>15</v>
      </c>
      <c r="B19" s="17" t="s">
        <v>322</v>
      </c>
      <c r="C19" s="17" t="s">
        <v>323</v>
      </c>
      <c r="D19" s="17" t="s">
        <v>33</v>
      </c>
      <c r="E19" s="17" t="s">
        <v>300</v>
      </c>
      <c r="F19" s="17" t="s">
        <v>301</v>
      </c>
      <c r="G19" s="17" t="s">
        <v>56</v>
      </c>
      <c r="H19" s="18" t="s">
        <v>59</v>
      </c>
      <c r="I19" s="17" t="s">
        <v>65</v>
      </c>
      <c r="J19" s="17"/>
      <c r="K19" s="17" t="s">
        <v>59</v>
      </c>
      <c r="L19" s="20" t="n">
        <v>2562</v>
      </c>
      <c r="M19" s="20" t="n">
        <v>11</v>
      </c>
      <c r="N19" s="22" t="n">
        <f aca="false">IFERROR(M19/L19,0)</f>
        <v>0.00429352068696331</v>
      </c>
      <c r="O19" s="19" t="n">
        <v>21.92</v>
      </c>
      <c r="P19" s="9" t="n">
        <f aca="false">IFERROR(O19/M19,0)</f>
        <v>1.99272727272727</v>
      </c>
      <c r="Q19" s="20" t="n">
        <v>1</v>
      </c>
      <c r="R19" s="19" t="n">
        <v>62.39</v>
      </c>
      <c r="S19" s="8" t="n">
        <f aca="false">IFERROR(O19/R19,0)</f>
        <v>0.35133835550569</v>
      </c>
      <c r="T19" s="8" t="n">
        <f aca="false">IFERROR(Q19/M19,0)</f>
        <v>0.0909090909090909</v>
      </c>
    </row>
    <row r="20" customFormat="false" ht="15" hidden="false" customHeight="false" outlineLevel="0" collapsed="false">
      <c r="A20" s="17" t="s">
        <v>15</v>
      </c>
      <c r="B20" s="17" t="s">
        <v>324</v>
      </c>
      <c r="C20" s="17" t="s">
        <v>325</v>
      </c>
      <c r="D20" s="17" t="s">
        <v>28</v>
      </c>
      <c r="E20" s="17" t="s">
        <v>297</v>
      </c>
      <c r="F20" s="17" t="s">
        <v>28</v>
      </c>
      <c r="G20" s="17" t="s">
        <v>326</v>
      </c>
      <c r="H20" s="18" t="s">
        <v>59</v>
      </c>
      <c r="I20" s="17" t="s">
        <v>65</v>
      </c>
      <c r="J20" s="17"/>
      <c r="K20" s="17" t="s">
        <v>59</v>
      </c>
      <c r="L20" s="20" t="n">
        <v>137</v>
      </c>
      <c r="M20" s="20" t="n">
        <v>3</v>
      </c>
      <c r="N20" s="22" t="n">
        <f aca="false">IFERROR(M20/L20,0)</f>
        <v>0.0218978102189781</v>
      </c>
      <c r="O20" s="19" t="n">
        <v>17.3</v>
      </c>
      <c r="P20" s="9" t="n">
        <f aca="false">IFERROR(O20/M20,0)</f>
        <v>5.76666666666667</v>
      </c>
      <c r="Q20" s="20" t="n">
        <v>0</v>
      </c>
      <c r="R20" s="19" t="n">
        <v>0</v>
      </c>
      <c r="S20" s="8" t="n">
        <f aca="false">IFERROR(O20/R20,0)</f>
        <v>0</v>
      </c>
      <c r="T20" s="8" t="n">
        <f aca="false">IFERROR(Q20/M20,0)</f>
        <v>0</v>
      </c>
    </row>
    <row r="21" customFormat="false" ht="15" hidden="false" customHeight="false" outlineLevel="0" collapsed="false">
      <c r="A21" s="17" t="s">
        <v>15</v>
      </c>
      <c r="B21" s="17" t="s">
        <v>327</v>
      </c>
      <c r="C21" s="17" t="s">
        <v>328</v>
      </c>
      <c r="D21" s="17" t="s">
        <v>28</v>
      </c>
      <c r="E21" s="17" t="s">
        <v>297</v>
      </c>
      <c r="F21" s="17" t="s">
        <v>28</v>
      </c>
      <c r="G21" s="17" t="s">
        <v>56</v>
      </c>
      <c r="H21" s="18" t="s">
        <v>59</v>
      </c>
      <c r="I21" s="17" t="s">
        <v>65</v>
      </c>
      <c r="J21" s="17"/>
      <c r="K21" s="17" t="s">
        <v>59</v>
      </c>
      <c r="L21" s="20" t="n">
        <v>169</v>
      </c>
      <c r="M21" s="20" t="n">
        <v>3</v>
      </c>
      <c r="N21" s="22" t="n">
        <f aca="false">IFERROR(M21/L21,0)</f>
        <v>0.0177514792899408</v>
      </c>
      <c r="O21" s="19" t="n">
        <v>15.91</v>
      </c>
      <c r="P21" s="9" t="n">
        <f aca="false">IFERROR(O21/M21,0)</f>
        <v>5.30333333333333</v>
      </c>
      <c r="Q21" s="20" t="n">
        <v>1</v>
      </c>
      <c r="R21" s="19" t="n">
        <v>84.99</v>
      </c>
      <c r="S21" s="8" t="n">
        <f aca="false">IFERROR(O21/R21,0)</f>
        <v>0.187198493940464</v>
      </c>
      <c r="T21" s="8" t="n">
        <f aca="false">IFERROR(Q21/M21,0)</f>
        <v>0.333333333333333</v>
      </c>
    </row>
    <row r="22" customFormat="false" ht="15" hidden="false" customHeight="false" outlineLevel="0" collapsed="false">
      <c r="A22" s="17" t="s">
        <v>15</v>
      </c>
      <c r="B22" s="17" t="s">
        <v>329</v>
      </c>
      <c r="C22" s="17" t="s">
        <v>330</v>
      </c>
      <c r="D22" s="17" t="s">
        <v>28</v>
      </c>
      <c r="E22" s="17" t="s">
        <v>297</v>
      </c>
      <c r="F22" s="17" t="s">
        <v>28</v>
      </c>
      <c r="G22" s="17" t="s">
        <v>56</v>
      </c>
      <c r="H22" s="18" t="s">
        <v>59</v>
      </c>
      <c r="I22" s="17" t="s">
        <v>65</v>
      </c>
      <c r="J22" s="17"/>
      <c r="K22" s="17" t="s">
        <v>59</v>
      </c>
      <c r="L22" s="20" t="n">
        <v>242</v>
      </c>
      <c r="M22" s="20" t="n">
        <v>24</v>
      </c>
      <c r="N22" s="22" t="n">
        <f aca="false">IFERROR(M22/L22,0)</f>
        <v>0.0991735537190083</v>
      </c>
      <c r="O22" s="19" t="n">
        <v>15.73</v>
      </c>
      <c r="P22" s="9" t="n">
        <f aca="false">IFERROR(O22/M22,0)</f>
        <v>0.655416666666667</v>
      </c>
      <c r="Q22" s="20" t="n">
        <v>0</v>
      </c>
      <c r="R22" s="19" t="n">
        <v>0</v>
      </c>
      <c r="S22" s="8" t="n">
        <f aca="false">IFERROR(O22/R22,0)</f>
        <v>0</v>
      </c>
      <c r="T22" s="8" t="n">
        <f aca="false">IFERROR(Q22/M22,0)</f>
        <v>0</v>
      </c>
    </row>
    <row r="23" customFormat="false" ht="15" hidden="false" customHeight="false" outlineLevel="0" collapsed="false">
      <c r="A23" s="17" t="s">
        <v>15</v>
      </c>
      <c r="B23" s="17" t="s">
        <v>331</v>
      </c>
      <c r="C23" s="17" t="s">
        <v>332</v>
      </c>
      <c r="D23" s="21" t="s">
        <v>34</v>
      </c>
      <c r="E23" s="17" t="s">
        <v>333</v>
      </c>
      <c r="F23" s="17" t="s">
        <v>314</v>
      </c>
      <c r="G23" s="17" t="s">
        <v>334</v>
      </c>
      <c r="H23" s="23" t="s">
        <v>65</v>
      </c>
      <c r="I23" s="17" t="s">
        <v>65</v>
      </c>
      <c r="J23" s="17"/>
      <c r="K23" s="17" t="s">
        <v>59</v>
      </c>
      <c r="L23" s="20" t="n">
        <v>2253</v>
      </c>
      <c r="M23" s="20" t="n">
        <v>7</v>
      </c>
      <c r="N23" s="22" t="n">
        <f aca="false">IFERROR(M23/L23,0)</f>
        <v>0.00310696848646249</v>
      </c>
      <c r="O23" s="19" t="n">
        <v>15.64</v>
      </c>
      <c r="P23" s="9" t="n">
        <f aca="false">IFERROR(O23/M23,0)</f>
        <v>2.23428571428571</v>
      </c>
      <c r="Q23" s="20" t="n">
        <v>0</v>
      </c>
      <c r="R23" s="19" t="n">
        <v>0</v>
      </c>
      <c r="S23" s="8" t="n">
        <f aca="false">IFERROR(O23/R23,0)</f>
        <v>0</v>
      </c>
      <c r="T23" s="8" t="n">
        <f aca="false">IFERROR(Q23/M23,0)</f>
        <v>0</v>
      </c>
    </row>
    <row r="24" customFormat="false" ht="15" hidden="false" customHeight="false" outlineLevel="0" collapsed="false">
      <c r="A24" s="17" t="s">
        <v>15</v>
      </c>
      <c r="B24" s="17" t="s">
        <v>335</v>
      </c>
      <c r="C24" s="17" t="s">
        <v>336</v>
      </c>
      <c r="D24" s="17" t="s">
        <v>31</v>
      </c>
      <c r="E24" s="17" t="s">
        <v>293</v>
      </c>
      <c r="F24" s="17" t="s">
        <v>288</v>
      </c>
      <c r="G24" s="17" t="s">
        <v>60</v>
      </c>
      <c r="H24" s="18" t="s">
        <v>59</v>
      </c>
      <c r="I24" s="17" t="s">
        <v>65</v>
      </c>
      <c r="J24" s="17"/>
      <c r="K24" s="17" t="s">
        <v>59</v>
      </c>
      <c r="L24" s="20" t="n">
        <v>1950</v>
      </c>
      <c r="M24" s="20" t="n">
        <v>12</v>
      </c>
      <c r="N24" s="22" t="n">
        <f aca="false">IFERROR(M24/L24,0)</f>
        <v>0.00615384615384615</v>
      </c>
      <c r="O24" s="19" t="n">
        <v>14.71</v>
      </c>
      <c r="P24" s="9" t="n">
        <f aca="false">IFERROR(O24/M24,0)</f>
        <v>1.22583333333333</v>
      </c>
      <c r="Q24" s="20" t="n">
        <v>1</v>
      </c>
      <c r="R24" s="19" t="n">
        <v>63.99</v>
      </c>
      <c r="S24" s="8" t="n">
        <f aca="false">IFERROR(O24/R24,0)</f>
        <v>0.229879668698234</v>
      </c>
      <c r="T24" s="8" t="n">
        <f aca="false">IFERROR(Q24/M24,0)</f>
        <v>0.0833333333333333</v>
      </c>
    </row>
    <row r="25" customFormat="false" ht="15" hidden="false" customHeight="false" outlineLevel="0" collapsed="false">
      <c r="A25" s="17" t="s">
        <v>15</v>
      </c>
      <c r="B25" s="17" t="s">
        <v>337</v>
      </c>
      <c r="C25" s="17" t="s">
        <v>338</v>
      </c>
      <c r="D25" s="17" t="s">
        <v>28</v>
      </c>
      <c r="E25" s="17" t="s">
        <v>297</v>
      </c>
      <c r="F25" s="17" t="s">
        <v>28</v>
      </c>
      <c r="G25" s="17" t="s">
        <v>339</v>
      </c>
      <c r="H25" s="18" t="s">
        <v>59</v>
      </c>
      <c r="I25" s="17" t="s">
        <v>65</v>
      </c>
      <c r="J25" s="17"/>
      <c r="K25" s="17" t="s">
        <v>59</v>
      </c>
      <c r="L25" s="20" t="n">
        <v>877</v>
      </c>
      <c r="M25" s="20" t="n">
        <v>3</v>
      </c>
      <c r="N25" s="22" t="n">
        <f aca="false">IFERROR(M25/L25,0)</f>
        <v>0.00342075256556442</v>
      </c>
      <c r="O25" s="19" t="n">
        <v>14.02</v>
      </c>
      <c r="P25" s="9" t="n">
        <f aca="false">IFERROR(O25/M25,0)</f>
        <v>4.67333333333333</v>
      </c>
      <c r="Q25" s="20" t="n">
        <v>1</v>
      </c>
      <c r="R25" s="19" t="n">
        <v>55.29</v>
      </c>
      <c r="S25" s="8" t="n">
        <f aca="false">IFERROR(O25/R25,0)</f>
        <v>0.253572074516187</v>
      </c>
      <c r="T25" s="8" t="n">
        <f aca="false">IFERROR(Q25/M25,0)</f>
        <v>0.333333333333333</v>
      </c>
    </row>
    <row r="26" customFormat="false" ht="15" hidden="false" customHeight="false" outlineLevel="0" collapsed="false">
      <c r="A26" s="17" t="s">
        <v>15</v>
      </c>
      <c r="B26" s="17" t="s">
        <v>340</v>
      </c>
      <c r="C26" s="17" t="s">
        <v>341</v>
      </c>
      <c r="D26" s="17" t="s">
        <v>28</v>
      </c>
      <c r="E26" s="17" t="s">
        <v>297</v>
      </c>
      <c r="F26" s="17" t="s">
        <v>28</v>
      </c>
      <c r="G26" s="17" t="s">
        <v>90</v>
      </c>
      <c r="H26" s="18" t="s">
        <v>59</v>
      </c>
      <c r="I26" s="17" t="s">
        <v>65</v>
      </c>
      <c r="J26" s="17"/>
      <c r="K26" s="17" t="s">
        <v>59</v>
      </c>
      <c r="L26" s="20" t="n">
        <v>61</v>
      </c>
      <c r="M26" s="20" t="n">
        <v>3</v>
      </c>
      <c r="N26" s="22" t="n">
        <f aca="false">IFERROR(M26/L26,0)</f>
        <v>0.0491803278688525</v>
      </c>
      <c r="O26" s="19" t="n">
        <v>13.53</v>
      </c>
      <c r="P26" s="9" t="n">
        <f aca="false">IFERROR(O26/M26,0)</f>
        <v>4.51</v>
      </c>
      <c r="Q26" s="20" t="n">
        <v>3</v>
      </c>
      <c r="R26" s="19" t="n">
        <v>154.17</v>
      </c>
      <c r="S26" s="8" t="n">
        <f aca="false">IFERROR(O26/R26,0)</f>
        <v>0.0877602646429267</v>
      </c>
      <c r="T26" s="8" t="n">
        <f aca="false">IFERROR(Q26/M26,0)</f>
        <v>1</v>
      </c>
    </row>
    <row r="27" customFormat="false" ht="15" hidden="false" customHeight="false" outlineLevel="0" collapsed="false">
      <c r="A27" s="17" t="s">
        <v>15</v>
      </c>
      <c r="B27" s="17" t="s">
        <v>342</v>
      </c>
      <c r="C27" s="17" t="s">
        <v>343</v>
      </c>
      <c r="D27" s="17" t="s">
        <v>28</v>
      </c>
      <c r="E27" s="17" t="s">
        <v>297</v>
      </c>
      <c r="F27" s="17" t="s">
        <v>28</v>
      </c>
      <c r="G27" s="17" t="s">
        <v>74</v>
      </c>
      <c r="H27" s="23" t="s">
        <v>65</v>
      </c>
      <c r="I27" s="17" t="s">
        <v>65</v>
      </c>
      <c r="J27" s="17"/>
      <c r="K27" s="17" t="s">
        <v>59</v>
      </c>
      <c r="L27" s="20" t="n">
        <v>107</v>
      </c>
      <c r="M27" s="20" t="n">
        <v>2</v>
      </c>
      <c r="N27" s="22" t="n">
        <f aca="false">IFERROR(M27/L27,0)</f>
        <v>0.0186915887850467</v>
      </c>
      <c r="O27" s="19" t="n">
        <v>13.35</v>
      </c>
      <c r="P27" s="9" t="n">
        <f aca="false">IFERROR(O27/M27,0)</f>
        <v>6.675</v>
      </c>
      <c r="Q27" s="20" t="n">
        <v>1</v>
      </c>
      <c r="R27" s="19" t="n">
        <v>46.19</v>
      </c>
      <c r="S27" s="8" t="n">
        <f aca="false">IFERROR(O27/R27,0)</f>
        <v>0.289023598181425</v>
      </c>
      <c r="T27" s="8" t="n">
        <f aca="false">IFERROR(Q27/M27,0)</f>
        <v>0.5</v>
      </c>
    </row>
    <row r="28" customFormat="false" ht="15" hidden="false" customHeight="false" outlineLevel="0" collapsed="false">
      <c r="A28" s="17" t="s">
        <v>15</v>
      </c>
      <c r="B28" s="17" t="s">
        <v>344</v>
      </c>
      <c r="C28" s="17" t="s">
        <v>345</v>
      </c>
      <c r="D28" s="21" t="s">
        <v>34</v>
      </c>
      <c r="E28" s="17" t="s">
        <v>285</v>
      </c>
      <c r="F28" s="17" t="s">
        <v>314</v>
      </c>
      <c r="G28" s="17"/>
      <c r="H28" s="17"/>
      <c r="I28" s="17" t="s">
        <v>59</v>
      </c>
      <c r="J28" s="17" t="s">
        <v>16</v>
      </c>
      <c r="K28" s="17" t="s">
        <v>59</v>
      </c>
      <c r="L28" s="20" t="n">
        <v>4665</v>
      </c>
      <c r="M28" s="20" t="n">
        <v>17</v>
      </c>
      <c r="N28" s="22" t="n">
        <f aca="false">IFERROR(M28/L28,0)</f>
        <v>0.00364415862808146</v>
      </c>
      <c r="O28" s="19" t="n">
        <v>13.27</v>
      </c>
      <c r="P28" s="9" t="n">
        <f aca="false">IFERROR(O28/M28,0)</f>
        <v>0.780588235294118</v>
      </c>
      <c r="Q28" s="20" t="n">
        <v>0</v>
      </c>
      <c r="R28" s="19" t="n">
        <v>0</v>
      </c>
      <c r="S28" s="8" t="n">
        <f aca="false">IFERROR(O28/R28,0)</f>
        <v>0</v>
      </c>
      <c r="T28" s="8" t="n">
        <f aca="false">IFERROR(Q28/M28,0)</f>
        <v>0</v>
      </c>
    </row>
    <row r="29" customFormat="false" ht="15" hidden="false" customHeight="false" outlineLevel="0" collapsed="false">
      <c r="A29" s="17" t="s">
        <v>15</v>
      </c>
      <c r="B29" s="17" t="s">
        <v>346</v>
      </c>
      <c r="C29" s="17" t="s">
        <v>347</v>
      </c>
      <c r="D29" s="17" t="s">
        <v>33</v>
      </c>
      <c r="E29" s="17" t="s">
        <v>300</v>
      </c>
      <c r="F29" s="17" t="s">
        <v>301</v>
      </c>
      <c r="G29" s="17" t="s">
        <v>99</v>
      </c>
      <c r="H29" s="23" t="s">
        <v>65</v>
      </c>
      <c r="I29" s="17" t="s">
        <v>65</v>
      </c>
      <c r="J29" s="17"/>
      <c r="K29" s="17" t="s">
        <v>59</v>
      </c>
      <c r="L29" s="20" t="n">
        <v>502</v>
      </c>
      <c r="M29" s="20" t="n">
        <v>6</v>
      </c>
      <c r="N29" s="22" t="n">
        <f aca="false">IFERROR(M29/L29,0)</f>
        <v>0.0119521912350598</v>
      </c>
      <c r="O29" s="19" t="n">
        <v>11.82</v>
      </c>
      <c r="P29" s="9" t="n">
        <f aca="false">IFERROR(O29/M29,0)</f>
        <v>1.97</v>
      </c>
      <c r="Q29" s="20" t="n">
        <v>0</v>
      </c>
      <c r="R29" s="19" t="n">
        <v>0</v>
      </c>
      <c r="S29" s="8" t="n">
        <f aca="false">IFERROR(O29/R29,0)</f>
        <v>0</v>
      </c>
      <c r="T29" s="8" t="n">
        <f aca="false">IFERROR(Q29/M29,0)</f>
        <v>0</v>
      </c>
    </row>
    <row r="30" customFormat="false" ht="15" hidden="false" customHeight="false" outlineLevel="0" collapsed="false">
      <c r="A30" s="17" t="s">
        <v>15</v>
      </c>
      <c r="B30" s="17" t="s">
        <v>348</v>
      </c>
      <c r="C30" s="17" t="s">
        <v>349</v>
      </c>
      <c r="D30" s="17" t="s">
        <v>30</v>
      </c>
      <c r="E30" s="17" t="s">
        <v>297</v>
      </c>
      <c r="F30" s="17" t="s">
        <v>294</v>
      </c>
      <c r="G30" s="17" t="s">
        <v>56</v>
      </c>
      <c r="H30" s="18" t="s">
        <v>59</v>
      </c>
      <c r="I30" s="17" t="s">
        <v>65</v>
      </c>
      <c r="J30" s="17"/>
      <c r="K30" s="17" t="s">
        <v>59</v>
      </c>
      <c r="L30" s="20" t="n">
        <v>599</v>
      </c>
      <c r="M30" s="20" t="n">
        <v>7</v>
      </c>
      <c r="N30" s="22" t="n">
        <f aca="false">IFERROR(M30/L30,0)</f>
        <v>0.011686143572621</v>
      </c>
      <c r="O30" s="19" t="n">
        <v>10.28</v>
      </c>
      <c r="P30" s="9" t="n">
        <f aca="false">IFERROR(O30/M30,0)</f>
        <v>1.46857142857143</v>
      </c>
      <c r="Q30" s="20" t="n">
        <v>1</v>
      </c>
      <c r="R30" s="19" t="n">
        <v>67.99</v>
      </c>
      <c r="S30" s="8" t="n">
        <f aca="false">IFERROR(O30/R30,0)</f>
        <v>0.151198705692014</v>
      </c>
      <c r="T30" s="8" t="n">
        <f aca="false">IFERROR(Q30/M30,0)</f>
        <v>0.142857142857143</v>
      </c>
    </row>
    <row r="31" customFormat="false" ht="15" hidden="false" customHeight="false" outlineLevel="0" collapsed="false">
      <c r="A31" s="17" t="s">
        <v>15</v>
      </c>
      <c r="B31" s="17" t="s">
        <v>350</v>
      </c>
      <c r="C31" s="17" t="s">
        <v>351</v>
      </c>
      <c r="D31" s="17" t="s">
        <v>28</v>
      </c>
      <c r="E31" s="17" t="s">
        <v>297</v>
      </c>
      <c r="F31" s="17" t="s">
        <v>28</v>
      </c>
      <c r="G31" s="17" t="s">
        <v>74</v>
      </c>
      <c r="H31" s="23" t="s">
        <v>65</v>
      </c>
      <c r="I31" s="17" t="s">
        <v>65</v>
      </c>
      <c r="J31" s="17"/>
      <c r="K31" s="17" t="s">
        <v>59</v>
      </c>
      <c r="L31" s="20" t="n">
        <v>14</v>
      </c>
      <c r="M31" s="20" t="n">
        <v>1</v>
      </c>
      <c r="N31" s="22" t="n">
        <f aca="false">IFERROR(M31/L31,0)</f>
        <v>0.0714285714285714</v>
      </c>
      <c r="O31" s="19" t="n">
        <v>10.12</v>
      </c>
      <c r="P31" s="9" t="n">
        <f aca="false">IFERROR(O31/M31,0)</f>
        <v>10.12</v>
      </c>
      <c r="Q31" s="20" t="n">
        <v>0</v>
      </c>
      <c r="R31" s="19" t="n">
        <v>0</v>
      </c>
      <c r="S31" s="8" t="n">
        <f aca="false">IFERROR(O31/R31,0)</f>
        <v>0</v>
      </c>
      <c r="T31" s="8" t="n">
        <f aca="false">IFERROR(Q31/M31,0)</f>
        <v>0</v>
      </c>
    </row>
    <row r="32" customFormat="false" ht="15" hidden="false" customHeight="false" outlineLevel="0" collapsed="false">
      <c r="A32" s="17" t="s">
        <v>15</v>
      </c>
      <c r="B32" s="17" t="s">
        <v>352</v>
      </c>
      <c r="C32" s="17" t="s">
        <v>353</v>
      </c>
      <c r="D32" s="17" t="s">
        <v>28</v>
      </c>
      <c r="E32" s="17" t="s">
        <v>297</v>
      </c>
      <c r="F32" s="17" t="s">
        <v>28</v>
      </c>
      <c r="G32" s="17" t="s">
        <v>56</v>
      </c>
      <c r="H32" s="18" t="s">
        <v>59</v>
      </c>
      <c r="I32" s="17" t="s">
        <v>65</v>
      </c>
      <c r="J32" s="17"/>
      <c r="K32" s="17" t="s">
        <v>59</v>
      </c>
      <c r="L32" s="20" t="n">
        <v>30</v>
      </c>
      <c r="M32" s="20" t="n">
        <v>1</v>
      </c>
      <c r="N32" s="22" t="n">
        <f aca="false">IFERROR(M32/L32,0)</f>
        <v>0.0333333333333333</v>
      </c>
      <c r="O32" s="19" t="n">
        <v>9.55</v>
      </c>
      <c r="P32" s="9" t="n">
        <f aca="false">IFERROR(O32/M32,0)</f>
        <v>9.55</v>
      </c>
      <c r="Q32" s="20" t="n">
        <v>0</v>
      </c>
      <c r="R32" s="19" t="n">
        <v>0</v>
      </c>
      <c r="S32" s="8" t="n">
        <f aca="false">IFERROR(O32/R32,0)</f>
        <v>0</v>
      </c>
      <c r="T32" s="8" t="n">
        <f aca="false">IFERROR(Q32/M32,0)</f>
        <v>0</v>
      </c>
    </row>
    <row r="33" customFormat="false" ht="15" hidden="false" customHeight="false" outlineLevel="0" collapsed="false">
      <c r="A33" s="17" t="s">
        <v>15</v>
      </c>
      <c r="B33" s="17" t="s">
        <v>354</v>
      </c>
      <c r="C33" s="17" t="s">
        <v>355</v>
      </c>
      <c r="D33" s="17" t="s">
        <v>28</v>
      </c>
      <c r="E33" s="17" t="s">
        <v>297</v>
      </c>
      <c r="F33" s="17" t="s">
        <v>28</v>
      </c>
      <c r="G33" s="17" t="s">
        <v>74</v>
      </c>
      <c r="H33" s="23" t="s">
        <v>65</v>
      </c>
      <c r="I33" s="17" t="s">
        <v>65</v>
      </c>
      <c r="J33" s="17"/>
      <c r="K33" s="17" t="s">
        <v>59</v>
      </c>
      <c r="L33" s="20" t="n">
        <v>60</v>
      </c>
      <c r="M33" s="20" t="n">
        <v>2</v>
      </c>
      <c r="N33" s="22" t="n">
        <f aca="false">IFERROR(M33/L33,0)</f>
        <v>0.0333333333333333</v>
      </c>
      <c r="O33" s="19" t="n">
        <v>9.55</v>
      </c>
      <c r="P33" s="9" t="n">
        <f aca="false">IFERROR(O33/M33,0)</f>
        <v>4.775</v>
      </c>
      <c r="Q33" s="20" t="n">
        <v>0</v>
      </c>
      <c r="R33" s="19" t="n">
        <v>0</v>
      </c>
      <c r="S33" s="8" t="n">
        <f aca="false">IFERROR(O33/R33,0)</f>
        <v>0</v>
      </c>
      <c r="T33" s="8" t="n">
        <f aca="false">IFERROR(Q33/M33,0)</f>
        <v>0</v>
      </c>
    </row>
    <row r="34" customFormat="false" ht="15" hidden="false" customHeight="false" outlineLevel="0" collapsed="false">
      <c r="A34" s="17" t="s">
        <v>15</v>
      </c>
      <c r="B34" s="17" t="s">
        <v>356</v>
      </c>
      <c r="C34" s="17" t="s">
        <v>357</v>
      </c>
      <c r="D34" s="17" t="s">
        <v>28</v>
      </c>
      <c r="E34" s="17" t="s">
        <v>297</v>
      </c>
      <c r="F34" s="17" t="s">
        <v>28</v>
      </c>
      <c r="G34" s="17" t="s">
        <v>60</v>
      </c>
      <c r="H34" s="18" t="s">
        <v>59</v>
      </c>
      <c r="I34" s="17" t="s">
        <v>65</v>
      </c>
      <c r="J34" s="17"/>
      <c r="K34" s="17" t="s">
        <v>59</v>
      </c>
      <c r="L34" s="20" t="n">
        <v>44</v>
      </c>
      <c r="M34" s="20" t="n">
        <v>2</v>
      </c>
      <c r="N34" s="22" t="n">
        <f aca="false">IFERROR(M34/L34,0)</f>
        <v>0.0454545454545455</v>
      </c>
      <c r="O34" s="19" t="n">
        <v>8.64</v>
      </c>
      <c r="P34" s="9" t="n">
        <f aca="false">IFERROR(O34/M34,0)</f>
        <v>4.32</v>
      </c>
      <c r="Q34" s="20" t="n">
        <v>0</v>
      </c>
      <c r="R34" s="19" t="n">
        <v>0</v>
      </c>
      <c r="S34" s="8" t="n">
        <f aca="false">IFERROR(O34/R34,0)</f>
        <v>0</v>
      </c>
      <c r="T34" s="8" t="n">
        <f aca="false">IFERROR(Q34/M34,0)</f>
        <v>0</v>
      </c>
    </row>
    <row r="35" customFormat="false" ht="15" hidden="false" customHeight="false" outlineLevel="0" collapsed="false">
      <c r="A35" s="17" t="s">
        <v>15</v>
      </c>
      <c r="B35" s="17" t="s">
        <v>358</v>
      </c>
      <c r="C35" s="17" t="s">
        <v>359</v>
      </c>
      <c r="D35" s="17" t="s">
        <v>28</v>
      </c>
      <c r="E35" s="17" t="s">
        <v>297</v>
      </c>
      <c r="F35" s="17" t="s">
        <v>28</v>
      </c>
      <c r="G35" s="17" t="s">
        <v>74</v>
      </c>
      <c r="H35" s="23" t="s">
        <v>65</v>
      </c>
      <c r="I35" s="17" t="s">
        <v>65</v>
      </c>
      <c r="J35" s="17"/>
      <c r="K35" s="17" t="s">
        <v>59</v>
      </c>
      <c r="L35" s="20" t="n">
        <v>48</v>
      </c>
      <c r="M35" s="20" t="n">
        <v>1</v>
      </c>
      <c r="N35" s="22" t="n">
        <f aca="false">IFERROR(M35/L35,0)</f>
        <v>0.0208333333333333</v>
      </c>
      <c r="O35" s="19" t="n">
        <v>8.3</v>
      </c>
      <c r="P35" s="9" t="n">
        <f aca="false">IFERROR(O35/M35,0)</f>
        <v>8.3</v>
      </c>
      <c r="Q35" s="20" t="n">
        <v>0</v>
      </c>
      <c r="R35" s="19" t="n">
        <v>0</v>
      </c>
      <c r="S35" s="8" t="n">
        <f aca="false">IFERROR(O35/R35,0)</f>
        <v>0</v>
      </c>
      <c r="T35" s="8" t="n">
        <f aca="false">IFERROR(Q35/M35,0)</f>
        <v>0</v>
      </c>
    </row>
    <row r="36" customFormat="false" ht="15" hidden="false" customHeight="false" outlineLevel="0" collapsed="false">
      <c r="A36" s="17" t="s">
        <v>15</v>
      </c>
      <c r="B36" s="17" t="s">
        <v>360</v>
      </c>
      <c r="C36" s="17" t="s">
        <v>361</v>
      </c>
      <c r="D36" s="21" t="s">
        <v>34</v>
      </c>
      <c r="E36" s="17" t="s">
        <v>285</v>
      </c>
      <c r="F36" s="17" t="s">
        <v>314</v>
      </c>
      <c r="G36" s="17"/>
      <c r="H36" s="17"/>
      <c r="I36" s="17" t="s">
        <v>59</v>
      </c>
      <c r="J36" s="17" t="s">
        <v>309</v>
      </c>
      <c r="K36" s="17" t="s">
        <v>59</v>
      </c>
      <c r="L36" s="20" t="n">
        <v>2736</v>
      </c>
      <c r="M36" s="20" t="n">
        <v>18</v>
      </c>
      <c r="N36" s="22" t="n">
        <f aca="false">IFERROR(M36/L36,0)</f>
        <v>0.00657894736842105</v>
      </c>
      <c r="O36" s="19" t="n">
        <v>7.96</v>
      </c>
      <c r="P36" s="9" t="n">
        <f aca="false">IFERROR(O36/M36,0)</f>
        <v>0.442222222222222</v>
      </c>
      <c r="Q36" s="20" t="n">
        <v>2</v>
      </c>
      <c r="R36" s="19" t="n">
        <v>61.9</v>
      </c>
      <c r="S36" s="8" t="n">
        <f aca="false">IFERROR(O36/R36,0)</f>
        <v>0.12859450726979</v>
      </c>
      <c r="T36" s="8" t="n">
        <f aca="false">IFERROR(Q36/M36,0)</f>
        <v>0.111111111111111</v>
      </c>
    </row>
    <row r="37" customFormat="false" ht="15" hidden="false" customHeight="false" outlineLevel="0" collapsed="false">
      <c r="A37" s="17" t="s">
        <v>15</v>
      </c>
      <c r="B37" s="17" t="s">
        <v>362</v>
      </c>
      <c r="C37" s="17" t="s">
        <v>363</v>
      </c>
      <c r="D37" s="17" t="s">
        <v>28</v>
      </c>
      <c r="E37" s="17" t="s">
        <v>297</v>
      </c>
      <c r="F37" s="17" t="s">
        <v>28</v>
      </c>
      <c r="G37" s="17" t="s">
        <v>74</v>
      </c>
      <c r="H37" s="23" t="s">
        <v>65</v>
      </c>
      <c r="I37" s="17" t="s">
        <v>65</v>
      </c>
      <c r="J37" s="17"/>
      <c r="K37" s="17" t="s">
        <v>59</v>
      </c>
      <c r="L37" s="20" t="n">
        <v>40</v>
      </c>
      <c r="M37" s="20" t="n">
        <v>1</v>
      </c>
      <c r="N37" s="22" t="n">
        <f aca="false">IFERROR(M37/L37,0)</f>
        <v>0.025</v>
      </c>
      <c r="O37" s="19" t="n">
        <v>7.69</v>
      </c>
      <c r="P37" s="9" t="n">
        <f aca="false">IFERROR(O37/M37,0)</f>
        <v>7.69</v>
      </c>
      <c r="Q37" s="20" t="n">
        <v>0</v>
      </c>
      <c r="R37" s="19" t="n">
        <v>0</v>
      </c>
      <c r="S37" s="8" t="n">
        <f aca="false">IFERROR(O37/R37,0)</f>
        <v>0</v>
      </c>
      <c r="T37" s="8" t="n">
        <f aca="false">IFERROR(Q37/M37,0)</f>
        <v>0</v>
      </c>
    </row>
    <row r="38" customFormat="false" ht="15" hidden="false" customHeight="false" outlineLevel="0" collapsed="false">
      <c r="A38" s="17" t="s">
        <v>15</v>
      </c>
      <c r="B38" s="17" t="s">
        <v>364</v>
      </c>
      <c r="C38" s="17" t="s">
        <v>365</v>
      </c>
      <c r="D38" s="17" t="s">
        <v>28</v>
      </c>
      <c r="E38" s="17" t="s">
        <v>297</v>
      </c>
      <c r="F38" s="17" t="s">
        <v>28</v>
      </c>
      <c r="G38" s="17" t="s">
        <v>74</v>
      </c>
      <c r="H38" s="23" t="s">
        <v>65</v>
      </c>
      <c r="I38" s="17" t="s">
        <v>65</v>
      </c>
      <c r="J38" s="17"/>
      <c r="K38" s="17" t="s">
        <v>59</v>
      </c>
      <c r="L38" s="20" t="n">
        <v>9</v>
      </c>
      <c r="M38" s="20" t="n">
        <v>1</v>
      </c>
      <c r="N38" s="22" t="n">
        <f aca="false">IFERROR(M38/L38,0)</f>
        <v>0.111111111111111</v>
      </c>
      <c r="O38" s="19" t="n">
        <v>7.13</v>
      </c>
      <c r="P38" s="9" t="n">
        <f aca="false">IFERROR(O38/M38,0)</f>
        <v>7.13</v>
      </c>
      <c r="Q38" s="20" t="n">
        <v>0</v>
      </c>
      <c r="R38" s="19" t="n">
        <v>0</v>
      </c>
      <c r="S38" s="8" t="n">
        <f aca="false">IFERROR(O38/R38,0)</f>
        <v>0</v>
      </c>
      <c r="T38" s="8" t="n">
        <f aca="false">IFERROR(Q38/M38,0)</f>
        <v>0</v>
      </c>
    </row>
    <row r="39" customFormat="false" ht="15" hidden="false" customHeight="false" outlineLevel="0" collapsed="false">
      <c r="A39" s="17" t="s">
        <v>15</v>
      </c>
      <c r="B39" s="17" t="s">
        <v>366</v>
      </c>
      <c r="C39" s="17" t="s">
        <v>367</v>
      </c>
      <c r="D39" s="17" t="s">
        <v>28</v>
      </c>
      <c r="E39" s="17" t="s">
        <v>297</v>
      </c>
      <c r="F39" s="17" t="s">
        <v>28</v>
      </c>
      <c r="G39" s="17" t="s">
        <v>106</v>
      </c>
      <c r="H39" s="23" t="s">
        <v>65</v>
      </c>
      <c r="I39" s="17" t="s">
        <v>65</v>
      </c>
      <c r="J39" s="17"/>
      <c r="K39" s="17" t="s">
        <v>59</v>
      </c>
      <c r="L39" s="20" t="n">
        <v>878</v>
      </c>
      <c r="M39" s="20" t="n">
        <v>5</v>
      </c>
      <c r="N39" s="22" t="n">
        <f aca="false">IFERROR(M39/L39,0)</f>
        <v>0.00569476082004556</v>
      </c>
      <c r="O39" s="19" t="n">
        <v>6.82</v>
      </c>
      <c r="P39" s="9" t="n">
        <f aca="false">IFERROR(O39/M39,0)</f>
        <v>1.364</v>
      </c>
      <c r="Q39" s="20" t="n">
        <v>0</v>
      </c>
      <c r="R39" s="19" t="n">
        <v>0</v>
      </c>
      <c r="S39" s="8" t="n">
        <f aca="false">IFERROR(O39/R39,0)</f>
        <v>0</v>
      </c>
      <c r="T39" s="8" t="n">
        <f aca="false">IFERROR(Q39/M39,0)</f>
        <v>0</v>
      </c>
    </row>
    <row r="40" customFormat="false" ht="15" hidden="false" customHeight="false" outlineLevel="0" collapsed="false">
      <c r="A40" s="17" t="s">
        <v>15</v>
      </c>
      <c r="B40" s="17" t="s">
        <v>368</v>
      </c>
      <c r="C40" s="17" t="s">
        <v>369</v>
      </c>
      <c r="D40" s="17" t="s">
        <v>28</v>
      </c>
      <c r="E40" s="17" t="s">
        <v>297</v>
      </c>
      <c r="F40" s="17" t="s">
        <v>28</v>
      </c>
      <c r="G40" s="17" t="s">
        <v>56</v>
      </c>
      <c r="H40" s="18" t="s">
        <v>59</v>
      </c>
      <c r="I40" s="17" t="s">
        <v>65</v>
      </c>
      <c r="J40" s="17"/>
      <c r="K40" s="17" t="s">
        <v>59</v>
      </c>
      <c r="L40" s="20" t="n">
        <v>326</v>
      </c>
      <c r="M40" s="20" t="n">
        <v>3</v>
      </c>
      <c r="N40" s="22" t="n">
        <f aca="false">IFERROR(M40/L40,0)</f>
        <v>0.00920245398773006</v>
      </c>
      <c r="O40" s="19" t="n">
        <v>6.57</v>
      </c>
      <c r="P40" s="9" t="n">
        <f aca="false">IFERROR(O40/M40,0)</f>
        <v>2.19</v>
      </c>
      <c r="Q40" s="20" t="n">
        <v>0</v>
      </c>
      <c r="R40" s="19" t="n">
        <v>0</v>
      </c>
      <c r="S40" s="8" t="n">
        <f aca="false">IFERROR(O40/R40,0)</f>
        <v>0</v>
      </c>
      <c r="T40" s="8" t="n">
        <f aca="false">IFERROR(Q40/M40,0)</f>
        <v>0</v>
      </c>
    </row>
    <row r="41" customFormat="false" ht="15" hidden="false" customHeight="false" outlineLevel="0" collapsed="false">
      <c r="A41" s="17" t="s">
        <v>15</v>
      </c>
      <c r="B41" s="17" t="s">
        <v>370</v>
      </c>
      <c r="C41" s="17" t="s">
        <v>371</v>
      </c>
      <c r="D41" s="17" t="s">
        <v>33</v>
      </c>
      <c r="E41" s="17" t="s">
        <v>300</v>
      </c>
      <c r="F41" s="17" t="s">
        <v>294</v>
      </c>
      <c r="G41" s="17" t="s">
        <v>372</v>
      </c>
      <c r="H41" s="23" t="s">
        <v>65</v>
      </c>
      <c r="I41" s="17" t="s">
        <v>59</v>
      </c>
      <c r="J41" s="17" t="s">
        <v>309</v>
      </c>
      <c r="K41" s="17" t="s">
        <v>59</v>
      </c>
      <c r="L41" s="20" t="n">
        <v>249</v>
      </c>
      <c r="M41" s="20" t="n">
        <v>6</v>
      </c>
      <c r="N41" s="22" t="n">
        <f aca="false">IFERROR(M41/L41,0)</f>
        <v>0.0240963855421687</v>
      </c>
      <c r="O41" s="19" t="n">
        <v>6.43</v>
      </c>
      <c r="P41" s="9" t="n">
        <f aca="false">IFERROR(O41/M41,0)</f>
        <v>1.07166666666667</v>
      </c>
      <c r="Q41" s="20" t="n">
        <v>1</v>
      </c>
      <c r="R41" s="19" t="n">
        <v>67.99</v>
      </c>
      <c r="S41" s="8" t="n">
        <f aca="false">IFERROR(O41/R41,0)</f>
        <v>0.0945727312840124</v>
      </c>
      <c r="T41" s="8" t="n">
        <f aca="false">IFERROR(Q41/M41,0)</f>
        <v>0.166666666666667</v>
      </c>
    </row>
    <row r="42" customFormat="false" ht="15" hidden="false" customHeight="false" outlineLevel="0" collapsed="false">
      <c r="A42" s="17" t="s">
        <v>15</v>
      </c>
      <c r="B42" s="17" t="s">
        <v>373</v>
      </c>
      <c r="C42" s="17" t="s">
        <v>374</v>
      </c>
      <c r="D42" s="17" t="s">
        <v>35</v>
      </c>
      <c r="E42" s="17" t="s">
        <v>297</v>
      </c>
      <c r="F42" s="17"/>
      <c r="G42" s="17" t="s">
        <v>375</v>
      </c>
      <c r="H42" s="18" t="s">
        <v>59</v>
      </c>
      <c r="I42" s="17" t="s">
        <v>65</v>
      </c>
      <c r="J42" s="17"/>
      <c r="K42" s="17" t="s">
        <v>59</v>
      </c>
      <c r="L42" s="20" t="n">
        <v>71</v>
      </c>
      <c r="M42" s="20" t="n">
        <v>1</v>
      </c>
      <c r="N42" s="22" t="n">
        <f aca="false">IFERROR(M42/L42,0)</f>
        <v>0.0140845070422535</v>
      </c>
      <c r="O42" s="19" t="n">
        <v>5.85</v>
      </c>
      <c r="P42" s="9" t="n">
        <f aca="false">IFERROR(O42/M42,0)</f>
        <v>5.85</v>
      </c>
      <c r="Q42" s="20" t="n">
        <v>0</v>
      </c>
      <c r="R42" s="19" t="n">
        <v>0</v>
      </c>
      <c r="S42" s="8" t="n">
        <f aca="false">IFERROR(O42/R42,0)</f>
        <v>0</v>
      </c>
      <c r="T42" s="8" t="n">
        <f aca="false">IFERROR(Q42/M42,0)</f>
        <v>0</v>
      </c>
    </row>
    <row r="43" customFormat="false" ht="15" hidden="false" customHeight="false" outlineLevel="0" collapsed="false">
      <c r="A43" s="17" t="s">
        <v>15</v>
      </c>
      <c r="B43" s="17" t="s">
        <v>376</v>
      </c>
      <c r="C43" s="17" t="s">
        <v>377</v>
      </c>
      <c r="D43" s="17" t="s">
        <v>35</v>
      </c>
      <c r="E43" s="17" t="s">
        <v>297</v>
      </c>
      <c r="F43" s="17"/>
      <c r="G43" s="17" t="s">
        <v>60</v>
      </c>
      <c r="H43" s="18" t="s">
        <v>59</v>
      </c>
      <c r="I43" s="17" t="s">
        <v>65</v>
      </c>
      <c r="J43" s="17"/>
      <c r="K43" s="17" t="s">
        <v>59</v>
      </c>
      <c r="L43" s="20" t="n">
        <v>6</v>
      </c>
      <c r="M43" s="20" t="n">
        <v>1</v>
      </c>
      <c r="N43" s="22" t="n">
        <f aca="false">IFERROR(M43/L43,0)</f>
        <v>0.166666666666667</v>
      </c>
      <c r="O43" s="19" t="n">
        <v>5.65</v>
      </c>
      <c r="P43" s="9" t="n">
        <f aca="false">IFERROR(O43/M43,0)</f>
        <v>5.65</v>
      </c>
      <c r="Q43" s="20" t="n">
        <v>0</v>
      </c>
      <c r="R43" s="19" t="n">
        <v>0</v>
      </c>
      <c r="S43" s="8" t="n">
        <f aca="false">IFERROR(O43/R43,0)</f>
        <v>0</v>
      </c>
      <c r="T43" s="8" t="n">
        <f aca="false">IFERROR(Q43/M43,0)</f>
        <v>0</v>
      </c>
    </row>
    <row r="44" customFormat="false" ht="15" hidden="false" customHeight="false" outlineLevel="0" collapsed="false">
      <c r="A44" s="17" t="s">
        <v>15</v>
      </c>
      <c r="B44" s="17" t="s">
        <v>378</v>
      </c>
      <c r="C44" s="17" t="s">
        <v>379</v>
      </c>
      <c r="D44" s="17" t="s">
        <v>28</v>
      </c>
      <c r="E44" s="17" t="s">
        <v>297</v>
      </c>
      <c r="F44" s="17" t="s">
        <v>28</v>
      </c>
      <c r="G44" s="17" t="s">
        <v>56</v>
      </c>
      <c r="H44" s="18" t="s">
        <v>59</v>
      </c>
      <c r="I44" s="17" t="s">
        <v>65</v>
      </c>
      <c r="J44" s="17"/>
      <c r="K44" s="17" t="s">
        <v>59</v>
      </c>
      <c r="L44" s="20" t="n">
        <v>119</v>
      </c>
      <c r="M44" s="20" t="n">
        <v>2</v>
      </c>
      <c r="N44" s="22" t="n">
        <f aca="false">IFERROR(M44/L44,0)</f>
        <v>0.0168067226890756</v>
      </c>
      <c r="O44" s="19" t="n">
        <v>5.38</v>
      </c>
      <c r="P44" s="9" t="n">
        <f aca="false">IFERROR(O44/M44,0)</f>
        <v>2.69</v>
      </c>
      <c r="Q44" s="20" t="n">
        <v>0</v>
      </c>
      <c r="R44" s="19" t="n">
        <v>0</v>
      </c>
      <c r="S44" s="8" t="n">
        <f aca="false">IFERROR(O44/R44,0)</f>
        <v>0</v>
      </c>
      <c r="T44" s="8" t="n">
        <f aca="false">IFERROR(Q44/M44,0)</f>
        <v>0</v>
      </c>
    </row>
    <row r="45" customFormat="false" ht="15" hidden="false" customHeight="false" outlineLevel="0" collapsed="false">
      <c r="A45" s="17" t="s">
        <v>15</v>
      </c>
      <c r="B45" s="17" t="s">
        <v>380</v>
      </c>
      <c r="C45" s="17" t="s">
        <v>381</v>
      </c>
      <c r="D45" s="17" t="s">
        <v>28</v>
      </c>
      <c r="E45" s="17" t="s">
        <v>297</v>
      </c>
      <c r="F45" s="17" t="s">
        <v>28</v>
      </c>
      <c r="G45" s="17" t="s">
        <v>56</v>
      </c>
      <c r="H45" s="18" t="s">
        <v>59</v>
      </c>
      <c r="I45" s="17" t="s">
        <v>65</v>
      </c>
      <c r="J45" s="17"/>
      <c r="K45" s="17" t="s">
        <v>59</v>
      </c>
      <c r="L45" s="20" t="n">
        <v>2</v>
      </c>
      <c r="M45" s="20" t="n">
        <v>1</v>
      </c>
      <c r="N45" s="22" t="n">
        <f aca="false">IFERROR(M45/L45,0)</f>
        <v>0.5</v>
      </c>
      <c r="O45" s="19" t="n">
        <v>4.69</v>
      </c>
      <c r="P45" s="9" t="n">
        <f aca="false">IFERROR(O45/M45,0)</f>
        <v>4.69</v>
      </c>
      <c r="Q45" s="20" t="n">
        <v>0</v>
      </c>
      <c r="R45" s="19" t="n">
        <v>0</v>
      </c>
      <c r="S45" s="8" t="n">
        <f aca="false">IFERROR(O45/R45,0)</f>
        <v>0</v>
      </c>
      <c r="T45" s="8" t="n">
        <f aca="false">IFERROR(Q45/M45,0)</f>
        <v>0</v>
      </c>
    </row>
    <row r="46" customFormat="false" ht="15" hidden="false" customHeight="false" outlineLevel="0" collapsed="false">
      <c r="A46" s="17" t="s">
        <v>15</v>
      </c>
      <c r="B46" s="17" t="s">
        <v>382</v>
      </c>
      <c r="C46" s="17" t="s">
        <v>383</v>
      </c>
      <c r="D46" s="17" t="s">
        <v>28</v>
      </c>
      <c r="E46" s="17" t="s">
        <v>297</v>
      </c>
      <c r="F46" s="17" t="s">
        <v>28</v>
      </c>
      <c r="G46" s="17" t="s">
        <v>193</v>
      </c>
      <c r="H46" s="23" t="s">
        <v>65</v>
      </c>
      <c r="I46" s="17" t="s">
        <v>65</v>
      </c>
      <c r="J46" s="17"/>
      <c r="K46" s="17" t="s">
        <v>59</v>
      </c>
      <c r="L46" s="20" t="n">
        <v>14</v>
      </c>
      <c r="M46" s="20" t="n">
        <v>1</v>
      </c>
      <c r="N46" s="22" t="n">
        <f aca="false">IFERROR(M46/L46,0)</f>
        <v>0.0714285714285714</v>
      </c>
      <c r="O46" s="19" t="n">
        <v>4.36</v>
      </c>
      <c r="P46" s="9" t="n">
        <f aca="false">IFERROR(O46/M46,0)</f>
        <v>4.36</v>
      </c>
      <c r="Q46" s="20" t="n">
        <v>1</v>
      </c>
      <c r="R46" s="19" t="n">
        <v>79.99</v>
      </c>
      <c r="S46" s="8" t="n">
        <f aca="false">IFERROR(O46/R46,0)</f>
        <v>0.054506813351669</v>
      </c>
      <c r="T46" s="8" t="n">
        <f aca="false">IFERROR(Q46/M46,0)</f>
        <v>1</v>
      </c>
    </row>
    <row r="47" customFormat="false" ht="15" hidden="false" customHeight="false" outlineLevel="0" collapsed="false">
      <c r="A47" s="17" t="s">
        <v>15</v>
      </c>
      <c r="B47" s="17" t="s">
        <v>384</v>
      </c>
      <c r="C47" s="17" t="s">
        <v>385</v>
      </c>
      <c r="D47" s="17" t="s">
        <v>31</v>
      </c>
      <c r="E47" s="17" t="s">
        <v>293</v>
      </c>
      <c r="F47" s="17" t="s">
        <v>288</v>
      </c>
      <c r="G47" s="17" t="s">
        <v>56</v>
      </c>
      <c r="H47" s="18" t="s">
        <v>59</v>
      </c>
      <c r="I47" s="17" t="s">
        <v>65</v>
      </c>
      <c r="J47" s="17"/>
      <c r="K47" s="17" t="s">
        <v>59</v>
      </c>
      <c r="L47" s="20" t="n">
        <v>601</v>
      </c>
      <c r="M47" s="20" t="n">
        <v>3</v>
      </c>
      <c r="N47" s="22" t="n">
        <f aca="false">IFERROR(M47/L47,0)</f>
        <v>0.00499168053244592</v>
      </c>
      <c r="O47" s="19" t="n">
        <v>3.92</v>
      </c>
      <c r="P47" s="9" t="n">
        <f aca="false">IFERROR(O47/M47,0)</f>
        <v>1.30666666666667</v>
      </c>
      <c r="Q47" s="20" t="n">
        <v>0</v>
      </c>
      <c r="R47" s="19" t="n">
        <v>0</v>
      </c>
      <c r="S47" s="8" t="n">
        <f aca="false">IFERROR(O47/R47,0)</f>
        <v>0</v>
      </c>
      <c r="T47" s="8" t="n">
        <f aca="false">IFERROR(Q47/M47,0)</f>
        <v>0</v>
      </c>
    </row>
    <row r="48" customFormat="false" ht="15" hidden="false" customHeight="false" outlineLevel="0" collapsed="false">
      <c r="A48" s="17" t="s">
        <v>15</v>
      </c>
      <c r="B48" s="17" t="s">
        <v>386</v>
      </c>
      <c r="C48" s="17" t="s">
        <v>387</v>
      </c>
      <c r="D48" s="17" t="s">
        <v>28</v>
      </c>
      <c r="E48" s="17" t="s">
        <v>297</v>
      </c>
      <c r="F48" s="17" t="s">
        <v>28</v>
      </c>
      <c r="G48" s="17" t="s">
        <v>56</v>
      </c>
      <c r="H48" s="18" t="s">
        <v>59</v>
      </c>
      <c r="I48" s="17" t="s">
        <v>65</v>
      </c>
      <c r="J48" s="17"/>
      <c r="K48" s="17" t="s">
        <v>59</v>
      </c>
      <c r="L48" s="20" t="n">
        <v>52</v>
      </c>
      <c r="M48" s="20" t="n">
        <v>1</v>
      </c>
      <c r="N48" s="22" t="n">
        <f aca="false">IFERROR(M48/L48,0)</f>
        <v>0.0192307692307692</v>
      </c>
      <c r="O48" s="19" t="n">
        <v>3.58</v>
      </c>
      <c r="P48" s="9" t="n">
        <f aca="false">IFERROR(O48/M48,0)</f>
        <v>3.58</v>
      </c>
      <c r="Q48" s="20" t="n">
        <v>0</v>
      </c>
      <c r="R48" s="19" t="n">
        <v>0</v>
      </c>
      <c r="S48" s="8" t="n">
        <f aca="false">IFERROR(O48/R48,0)</f>
        <v>0</v>
      </c>
      <c r="T48" s="8" t="n">
        <f aca="false">IFERROR(Q48/M48,0)</f>
        <v>0</v>
      </c>
    </row>
    <row r="49" customFormat="false" ht="15" hidden="false" customHeight="false" outlineLevel="0" collapsed="false">
      <c r="A49" s="17" t="s">
        <v>15</v>
      </c>
      <c r="B49" s="17" t="s">
        <v>388</v>
      </c>
      <c r="C49" s="17" t="s">
        <v>389</v>
      </c>
      <c r="D49" s="17" t="s">
        <v>28</v>
      </c>
      <c r="E49" s="17" t="s">
        <v>297</v>
      </c>
      <c r="F49" s="17" t="s">
        <v>28</v>
      </c>
      <c r="G49" s="17" t="s">
        <v>56</v>
      </c>
      <c r="H49" s="18" t="s">
        <v>59</v>
      </c>
      <c r="I49" s="17" t="s">
        <v>65</v>
      </c>
      <c r="J49" s="17"/>
      <c r="K49" s="17" t="s">
        <v>59</v>
      </c>
      <c r="L49" s="20" t="n">
        <v>36</v>
      </c>
      <c r="M49" s="20" t="n">
        <v>1</v>
      </c>
      <c r="N49" s="22" t="n">
        <f aca="false">IFERROR(M49/L49,0)</f>
        <v>0.0277777777777778</v>
      </c>
      <c r="O49" s="19" t="n">
        <v>3.58</v>
      </c>
      <c r="P49" s="9" t="n">
        <f aca="false">IFERROR(O49/M49,0)</f>
        <v>3.58</v>
      </c>
      <c r="Q49" s="20" t="n">
        <v>0</v>
      </c>
      <c r="R49" s="19" t="n">
        <v>0</v>
      </c>
      <c r="S49" s="8" t="n">
        <f aca="false">IFERROR(O49/R49,0)</f>
        <v>0</v>
      </c>
      <c r="T49" s="8" t="n">
        <f aca="false">IFERROR(Q49/M49,0)</f>
        <v>0</v>
      </c>
    </row>
    <row r="50" customFormat="false" ht="15" hidden="false" customHeight="false" outlineLevel="0" collapsed="false">
      <c r="A50" s="17" t="s">
        <v>15</v>
      </c>
      <c r="B50" s="17" t="s">
        <v>390</v>
      </c>
      <c r="C50" s="17" t="s">
        <v>391</v>
      </c>
      <c r="D50" s="17" t="s">
        <v>28</v>
      </c>
      <c r="E50" s="17" t="s">
        <v>297</v>
      </c>
      <c r="F50" s="17" t="s">
        <v>28</v>
      </c>
      <c r="G50" s="17" t="s">
        <v>60</v>
      </c>
      <c r="H50" s="18" t="s">
        <v>59</v>
      </c>
      <c r="I50" s="17" t="s">
        <v>65</v>
      </c>
      <c r="J50" s="17"/>
      <c r="K50" s="17" t="s">
        <v>59</v>
      </c>
      <c r="L50" s="20" t="n">
        <v>1072</v>
      </c>
      <c r="M50" s="20" t="n">
        <v>2</v>
      </c>
      <c r="N50" s="22" t="n">
        <f aca="false">IFERROR(M50/L50,0)</f>
        <v>0.00186567164179104</v>
      </c>
      <c r="O50" s="19" t="n">
        <v>3.44</v>
      </c>
      <c r="P50" s="9" t="n">
        <f aca="false">IFERROR(O50/M50,0)</f>
        <v>1.72</v>
      </c>
      <c r="Q50" s="20" t="n">
        <v>0</v>
      </c>
      <c r="R50" s="19" t="n">
        <v>0</v>
      </c>
      <c r="S50" s="8" t="n">
        <f aca="false">IFERROR(O50/R50,0)</f>
        <v>0</v>
      </c>
      <c r="T50" s="8" t="n">
        <f aca="false">IFERROR(Q50/M50,0)</f>
        <v>0</v>
      </c>
    </row>
    <row r="51" customFormat="false" ht="15" hidden="false" customHeight="false" outlineLevel="0" collapsed="false">
      <c r="A51" s="17" t="s">
        <v>15</v>
      </c>
      <c r="B51" s="17" t="s">
        <v>392</v>
      </c>
      <c r="C51" s="17" t="s">
        <v>393</v>
      </c>
      <c r="D51" s="17" t="s">
        <v>31</v>
      </c>
      <c r="E51" s="17" t="s">
        <v>293</v>
      </c>
      <c r="F51" s="17" t="s">
        <v>288</v>
      </c>
      <c r="G51" s="17" t="s">
        <v>205</v>
      </c>
      <c r="H51" s="18" t="s">
        <v>59</v>
      </c>
      <c r="I51" s="17" t="s">
        <v>65</v>
      </c>
      <c r="J51" s="17"/>
      <c r="K51" s="17" t="s">
        <v>59</v>
      </c>
      <c r="L51" s="20" t="n">
        <v>300</v>
      </c>
      <c r="M51" s="20" t="n">
        <v>3</v>
      </c>
      <c r="N51" s="22" t="n">
        <f aca="false">IFERROR(M51/L51,0)</f>
        <v>0.01</v>
      </c>
      <c r="O51" s="19" t="n">
        <v>3.3</v>
      </c>
      <c r="P51" s="9" t="n">
        <f aca="false">IFERROR(O51/M51,0)</f>
        <v>1.1</v>
      </c>
      <c r="Q51" s="20" t="n">
        <v>0</v>
      </c>
      <c r="R51" s="19" t="n">
        <v>0</v>
      </c>
      <c r="S51" s="8" t="n">
        <f aca="false">IFERROR(O51/R51,0)</f>
        <v>0</v>
      </c>
      <c r="T51" s="8" t="n">
        <f aca="false">IFERROR(Q51/M51,0)</f>
        <v>0</v>
      </c>
    </row>
    <row r="52" customFormat="false" ht="15" hidden="false" customHeight="false" outlineLevel="0" collapsed="false">
      <c r="A52" s="17" t="s">
        <v>15</v>
      </c>
      <c r="B52" s="17" t="s">
        <v>394</v>
      </c>
      <c r="C52" s="17" t="s">
        <v>395</v>
      </c>
      <c r="D52" s="17" t="s">
        <v>28</v>
      </c>
      <c r="E52" s="17" t="s">
        <v>297</v>
      </c>
      <c r="F52" s="17" t="s">
        <v>28</v>
      </c>
      <c r="G52" s="17" t="s">
        <v>56</v>
      </c>
      <c r="H52" s="18" t="s">
        <v>59</v>
      </c>
      <c r="I52" s="17" t="s">
        <v>65</v>
      </c>
      <c r="J52" s="17"/>
      <c r="K52" s="17" t="s">
        <v>59</v>
      </c>
      <c r="L52" s="20" t="n">
        <v>120</v>
      </c>
      <c r="M52" s="20" t="n">
        <v>3</v>
      </c>
      <c r="N52" s="22" t="n">
        <f aca="false">IFERROR(M52/L52,0)</f>
        <v>0.025</v>
      </c>
      <c r="O52" s="19" t="n">
        <v>3.27</v>
      </c>
      <c r="P52" s="9" t="n">
        <f aca="false">IFERROR(O52/M52,0)</f>
        <v>1.09</v>
      </c>
      <c r="Q52" s="20" t="n">
        <v>0</v>
      </c>
      <c r="R52" s="19" t="n">
        <v>0</v>
      </c>
      <c r="S52" s="8" t="n">
        <f aca="false">IFERROR(O52/R52,0)</f>
        <v>0</v>
      </c>
      <c r="T52" s="8" t="n">
        <f aca="false">IFERROR(Q52/M52,0)</f>
        <v>0</v>
      </c>
    </row>
    <row r="53" customFormat="false" ht="15" hidden="false" customHeight="false" outlineLevel="0" collapsed="false">
      <c r="A53" s="17" t="s">
        <v>15</v>
      </c>
      <c r="B53" s="17" t="s">
        <v>396</v>
      </c>
      <c r="C53" s="17" t="s">
        <v>397</v>
      </c>
      <c r="D53" s="17" t="s">
        <v>33</v>
      </c>
      <c r="E53" s="17" t="s">
        <v>300</v>
      </c>
      <c r="F53" s="17" t="s">
        <v>294</v>
      </c>
      <c r="G53" s="17" t="s">
        <v>117</v>
      </c>
      <c r="H53" s="18" t="s">
        <v>59</v>
      </c>
      <c r="I53" s="17" t="s">
        <v>59</v>
      </c>
      <c r="J53" s="17" t="s">
        <v>309</v>
      </c>
      <c r="K53" s="17" t="s">
        <v>59</v>
      </c>
      <c r="L53" s="20" t="n">
        <v>476</v>
      </c>
      <c r="M53" s="20" t="n">
        <v>3</v>
      </c>
      <c r="N53" s="22" t="n">
        <f aca="false">IFERROR(M53/L53,0)</f>
        <v>0.00630252100840336</v>
      </c>
      <c r="O53" s="19" t="n">
        <v>2.81</v>
      </c>
      <c r="P53" s="9" t="n">
        <f aca="false">IFERROR(O53/M53,0)</f>
        <v>0.936666666666667</v>
      </c>
      <c r="Q53" s="20" t="n">
        <v>0</v>
      </c>
      <c r="R53" s="19" t="n">
        <v>0</v>
      </c>
      <c r="S53" s="8" t="n">
        <f aca="false">IFERROR(O53/R53,0)</f>
        <v>0</v>
      </c>
      <c r="T53" s="8" t="n">
        <f aca="false">IFERROR(Q53/M53,0)</f>
        <v>0</v>
      </c>
    </row>
    <row r="54" customFormat="false" ht="15" hidden="false" customHeight="false" outlineLevel="0" collapsed="false">
      <c r="A54" s="17" t="s">
        <v>15</v>
      </c>
      <c r="B54" s="17" t="s">
        <v>398</v>
      </c>
      <c r="C54" s="17" t="s">
        <v>399</v>
      </c>
      <c r="D54" s="17" t="s">
        <v>30</v>
      </c>
      <c r="E54" s="17" t="s">
        <v>297</v>
      </c>
      <c r="F54" s="17" t="s">
        <v>294</v>
      </c>
      <c r="G54" s="17" t="s">
        <v>56</v>
      </c>
      <c r="H54" s="18" t="s">
        <v>59</v>
      </c>
      <c r="I54" s="17" t="s">
        <v>65</v>
      </c>
      <c r="J54" s="17"/>
      <c r="K54" s="17" t="s">
        <v>59</v>
      </c>
      <c r="L54" s="20" t="n">
        <v>37</v>
      </c>
      <c r="M54" s="20" t="n">
        <v>2</v>
      </c>
      <c r="N54" s="22" t="n">
        <f aca="false">IFERROR(M54/L54,0)</f>
        <v>0.0540540540540541</v>
      </c>
      <c r="O54" s="19" t="n">
        <v>2.78</v>
      </c>
      <c r="P54" s="9" t="n">
        <f aca="false">IFERROR(O54/M54,0)</f>
        <v>1.39</v>
      </c>
      <c r="Q54" s="20" t="n">
        <v>0</v>
      </c>
      <c r="R54" s="19" t="n">
        <v>0</v>
      </c>
      <c r="S54" s="8" t="n">
        <f aca="false">IFERROR(O54/R54,0)</f>
        <v>0</v>
      </c>
      <c r="T54" s="8" t="n">
        <f aca="false">IFERROR(Q54/M54,0)</f>
        <v>0</v>
      </c>
    </row>
    <row r="55" customFormat="false" ht="15" hidden="false" customHeight="false" outlineLevel="0" collapsed="false">
      <c r="A55" s="17" t="s">
        <v>15</v>
      </c>
      <c r="B55" s="17" t="s">
        <v>400</v>
      </c>
      <c r="C55" s="17" t="s">
        <v>401</v>
      </c>
      <c r="D55" s="17" t="s">
        <v>31</v>
      </c>
      <c r="E55" s="17" t="s">
        <v>293</v>
      </c>
      <c r="F55" s="17" t="s">
        <v>288</v>
      </c>
      <c r="G55" s="17" t="s">
        <v>56</v>
      </c>
      <c r="H55" s="18" t="s">
        <v>59</v>
      </c>
      <c r="I55" s="17" t="s">
        <v>65</v>
      </c>
      <c r="J55" s="17"/>
      <c r="K55" s="17" t="s">
        <v>59</v>
      </c>
      <c r="L55" s="20" t="n">
        <v>70</v>
      </c>
      <c r="M55" s="20" t="n">
        <v>2</v>
      </c>
      <c r="N55" s="22" t="n">
        <f aca="false">IFERROR(M55/L55,0)</f>
        <v>0.0285714285714286</v>
      </c>
      <c r="O55" s="19" t="n">
        <v>2.42</v>
      </c>
      <c r="P55" s="9" t="n">
        <f aca="false">IFERROR(O55/M55,0)</f>
        <v>1.21</v>
      </c>
      <c r="Q55" s="20" t="n">
        <v>0</v>
      </c>
      <c r="R55" s="19" t="n">
        <v>0</v>
      </c>
      <c r="S55" s="8" t="n">
        <f aca="false">IFERROR(O55/R55,0)</f>
        <v>0</v>
      </c>
      <c r="T55" s="8" t="n">
        <f aca="false">IFERROR(Q55/M55,0)</f>
        <v>0</v>
      </c>
    </row>
    <row r="56" customFormat="false" ht="15" hidden="false" customHeight="false" outlineLevel="0" collapsed="false">
      <c r="A56" s="17" t="s">
        <v>15</v>
      </c>
      <c r="B56" s="17" t="s">
        <v>402</v>
      </c>
      <c r="C56" s="17" t="s">
        <v>403</v>
      </c>
      <c r="D56" s="17" t="s">
        <v>28</v>
      </c>
      <c r="E56" s="17" t="s">
        <v>297</v>
      </c>
      <c r="F56" s="17" t="s">
        <v>28</v>
      </c>
      <c r="G56" s="17" t="s">
        <v>56</v>
      </c>
      <c r="H56" s="18" t="s">
        <v>59</v>
      </c>
      <c r="I56" s="17" t="s">
        <v>65</v>
      </c>
      <c r="J56" s="17"/>
      <c r="K56" s="17" t="s">
        <v>59</v>
      </c>
      <c r="L56" s="20" t="n">
        <v>4832</v>
      </c>
      <c r="M56" s="20" t="n">
        <v>1</v>
      </c>
      <c r="N56" s="22" t="n">
        <f aca="false">IFERROR(M56/L56,0)</f>
        <v>0.000206953642384106</v>
      </c>
      <c r="O56" s="19" t="n">
        <v>2.26</v>
      </c>
      <c r="P56" s="9" t="n">
        <f aca="false">IFERROR(O56/M56,0)</f>
        <v>2.26</v>
      </c>
      <c r="Q56" s="20" t="n">
        <v>0</v>
      </c>
      <c r="R56" s="19" t="n">
        <v>0</v>
      </c>
      <c r="S56" s="8" t="n">
        <f aca="false">IFERROR(O56/R56,0)</f>
        <v>0</v>
      </c>
      <c r="T56" s="8" t="n">
        <f aca="false">IFERROR(Q56/M56,0)</f>
        <v>0</v>
      </c>
    </row>
    <row r="57" customFormat="false" ht="15" hidden="false" customHeight="false" outlineLevel="0" collapsed="false">
      <c r="A57" s="17" t="s">
        <v>15</v>
      </c>
      <c r="B57" s="17" t="s">
        <v>404</v>
      </c>
      <c r="C57" s="17" t="s">
        <v>405</v>
      </c>
      <c r="D57" s="17" t="s">
        <v>28</v>
      </c>
      <c r="E57" s="17" t="s">
        <v>297</v>
      </c>
      <c r="F57" s="17" t="s">
        <v>28</v>
      </c>
      <c r="G57" s="17" t="s">
        <v>56</v>
      </c>
      <c r="H57" s="18" t="s">
        <v>59</v>
      </c>
      <c r="I57" s="17" t="s">
        <v>65</v>
      </c>
      <c r="J57" s="17"/>
      <c r="K57" s="17" t="s">
        <v>59</v>
      </c>
      <c r="L57" s="20" t="n">
        <v>46</v>
      </c>
      <c r="M57" s="20" t="n">
        <v>1</v>
      </c>
      <c r="N57" s="22" t="n">
        <f aca="false">IFERROR(M57/L57,0)</f>
        <v>0.0217391304347826</v>
      </c>
      <c r="O57" s="19" t="n">
        <v>1.99</v>
      </c>
      <c r="P57" s="9" t="n">
        <f aca="false">IFERROR(O57/M57,0)</f>
        <v>1.99</v>
      </c>
      <c r="Q57" s="20" t="n">
        <v>0</v>
      </c>
      <c r="R57" s="19" t="n">
        <v>0</v>
      </c>
      <c r="S57" s="8" t="n">
        <f aca="false">IFERROR(O57/R57,0)</f>
        <v>0</v>
      </c>
      <c r="T57" s="8" t="n">
        <f aca="false">IFERROR(Q57/M57,0)</f>
        <v>0</v>
      </c>
    </row>
    <row r="58" customFormat="false" ht="15" hidden="false" customHeight="false" outlineLevel="0" collapsed="false">
      <c r="A58" s="17" t="s">
        <v>15</v>
      </c>
      <c r="B58" s="17" t="s">
        <v>406</v>
      </c>
      <c r="C58" s="17" t="s">
        <v>407</v>
      </c>
      <c r="D58" s="17" t="s">
        <v>28</v>
      </c>
      <c r="E58" s="17" t="s">
        <v>297</v>
      </c>
      <c r="F58" s="17" t="s">
        <v>28</v>
      </c>
      <c r="G58" s="17" t="s">
        <v>74</v>
      </c>
      <c r="H58" s="23" t="s">
        <v>65</v>
      </c>
      <c r="I58" s="17" t="s">
        <v>65</v>
      </c>
      <c r="J58" s="17"/>
      <c r="K58" s="17" t="s">
        <v>59</v>
      </c>
      <c r="L58" s="20" t="n">
        <v>128</v>
      </c>
      <c r="M58" s="20" t="n">
        <v>1</v>
      </c>
      <c r="N58" s="22" t="n">
        <f aca="false">IFERROR(M58/L58,0)</f>
        <v>0.0078125</v>
      </c>
      <c r="O58" s="19" t="n">
        <v>1.36</v>
      </c>
      <c r="P58" s="9" t="n">
        <f aca="false">IFERROR(O58/M58,0)</f>
        <v>1.36</v>
      </c>
      <c r="Q58" s="20" t="n">
        <v>1</v>
      </c>
      <c r="R58" s="19" t="n">
        <v>63.99</v>
      </c>
      <c r="S58" s="8" t="n">
        <f aca="false">IFERROR(O58/R58,0)</f>
        <v>0.0212533208313799</v>
      </c>
      <c r="T58" s="8" t="n">
        <f aca="false">IFERROR(Q58/M58,0)</f>
        <v>1</v>
      </c>
    </row>
    <row r="59" customFormat="false" ht="15" hidden="false" customHeight="false" outlineLevel="0" collapsed="false">
      <c r="A59" s="17" t="s">
        <v>15</v>
      </c>
      <c r="B59" s="17" t="s">
        <v>408</v>
      </c>
      <c r="C59" s="17" t="s">
        <v>409</v>
      </c>
      <c r="D59" s="17" t="s">
        <v>33</v>
      </c>
      <c r="E59" s="17" t="s">
        <v>300</v>
      </c>
      <c r="F59" s="17" t="s">
        <v>294</v>
      </c>
      <c r="G59" s="17" t="s">
        <v>114</v>
      </c>
      <c r="H59" s="18" t="s">
        <v>59</v>
      </c>
      <c r="I59" s="17" t="s">
        <v>59</v>
      </c>
      <c r="J59" s="17" t="s">
        <v>309</v>
      </c>
      <c r="K59" s="17" t="s">
        <v>59</v>
      </c>
      <c r="L59" s="20" t="n">
        <v>485</v>
      </c>
      <c r="M59" s="20" t="n">
        <v>1</v>
      </c>
      <c r="N59" s="22" t="n">
        <f aca="false">IFERROR(M59/L59,0)</f>
        <v>0.00206185567010309</v>
      </c>
      <c r="O59" s="19" t="n">
        <v>0.99</v>
      </c>
      <c r="P59" s="9" t="n">
        <f aca="false">IFERROR(O59/M59,0)</f>
        <v>0.99</v>
      </c>
      <c r="Q59" s="20" t="n">
        <v>0</v>
      </c>
      <c r="R59" s="19" t="n">
        <v>0</v>
      </c>
      <c r="S59" s="8" t="n">
        <f aca="false">IFERROR(O59/R59,0)</f>
        <v>0</v>
      </c>
      <c r="T59" s="8" t="n">
        <f aca="false">IFERROR(Q59/M59,0)</f>
        <v>0</v>
      </c>
    </row>
    <row r="60" customFormat="false" ht="15" hidden="false" customHeight="false" outlineLevel="0" collapsed="false">
      <c r="A60" s="17" t="s">
        <v>15</v>
      </c>
      <c r="B60" s="17" t="s">
        <v>410</v>
      </c>
      <c r="C60" s="17" t="s">
        <v>411</v>
      </c>
      <c r="D60" s="17" t="s">
        <v>33</v>
      </c>
      <c r="E60" s="17" t="s">
        <v>300</v>
      </c>
      <c r="F60" s="17" t="s">
        <v>294</v>
      </c>
      <c r="G60" s="17" t="s">
        <v>99</v>
      </c>
      <c r="H60" s="23" t="s">
        <v>65</v>
      </c>
      <c r="I60" s="17" t="s">
        <v>65</v>
      </c>
      <c r="J60" s="17"/>
      <c r="K60" s="17" t="s">
        <v>59</v>
      </c>
      <c r="L60" s="20" t="n">
        <v>5</v>
      </c>
      <c r="M60" s="20" t="n">
        <v>1</v>
      </c>
      <c r="N60" s="22" t="n">
        <f aca="false">IFERROR(M60/L60,0)</f>
        <v>0.2</v>
      </c>
      <c r="O60" s="19" t="n">
        <v>0.99</v>
      </c>
      <c r="P60" s="9" t="n">
        <f aca="false">IFERROR(O60/M60,0)</f>
        <v>0.99</v>
      </c>
      <c r="Q60" s="20" t="n">
        <v>1</v>
      </c>
      <c r="R60" s="19" t="n">
        <v>67.99</v>
      </c>
      <c r="S60" s="8" t="n">
        <f aca="false">IFERROR(O60/R60,0)</f>
        <v>0.0145609648477717</v>
      </c>
      <c r="T60" s="8" t="n">
        <f aca="false">IFERROR(Q60/M60,0)</f>
        <v>1</v>
      </c>
    </row>
    <row r="61" customFormat="false" ht="15" hidden="false" customHeight="false" outlineLevel="0" collapsed="false">
      <c r="A61" s="17" t="s">
        <v>15</v>
      </c>
      <c r="B61" s="17" t="s">
        <v>412</v>
      </c>
      <c r="C61" s="17" t="s">
        <v>413</v>
      </c>
      <c r="D61" s="17" t="s">
        <v>28</v>
      </c>
      <c r="E61" s="17" t="s">
        <v>297</v>
      </c>
      <c r="F61" s="17" t="s">
        <v>28</v>
      </c>
      <c r="G61" s="17" t="s">
        <v>56</v>
      </c>
      <c r="H61" s="18" t="s">
        <v>59</v>
      </c>
      <c r="I61" s="17" t="s">
        <v>65</v>
      </c>
      <c r="J61" s="17"/>
      <c r="K61" s="17" t="s">
        <v>59</v>
      </c>
      <c r="L61" s="20" t="n">
        <v>84</v>
      </c>
      <c r="M61" s="20" t="n">
        <v>1</v>
      </c>
      <c r="N61" s="22" t="n">
        <f aca="false">IFERROR(M61/L61,0)</f>
        <v>0.0119047619047619</v>
      </c>
      <c r="O61" s="19" t="n">
        <v>0.83</v>
      </c>
      <c r="P61" s="9" t="n">
        <f aca="false">IFERROR(O61/M61,0)</f>
        <v>0.83</v>
      </c>
      <c r="Q61" s="20" t="n">
        <v>0</v>
      </c>
      <c r="R61" s="19" t="n">
        <v>0</v>
      </c>
      <c r="S61" s="8" t="n">
        <f aca="false">IFERROR(O61/R61,0)</f>
        <v>0</v>
      </c>
      <c r="T61" s="8" t="n">
        <f aca="false">IFERROR(Q61/M61,0)</f>
        <v>0</v>
      </c>
    </row>
    <row r="62" customFormat="false" ht="15" hidden="false" customHeight="false" outlineLevel="0" collapsed="false">
      <c r="A62" s="17" t="s">
        <v>15</v>
      </c>
      <c r="B62" s="17" t="s">
        <v>414</v>
      </c>
      <c r="C62" s="17" t="s">
        <v>415</v>
      </c>
      <c r="D62" s="17" t="s">
        <v>28</v>
      </c>
      <c r="E62" s="17" t="s">
        <v>293</v>
      </c>
      <c r="F62" s="17" t="s">
        <v>28</v>
      </c>
      <c r="G62" s="17" t="s">
        <v>56</v>
      </c>
      <c r="H62" s="18" t="s">
        <v>59</v>
      </c>
      <c r="I62" s="17" t="s">
        <v>65</v>
      </c>
      <c r="J62" s="17"/>
      <c r="K62" s="17" t="s">
        <v>59</v>
      </c>
      <c r="L62" s="20" t="n">
        <v>120</v>
      </c>
      <c r="M62" s="20" t="n">
        <v>1</v>
      </c>
      <c r="N62" s="22" t="n">
        <f aca="false">IFERROR(M62/L62,0)</f>
        <v>0.00833333333333333</v>
      </c>
      <c r="O62" s="19" t="n">
        <v>0.82</v>
      </c>
      <c r="P62" s="9" t="n">
        <f aca="false">IFERROR(O62/M62,0)</f>
        <v>0.82</v>
      </c>
      <c r="Q62" s="20" t="n">
        <v>0</v>
      </c>
      <c r="R62" s="19" t="n">
        <v>0</v>
      </c>
      <c r="S62" s="8" t="n">
        <f aca="false">IFERROR(O62/R62,0)</f>
        <v>0</v>
      </c>
      <c r="T62" s="8" t="n">
        <f aca="false">IFERROR(Q62/M62,0)</f>
        <v>0</v>
      </c>
    </row>
    <row r="63" customFormat="false" ht="15" hidden="false" customHeight="false" outlineLevel="0" collapsed="false">
      <c r="A63" s="17" t="s">
        <v>16</v>
      </c>
      <c r="B63" s="17" t="s">
        <v>286</v>
      </c>
      <c r="C63" s="17" t="s">
        <v>287</v>
      </c>
      <c r="D63" s="23" t="s">
        <v>32</v>
      </c>
      <c r="E63" s="17" t="s">
        <v>285</v>
      </c>
      <c r="F63" s="17" t="s">
        <v>288</v>
      </c>
      <c r="G63" s="17" t="s">
        <v>109</v>
      </c>
      <c r="H63" s="23" t="s">
        <v>65</v>
      </c>
      <c r="I63" s="17" t="s">
        <v>59</v>
      </c>
      <c r="J63" s="17" t="s">
        <v>15</v>
      </c>
      <c r="K63" s="17" t="s">
        <v>65</v>
      </c>
      <c r="L63" s="20" t="n">
        <v>17347</v>
      </c>
      <c r="M63" s="20" t="n">
        <v>90</v>
      </c>
      <c r="N63" s="22" t="n">
        <f aca="false">IFERROR(M63/L63,0)</f>
        <v>0.00518821698276359</v>
      </c>
      <c r="O63" s="19" t="n">
        <v>337.28</v>
      </c>
      <c r="P63" s="9" t="n">
        <f aca="false">IFERROR(O63/M63,0)</f>
        <v>3.74755555555556</v>
      </c>
      <c r="Q63" s="20" t="n">
        <v>11</v>
      </c>
      <c r="R63" s="19" t="n">
        <v>701.04</v>
      </c>
      <c r="S63" s="8" t="n">
        <f aca="false">IFERROR(O63/R63,0)</f>
        <v>0.481113773821751</v>
      </c>
      <c r="T63" s="8" t="n">
        <f aca="false">IFERROR(Q63/M63,0)</f>
        <v>0.122222222222222</v>
      </c>
    </row>
    <row r="64" customFormat="false" ht="15" hidden="false" customHeight="false" outlineLevel="0" collapsed="false">
      <c r="A64" s="17" t="s">
        <v>16</v>
      </c>
      <c r="B64" s="17" t="s">
        <v>416</v>
      </c>
      <c r="C64" s="17" t="s">
        <v>417</v>
      </c>
      <c r="D64" s="21" t="s">
        <v>34</v>
      </c>
      <c r="E64" s="17" t="s">
        <v>285</v>
      </c>
      <c r="F64" s="17"/>
      <c r="G64" s="17"/>
      <c r="H64" s="17"/>
      <c r="I64" s="17" t="s">
        <v>65</v>
      </c>
      <c r="J64" s="17"/>
      <c r="K64" s="17" t="s">
        <v>59</v>
      </c>
      <c r="L64" s="20" t="n">
        <v>36943</v>
      </c>
      <c r="M64" s="20" t="n">
        <v>190</v>
      </c>
      <c r="N64" s="22" t="n">
        <f aca="false">IFERROR(M64/L64,0)</f>
        <v>0.00514305822483285</v>
      </c>
      <c r="O64" s="19" t="n">
        <v>252.66</v>
      </c>
      <c r="P64" s="9" t="n">
        <f aca="false">IFERROR(O64/M64,0)</f>
        <v>1.32978947368421</v>
      </c>
      <c r="Q64" s="20" t="n">
        <v>22</v>
      </c>
      <c r="R64" s="19" t="n">
        <v>1418.79</v>
      </c>
      <c r="S64" s="8" t="n">
        <f aca="false">IFERROR(O64/R64,0)</f>
        <v>0.17808132281733</v>
      </c>
      <c r="T64" s="8" t="n">
        <f aca="false">IFERROR(Q64/M64,0)</f>
        <v>0.115789473684211</v>
      </c>
    </row>
    <row r="65" customFormat="false" ht="15" hidden="false" customHeight="false" outlineLevel="0" collapsed="false">
      <c r="A65" s="17" t="s">
        <v>16</v>
      </c>
      <c r="B65" s="17" t="s">
        <v>418</v>
      </c>
      <c r="C65" s="17" t="s">
        <v>419</v>
      </c>
      <c r="D65" s="17" t="s">
        <v>33</v>
      </c>
      <c r="E65" s="17" t="s">
        <v>300</v>
      </c>
      <c r="F65" s="17"/>
      <c r="G65" s="17" t="s">
        <v>420</v>
      </c>
      <c r="H65" s="18" t="s">
        <v>59</v>
      </c>
      <c r="I65" s="17" t="s">
        <v>65</v>
      </c>
      <c r="J65" s="17"/>
      <c r="K65" s="17" t="s">
        <v>59</v>
      </c>
      <c r="L65" s="20" t="n">
        <v>16384</v>
      </c>
      <c r="M65" s="20" t="n">
        <v>74</v>
      </c>
      <c r="N65" s="22" t="n">
        <f aca="false">IFERROR(M65/L65,0)</f>
        <v>0.0045166015625</v>
      </c>
      <c r="O65" s="19" t="n">
        <v>150.11</v>
      </c>
      <c r="P65" s="9" t="n">
        <f aca="false">IFERROR(O65/M65,0)</f>
        <v>2.02851351351351</v>
      </c>
      <c r="Q65" s="20" t="n">
        <v>10</v>
      </c>
      <c r="R65" s="19" t="n">
        <v>673.15</v>
      </c>
      <c r="S65" s="8" t="n">
        <f aca="false">IFERROR(O65/R65,0)</f>
        <v>0.222996360395157</v>
      </c>
      <c r="T65" s="8" t="n">
        <f aca="false">IFERROR(Q65/M65,0)</f>
        <v>0.135135135135135</v>
      </c>
    </row>
    <row r="66" customFormat="false" ht="15" hidden="false" customHeight="false" outlineLevel="0" collapsed="false">
      <c r="A66" s="17" t="s">
        <v>16</v>
      </c>
      <c r="B66" s="17" t="s">
        <v>421</v>
      </c>
      <c r="C66" s="17" t="s">
        <v>422</v>
      </c>
      <c r="D66" s="23" t="s">
        <v>32</v>
      </c>
      <c r="E66" s="17" t="s">
        <v>285</v>
      </c>
      <c r="F66" s="17" t="s">
        <v>288</v>
      </c>
      <c r="G66" s="17" t="s">
        <v>117</v>
      </c>
      <c r="H66" s="18" t="s">
        <v>59</v>
      </c>
      <c r="I66" s="17" t="s">
        <v>65</v>
      </c>
      <c r="J66" s="17"/>
      <c r="K66" s="17" t="s">
        <v>59</v>
      </c>
      <c r="L66" s="20" t="n">
        <v>5879</v>
      </c>
      <c r="M66" s="20" t="n">
        <v>20</v>
      </c>
      <c r="N66" s="22" t="n">
        <f aca="false">IFERROR(M66/L66,0)</f>
        <v>0.00340193910529002</v>
      </c>
      <c r="O66" s="19" t="n">
        <v>93.08</v>
      </c>
      <c r="P66" s="9" t="n">
        <f aca="false">IFERROR(O66/M66,0)</f>
        <v>4.654</v>
      </c>
      <c r="Q66" s="20" t="n">
        <v>1</v>
      </c>
      <c r="R66" s="19" t="n">
        <v>63.74</v>
      </c>
      <c r="S66" s="8" t="n">
        <f aca="false">IFERROR(O66/R66,0)</f>
        <v>1.46030749921556</v>
      </c>
      <c r="T66" s="8" t="n">
        <f aca="false">IFERROR(Q66/M66,0)</f>
        <v>0.05</v>
      </c>
    </row>
    <row r="67" customFormat="false" ht="15" hidden="false" customHeight="false" outlineLevel="0" collapsed="false">
      <c r="A67" s="17" t="s">
        <v>16</v>
      </c>
      <c r="B67" s="17" t="s">
        <v>423</v>
      </c>
      <c r="C67" s="17" t="s">
        <v>424</v>
      </c>
      <c r="D67" s="17" t="s">
        <v>28</v>
      </c>
      <c r="E67" s="17" t="s">
        <v>297</v>
      </c>
      <c r="F67" s="17" t="s">
        <v>28</v>
      </c>
      <c r="G67" s="17" t="s">
        <v>117</v>
      </c>
      <c r="H67" s="18" t="s">
        <v>59</v>
      </c>
      <c r="I67" s="17" t="s">
        <v>65</v>
      </c>
      <c r="J67" s="17"/>
      <c r="K67" s="17" t="s">
        <v>59</v>
      </c>
      <c r="L67" s="20" t="n">
        <v>3479</v>
      </c>
      <c r="M67" s="20" t="n">
        <v>24</v>
      </c>
      <c r="N67" s="22" t="n">
        <f aca="false">IFERROR(M67/L67,0)</f>
        <v>0.00689853406151193</v>
      </c>
      <c r="O67" s="19" t="n">
        <v>79.08</v>
      </c>
      <c r="P67" s="9" t="n">
        <f aca="false">IFERROR(O67/M67,0)</f>
        <v>3.295</v>
      </c>
      <c r="Q67" s="20" t="n">
        <v>3</v>
      </c>
      <c r="R67" s="19" t="n">
        <v>191.47</v>
      </c>
      <c r="S67" s="8" t="n">
        <f aca="false">IFERROR(O67/R67,0)</f>
        <v>0.413015093748368</v>
      </c>
      <c r="T67" s="8" t="n">
        <f aca="false">IFERROR(Q67/M67,0)</f>
        <v>0.125</v>
      </c>
    </row>
    <row r="68" customFormat="false" ht="15" hidden="false" customHeight="false" outlineLevel="0" collapsed="false">
      <c r="A68" s="17" t="s">
        <v>16</v>
      </c>
      <c r="B68" s="17" t="s">
        <v>425</v>
      </c>
      <c r="C68" s="17" t="s">
        <v>426</v>
      </c>
      <c r="D68" s="21" t="s">
        <v>34</v>
      </c>
      <c r="E68" s="17" t="s">
        <v>293</v>
      </c>
      <c r="F68" s="17"/>
      <c r="G68" s="17"/>
      <c r="H68" s="17"/>
      <c r="I68" s="17" t="s">
        <v>65</v>
      </c>
      <c r="J68" s="17"/>
      <c r="K68" s="17" t="s">
        <v>59</v>
      </c>
      <c r="L68" s="20" t="n">
        <v>19320</v>
      </c>
      <c r="M68" s="20" t="n">
        <v>50</v>
      </c>
      <c r="N68" s="22" t="n">
        <f aca="false">IFERROR(M68/L68,0)</f>
        <v>0.0025879917184265</v>
      </c>
      <c r="O68" s="19" t="n">
        <v>70.16</v>
      </c>
      <c r="P68" s="9" t="n">
        <f aca="false">IFERROR(O68/M68,0)</f>
        <v>1.4032</v>
      </c>
      <c r="Q68" s="20" t="n">
        <v>3</v>
      </c>
      <c r="R68" s="19" t="n">
        <v>193.57</v>
      </c>
      <c r="S68" s="8" t="n">
        <f aca="false">IFERROR(O68/R68,0)</f>
        <v>0.362452859430697</v>
      </c>
      <c r="T68" s="8" t="n">
        <f aca="false">IFERROR(Q68/M68,0)</f>
        <v>0.06</v>
      </c>
    </row>
    <row r="69" customFormat="false" ht="15" hidden="false" customHeight="false" outlineLevel="0" collapsed="false">
      <c r="A69" s="17" t="s">
        <v>16</v>
      </c>
      <c r="B69" s="17" t="s">
        <v>427</v>
      </c>
      <c r="C69" s="17" t="s">
        <v>428</v>
      </c>
      <c r="D69" s="17" t="s">
        <v>28</v>
      </c>
      <c r="E69" s="17" t="s">
        <v>297</v>
      </c>
      <c r="F69" s="17" t="s">
        <v>28</v>
      </c>
      <c r="G69" s="17" t="s">
        <v>114</v>
      </c>
      <c r="H69" s="18" t="s">
        <v>59</v>
      </c>
      <c r="I69" s="17" t="s">
        <v>65</v>
      </c>
      <c r="J69" s="17"/>
      <c r="K69" s="17" t="s">
        <v>59</v>
      </c>
      <c r="L69" s="20" t="n">
        <v>199</v>
      </c>
      <c r="M69" s="20" t="n">
        <v>8</v>
      </c>
      <c r="N69" s="22" t="n">
        <f aca="false">IFERROR(M69/L69,0)</f>
        <v>0.0402010050251256</v>
      </c>
      <c r="O69" s="19" t="n">
        <v>69.05</v>
      </c>
      <c r="P69" s="9" t="n">
        <f aca="false">IFERROR(O69/M69,0)</f>
        <v>8.63125</v>
      </c>
      <c r="Q69" s="20" t="n">
        <v>0</v>
      </c>
      <c r="R69" s="19" t="n">
        <v>0</v>
      </c>
      <c r="S69" s="8" t="n">
        <f aca="false">IFERROR(O69/R69,0)</f>
        <v>0</v>
      </c>
      <c r="T69" s="8" t="n">
        <f aca="false">IFERROR(Q69/M69,0)</f>
        <v>0</v>
      </c>
    </row>
    <row r="70" customFormat="false" ht="15" hidden="false" customHeight="false" outlineLevel="0" collapsed="false">
      <c r="A70" s="17" t="s">
        <v>16</v>
      </c>
      <c r="B70" s="17" t="s">
        <v>429</v>
      </c>
      <c r="C70" s="17" t="s">
        <v>430</v>
      </c>
      <c r="D70" s="17" t="s">
        <v>28</v>
      </c>
      <c r="E70" s="17" t="s">
        <v>297</v>
      </c>
      <c r="F70" s="17" t="s">
        <v>28</v>
      </c>
      <c r="G70" s="17" t="s">
        <v>114</v>
      </c>
      <c r="H70" s="18" t="s">
        <v>59</v>
      </c>
      <c r="I70" s="17" t="s">
        <v>65</v>
      </c>
      <c r="J70" s="17"/>
      <c r="K70" s="17" t="s">
        <v>59</v>
      </c>
      <c r="L70" s="20" t="n">
        <v>112</v>
      </c>
      <c r="M70" s="20" t="n">
        <v>7</v>
      </c>
      <c r="N70" s="22" t="n">
        <f aca="false">IFERROR(M70/L70,0)</f>
        <v>0.0625</v>
      </c>
      <c r="O70" s="19" t="n">
        <v>57.61</v>
      </c>
      <c r="P70" s="9" t="n">
        <f aca="false">IFERROR(O70/M70,0)</f>
        <v>8.23</v>
      </c>
      <c r="Q70" s="20" t="n">
        <v>2</v>
      </c>
      <c r="R70" s="19" t="n">
        <v>136.78</v>
      </c>
      <c r="S70" s="8" t="n">
        <f aca="false">IFERROR(O70/R70,0)</f>
        <v>0.421187308085978</v>
      </c>
      <c r="T70" s="8" t="n">
        <f aca="false">IFERROR(Q70/M70,0)</f>
        <v>0.285714285714286</v>
      </c>
    </row>
    <row r="71" customFormat="false" ht="15" hidden="false" customHeight="false" outlineLevel="0" collapsed="false">
      <c r="A71" s="17" t="s">
        <v>16</v>
      </c>
      <c r="B71" s="17" t="s">
        <v>307</v>
      </c>
      <c r="C71" s="17" t="s">
        <v>308</v>
      </c>
      <c r="D71" s="17" t="s">
        <v>33</v>
      </c>
      <c r="E71" s="17" t="s">
        <v>300</v>
      </c>
      <c r="F71" s="17" t="s">
        <v>294</v>
      </c>
      <c r="G71" s="17"/>
      <c r="H71" s="17"/>
      <c r="I71" s="17" t="s">
        <v>59</v>
      </c>
      <c r="J71" s="17" t="s">
        <v>431</v>
      </c>
      <c r="K71" s="17" t="s">
        <v>65</v>
      </c>
      <c r="L71" s="20" t="n">
        <v>10572</v>
      </c>
      <c r="M71" s="20" t="n">
        <v>64</v>
      </c>
      <c r="N71" s="22" t="n">
        <f aca="false">IFERROR(M71/L71,0)</f>
        <v>0.006053726825577</v>
      </c>
      <c r="O71" s="19" t="n">
        <v>47.6</v>
      </c>
      <c r="P71" s="9" t="n">
        <f aca="false">IFERROR(O71/M71,0)</f>
        <v>0.74375</v>
      </c>
      <c r="Q71" s="20" t="n">
        <v>10</v>
      </c>
      <c r="R71" s="19" t="n">
        <v>453.42</v>
      </c>
      <c r="S71" s="8" t="n">
        <f aca="false">IFERROR(O71/R71,0)</f>
        <v>0.104979930307441</v>
      </c>
      <c r="T71" s="8" t="n">
        <f aca="false">IFERROR(Q71/M71,0)</f>
        <v>0.15625</v>
      </c>
    </row>
    <row r="72" customFormat="false" ht="15" hidden="false" customHeight="false" outlineLevel="0" collapsed="false">
      <c r="A72" s="17" t="s">
        <v>16</v>
      </c>
      <c r="B72" s="17" t="s">
        <v>432</v>
      </c>
      <c r="C72" s="17" t="s">
        <v>433</v>
      </c>
      <c r="D72" s="17" t="s">
        <v>28</v>
      </c>
      <c r="E72" s="17" t="s">
        <v>297</v>
      </c>
      <c r="F72" s="17" t="s">
        <v>28</v>
      </c>
      <c r="G72" s="17" t="s">
        <v>114</v>
      </c>
      <c r="H72" s="18" t="s">
        <v>59</v>
      </c>
      <c r="I72" s="17" t="s">
        <v>65</v>
      </c>
      <c r="J72" s="17"/>
      <c r="K72" s="17" t="s">
        <v>59</v>
      </c>
      <c r="L72" s="20" t="n">
        <v>310</v>
      </c>
      <c r="M72" s="20" t="n">
        <v>8</v>
      </c>
      <c r="N72" s="22" t="n">
        <f aca="false">IFERROR(M72/L72,0)</f>
        <v>0.0258064516129032</v>
      </c>
      <c r="O72" s="19" t="n">
        <v>40.24</v>
      </c>
      <c r="P72" s="9" t="n">
        <f aca="false">IFERROR(O72/M72,0)</f>
        <v>5.03</v>
      </c>
      <c r="Q72" s="20" t="n">
        <v>3</v>
      </c>
      <c r="R72" s="19" t="n">
        <v>193.32</v>
      </c>
      <c r="S72" s="8" t="n">
        <f aca="false">IFERROR(O72/R72,0)</f>
        <v>0.208152286364577</v>
      </c>
      <c r="T72" s="8" t="n">
        <f aca="false">IFERROR(Q72/M72,0)</f>
        <v>0.375</v>
      </c>
    </row>
    <row r="73" customFormat="false" ht="15" hidden="false" customHeight="false" outlineLevel="0" collapsed="false">
      <c r="A73" s="17" t="s">
        <v>16</v>
      </c>
      <c r="B73" s="17" t="s">
        <v>434</v>
      </c>
      <c r="C73" s="17" t="s">
        <v>435</v>
      </c>
      <c r="D73" s="17" t="s">
        <v>28</v>
      </c>
      <c r="E73" s="17" t="s">
        <v>297</v>
      </c>
      <c r="F73" s="17" t="s">
        <v>28</v>
      </c>
      <c r="G73" s="17" t="s">
        <v>114</v>
      </c>
      <c r="H73" s="18" t="s">
        <v>59</v>
      </c>
      <c r="I73" s="17" t="s">
        <v>65</v>
      </c>
      <c r="J73" s="17"/>
      <c r="K73" s="17" t="s">
        <v>59</v>
      </c>
      <c r="L73" s="20" t="n">
        <v>136</v>
      </c>
      <c r="M73" s="20" t="n">
        <v>5</v>
      </c>
      <c r="N73" s="22" t="n">
        <f aca="false">IFERROR(M73/L73,0)</f>
        <v>0.0367647058823529</v>
      </c>
      <c r="O73" s="19" t="n">
        <v>38.98</v>
      </c>
      <c r="P73" s="9" t="n">
        <f aca="false">IFERROR(O73/M73,0)</f>
        <v>7.796</v>
      </c>
      <c r="Q73" s="20" t="n">
        <v>0</v>
      </c>
      <c r="R73" s="19" t="n">
        <v>0</v>
      </c>
      <c r="S73" s="8" t="n">
        <f aca="false">IFERROR(O73/R73,0)</f>
        <v>0</v>
      </c>
      <c r="T73" s="8" t="n">
        <f aca="false">IFERROR(Q73/M73,0)</f>
        <v>0</v>
      </c>
    </row>
    <row r="74" customFormat="false" ht="15" hidden="false" customHeight="false" outlineLevel="0" collapsed="false">
      <c r="A74" s="17" t="s">
        <v>16</v>
      </c>
      <c r="B74" s="17" t="s">
        <v>312</v>
      </c>
      <c r="C74" s="17" t="s">
        <v>313</v>
      </c>
      <c r="D74" s="21" t="s">
        <v>34</v>
      </c>
      <c r="E74" s="17" t="s">
        <v>285</v>
      </c>
      <c r="F74" s="17" t="s">
        <v>314</v>
      </c>
      <c r="G74" s="17"/>
      <c r="H74" s="17"/>
      <c r="I74" s="17" t="s">
        <v>59</v>
      </c>
      <c r="J74" s="17" t="s">
        <v>15</v>
      </c>
      <c r="K74" s="17" t="s">
        <v>65</v>
      </c>
      <c r="L74" s="20" t="n">
        <v>2304</v>
      </c>
      <c r="M74" s="20" t="n">
        <v>16</v>
      </c>
      <c r="N74" s="22" t="n">
        <f aca="false">IFERROR(M74/L74,0)</f>
        <v>0.00694444444444444</v>
      </c>
      <c r="O74" s="19" t="n">
        <v>38.42</v>
      </c>
      <c r="P74" s="9" t="n">
        <f aca="false">IFERROR(O74/M74,0)</f>
        <v>2.40125</v>
      </c>
      <c r="Q74" s="20" t="n">
        <v>0</v>
      </c>
      <c r="R74" s="19" t="n">
        <v>0</v>
      </c>
      <c r="S74" s="8" t="n">
        <f aca="false">IFERROR(O74/R74,0)</f>
        <v>0</v>
      </c>
      <c r="T74" s="8" t="n">
        <f aca="false">IFERROR(Q74/M74,0)</f>
        <v>0</v>
      </c>
    </row>
    <row r="75" customFormat="false" ht="15" hidden="false" customHeight="false" outlineLevel="0" collapsed="false">
      <c r="A75" s="17" t="s">
        <v>16</v>
      </c>
      <c r="B75" s="17" t="s">
        <v>436</v>
      </c>
      <c r="C75" s="17" t="s">
        <v>437</v>
      </c>
      <c r="D75" s="17" t="s">
        <v>28</v>
      </c>
      <c r="E75" s="17" t="s">
        <v>297</v>
      </c>
      <c r="F75" s="17" t="s">
        <v>28</v>
      </c>
      <c r="G75" s="17" t="s">
        <v>114</v>
      </c>
      <c r="H75" s="18" t="s">
        <v>59</v>
      </c>
      <c r="I75" s="17" t="s">
        <v>65</v>
      </c>
      <c r="J75" s="17"/>
      <c r="K75" s="17" t="s">
        <v>59</v>
      </c>
      <c r="L75" s="20" t="n">
        <v>135</v>
      </c>
      <c r="M75" s="20" t="n">
        <v>4</v>
      </c>
      <c r="N75" s="22" t="n">
        <f aca="false">IFERROR(M75/L75,0)</f>
        <v>0.0296296296296296</v>
      </c>
      <c r="O75" s="19" t="n">
        <v>33.76</v>
      </c>
      <c r="P75" s="9" t="n">
        <f aca="false">IFERROR(O75/M75,0)</f>
        <v>8.44</v>
      </c>
      <c r="Q75" s="20" t="n">
        <v>1</v>
      </c>
      <c r="R75" s="19" t="n">
        <v>68.39</v>
      </c>
      <c r="S75" s="8" t="n">
        <f aca="false">IFERROR(O75/R75,0)</f>
        <v>0.493639420967978</v>
      </c>
      <c r="T75" s="8" t="n">
        <f aca="false">IFERROR(Q75/M75,0)</f>
        <v>0.25</v>
      </c>
    </row>
    <row r="76" customFormat="false" ht="15" hidden="false" customHeight="false" outlineLevel="0" collapsed="false">
      <c r="A76" s="17" t="s">
        <v>16</v>
      </c>
      <c r="B76" s="17" t="s">
        <v>438</v>
      </c>
      <c r="C76" s="17" t="s">
        <v>439</v>
      </c>
      <c r="D76" s="17" t="s">
        <v>28</v>
      </c>
      <c r="E76" s="17" t="s">
        <v>297</v>
      </c>
      <c r="F76" s="17" t="s">
        <v>28</v>
      </c>
      <c r="G76" s="17" t="s">
        <v>114</v>
      </c>
      <c r="H76" s="18" t="s">
        <v>59</v>
      </c>
      <c r="I76" s="17" t="s">
        <v>65</v>
      </c>
      <c r="J76" s="17"/>
      <c r="K76" s="17" t="s">
        <v>59</v>
      </c>
      <c r="L76" s="20" t="n">
        <v>1413</v>
      </c>
      <c r="M76" s="20" t="n">
        <v>11</v>
      </c>
      <c r="N76" s="22" t="n">
        <f aca="false">IFERROR(M76/L76,0)</f>
        <v>0.00778485491861288</v>
      </c>
      <c r="O76" s="19" t="n">
        <v>33.09</v>
      </c>
      <c r="P76" s="9" t="n">
        <f aca="false">IFERROR(O76/M76,0)</f>
        <v>3.00818181818182</v>
      </c>
      <c r="Q76" s="20" t="n">
        <v>3</v>
      </c>
      <c r="R76" s="19" t="n">
        <v>226.77</v>
      </c>
      <c r="S76" s="8" t="n">
        <f aca="false">IFERROR(O76/R76,0)</f>
        <v>0.145918772324382</v>
      </c>
      <c r="T76" s="8" t="n">
        <f aca="false">IFERROR(Q76/M76,0)</f>
        <v>0.272727272727273</v>
      </c>
    </row>
    <row r="77" customFormat="false" ht="15" hidden="false" customHeight="false" outlineLevel="0" collapsed="false">
      <c r="A77" s="17" t="s">
        <v>16</v>
      </c>
      <c r="B77" s="17" t="s">
        <v>440</v>
      </c>
      <c r="C77" s="17" t="s">
        <v>441</v>
      </c>
      <c r="D77" s="23" t="s">
        <v>32</v>
      </c>
      <c r="E77" s="17" t="s">
        <v>285</v>
      </c>
      <c r="F77" s="17" t="s">
        <v>288</v>
      </c>
      <c r="G77" s="17" t="s">
        <v>209</v>
      </c>
      <c r="H77" s="23" t="s">
        <v>65</v>
      </c>
      <c r="I77" s="17" t="s">
        <v>65</v>
      </c>
      <c r="J77" s="17"/>
      <c r="K77" s="17" t="s">
        <v>59</v>
      </c>
      <c r="L77" s="20" t="n">
        <v>6290</v>
      </c>
      <c r="M77" s="20" t="n">
        <v>20</v>
      </c>
      <c r="N77" s="22" t="n">
        <f aca="false">IFERROR(M77/L77,0)</f>
        <v>0.00317965023847377</v>
      </c>
      <c r="O77" s="19" t="n">
        <v>30.6</v>
      </c>
      <c r="P77" s="9" t="n">
        <f aca="false">IFERROR(O77/M77,0)</f>
        <v>1.53</v>
      </c>
      <c r="Q77" s="20" t="n">
        <v>3</v>
      </c>
      <c r="R77" s="19" t="n">
        <v>205.17</v>
      </c>
      <c r="S77" s="8" t="n">
        <f aca="false">IFERROR(O77/R77,0)</f>
        <v>0.149144611785349</v>
      </c>
      <c r="T77" s="8" t="n">
        <f aca="false">IFERROR(Q77/M77,0)</f>
        <v>0.15</v>
      </c>
    </row>
    <row r="78" customFormat="false" ht="15" hidden="false" customHeight="false" outlineLevel="0" collapsed="false">
      <c r="A78" s="17" t="s">
        <v>16</v>
      </c>
      <c r="B78" s="17" t="s">
        <v>442</v>
      </c>
      <c r="C78" s="17" t="s">
        <v>443</v>
      </c>
      <c r="D78" s="17" t="s">
        <v>33</v>
      </c>
      <c r="E78" s="17" t="s">
        <v>300</v>
      </c>
      <c r="F78" s="17" t="s">
        <v>301</v>
      </c>
      <c r="G78" s="17" t="s">
        <v>444</v>
      </c>
      <c r="H78" s="18" t="s">
        <v>59</v>
      </c>
      <c r="I78" s="17" t="s">
        <v>65</v>
      </c>
      <c r="J78" s="17"/>
      <c r="K78" s="17" t="s">
        <v>59</v>
      </c>
      <c r="L78" s="20" t="n">
        <v>2478</v>
      </c>
      <c r="M78" s="20" t="n">
        <v>13</v>
      </c>
      <c r="N78" s="22" t="n">
        <f aca="false">IFERROR(M78/L78,0)</f>
        <v>0.00524616626311542</v>
      </c>
      <c r="O78" s="19" t="n">
        <v>24.38</v>
      </c>
      <c r="P78" s="9" t="n">
        <f aca="false">IFERROR(O78/M78,0)</f>
        <v>1.87538461538462</v>
      </c>
      <c r="Q78" s="20" t="n">
        <v>1</v>
      </c>
      <c r="R78" s="19" t="n">
        <v>63.74</v>
      </c>
      <c r="S78" s="8" t="n">
        <f aca="false">IFERROR(O78/R78,0)</f>
        <v>0.382491371195482</v>
      </c>
      <c r="T78" s="8" t="n">
        <f aca="false">IFERROR(Q78/M78,0)</f>
        <v>0.0769230769230769</v>
      </c>
    </row>
    <row r="79" customFormat="false" ht="15" hidden="false" customHeight="false" outlineLevel="0" collapsed="false">
      <c r="A79" s="17" t="s">
        <v>16</v>
      </c>
      <c r="B79" s="17" t="s">
        <v>445</v>
      </c>
      <c r="C79" s="17" t="s">
        <v>446</v>
      </c>
      <c r="D79" s="17" t="s">
        <v>28</v>
      </c>
      <c r="E79" s="17" t="s">
        <v>297</v>
      </c>
      <c r="F79" s="17" t="s">
        <v>28</v>
      </c>
      <c r="G79" s="17" t="s">
        <v>114</v>
      </c>
      <c r="H79" s="18" t="s">
        <v>59</v>
      </c>
      <c r="I79" s="17" t="s">
        <v>65</v>
      </c>
      <c r="J79" s="17"/>
      <c r="K79" s="17" t="s">
        <v>59</v>
      </c>
      <c r="L79" s="20" t="n">
        <v>558</v>
      </c>
      <c r="M79" s="20" t="n">
        <v>4</v>
      </c>
      <c r="N79" s="22" t="n">
        <f aca="false">IFERROR(M79/L79,0)</f>
        <v>0.00716845878136201</v>
      </c>
      <c r="O79" s="19" t="n">
        <v>21.94</v>
      </c>
      <c r="P79" s="9" t="n">
        <f aca="false">IFERROR(O79/M79,0)</f>
        <v>5.485</v>
      </c>
      <c r="Q79" s="20" t="n">
        <v>1</v>
      </c>
      <c r="R79" s="19" t="n">
        <v>63.74</v>
      </c>
      <c r="S79" s="8" t="n">
        <f aca="false">IFERROR(O79/R79,0)</f>
        <v>0.344210856604958</v>
      </c>
      <c r="T79" s="8" t="n">
        <f aca="false">IFERROR(Q79/M79,0)</f>
        <v>0.25</v>
      </c>
    </row>
    <row r="80" customFormat="false" ht="15" hidden="false" customHeight="false" outlineLevel="0" collapsed="false">
      <c r="A80" s="17" t="s">
        <v>16</v>
      </c>
      <c r="B80" s="17" t="s">
        <v>447</v>
      </c>
      <c r="C80" s="17" t="s">
        <v>448</v>
      </c>
      <c r="D80" s="17" t="s">
        <v>28</v>
      </c>
      <c r="E80" s="17" t="s">
        <v>297</v>
      </c>
      <c r="F80" s="17" t="s">
        <v>28</v>
      </c>
      <c r="G80" s="17" t="s">
        <v>114</v>
      </c>
      <c r="H80" s="18" t="s">
        <v>59</v>
      </c>
      <c r="I80" s="17" t="s">
        <v>65</v>
      </c>
      <c r="J80" s="17"/>
      <c r="K80" s="17" t="s">
        <v>59</v>
      </c>
      <c r="L80" s="20" t="n">
        <v>336</v>
      </c>
      <c r="M80" s="20" t="n">
        <v>3</v>
      </c>
      <c r="N80" s="22" t="n">
        <f aca="false">IFERROR(M80/L80,0)</f>
        <v>0.00892857142857143</v>
      </c>
      <c r="O80" s="19" t="n">
        <v>19.27</v>
      </c>
      <c r="P80" s="9" t="n">
        <f aca="false">IFERROR(O80/M80,0)</f>
        <v>6.42333333333333</v>
      </c>
      <c r="Q80" s="20" t="n">
        <v>0</v>
      </c>
      <c r="R80" s="19" t="n">
        <v>0</v>
      </c>
      <c r="S80" s="8" t="n">
        <f aca="false">IFERROR(O80/R80,0)</f>
        <v>0</v>
      </c>
      <c r="T80" s="8" t="n">
        <f aca="false">IFERROR(Q80/M80,0)</f>
        <v>0</v>
      </c>
    </row>
    <row r="81" customFormat="false" ht="15" hidden="false" customHeight="false" outlineLevel="0" collapsed="false">
      <c r="A81" s="17" t="s">
        <v>16</v>
      </c>
      <c r="B81" s="17" t="s">
        <v>449</v>
      </c>
      <c r="C81" s="17" t="s">
        <v>450</v>
      </c>
      <c r="D81" s="17" t="s">
        <v>28</v>
      </c>
      <c r="E81" s="17" t="s">
        <v>297</v>
      </c>
      <c r="F81" s="17" t="s">
        <v>28</v>
      </c>
      <c r="G81" s="17" t="s">
        <v>114</v>
      </c>
      <c r="H81" s="18" t="s">
        <v>59</v>
      </c>
      <c r="I81" s="17" t="s">
        <v>65</v>
      </c>
      <c r="J81" s="17"/>
      <c r="K81" s="17" t="s">
        <v>59</v>
      </c>
      <c r="L81" s="20" t="n">
        <v>24</v>
      </c>
      <c r="M81" s="20" t="n">
        <v>2</v>
      </c>
      <c r="N81" s="22" t="n">
        <f aca="false">IFERROR(M81/L81,0)</f>
        <v>0.0833333333333333</v>
      </c>
      <c r="O81" s="19" t="n">
        <v>18.2</v>
      </c>
      <c r="P81" s="9" t="n">
        <f aca="false">IFERROR(O81/M81,0)</f>
        <v>9.1</v>
      </c>
      <c r="Q81" s="20" t="n">
        <v>1</v>
      </c>
      <c r="R81" s="19" t="n">
        <v>68.39</v>
      </c>
      <c r="S81" s="8" t="n">
        <f aca="false">IFERROR(O81/R81,0)</f>
        <v>0.266120777891505</v>
      </c>
      <c r="T81" s="8" t="n">
        <f aca="false">IFERROR(Q81/M81,0)</f>
        <v>0.5</v>
      </c>
    </row>
    <row r="82" customFormat="false" ht="15" hidden="false" customHeight="false" outlineLevel="0" collapsed="false">
      <c r="A82" s="17" t="s">
        <v>16</v>
      </c>
      <c r="B82" s="17" t="s">
        <v>451</v>
      </c>
      <c r="C82" s="17" t="s">
        <v>452</v>
      </c>
      <c r="D82" s="17" t="s">
        <v>28</v>
      </c>
      <c r="E82" s="17" t="s">
        <v>297</v>
      </c>
      <c r="F82" s="17" t="s">
        <v>28</v>
      </c>
      <c r="G82" s="17" t="s">
        <v>114</v>
      </c>
      <c r="H82" s="18" t="s">
        <v>59</v>
      </c>
      <c r="I82" s="17" t="s">
        <v>65</v>
      </c>
      <c r="J82" s="17"/>
      <c r="K82" s="17" t="s">
        <v>59</v>
      </c>
      <c r="L82" s="20" t="n">
        <v>38</v>
      </c>
      <c r="M82" s="20" t="n">
        <v>3</v>
      </c>
      <c r="N82" s="22" t="n">
        <f aca="false">IFERROR(M82/L82,0)</f>
        <v>0.0789473684210526</v>
      </c>
      <c r="O82" s="19" t="n">
        <v>18.05</v>
      </c>
      <c r="P82" s="9" t="n">
        <f aca="false">IFERROR(O82/M82,0)</f>
        <v>6.01666666666667</v>
      </c>
      <c r="Q82" s="20" t="n">
        <v>0</v>
      </c>
      <c r="R82" s="19" t="n">
        <v>0</v>
      </c>
      <c r="S82" s="8" t="n">
        <f aca="false">IFERROR(O82/R82,0)</f>
        <v>0</v>
      </c>
      <c r="T82" s="8" t="n">
        <f aca="false">IFERROR(Q82/M82,0)</f>
        <v>0</v>
      </c>
    </row>
    <row r="83" customFormat="false" ht="15" hidden="false" customHeight="false" outlineLevel="0" collapsed="false">
      <c r="A83" s="17" t="s">
        <v>16</v>
      </c>
      <c r="B83" s="17" t="s">
        <v>453</v>
      </c>
      <c r="C83" s="17" t="s">
        <v>454</v>
      </c>
      <c r="D83" s="17" t="s">
        <v>33</v>
      </c>
      <c r="E83" s="17" t="s">
        <v>300</v>
      </c>
      <c r="F83" s="17" t="s">
        <v>301</v>
      </c>
      <c r="G83" s="17" t="s">
        <v>114</v>
      </c>
      <c r="H83" s="18" t="s">
        <v>59</v>
      </c>
      <c r="I83" s="17" t="s">
        <v>65</v>
      </c>
      <c r="J83" s="17"/>
      <c r="K83" s="17" t="s">
        <v>59</v>
      </c>
      <c r="L83" s="20" t="n">
        <v>2481</v>
      </c>
      <c r="M83" s="20" t="n">
        <v>8</v>
      </c>
      <c r="N83" s="22" t="n">
        <f aca="false">IFERROR(M83/L83,0)</f>
        <v>0.00322450624748085</v>
      </c>
      <c r="O83" s="19" t="n">
        <v>15.3</v>
      </c>
      <c r="P83" s="9" t="n">
        <f aca="false">IFERROR(O83/M83,0)</f>
        <v>1.9125</v>
      </c>
      <c r="Q83" s="20" t="n">
        <v>0</v>
      </c>
      <c r="R83" s="19" t="n">
        <v>0</v>
      </c>
      <c r="S83" s="8" t="n">
        <f aca="false">IFERROR(O83/R83,0)</f>
        <v>0</v>
      </c>
      <c r="T83" s="8" t="n">
        <f aca="false">IFERROR(Q83/M83,0)</f>
        <v>0</v>
      </c>
    </row>
    <row r="84" customFormat="false" ht="15" hidden="false" customHeight="false" outlineLevel="0" collapsed="false">
      <c r="A84" s="17" t="s">
        <v>16</v>
      </c>
      <c r="B84" s="17" t="s">
        <v>455</v>
      </c>
      <c r="C84" s="17" t="s">
        <v>456</v>
      </c>
      <c r="D84" s="17" t="s">
        <v>28</v>
      </c>
      <c r="E84" s="17" t="s">
        <v>297</v>
      </c>
      <c r="F84" s="17" t="s">
        <v>28</v>
      </c>
      <c r="G84" s="17" t="s">
        <v>114</v>
      </c>
      <c r="H84" s="18" t="s">
        <v>59</v>
      </c>
      <c r="I84" s="17" t="s">
        <v>65</v>
      </c>
      <c r="J84" s="17"/>
      <c r="K84" s="17" t="s">
        <v>59</v>
      </c>
      <c r="L84" s="20" t="n">
        <v>26</v>
      </c>
      <c r="M84" s="20" t="n">
        <v>2</v>
      </c>
      <c r="N84" s="22" t="n">
        <f aca="false">IFERROR(M84/L84,0)</f>
        <v>0.0769230769230769</v>
      </c>
      <c r="O84" s="19" t="n">
        <v>14.64</v>
      </c>
      <c r="P84" s="9" t="n">
        <f aca="false">IFERROR(O84/M84,0)</f>
        <v>7.32</v>
      </c>
      <c r="Q84" s="20" t="n">
        <v>1</v>
      </c>
      <c r="R84" s="19" t="n">
        <v>68.39</v>
      </c>
      <c r="S84" s="8" t="n">
        <f aca="false">IFERROR(O84/R84,0)</f>
        <v>0.214066383974265</v>
      </c>
      <c r="T84" s="8" t="n">
        <f aca="false">IFERROR(Q84/M84,0)</f>
        <v>0.5</v>
      </c>
    </row>
    <row r="85" customFormat="false" ht="15" hidden="false" customHeight="false" outlineLevel="0" collapsed="false">
      <c r="A85" s="17" t="s">
        <v>16</v>
      </c>
      <c r="B85" s="17" t="s">
        <v>457</v>
      </c>
      <c r="C85" s="17" t="s">
        <v>458</v>
      </c>
      <c r="D85" s="17" t="s">
        <v>28</v>
      </c>
      <c r="E85" s="17" t="s">
        <v>297</v>
      </c>
      <c r="F85" s="17" t="s">
        <v>28</v>
      </c>
      <c r="G85" s="17" t="s">
        <v>114</v>
      </c>
      <c r="H85" s="18" t="s">
        <v>59</v>
      </c>
      <c r="I85" s="17" t="s">
        <v>65</v>
      </c>
      <c r="J85" s="17"/>
      <c r="K85" s="17" t="s">
        <v>59</v>
      </c>
      <c r="L85" s="20" t="n">
        <v>76</v>
      </c>
      <c r="M85" s="20" t="n">
        <v>3</v>
      </c>
      <c r="N85" s="22" t="n">
        <f aca="false">IFERROR(M85/L85,0)</f>
        <v>0.0394736842105263</v>
      </c>
      <c r="O85" s="19" t="n">
        <v>14.4</v>
      </c>
      <c r="P85" s="9" t="n">
        <f aca="false">IFERROR(O85/M85,0)</f>
        <v>4.8</v>
      </c>
      <c r="Q85" s="20" t="n">
        <v>1</v>
      </c>
      <c r="R85" s="19" t="n">
        <v>68.39</v>
      </c>
      <c r="S85" s="8" t="n">
        <f aca="false">IFERROR(O85/R85,0)</f>
        <v>0.210557098991081</v>
      </c>
      <c r="T85" s="8" t="n">
        <f aca="false">IFERROR(Q85/M85,0)</f>
        <v>0.333333333333333</v>
      </c>
    </row>
    <row r="86" customFormat="false" ht="15" hidden="false" customHeight="false" outlineLevel="0" collapsed="false">
      <c r="A86" s="17" t="s">
        <v>16</v>
      </c>
      <c r="B86" s="17" t="s">
        <v>459</v>
      </c>
      <c r="C86" s="17" t="s">
        <v>460</v>
      </c>
      <c r="D86" s="17" t="s">
        <v>28</v>
      </c>
      <c r="E86" s="17" t="s">
        <v>297</v>
      </c>
      <c r="F86" s="17" t="s">
        <v>28</v>
      </c>
      <c r="G86" s="17" t="s">
        <v>114</v>
      </c>
      <c r="H86" s="18" t="s">
        <v>59</v>
      </c>
      <c r="I86" s="17" t="s">
        <v>65</v>
      </c>
      <c r="J86" s="17"/>
      <c r="K86" s="17" t="s">
        <v>59</v>
      </c>
      <c r="L86" s="20" t="n">
        <v>44</v>
      </c>
      <c r="M86" s="20" t="n">
        <v>3</v>
      </c>
      <c r="N86" s="22" t="n">
        <f aca="false">IFERROR(M86/L86,0)</f>
        <v>0.0681818181818182</v>
      </c>
      <c r="O86" s="19" t="n">
        <v>14.24</v>
      </c>
      <c r="P86" s="9" t="n">
        <f aca="false">IFERROR(O86/M86,0)</f>
        <v>4.74666666666667</v>
      </c>
      <c r="Q86" s="20" t="n">
        <v>2</v>
      </c>
      <c r="R86" s="19" t="n">
        <v>158.38</v>
      </c>
      <c r="S86" s="8" t="n">
        <f aca="false">IFERROR(O86/R86,0)</f>
        <v>0.0899103422149261</v>
      </c>
      <c r="T86" s="8" t="n">
        <f aca="false">IFERROR(Q86/M86,0)</f>
        <v>0.666666666666667</v>
      </c>
    </row>
    <row r="87" customFormat="false" ht="15" hidden="false" customHeight="false" outlineLevel="0" collapsed="false">
      <c r="A87" s="17" t="s">
        <v>16</v>
      </c>
      <c r="B87" s="17" t="s">
        <v>461</v>
      </c>
      <c r="C87" s="17" t="s">
        <v>462</v>
      </c>
      <c r="D87" s="17" t="s">
        <v>28</v>
      </c>
      <c r="E87" s="17" t="s">
        <v>297</v>
      </c>
      <c r="F87" s="17" t="s">
        <v>28</v>
      </c>
      <c r="G87" s="17" t="s">
        <v>114</v>
      </c>
      <c r="H87" s="18" t="s">
        <v>59</v>
      </c>
      <c r="I87" s="17" t="s">
        <v>65</v>
      </c>
      <c r="J87" s="17"/>
      <c r="K87" s="17" t="s">
        <v>59</v>
      </c>
      <c r="L87" s="20" t="n">
        <v>106</v>
      </c>
      <c r="M87" s="20" t="n">
        <v>2</v>
      </c>
      <c r="N87" s="22" t="n">
        <f aca="false">IFERROR(M87/L87,0)</f>
        <v>0.0188679245283019</v>
      </c>
      <c r="O87" s="19" t="n">
        <v>14.12</v>
      </c>
      <c r="P87" s="9" t="n">
        <f aca="false">IFERROR(O87/M87,0)</f>
        <v>7.06</v>
      </c>
      <c r="Q87" s="20" t="n">
        <v>0</v>
      </c>
      <c r="R87" s="19" t="n">
        <v>0</v>
      </c>
      <c r="S87" s="8" t="n">
        <f aca="false">IFERROR(O87/R87,0)</f>
        <v>0</v>
      </c>
      <c r="T87" s="8" t="n">
        <f aca="false">IFERROR(Q87/M87,0)</f>
        <v>0</v>
      </c>
    </row>
    <row r="88" customFormat="false" ht="15" hidden="false" customHeight="false" outlineLevel="0" collapsed="false">
      <c r="A88" s="17" t="s">
        <v>16</v>
      </c>
      <c r="B88" s="17" t="s">
        <v>344</v>
      </c>
      <c r="C88" s="17" t="s">
        <v>345</v>
      </c>
      <c r="D88" s="21" t="s">
        <v>34</v>
      </c>
      <c r="E88" s="17" t="s">
        <v>285</v>
      </c>
      <c r="F88" s="17" t="s">
        <v>314</v>
      </c>
      <c r="G88" s="17"/>
      <c r="H88" s="17"/>
      <c r="I88" s="17" t="s">
        <v>59</v>
      </c>
      <c r="J88" s="17" t="s">
        <v>15</v>
      </c>
      <c r="K88" s="17" t="s">
        <v>65</v>
      </c>
      <c r="L88" s="20" t="n">
        <v>4665</v>
      </c>
      <c r="M88" s="20" t="n">
        <v>17</v>
      </c>
      <c r="N88" s="22" t="n">
        <f aca="false">IFERROR(M88/L88,0)</f>
        <v>0.00364415862808146</v>
      </c>
      <c r="O88" s="19" t="n">
        <v>13.27</v>
      </c>
      <c r="P88" s="9" t="n">
        <f aca="false">IFERROR(O88/M88,0)</f>
        <v>0.780588235294118</v>
      </c>
      <c r="Q88" s="20" t="n">
        <v>0</v>
      </c>
      <c r="R88" s="19" t="n">
        <v>0</v>
      </c>
      <c r="S88" s="8" t="n">
        <f aca="false">IFERROR(O88/R88,0)</f>
        <v>0</v>
      </c>
      <c r="T88" s="8" t="n">
        <f aca="false">IFERROR(Q88/M88,0)</f>
        <v>0</v>
      </c>
    </row>
    <row r="89" customFormat="false" ht="15" hidden="false" customHeight="false" outlineLevel="0" collapsed="false">
      <c r="A89" s="17" t="s">
        <v>16</v>
      </c>
      <c r="B89" s="17" t="s">
        <v>463</v>
      </c>
      <c r="C89" s="17" t="s">
        <v>464</v>
      </c>
      <c r="D89" s="17" t="s">
        <v>31</v>
      </c>
      <c r="E89" s="17" t="s">
        <v>293</v>
      </c>
      <c r="F89" s="17" t="s">
        <v>288</v>
      </c>
      <c r="G89" s="17" t="s">
        <v>114</v>
      </c>
      <c r="H89" s="18" t="s">
        <v>59</v>
      </c>
      <c r="I89" s="17" t="s">
        <v>65</v>
      </c>
      <c r="J89" s="17"/>
      <c r="K89" s="17" t="s">
        <v>59</v>
      </c>
      <c r="L89" s="20" t="n">
        <v>689</v>
      </c>
      <c r="M89" s="20" t="n">
        <v>11</v>
      </c>
      <c r="N89" s="22" t="n">
        <f aca="false">IFERROR(M89/L89,0)</f>
        <v>0.0159651669085631</v>
      </c>
      <c r="O89" s="19" t="n">
        <v>13.09</v>
      </c>
      <c r="P89" s="9" t="n">
        <f aca="false">IFERROR(O89/M89,0)</f>
        <v>1.19</v>
      </c>
      <c r="Q89" s="20" t="n">
        <v>4</v>
      </c>
      <c r="R89" s="19" t="n">
        <v>264.26</v>
      </c>
      <c r="S89" s="8" t="n">
        <f aca="false">IFERROR(O89/R89,0)</f>
        <v>0.0495345493075002</v>
      </c>
      <c r="T89" s="8" t="n">
        <f aca="false">IFERROR(Q89/M89,0)</f>
        <v>0.363636363636364</v>
      </c>
    </row>
    <row r="90" customFormat="false" ht="15" hidden="false" customHeight="false" outlineLevel="0" collapsed="false">
      <c r="A90" s="17" t="s">
        <v>16</v>
      </c>
      <c r="B90" s="17" t="s">
        <v>465</v>
      </c>
      <c r="C90" s="17" t="s">
        <v>466</v>
      </c>
      <c r="D90" s="17" t="s">
        <v>28</v>
      </c>
      <c r="E90" s="17" t="s">
        <v>297</v>
      </c>
      <c r="F90" s="17" t="s">
        <v>28</v>
      </c>
      <c r="G90" s="17" t="s">
        <v>114</v>
      </c>
      <c r="H90" s="18" t="s">
        <v>59</v>
      </c>
      <c r="I90" s="17" t="s">
        <v>65</v>
      </c>
      <c r="J90" s="17"/>
      <c r="K90" s="17" t="s">
        <v>59</v>
      </c>
      <c r="L90" s="20" t="n">
        <v>7</v>
      </c>
      <c r="M90" s="20" t="n">
        <v>2</v>
      </c>
      <c r="N90" s="22" t="n">
        <f aca="false">IFERROR(M90/L90,0)</f>
        <v>0.285714285714286</v>
      </c>
      <c r="O90" s="19" t="n">
        <v>12.42</v>
      </c>
      <c r="P90" s="9" t="n">
        <f aca="false">IFERROR(O90/M90,0)</f>
        <v>6.21</v>
      </c>
      <c r="Q90" s="20" t="n">
        <v>0</v>
      </c>
      <c r="R90" s="19" t="n">
        <v>0</v>
      </c>
      <c r="S90" s="8" t="n">
        <f aca="false">IFERROR(O90/R90,0)</f>
        <v>0</v>
      </c>
      <c r="T90" s="8" t="n">
        <f aca="false">IFERROR(Q90/M90,0)</f>
        <v>0</v>
      </c>
    </row>
    <row r="91" customFormat="false" ht="15" hidden="false" customHeight="false" outlineLevel="0" collapsed="false">
      <c r="A91" s="17" t="s">
        <v>16</v>
      </c>
      <c r="B91" s="17" t="s">
        <v>467</v>
      </c>
      <c r="C91" s="17" t="s">
        <v>468</v>
      </c>
      <c r="D91" s="17" t="s">
        <v>33</v>
      </c>
      <c r="E91" s="17" t="s">
        <v>300</v>
      </c>
      <c r="F91" s="17" t="s">
        <v>301</v>
      </c>
      <c r="G91" s="17" t="s">
        <v>114</v>
      </c>
      <c r="H91" s="18" t="s">
        <v>59</v>
      </c>
      <c r="I91" s="17" t="s">
        <v>65</v>
      </c>
      <c r="J91" s="17"/>
      <c r="K91" s="17" t="s">
        <v>59</v>
      </c>
      <c r="L91" s="20" t="n">
        <v>90</v>
      </c>
      <c r="M91" s="20" t="n">
        <v>6</v>
      </c>
      <c r="N91" s="22" t="n">
        <f aca="false">IFERROR(M91/L91,0)</f>
        <v>0.0666666666666667</v>
      </c>
      <c r="O91" s="19" t="n">
        <v>10.26</v>
      </c>
      <c r="P91" s="9" t="n">
        <f aca="false">IFERROR(O91/M91,0)</f>
        <v>1.71</v>
      </c>
      <c r="Q91" s="20" t="n">
        <v>1</v>
      </c>
      <c r="R91" s="19" t="n">
        <v>71.99</v>
      </c>
      <c r="S91" s="8" t="n">
        <f aca="false">IFERROR(O91/R91,0)</f>
        <v>0.142519794415891</v>
      </c>
      <c r="T91" s="8" t="n">
        <f aca="false">IFERROR(Q91/M91,0)</f>
        <v>0.166666666666667</v>
      </c>
    </row>
    <row r="92" customFormat="false" ht="15" hidden="false" customHeight="false" outlineLevel="0" collapsed="false">
      <c r="A92" s="17" t="s">
        <v>16</v>
      </c>
      <c r="B92" s="17" t="s">
        <v>469</v>
      </c>
      <c r="C92" s="17" t="s">
        <v>470</v>
      </c>
      <c r="D92" s="17" t="s">
        <v>28</v>
      </c>
      <c r="E92" s="17" t="s">
        <v>297</v>
      </c>
      <c r="F92" s="17" t="s">
        <v>28</v>
      </c>
      <c r="G92" s="17" t="s">
        <v>114</v>
      </c>
      <c r="H92" s="18" t="s">
        <v>59</v>
      </c>
      <c r="I92" s="17" t="s">
        <v>65</v>
      </c>
      <c r="J92" s="17"/>
      <c r="K92" s="17" t="s">
        <v>59</v>
      </c>
      <c r="L92" s="20" t="n">
        <v>75</v>
      </c>
      <c r="M92" s="20" t="n">
        <v>1</v>
      </c>
      <c r="N92" s="22" t="n">
        <f aca="false">IFERROR(M92/L92,0)</f>
        <v>0.0133333333333333</v>
      </c>
      <c r="O92" s="19" t="n">
        <v>8.13</v>
      </c>
      <c r="P92" s="9" t="n">
        <f aca="false">IFERROR(O92/M92,0)</f>
        <v>8.13</v>
      </c>
      <c r="Q92" s="20" t="n">
        <v>0</v>
      </c>
      <c r="R92" s="19" t="n">
        <v>0</v>
      </c>
      <c r="S92" s="8" t="n">
        <f aca="false">IFERROR(O92/R92,0)</f>
        <v>0</v>
      </c>
      <c r="T92" s="8" t="n">
        <f aca="false">IFERROR(Q92/M92,0)</f>
        <v>0</v>
      </c>
    </row>
    <row r="93" customFormat="false" ht="15" hidden="false" customHeight="false" outlineLevel="0" collapsed="false">
      <c r="A93" s="17" t="s">
        <v>16</v>
      </c>
      <c r="B93" s="17" t="s">
        <v>471</v>
      </c>
      <c r="C93" s="17" t="s">
        <v>472</v>
      </c>
      <c r="D93" s="17" t="s">
        <v>28</v>
      </c>
      <c r="E93" s="17" t="s">
        <v>297</v>
      </c>
      <c r="F93" s="17" t="s">
        <v>28</v>
      </c>
      <c r="G93" s="17" t="s">
        <v>114</v>
      </c>
      <c r="H93" s="18" t="s">
        <v>59</v>
      </c>
      <c r="I93" s="17" t="s">
        <v>65</v>
      </c>
      <c r="J93" s="17"/>
      <c r="K93" s="17" t="s">
        <v>59</v>
      </c>
      <c r="L93" s="20" t="n">
        <v>41</v>
      </c>
      <c r="M93" s="20" t="n">
        <v>1</v>
      </c>
      <c r="N93" s="22" t="n">
        <f aca="false">IFERROR(M93/L93,0)</f>
        <v>0.024390243902439</v>
      </c>
      <c r="O93" s="19" t="n">
        <v>8.03</v>
      </c>
      <c r="P93" s="9" t="n">
        <f aca="false">IFERROR(O93/M93,0)</f>
        <v>8.03</v>
      </c>
      <c r="Q93" s="20" t="n">
        <v>0</v>
      </c>
      <c r="R93" s="19" t="n">
        <v>0</v>
      </c>
      <c r="S93" s="8" t="n">
        <f aca="false">IFERROR(O93/R93,0)</f>
        <v>0</v>
      </c>
      <c r="T93" s="8" t="n">
        <f aca="false">IFERROR(Q93/M93,0)</f>
        <v>0</v>
      </c>
    </row>
    <row r="94" customFormat="false" ht="15" hidden="false" customHeight="false" outlineLevel="0" collapsed="false">
      <c r="A94" s="17" t="s">
        <v>16</v>
      </c>
      <c r="B94" s="17" t="s">
        <v>473</v>
      </c>
      <c r="C94" s="17" t="s">
        <v>474</v>
      </c>
      <c r="D94" s="17" t="s">
        <v>33</v>
      </c>
      <c r="E94" s="17" t="s">
        <v>300</v>
      </c>
      <c r="F94" s="17" t="s">
        <v>301</v>
      </c>
      <c r="G94" s="17" t="s">
        <v>114</v>
      </c>
      <c r="H94" s="18" t="s">
        <v>59</v>
      </c>
      <c r="I94" s="17" t="s">
        <v>65</v>
      </c>
      <c r="J94" s="17"/>
      <c r="K94" s="17" t="s">
        <v>59</v>
      </c>
      <c r="L94" s="20" t="n">
        <v>372</v>
      </c>
      <c r="M94" s="20" t="n">
        <v>4</v>
      </c>
      <c r="N94" s="22" t="n">
        <f aca="false">IFERROR(M94/L94,0)</f>
        <v>0.010752688172043</v>
      </c>
      <c r="O94" s="19" t="n">
        <v>8</v>
      </c>
      <c r="P94" s="9" t="n">
        <f aca="false">IFERROR(O94/M94,0)</f>
        <v>2</v>
      </c>
      <c r="Q94" s="20" t="n">
        <v>0</v>
      </c>
      <c r="R94" s="19" t="n">
        <v>0</v>
      </c>
      <c r="S94" s="8" t="n">
        <f aca="false">IFERROR(O94/R94,0)</f>
        <v>0</v>
      </c>
      <c r="T94" s="8" t="n">
        <f aca="false">IFERROR(Q94/M94,0)</f>
        <v>0</v>
      </c>
    </row>
    <row r="95" customFormat="false" ht="15" hidden="false" customHeight="false" outlineLevel="0" collapsed="false">
      <c r="A95" s="17" t="s">
        <v>16</v>
      </c>
      <c r="B95" s="17" t="s">
        <v>360</v>
      </c>
      <c r="C95" s="17" t="s">
        <v>361</v>
      </c>
      <c r="D95" s="21" t="s">
        <v>34</v>
      </c>
      <c r="E95" s="17" t="s">
        <v>285</v>
      </c>
      <c r="F95" s="17" t="s">
        <v>314</v>
      </c>
      <c r="G95" s="17"/>
      <c r="H95" s="17"/>
      <c r="I95" s="17" t="s">
        <v>59</v>
      </c>
      <c r="J95" s="17" t="s">
        <v>431</v>
      </c>
      <c r="K95" s="17" t="s">
        <v>65</v>
      </c>
      <c r="L95" s="20" t="n">
        <v>2736</v>
      </c>
      <c r="M95" s="20" t="n">
        <v>18</v>
      </c>
      <c r="N95" s="22" t="n">
        <f aca="false">IFERROR(M95/L95,0)</f>
        <v>0.00657894736842105</v>
      </c>
      <c r="O95" s="19" t="n">
        <v>7.96</v>
      </c>
      <c r="P95" s="9" t="n">
        <f aca="false">IFERROR(O95/M95,0)</f>
        <v>0.442222222222222</v>
      </c>
      <c r="Q95" s="20" t="n">
        <v>2</v>
      </c>
      <c r="R95" s="19" t="n">
        <v>61.9</v>
      </c>
      <c r="S95" s="8" t="n">
        <f aca="false">IFERROR(O95/R95,0)</f>
        <v>0.12859450726979</v>
      </c>
      <c r="T95" s="8" t="n">
        <f aca="false">IFERROR(Q95/M95,0)</f>
        <v>0.111111111111111</v>
      </c>
    </row>
    <row r="96" customFormat="false" ht="15" hidden="false" customHeight="false" outlineLevel="0" collapsed="false">
      <c r="A96" s="17" t="s">
        <v>16</v>
      </c>
      <c r="B96" s="17" t="s">
        <v>475</v>
      </c>
      <c r="C96" s="17" t="s">
        <v>476</v>
      </c>
      <c r="D96" s="17" t="s">
        <v>28</v>
      </c>
      <c r="E96" s="17" t="s">
        <v>297</v>
      </c>
      <c r="F96" s="17" t="s">
        <v>28</v>
      </c>
      <c r="G96" s="17" t="s">
        <v>477</v>
      </c>
      <c r="H96" s="23" t="s">
        <v>65</v>
      </c>
      <c r="I96" s="17" t="s">
        <v>65</v>
      </c>
      <c r="J96" s="17"/>
      <c r="K96" s="17" t="s">
        <v>59</v>
      </c>
      <c r="L96" s="20" t="n">
        <v>1064</v>
      </c>
      <c r="M96" s="20" t="n">
        <v>6</v>
      </c>
      <c r="N96" s="22" t="n">
        <f aca="false">IFERROR(M96/L96,0)</f>
        <v>0.0056390977443609</v>
      </c>
      <c r="O96" s="19" t="n">
        <v>7.76</v>
      </c>
      <c r="P96" s="9" t="n">
        <f aca="false">IFERROR(O96/M96,0)</f>
        <v>1.29333333333333</v>
      </c>
      <c r="Q96" s="20" t="n">
        <v>0</v>
      </c>
      <c r="R96" s="19" t="n">
        <v>0</v>
      </c>
      <c r="S96" s="8" t="n">
        <f aca="false">IFERROR(O96/R96,0)</f>
        <v>0</v>
      </c>
      <c r="T96" s="8" t="n">
        <f aca="false">IFERROR(Q96/M96,0)</f>
        <v>0</v>
      </c>
    </row>
    <row r="97" customFormat="false" ht="15" hidden="false" customHeight="false" outlineLevel="0" collapsed="false">
      <c r="A97" s="17" t="s">
        <v>16</v>
      </c>
      <c r="B97" s="17" t="s">
        <v>478</v>
      </c>
      <c r="C97" s="17" t="s">
        <v>479</v>
      </c>
      <c r="D97" s="17" t="s">
        <v>28</v>
      </c>
      <c r="E97" s="17" t="s">
        <v>297</v>
      </c>
      <c r="F97" s="17" t="s">
        <v>28</v>
      </c>
      <c r="G97" s="17" t="s">
        <v>114</v>
      </c>
      <c r="H97" s="18" t="s">
        <v>59</v>
      </c>
      <c r="I97" s="17" t="s">
        <v>65</v>
      </c>
      <c r="J97" s="17"/>
      <c r="K97" s="17" t="s">
        <v>59</v>
      </c>
      <c r="L97" s="20" t="n">
        <v>6</v>
      </c>
      <c r="M97" s="20" t="n">
        <v>1</v>
      </c>
      <c r="N97" s="22" t="n">
        <f aca="false">IFERROR(M97/L97,0)</f>
        <v>0.166666666666667</v>
      </c>
      <c r="O97" s="19" t="n">
        <v>7.16</v>
      </c>
      <c r="P97" s="9" t="n">
        <f aca="false">IFERROR(O97/M97,0)</f>
        <v>7.16</v>
      </c>
      <c r="Q97" s="20" t="n">
        <v>0</v>
      </c>
      <c r="R97" s="19" t="n">
        <v>0</v>
      </c>
      <c r="S97" s="8" t="n">
        <f aca="false">IFERROR(O97/R97,0)</f>
        <v>0</v>
      </c>
      <c r="T97" s="8" t="n">
        <f aca="false">IFERROR(Q97/M97,0)</f>
        <v>0</v>
      </c>
    </row>
    <row r="98" customFormat="false" ht="15" hidden="false" customHeight="false" outlineLevel="0" collapsed="false">
      <c r="A98" s="17" t="s">
        <v>16</v>
      </c>
      <c r="B98" s="17" t="s">
        <v>480</v>
      </c>
      <c r="C98" s="17" t="s">
        <v>481</v>
      </c>
      <c r="D98" s="17" t="s">
        <v>35</v>
      </c>
      <c r="E98" s="17" t="s">
        <v>297</v>
      </c>
      <c r="F98" s="17"/>
      <c r="G98" s="17" t="s">
        <v>114</v>
      </c>
      <c r="H98" s="18" t="s">
        <v>59</v>
      </c>
      <c r="I98" s="17" t="s">
        <v>65</v>
      </c>
      <c r="J98" s="17"/>
      <c r="K98" s="17" t="s">
        <v>59</v>
      </c>
      <c r="L98" s="20" t="n">
        <v>176</v>
      </c>
      <c r="M98" s="20" t="n">
        <v>2</v>
      </c>
      <c r="N98" s="22" t="n">
        <f aca="false">IFERROR(M98/L98,0)</f>
        <v>0.0113636363636364</v>
      </c>
      <c r="O98" s="19" t="n">
        <v>7.06</v>
      </c>
      <c r="P98" s="9" t="n">
        <f aca="false">IFERROR(O98/M98,0)</f>
        <v>3.53</v>
      </c>
      <c r="Q98" s="20" t="n">
        <v>1</v>
      </c>
      <c r="R98" s="19" t="n">
        <v>67.99</v>
      </c>
      <c r="S98" s="8" t="n">
        <f aca="false">IFERROR(O98/R98,0)</f>
        <v>0.103838799823503</v>
      </c>
      <c r="T98" s="8" t="n">
        <f aca="false">IFERROR(Q98/M98,0)</f>
        <v>0.5</v>
      </c>
    </row>
    <row r="99" customFormat="false" ht="15" hidden="false" customHeight="false" outlineLevel="0" collapsed="false">
      <c r="A99" s="17" t="s">
        <v>16</v>
      </c>
      <c r="B99" s="17" t="s">
        <v>482</v>
      </c>
      <c r="C99" s="17" t="s">
        <v>483</v>
      </c>
      <c r="D99" s="17" t="s">
        <v>28</v>
      </c>
      <c r="E99" s="17" t="s">
        <v>297</v>
      </c>
      <c r="F99" s="17" t="s">
        <v>28</v>
      </c>
      <c r="G99" s="17" t="s">
        <v>114</v>
      </c>
      <c r="H99" s="18" t="s">
        <v>59</v>
      </c>
      <c r="I99" s="17" t="s">
        <v>65</v>
      </c>
      <c r="J99" s="17"/>
      <c r="K99" s="17" t="s">
        <v>59</v>
      </c>
      <c r="L99" s="20" t="n">
        <v>8</v>
      </c>
      <c r="M99" s="20" t="n">
        <v>1</v>
      </c>
      <c r="N99" s="22" t="n">
        <f aca="false">IFERROR(M99/L99,0)</f>
        <v>0.125</v>
      </c>
      <c r="O99" s="19" t="n">
        <v>6.79</v>
      </c>
      <c r="P99" s="9" t="n">
        <f aca="false">IFERROR(O99/M99,0)</f>
        <v>6.79</v>
      </c>
      <c r="Q99" s="20" t="n">
        <v>1</v>
      </c>
      <c r="R99" s="19" t="n">
        <v>71.99</v>
      </c>
      <c r="S99" s="8" t="n">
        <f aca="false">IFERROR(O99/R99,0)</f>
        <v>0.0943186553688012</v>
      </c>
      <c r="T99" s="8" t="n">
        <f aca="false">IFERROR(Q99/M99,0)</f>
        <v>1</v>
      </c>
    </row>
    <row r="100" customFormat="false" ht="15" hidden="false" customHeight="false" outlineLevel="0" collapsed="false">
      <c r="A100" s="17" t="s">
        <v>16</v>
      </c>
      <c r="B100" s="17" t="s">
        <v>484</v>
      </c>
      <c r="C100" s="17" t="s">
        <v>485</v>
      </c>
      <c r="D100" s="17" t="s">
        <v>33</v>
      </c>
      <c r="E100" s="17" t="s">
        <v>300</v>
      </c>
      <c r="F100" s="17" t="s">
        <v>301</v>
      </c>
      <c r="G100" s="17" t="s">
        <v>486</v>
      </c>
      <c r="H100" s="18" t="s">
        <v>59</v>
      </c>
      <c r="I100" s="17" t="s">
        <v>65</v>
      </c>
      <c r="J100" s="17"/>
      <c r="K100" s="17" t="s">
        <v>59</v>
      </c>
      <c r="L100" s="20" t="n">
        <v>128</v>
      </c>
      <c r="M100" s="20" t="n">
        <v>4</v>
      </c>
      <c r="N100" s="22" t="n">
        <f aca="false">IFERROR(M100/L100,0)</f>
        <v>0.03125</v>
      </c>
      <c r="O100" s="19" t="n">
        <v>6.66</v>
      </c>
      <c r="P100" s="9" t="n">
        <f aca="false">IFERROR(O100/M100,0)</f>
        <v>1.665</v>
      </c>
      <c r="Q100" s="20" t="n">
        <v>2</v>
      </c>
      <c r="R100" s="19" t="n">
        <v>135.73</v>
      </c>
      <c r="S100" s="8" t="n">
        <f aca="false">IFERROR(O100/R100,0)</f>
        <v>0.0490680026523245</v>
      </c>
      <c r="T100" s="8" t="n">
        <f aca="false">IFERROR(Q100/M100,0)</f>
        <v>0.5</v>
      </c>
    </row>
    <row r="101" customFormat="false" ht="15" hidden="false" customHeight="false" outlineLevel="0" collapsed="false">
      <c r="A101" s="17" t="s">
        <v>16</v>
      </c>
      <c r="B101" s="17" t="s">
        <v>487</v>
      </c>
      <c r="C101" s="17" t="s">
        <v>488</v>
      </c>
      <c r="D101" s="23" t="s">
        <v>32</v>
      </c>
      <c r="E101" s="17" t="s">
        <v>285</v>
      </c>
      <c r="F101" s="17" t="s">
        <v>288</v>
      </c>
      <c r="G101" s="17" t="s">
        <v>489</v>
      </c>
      <c r="H101" s="18" t="s">
        <v>59</v>
      </c>
      <c r="I101" s="17" t="s">
        <v>65</v>
      </c>
      <c r="J101" s="17"/>
      <c r="K101" s="17" t="s">
        <v>59</v>
      </c>
      <c r="L101" s="20" t="n">
        <v>1390</v>
      </c>
      <c r="M101" s="20" t="n">
        <v>6</v>
      </c>
      <c r="N101" s="22" t="n">
        <f aca="false">IFERROR(M101/L101,0)</f>
        <v>0.00431654676258993</v>
      </c>
      <c r="O101" s="19" t="n">
        <v>6.65</v>
      </c>
      <c r="P101" s="9" t="n">
        <f aca="false">IFERROR(O101/M101,0)</f>
        <v>1.10833333333333</v>
      </c>
      <c r="Q101" s="20" t="n">
        <v>0</v>
      </c>
      <c r="R101" s="19" t="n">
        <v>0</v>
      </c>
      <c r="S101" s="8" t="n">
        <f aca="false">IFERROR(O101/R101,0)</f>
        <v>0</v>
      </c>
      <c r="T101" s="8" t="n">
        <f aca="false">IFERROR(Q101/M101,0)</f>
        <v>0</v>
      </c>
    </row>
    <row r="102" customFormat="false" ht="15" hidden="false" customHeight="false" outlineLevel="0" collapsed="false">
      <c r="A102" s="17" t="s">
        <v>16</v>
      </c>
      <c r="B102" s="17" t="s">
        <v>490</v>
      </c>
      <c r="C102" s="17" t="s">
        <v>491</v>
      </c>
      <c r="D102" s="17" t="s">
        <v>28</v>
      </c>
      <c r="E102" s="17" t="s">
        <v>297</v>
      </c>
      <c r="F102" s="17" t="s">
        <v>28</v>
      </c>
      <c r="G102" s="17" t="s">
        <v>492</v>
      </c>
      <c r="H102" s="23" t="s">
        <v>65</v>
      </c>
      <c r="I102" s="17" t="s">
        <v>65</v>
      </c>
      <c r="J102" s="17"/>
      <c r="K102" s="17" t="s">
        <v>59</v>
      </c>
      <c r="L102" s="20" t="n">
        <v>103</v>
      </c>
      <c r="M102" s="20" t="n">
        <v>2</v>
      </c>
      <c r="N102" s="22" t="n">
        <f aca="false">IFERROR(M102/L102,0)</f>
        <v>0.0194174757281553</v>
      </c>
      <c r="O102" s="19" t="n">
        <v>6.52</v>
      </c>
      <c r="P102" s="9" t="n">
        <f aca="false">IFERROR(O102/M102,0)</f>
        <v>3.26</v>
      </c>
      <c r="Q102" s="20" t="n">
        <v>2</v>
      </c>
      <c r="R102" s="19" t="n">
        <v>132.13</v>
      </c>
      <c r="S102" s="8" t="n">
        <f aca="false">IFERROR(O102/R102,0)</f>
        <v>0.049345341708923</v>
      </c>
      <c r="T102" s="8" t="n">
        <f aca="false">IFERROR(Q102/M102,0)</f>
        <v>1</v>
      </c>
    </row>
    <row r="103" customFormat="false" ht="15" hidden="false" customHeight="false" outlineLevel="0" collapsed="false">
      <c r="A103" s="17" t="s">
        <v>16</v>
      </c>
      <c r="B103" s="17" t="s">
        <v>493</v>
      </c>
      <c r="C103" s="17" t="s">
        <v>494</v>
      </c>
      <c r="D103" s="17" t="s">
        <v>28</v>
      </c>
      <c r="E103" s="17" t="s">
        <v>297</v>
      </c>
      <c r="F103" s="17" t="s">
        <v>28</v>
      </c>
      <c r="G103" s="17" t="s">
        <v>495</v>
      </c>
      <c r="H103" s="23" t="s">
        <v>65</v>
      </c>
      <c r="I103" s="17" t="s">
        <v>65</v>
      </c>
      <c r="J103" s="17"/>
      <c r="K103" s="17" t="s">
        <v>59</v>
      </c>
      <c r="L103" s="20" t="n">
        <v>207</v>
      </c>
      <c r="M103" s="20" t="n">
        <v>2</v>
      </c>
      <c r="N103" s="22" t="n">
        <f aca="false">IFERROR(M103/L103,0)</f>
        <v>0.00966183574879227</v>
      </c>
      <c r="O103" s="19" t="n">
        <v>6.51</v>
      </c>
      <c r="P103" s="9" t="n">
        <f aca="false">IFERROR(O103/M103,0)</f>
        <v>3.255</v>
      </c>
      <c r="Q103" s="20" t="n">
        <v>1</v>
      </c>
      <c r="R103" s="19" t="n">
        <v>63.99</v>
      </c>
      <c r="S103" s="8" t="n">
        <f aca="false">IFERROR(O103/R103,0)</f>
        <v>0.101734646038444</v>
      </c>
      <c r="T103" s="8" t="n">
        <f aca="false">IFERROR(Q103/M103,0)</f>
        <v>0.5</v>
      </c>
    </row>
    <row r="104" customFormat="false" ht="15" hidden="false" customHeight="false" outlineLevel="0" collapsed="false">
      <c r="A104" s="17" t="s">
        <v>16</v>
      </c>
      <c r="B104" s="17" t="s">
        <v>370</v>
      </c>
      <c r="C104" s="17" t="s">
        <v>371</v>
      </c>
      <c r="D104" s="17" t="s">
        <v>33</v>
      </c>
      <c r="E104" s="17" t="s">
        <v>300</v>
      </c>
      <c r="F104" s="17" t="s">
        <v>294</v>
      </c>
      <c r="G104" s="17" t="s">
        <v>372</v>
      </c>
      <c r="H104" s="23" t="s">
        <v>65</v>
      </c>
      <c r="I104" s="17" t="s">
        <v>59</v>
      </c>
      <c r="J104" s="17" t="s">
        <v>431</v>
      </c>
      <c r="K104" s="17" t="s">
        <v>65</v>
      </c>
      <c r="L104" s="20" t="n">
        <v>249</v>
      </c>
      <c r="M104" s="20" t="n">
        <v>6</v>
      </c>
      <c r="N104" s="22" t="n">
        <f aca="false">IFERROR(M104/L104,0)</f>
        <v>0.0240963855421687</v>
      </c>
      <c r="O104" s="19" t="n">
        <v>6.43</v>
      </c>
      <c r="P104" s="9" t="n">
        <f aca="false">IFERROR(O104/M104,0)</f>
        <v>1.07166666666667</v>
      </c>
      <c r="Q104" s="20" t="n">
        <v>1</v>
      </c>
      <c r="R104" s="19" t="n">
        <v>67.99</v>
      </c>
      <c r="S104" s="8" t="n">
        <f aca="false">IFERROR(O104/R104,0)</f>
        <v>0.0945727312840124</v>
      </c>
      <c r="T104" s="8" t="n">
        <f aca="false">IFERROR(Q104/M104,0)</f>
        <v>0.166666666666667</v>
      </c>
    </row>
    <row r="105" customFormat="false" ht="15" hidden="false" customHeight="false" outlineLevel="0" collapsed="false">
      <c r="A105" s="17" t="s">
        <v>16</v>
      </c>
      <c r="B105" s="17" t="s">
        <v>496</v>
      </c>
      <c r="C105" s="17" t="s">
        <v>497</v>
      </c>
      <c r="D105" s="17" t="s">
        <v>33</v>
      </c>
      <c r="E105" s="17" t="s">
        <v>300</v>
      </c>
      <c r="F105" s="17" t="s">
        <v>301</v>
      </c>
      <c r="G105" s="17" t="s">
        <v>114</v>
      </c>
      <c r="H105" s="18" t="s">
        <v>59</v>
      </c>
      <c r="I105" s="17" t="s">
        <v>65</v>
      </c>
      <c r="J105" s="17"/>
      <c r="K105" s="17" t="s">
        <v>59</v>
      </c>
      <c r="L105" s="20" t="n">
        <v>601</v>
      </c>
      <c r="M105" s="20" t="n">
        <v>3</v>
      </c>
      <c r="N105" s="22" t="n">
        <f aca="false">IFERROR(M105/L105,0)</f>
        <v>0.00499168053244592</v>
      </c>
      <c r="O105" s="19" t="n">
        <v>6.35</v>
      </c>
      <c r="P105" s="9" t="n">
        <f aca="false">IFERROR(O105/M105,0)</f>
        <v>2.11666666666667</v>
      </c>
      <c r="Q105" s="20" t="n">
        <v>0</v>
      </c>
      <c r="R105" s="19" t="n">
        <v>0</v>
      </c>
      <c r="S105" s="8" t="n">
        <f aca="false">IFERROR(O105/R105,0)</f>
        <v>0</v>
      </c>
      <c r="T105" s="8" t="n">
        <f aca="false">IFERROR(Q105/M105,0)</f>
        <v>0</v>
      </c>
    </row>
    <row r="106" customFormat="false" ht="15" hidden="false" customHeight="false" outlineLevel="0" collapsed="false">
      <c r="A106" s="17" t="s">
        <v>16</v>
      </c>
      <c r="B106" s="17" t="s">
        <v>498</v>
      </c>
      <c r="C106" s="17" t="s">
        <v>499</v>
      </c>
      <c r="D106" s="17" t="s">
        <v>33</v>
      </c>
      <c r="E106" s="17" t="s">
        <v>300</v>
      </c>
      <c r="F106" s="17" t="s">
        <v>301</v>
      </c>
      <c r="G106" s="17" t="s">
        <v>444</v>
      </c>
      <c r="H106" s="18" t="s">
        <v>59</v>
      </c>
      <c r="I106" s="17" t="s">
        <v>65</v>
      </c>
      <c r="J106" s="17"/>
      <c r="K106" s="17" t="s">
        <v>59</v>
      </c>
      <c r="L106" s="20" t="n">
        <v>394</v>
      </c>
      <c r="M106" s="20" t="n">
        <v>5</v>
      </c>
      <c r="N106" s="22" t="n">
        <f aca="false">IFERROR(M106/L106,0)</f>
        <v>0.0126903553299492</v>
      </c>
      <c r="O106" s="19" t="n">
        <v>6.34</v>
      </c>
      <c r="P106" s="9" t="n">
        <f aca="false">IFERROR(O106/M106,0)</f>
        <v>1.268</v>
      </c>
      <c r="Q106" s="20" t="n">
        <v>3</v>
      </c>
      <c r="R106" s="19" t="n">
        <v>282.11</v>
      </c>
      <c r="S106" s="8" t="n">
        <f aca="false">IFERROR(O106/R106,0)</f>
        <v>0.0224735032434157</v>
      </c>
      <c r="T106" s="8" t="n">
        <f aca="false">IFERROR(Q106/M106,0)</f>
        <v>0.6</v>
      </c>
    </row>
    <row r="107" customFormat="false" ht="15" hidden="false" customHeight="false" outlineLevel="0" collapsed="false">
      <c r="A107" s="17" t="s">
        <v>16</v>
      </c>
      <c r="B107" s="17" t="s">
        <v>500</v>
      </c>
      <c r="C107" s="17" t="s">
        <v>501</v>
      </c>
      <c r="D107" s="17" t="s">
        <v>28</v>
      </c>
      <c r="E107" s="17" t="s">
        <v>297</v>
      </c>
      <c r="F107" s="17" t="s">
        <v>28</v>
      </c>
      <c r="G107" s="17" t="s">
        <v>114</v>
      </c>
      <c r="H107" s="18" t="s">
        <v>59</v>
      </c>
      <c r="I107" s="17" t="s">
        <v>65</v>
      </c>
      <c r="J107" s="17"/>
      <c r="K107" s="17" t="s">
        <v>59</v>
      </c>
      <c r="L107" s="20" t="n">
        <v>243</v>
      </c>
      <c r="M107" s="20" t="n">
        <v>1</v>
      </c>
      <c r="N107" s="22" t="n">
        <f aca="false">IFERROR(M107/L107,0)</f>
        <v>0.00411522633744856</v>
      </c>
      <c r="O107" s="19" t="n">
        <v>6.17</v>
      </c>
      <c r="P107" s="9" t="n">
        <f aca="false">IFERROR(O107/M107,0)</f>
        <v>6.17</v>
      </c>
      <c r="Q107" s="20" t="n">
        <v>0</v>
      </c>
      <c r="R107" s="19" t="n">
        <v>0</v>
      </c>
      <c r="S107" s="8" t="n">
        <f aca="false">IFERROR(O107/R107,0)</f>
        <v>0</v>
      </c>
      <c r="T107" s="8" t="n">
        <f aca="false">IFERROR(Q107/M107,0)</f>
        <v>0</v>
      </c>
    </row>
    <row r="108" customFormat="false" ht="15" hidden="false" customHeight="false" outlineLevel="0" collapsed="false">
      <c r="A108" s="17" t="s">
        <v>16</v>
      </c>
      <c r="B108" s="17" t="s">
        <v>502</v>
      </c>
      <c r="C108" s="17" t="s">
        <v>503</v>
      </c>
      <c r="D108" s="17" t="s">
        <v>28</v>
      </c>
      <c r="E108" s="17" t="s">
        <v>297</v>
      </c>
      <c r="F108" s="17" t="s">
        <v>28</v>
      </c>
      <c r="G108" s="17" t="s">
        <v>504</v>
      </c>
      <c r="H108" s="23" t="s">
        <v>65</v>
      </c>
      <c r="I108" s="17" t="s">
        <v>65</v>
      </c>
      <c r="J108" s="17"/>
      <c r="K108" s="17" t="s">
        <v>59</v>
      </c>
      <c r="L108" s="20" t="n">
        <v>29</v>
      </c>
      <c r="M108" s="20" t="n">
        <v>1</v>
      </c>
      <c r="N108" s="22" t="n">
        <f aca="false">IFERROR(M108/L108,0)</f>
        <v>0.0344827586206897</v>
      </c>
      <c r="O108" s="19" t="n">
        <v>6.16</v>
      </c>
      <c r="P108" s="9" t="n">
        <f aca="false">IFERROR(O108/M108,0)</f>
        <v>6.16</v>
      </c>
      <c r="Q108" s="20" t="n">
        <v>0</v>
      </c>
      <c r="R108" s="19" t="n">
        <v>0</v>
      </c>
      <c r="S108" s="8" t="n">
        <f aca="false">IFERROR(O108/R108,0)</f>
        <v>0</v>
      </c>
      <c r="T108" s="8" t="n">
        <f aca="false">IFERROR(Q108/M108,0)</f>
        <v>0</v>
      </c>
    </row>
    <row r="109" customFormat="false" ht="15" hidden="false" customHeight="false" outlineLevel="0" collapsed="false">
      <c r="A109" s="17" t="s">
        <v>16</v>
      </c>
      <c r="B109" s="17" t="s">
        <v>505</v>
      </c>
      <c r="C109" s="17" t="s">
        <v>506</v>
      </c>
      <c r="D109" s="17" t="s">
        <v>28</v>
      </c>
      <c r="E109" s="17" t="s">
        <v>297</v>
      </c>
      <c r="F109" s="17" t="s">
        <v>28</v>
      </c>
      <c r="G109" s="17" t="s">
        <v>507</v>
      </c>
      <c r="H109" s="18" t="s">
        <v>59</v>
      </c>
      <c r="I109" s="17" t="s">
        <v>65</v>
      </c>
      <c r="J109" s="17"/>
      <c r="K109" s="17" t="s">
        <v>59</v>
      </c>
      <c r="L109" s="20" t="n">
        <v>86</v>
      </c>
      <c r="M109" s="20" t="n">
        <v>1</v>
      </c>
      <c r="N109" s="22" t="n">
        <f aca="false">IFERROR(M109/L109,0)</f>
        <v>0.0116279069767442</v>
      </c>
      <c r="O109" s="19" t="n">
        <v>6.12</v>
      </c>
      <c r="P109" s="9" t="n">
        <f aca="false">IFERROR(O109/M109,0)</f>
        <v>6.12</v>
      </c>
      <c r="Q109" s="20" t="n">
        <v>0</v>
      </c>
      <c r="R109" s="19" t="n">
        <v>0</v>
      </c>
      <c r="S109" s="8" t="n">
        <f aca="false">IFERROR(O109/R109,0)</f>
        <v>0</v>
      </c>
      <c r="T109" s="8" t="n">
        <f aca="false">IFERROR(Q109/M109,0)</f>
        <v>0</v>
      </c>
    </row>
    <row r="110" customFormat="false" ht="15" hidden="false" customHeight="false" outlineLevel="0" collapsed="false">
      <c r="A110" s="17" t="s">
        <v>16</v>
      </c>
      <c r="B110" s="17" t="s">
        <v>508</v>
      </c>
      <c r="C110" s="17" t="s">
        <v>509</v>
      </c>
      <c r="D110" s="17" t="s">
        <v>28</v>
      </c>
      <c r="E110" s="17" t="s">
        <v>297</v>
      </c>
      <c r="F110" s="17" t="s">
        <v>28</v>
      </c>
      <c r="G110" s="17" t="s">
        <v>114</v>
      </c>
      <c r="H110" s="18" t="s">
        <v>59</v>
      </c>
      <c r="I110" s="17" t="s">
        <v>65</v>
      </c>
      <c r="J110" s="17"/>
      <c r="K110" s="17" t="s">
        <v>59</v>
      </c>
      <c r="L110" s="20" t="n">
        <v>396</v>
      </c>
      <c r="M110" s="20" t="n">
        <v>1</v>
      </c>
      <c r="N110" s="22" t="n">
        <f aca="false">IFERROR(M110/L110,0)</f>
        <v>0.00252525252525253</v>
      </c>
      <c r="O110" s="19" t="n">
        <v>6.12</v>
      </c>
      <c r="P110" s="9" t="n">
        <f aca="false">IFERROR(O110/M110,0)</f>
        <v>6.12</v>
      </c>
      <c r="Q110" s="20" t="n">
        <v>0</v>
      </c>
      <c r="R110" s="19" t="n">
        <v>0</v>
      </c>
      <c r="S110" s="8" t="n">
        <f aca="false">IFERROR(O110/R110,0)</f>
        <v>0</v>
      </c>
      <c r="T110" s="8" t="n">
        <f aca="false">IFERROR(Q110/M110,0)</f>
        <v>0</v>
      </c>
    </row>
    <row r="111" customFormat="false" ht="15" hidden="false" customHeight="false" outlineLevel="0" collapsed="false">
      <c r="A111" s="17" t="s">
        <v>16</v>
      </c>
      <c r="B111" s="17" t="s">
        <v>510</v>
      </c>
      <c r="C111" s="17" t="s">
        <v>511</v>
      </c>
      <c r="D111" s="17" t="s">
        <v>28</v>
      </c>
      <c r="E111" s="17" t="s">
        <v>297</v>
      </c>
      <c r="F111" s="17" t="s">
        <v>28</v>
      </c>
      <c r="G111" s="17" t="s">
        <v>512</v>
      </c>
      <c r="H111" s="18" t="s">
        <v>59</v>
      </c>
      <c r="I111" s="17" t="s">
        <v>65</v>
      </c>
      <c r="J111" s="17"/>
      <c r="K111" s="17" t="s">
        <v>59</v>
      </c>
      <c r="L111" s="20" t="n">
        <v>22</v>
      </c>
      <c r="M111" s="20" t="n">
        <v>1</v>
      </c>
      <c r="N111" s="22" t="n">
        <f aca="false">IFERROR(M111/L111,0)</f>
        <v>0.0454545454545455</v>
      </c>
      <c r="O111" s="19" t="n">
        <v>5.71</v>
      </c>
      <c r="P111" s="9" t="n">
        <f aca="false">IFERROR(O111/M111,0)</f>
        <v>5.71</v>
      </c>
      <c r="Q111" s="20" t="n">
        <v>0</v>
      </c>
      <c r="R111" s="19" t="n">
        <v>0</v>
      </c>
      <c r="S111" s="8" t="n">
        <f aca="false">IFERROR(O111/R111,0)</f>
        <v>0</v>
      </c>
      <c r="T111" s="8" t="n">
        <f aca="false">IFERROR(Q111/M111,0)</f>
        <v>0</v>
      </c>
    </row>
    <row r="112" customFormat="false" ht="15" hidden="false" customHeight="false" outlineLevel="0" collapsed="false">
      <c r="A112" s="17" t="s">
        <v>16</v>
      </c>
      <c r="B112" s="17" t="s">
        <v>513</v>
      </c>
      <c r="C112" s="17" t="s">
        <v>514</v>
      </c>
      <c r="D112" s="17" t="s">
        <v>28</v>
      </c>
      <c r="E112" s="17" t="s">
        <v>297</v>
      </c>
      <c r="F112" s="17" t="s">
        <v>28</v>
      </c>
      <c r="G112" s="17" t="s">
        <v>114</v>
      </c>
      <c r="H112" s="18" t="s">
        <v>59</v>
      </c>
      <c r="I112" s="17" t="s">
        <v>65</v>
      </c>
      <c r="J112" s="17"/>
      <c r="K112" s="17" t="s">
        <v>59</v>
      </c>
      <c r="L112" s="20" t="n">
        <v>55</v>
      </c>
      <c r="M112" s="20" t="n">
        <v>1</v>
      </c>
      <c r="N112" s="22" t="n">
        <f aca="false">IFERROR(M112/L112,0)</f>
        <v>0.0181818181818182</v>
      </c>
      <c r="O112" s="19" t="n">
        <v>5.69</v>
      </c>
      <c r="P112" s="9" t="n">
        <f aca="false">IFERROR(O112/M112,0)</f>
        <v>5.69</v>
      </c>
      <c r="Q112" s="20" t="n">
        <v>0</v>
      </c>
      <c r="R112" s="19" t="n">
        <v>0</v>
      </c>
      <c r="S112" s="8" t="n">
        <f aca="false">IFERROR(O112/R112,0)</f>
        <v>0</v>
      </c>
      <c r="T112" s="8" t="n">
        <f aca="false">IFERROR(Q112/M112,0)</f>
        <v>0</v>
      </c>
    </row>
    <row r="113" customFormat="false" ht="15" hidden="false" customHeight="false" outlineLevel="0" collapsed="false">
      <c r="A113" s="17" t="s">
        <v>16</v>
      </c>
      <c r="B113" s="17" t="s">
        <v>515</v>
      </c>
      <c r="C113" s="17" t="s">
        <v>516</v>
      </c>
      <c r="D113" s="17" t="s">
        <v>28</v>
      </c>
      <c r="E113" s="17" t="s">
        <v>297</v>
      </c>
      <c r="F113" s="17" t="s">
        <v>28</v>
      </c>
      <c r="G113" s="17" t="s">
        <v>114</v>
      </c>
      <c r="H113" s="18" t="s">
        <v>59</v>
      </c>
      <c r="I113" s="17" t="s">
        <v>65</v>
      </c>
      <c r="J113" s="17"/>
      <c r="K113" s="17" t="s">
        <v>59</v>
      </c>
      <c r="L113" s="20" t="n">
        <v>15</v>
      </c>
      <c r="M113" s="20" t="n">
        <v>1</v>
      </c>
      <c r="N113" s="22" t="n">
        <f aca="false">IFERROR(M113/L113,0)</f>
        <v>0.0666666666666667</v>
      </c>
      <c r="O113" s="19" t="n">
        <v>5.58</v>
      </c>
      <c r="P113" s="9" t="n">
        <f aca="false">IFERROR(O113/M113,0)</f>
        <v>5.58</v>
      </c>
      <c r="Q113" s="20" t="n">
        <v>0</v>
      </c>
      <c r="R113" s="19" t="n">
        <v>0</v>
      </c>
      <c r="S113" s="8" t="n">
        <f aca="false">IFERROR(O113/R113,0)</f>
        <v>0</v>
      </c>
      <c r="T113" s="8" t="n">
        <f aca="false">IFERROR(Q113/M113,0)</f>
        <v>0</v>
      </c>
    </row>
    <row r="114" customFormat="false" ht="15" hidden="false" customHeight="false" outlineLevel="0" collapsed="false">
      <c r="A114" s="17" t="s">
        <v>16</v>
      </c>
      <c r="B114" s="17" t="s">
        <v>517</v>
      </c>
      <c r="C114" s="17" t="s">
        <v>518</v>
      </c>
      <c r="D114" s="17" t="s">
        <v>28</v>
      </c>
      <c r="E114" s="17" t="s">
        <v>297</v>
      </c>
      <c r="F114" s="17" t="s">
        <v>28</v>
      </c>
      <c r="G114" s="17" t="s">
        <v>114</v>
      </c>
      <c r="H114" s="18" t="s">
        <v>59</v>
      </c>
      <c r="I114" s="17" t="s">
        <v>65</v>
      </c>
      <c r="J114" s="17"/>
      <c r="K114" s="17" t="s">
        <v>59</v>
      </c>
      <c r="L114" s="20" t="n">
        <v>70</v>
      </c>
      <c r="M114" s="20" t="n">
        <v>1</v>
      </c>
      <c r="N114" s="22" t="n">
        <f aca="false">IFERROR(M114/L114,0)</f>
        <v>0.0142857142857143</v>
      </c>
      <c r="O114" s="19" t="n">
        <v>5.48</v>
      </c>
      <c r="P114" s="9" t="n">
        <f aca="false">IFERROR(O114/M114,0)</f>
        <v>5.48</v>
      </c>
      <c r="Q114" s="20" t="n">
        <v>0</v>
      </c>
      <c r="R114" s="19" t="n">
        <v>0</v>
      </c>
      <c r="S114" s="8" t="n">
        <f aca="false">IFERROR(O114/R114,0)</f>
        <v>0</v>
      </c>
      <c r="T114" s="8" t="n">
        <f aca="false">IFERROR(Q114/M114,0)</f>
        <v>0</v>
      </c>
    </row>
    <row r="115" customFormat="false" ht="15" hidden="false" customHeight="false" outlineLevel="0" collapsed="false">
      <c r="A115" s="17" t="s">
        <v>16</v>
      </c>
      <c r="B115" s="17" t="s">
        <v>519</v>
      </c>
      <c r="C115" s="17" t="s">
        <v>520</v>
      </c>
      <c r="D115" s="17" t="s">
        <v>28</v>
      </c>
      <c r="E115" s="17" t="s">
        <v>297</v>
      </c>
      <c r="F115" s="17" t="s">
        <v>28</v>
      </c>
      <c r="G115" s="17" t="s">
        <v>114</v>
      </c>
      <c r="H115" s="18" t="s">
        <v>59</v>
      </c>
      <c r="I115" s="17" t="s">
        <v>65</v>
      </c>
      <c r="J115" s="17"/>
      <c r="K115" s="17" t="s">
        <v>59</v>
      </c>
      <c r="L115" s="20" t="n">
        <v>83</v>
      </c>
      <c r="M115" s="20" t="n">
        <v>1</v>
      </c>
      <c r="N115" s="22" t="n">
        <f aca="false">IFERROR(M115/L115,0)</f>
        <v>0.0120481927710843</v>
      </c>
      <c r="O115" s="19" t="n">
        <v>5.48</v>
      </c>
      <c r="P115" s="9" t="n">
        <f aca="false">IFERROR(O115/M115,0)</f>
        <v>5.48</v>
      </c>
      <c r="Q115" s="20" t="n">
        <v>0</v>
      </c>
      <c r="R115" s="19" t="n">
        <v>0</v>
      </c>
      <c r="S115" s="8" t="n">
        <f aca="false">IFERROR(O115/R115,0)</f>
        <v>0</v>
      </c>
      <c r="T115" s="8" t="n">
        <f aca="false">IFERROR(Q115/M115,0)</f>
        <v>0</v>
      </c>
    </row>
    <row r="116" customFormat="false" ht="15" hidden="false" customHeight="false" outlineLevel="0" collapsed="false">
      <c r="A116" s="17" t="s">
        <v>16</v>
      </c>
      <c r="B116" s="17" t="s">
        <v>521</v>
      </c>
      <c r="C116" s="17" t="s">
        <v>522</v>
      </c>
      <c r="D116" s="17" t="s">
        <v>28</v>
      </c>
      <c r="E116" s="17" t="s">
        <v>297</v>
      </c>
      <c r="F116" s="17" t="s">
        <v>28</v>
      </c>
      <c r="G116" s="17" t="s">
        <v>117</v>
      </c>
      <c r="H116" s="18" t="s">
        <v>59</v>
      </c>
      <c r="I116" s="17" t="s">
        <v>65</v>
      </c>
      <c r="J116" s="17"/>
      <c r="K116" s="17" t="s">
        <v>59</v>
      </c>
      <c r="L116" s="20" t="n">
        <v>145</v>
      </c>
      <c r="M116" s="20" t="n">
        <v>2</v>
      </c>
      <c r="N116" s="22" t="n">
        <f aca="false">IFERROR(M116/L116,0)</f>
        <v>0.0137931034482759</v>
      </c>
      <c r="O116" s="19" t="n">
        <v>5.18</v>
      </c>
      <c r="P116" s="9" t="n">
        <f aca="false">IFERROR(O116/M116,0)</f>
        <v>2.59</v>
      </c>
      <c r="Q116" s="20" t="n">
        <v>0</v>
      </c>
      <c r="R116" s="19" t="n">
        <v>0</v>
      </c>
      <c r="S116" s="8" t="n">
        <f aca="false">IFERROR(O116/R116,0)</f>
        <v>0</v>
      </c>
      <c r="T116" s="8" t="n">
        <f aca="false">IFERROR(Q116/M116,0)</f>
        <v>0</v>
      </c>
    </row>
    <row r="117" customFormat="false" ht="15" hidden="false" customHeight="false" outlineLevel="0" collapsed="false">
      <c r="A117" s="17" t="s">
        <v>16</v>
      </c>
      <c r="B117" s="17" t="s">
        <v>523</v>
      </c>
      <c r="C117" s="17" t="s">
        <v>524</v>
      </c>
      <c r="D117" s="17" t="s">
        <v>33</v>
      </c>
      <c r="E117" s="17" t="s">
        <v>300</v>
      </c>
      <c r="F117" s="17" t="s">
        <v>301</v>
      </c>
      <c r="G117" s="17" t="s">
        <v>444</v>
      </c>
      <c r="H117" s="18" t="s">
        <v>59</v>
      </c>
      <c r="I117" s="17" t="s">
        <v>65</v>
      </c>
      <c r="J117" s="17"/>
      <c r="K117" s="17" t="s">
        <v>59</v>
      </c>
      <c r="L117" s="20" t="n">
        <v>451</v>
      </c>
      <c r="M117" s="20" t="n">
        <v>2</v>
      </c>
      <c r="N117" s="22" t="n">
        <f aca="false">IFERROR(M117/L117,0)</f>
        <v>0.00443458980044346</v>
      </c>
      <c r="O117" s="19" t="n">
        <v>4.26</v>
      </c>
      <c r="P117" s="9" t="n">
        <f aca="false">IFERROR(O117/M117,0)</f>
        <v>2.13</v>
      </c>
      <c r="Q117" s="20" t="n">
        <v>0</v>
      </c>
      <c r="R117" s="19" t="n">
        <v>0</v>
      </c>
      <c r="S117" s="8" t="n">
        <f aca="false">IFERROR(O117/R117,0)</f>
        <v>0</v>
      </c>
      <c r="T117" s="8" t="n">
        <f aca="false">IFERROR(Q117/M117,0)</f>
        <v>0</v>
      </c>
    </row>
    <row r="118" customFormat="false" ht="15" hidden="false" customHeight="false" outlineLevel="0" collapsed="false">
      <c r="A118" s="17" t="s">
        <v>16</v>
      </c>
      <c r="B118" s="17" t="s">
        <v>525</v>
      </c>
      <c r="C118" s="17" t="s">
        <v>526</v>
      </c>
      <c r="D118" s="17" t="s">
        <v>28</v>
      </c>
      <c r="E118" s="17" t="s">
        <v>297</v>
      </c>
      <c r="F118" s="17" t="s">
        <v>28</v>
      </c>
      <c r="G118" s="17" t="s">
        <v>117</v>
      </c>
      <c r="H118" s="18" t="s">
        <v>59</v>
      </c>
      <c r="I118" s="17" t="s">
        <v>65</v>
      </c>
      <c r="J118" s="17"/>
      <c r="K118" s="17" t="s">
        <v>59</v>
      </c>
      <c r="L118" s="20" t="n">
        <v>16</v>
      </c>
      <c r="M118" s="20" t="n">
        <v>1</v>
      </c>
      <c r="N118" s="22" t="n">
        <f aca="false">IFERROR(M118/L118,0)</f>
        <v>0.0625</v>
      </c>
      <c r="O118" s="19" t="n">
        <v>3.87</v>
      </c>
      <c r="P118" s="9" t="n">
        <f aca="false">IFERROR(O118/M118,0)</f>
        <v>3.87</v>
      </c>
      <c r="Q118" s="20" t="n">
        <v>0</v>
      </c>
      <c r="R118" s="19" t="n">
        <v>0</v>
      </c>
      <c r="S118" s="8" t="n">
        <f aca="false">IFERROR(O118/R118,0)</f>
        <v>0</v>
      </c>
      <c r="T118" s="8" t="n">
        <f aca="false">IFERROR(Q118/M118,0)</f>
        <v>0</v>
      </c>
    </row>
    <row r="119" customFormat="false" ht="15" hidden="false" customHeight="false" outlineLevel="0" collapsed="false">
      <c r="A119" s="17" t="s">
        <v>16</v>
      </c>
      <c r="B119" s="17" t="s">
        <v>527</v>
      </c>
      <c r="C119" s="17" t="s">
        <v>528</v>
      </c>
      <c r="D119" s="17" t="s">
        <v>30</v>
      </c>
      <c r="E119" s="17" t="s">
        <v>297</v>
      </c>
      <c r="F119" s="17" t="s">
        <v>294</v>
      </c>
      <c r="G119" s="17" t="s">
        <v>114</v>
      </c>
      <c r="H119" s="18" t="s">
        <v>59</v>
      </c>
      <c r="I119" s="17" t="s">
        <v>65</v>
      </c>
      <c r="J119" s="17"/>
      <c r="K119" s="17" t="s">
        <v>59</v>
      </c>
      <c r="L119" s="20" t="n">
        <v>246</v>
      </c>
      <c r="M119" s="20" t="n">
        <v>3</v>
      </c>
      <c r="N119" s="22" t="n">
        <f aca="false">IFERROR(M119/L119,0)</f>
        <v>0.0121951219512195</v>
      </c>
      <c r="O119" s="19" t="n">
        <v>3.61</v>
      </c>
      <c r="P119" s="9" t="n">
        <f aca="false">IFERROR(O119/M119,0)</f>
        <v>1.20333333333333</v>
      </c>
      <c r="Q119" s="20" t="n">
        <v>1</v>
      </c>
      <c r="R119" s="19" t="n">
        <v>71.99</v>
      </c>
      <c r="S119" s="8" t="n">
        <f aca="false">IFERROR(O119/R119,0)</f>
        <v>0.0501458535907765</v>
      </c>
      <c r="T119" s="8" t="n">
        <f aca="false">IFERROR(Q119/M119,0)</f>
        <v>0.333333333333333</v>
      </c>
    </row>
    <row r="120" customFormat="false" ht="15" hidden="false" customHeight="false" outlineLevel="0" collapsed="false">
      <c r="A120" s="17" t="s">
        <v>16</v>
      </c>
      <c r="B120" s="17" t="s">
        <v>529</v>
      </c>
      <c r="C120" s="17" t="s">
        <v>530</v>
      </c>
      <c r="D120" s="17" t="s">
        <v>33</v>
      </c>
      <c r="E120" s="17" t="s">
        <v>300</v>
      </c>
      <c r="F120" s="17" t="s">
        <v>301</v>
      </c>
      <c r="G120" s="17" t="s">
        <v>114</v>
      </c>
      <c r="H120" s="18" t="s">
        <v>59</v>
      </c>
      <c r="I120" s="17" t="s">
        <v>65</v>
      </c>
      <c r="J120" s="17"/>
      <c r="K120" s="17" t="s">
        <v>59</v>
      </c>
      <c r="L120" s="20" t="n">
        <v>469</v>
      </c>
      <c r="M120" s="20" t="n">
        <v>4</v>
      </c>
      <c r="N120" s="22" t="n">
        <f aca="false">IFERROR(M120/L120,0)</f>
        <v>0.00852878464818763</v>
      </c>
      <c r="O120" s="19" t="n">
        <v>3.28</v>
      </c>
      <c r="P120" s="9" t="n">
        <f aca="false">IFERROR(O120/M120,0)</f>
        <v>0.82</v>
      </c>
      <c r="Q120" s="20" t="n">
        <v>1</v>
      </c>
      <c r="R120" s="19" t="n">
        <v>136.78</v>
      </c>
      <c r="S120" s="8" t="n">
        <f aca="false">IFERROR(O120/R120,0)</f>
        <v>0.023980114051762</v>
      </c>
      <c r="T120" s="8" t="n">
        <f aca="false">IFERROR(Q120/M120,0)</f>
        <v>0.25</v>
      </c>
    </row>
    <row r="121" customFormat="false" ht="15" hidden="false" customHeight="false" outlineLevel="0" collapsed="false">
      <c r="A121" s="17" t="s">
        <v>16</v>
      </c>
      <c r="B121" s="17" t="s">
        <v>531</v>
      </c>
      <c r="C121" s="17" t="s">
        <v>532</v>
      </c>
      <c r="D121" s="17" t="s">
        <v>28</v>
      </c>
      <c r="E121" s="17" t="s">
        <v>297</v>
      </c>
      <c r="F121" s="17" t="s">
        <v>28</v>
      </c>
      <c r="G121" s="17" t="s">
        <v>134</v>
      </c>
      <c r="H121" s="18" t="s">
        <v>59</v>
      </c>
      <c r="I121" s="17" t="s">
        <v>65</v>
      </c>
      <c r="J121" s="17"/>
      <c r="K121" s="17" t="s">
        <v>59</v>
      </c>
      <c r="L121" s="20" t="n">
        <v>26</v>
      </c>
      <c r="M121" s="20" t="n">
        <v>1</v>
      </c>
      <c r="N121" s="22" t="n">
        <f aca="false">IFERROR(M121/L121,0)</f>
        <v>0.0384615384615385</v>
      </c>
      <c r="O121" s="19" t="n">
        <v>3</v>
      </c>
      <c r="P121" s="9" t="n">
        <f aca="false">IFERROR(O121/M121,0)</f>
        <v>3</v>
      </c>
      <c r="Q121" s="20" t="n">
        <v>0</v>
      </c>
      <c r="R121" s="19" t="n">
        <v>0</v>
      </c>
      <c r="S121" s="8" t="n">
        <f aca="false">IFERROR(O121/R121,0)</f>
        <v>0</v>
      </c>
      <c r="T121" s="8" t="n">
        <f aca="false">IFERROR(Q121/M121,0)</f>
        <v>0</v>
      </c>
    </row>
    <row r="122" customFormat="false" ht="15" hidden="false" customHeight="false" outlineLevel="0" collapsed="false">
      <c r="A122" s="17" t="s">
        <v>16</v>
      </c>
      <c r="B122" s="17" t="s">
        <v>396</v>
      </c>
      <c r="C122" s="17" t="s">
        <v>397</v>
      </c>
      <c r="D122" s="17" t="s">
        <v>33</v>
      </c>
      <c r="E122" s="17" t="s">
        <v>300</v>
      </c>
      <c r="F122" s="17" t="s">
        <v>294</v>
      </c>
      <c r="G122" s="17" t="s">
        <v>117</v>
      </c>
      <c r="H122" s="18" t="s">
        <v>59</v>
      </c>
      <c r="I122" s="17" t="s">
        <v>59</v>
      </c>
      <c r="J122" s="17" t="s">
        <v>431</v>
      </c>
      <c r="K122" s="17" t="s">
        <v>65</v>
      </c>
      <c r="L122" s="20" t="n">
        <v>476</v>
      </c>
      <c r="M122" s="20" t="n">
        <v>3</v>
      </c>
      <c r="N122" s="22" t="n">
        <f aca="false">IFERROR(M122/L122,0)</f>
        <v>0.00630252100840336</v>
      </c>
      <c r="O122" s="19" t="n">
        <v>2.81</v>
      </c>
      <c r="P122" s="9" t="n">
        <f aca="false">IFERROR(O122/M122,0)</f>
        <v>0.936666666666667</v>
      </c>
      <c r="Q122" s="20" t="n">
        <v>0</v>
      </c>
      <c r="R122" s="19" t="n">
        <v>0</v>
      </c>
      <c r="S122" s="8" t="n">
        <f aca="false">IFERROR(O122/R122,0)</f>
        <v>0</v>
      </c>
      <c r="T122" s="8" t="n">
        <f aca="false">IFERROR(Q122/M122,0)</f>
        <v>0</v>
      </c>
    </row>
    <row r="123" customFormat="false" ht="15" hidden="false" customHeight="false" outlineLevel="0" collapsed="false">
      <c r="A123" s="17" t="s">
        <v>16</v>
      </c>
      <c r="B123" s="17" t="s">
        <v>533</v>
      </c>
      <c r="C123" s="17" t="s">
        <v>534</v>
      </c>
      <c r="D123" s="17" t="s">
        <v>28</v>
      </c>
      <c r="E123" s="17" t="s">
        <v>297</v>
      </c>
      <c r="F123" s="17" t="s">
        <v>28</v>
      </c>
      <c r="G123" s="17" t="s">
        <v>114</v>
      </c>
      <c r="H123" s="18" t="s">
        <v>59</v>
      </c>
      <c r="I123" s="17" t="s">
        <v>65</v>
      </c>
      <c r="J123" s="17"/>
      <c r="K123" s="17" t="s">
        <v>59</v>
      </c>
      <c r="L123" s="20" t="n">
        <v>96</v>
      </c>
      <c r="M123" s="20" t="n">
        <v>2</v>
      </c>
      <c r="N123" s="22" t="n">
        <f aca="false">IFERROR(M123/L123,0)</f>
        <v>0.0208333333333333</v>
      </c>
      <c r="O123" s="19" t="n">
        <v>1.84</v>
      </c>
      <c r="P123" s="9" t="n">
        <f aca="false">IFERROR(O123/M123,0)</f>
        <v>0.92</v>
      </c>
      <c r="Q123" s="20" t="n">
        <v>1</v>
      </c>
      <c r="R123" s="19" t="n">
        <v>63.74</v>
      </c>
      <c r="S123" s="8" t="n">
        <f aca="false">IFERROR(O123/R123,0)</f>
        <v>0.0288672732977722</v>
      </c>
      <c r="T123" s="8" t="n">
        <f aca="false">IFERROR(Q123/M123,0)</f>
        <v>0.5</v>
      </c>
    </row>
    <row r="124" customFormat="false" ht="15" hidden="false" customHeight="false" outlineLevel="0" collapsed="false">
      <c r="A124" s="17" t="s">
        <v>16</v>
      </c>
      <c r="B124" s="17" t="s">
        <v>535</v>
      </c>
      <c r="C124" s="17" t="s">
        <v>536</v>
      </c>
      <c r="D124" s="17" t="s">
        <v>28</v>
      </c>
      <c r="E124" s="17" t="s">
        <v>297</v>
      </c>
      <c r="F124" s="17" t="s">
        <v>28</v>
      </c>
      <c r="G124" s="17" t="s">
        <v>117</v>
      </c>
      <c r="H124" s="18" t="s">
        <v>59</v>
      </c>
      <c r="I124" s="17" t="s">
        <v>65</v>
      </c>
      <c r="J124" s="17"/>
      <c r="K124" s="17" t="s">
        <v>59</v>
      </c>
      <c r="L124" s="20" t="n">
        <v>11</v>
      </c>
      <c r="M124" s="20" t="n">
        <v>2</v>
      </c>
      <c r="N124" s="22" t="n">
        <f aca="false">IFERROR(M124/L124,0)</f>
        <v>0.181818181818182</v>
      </c>
      <c r="O124" s="19" t="n">
        <v>1.38</v>
      </c>
      <c r="P124" s="9" t="n">
        <f aca="false">IFERROR(O124/M124,0)</f>
        <v>0.69</v>
      </c>
      <c r="Q124" s="20" t="n">
        <v>0</v>
      </c>
      <c r="R124" s="19" t="n">
        <v>0</v>
      </c>
      <c r="S124" s="8" t="n">
        <f aca="false">IFERROR(O124/R124,0)</f>
        <v>0</v>
      </c>
      <c r="T124" s="8" t="n">
        <f aca="false">IFERROR(Q124/M124,0)</f>
        <v>0</v>
      </c>
    </row>
    <row r="125" customFormat="false" ht="15" hidden="false" customHeight="false" outlineLevel="0" collapsed="false">
      <c r="A125" s="17" t="s">
        <v>16</v>
      </c>
      <c r="B125" s="17" t="s">
        <v>537</v>
      </c>
      <c r="C125" s="17" t="s">
        <v>538</v>
      </c>
      <c r="D125" s="17" t="s">
        <v>28</v>
      </c>
      <c r="E125" s="17" t="s">
        <v>297</v>
      </c>
      <c r="F125" s="17" t="s">
        <v>28</v>
      </c>
      <c r="G125" s="17" t="s">
        <v>539</v>
      </c>
      <c r="H125" s="18" t="s">
        <v>59</v>
      </c>
      <c r="I125" s="17" t="s">
        <v>65</v>
      </c>
      <c r="J125" s="17"/>
      <c r="K125" s="17" t="s">
        <v>59</v>
      </c>
      <c r="L125" s="20" t="n">
        <v>22</v>
      </c>
      <c r="M125" s="20" t="n">
        <v>1</v>
      </c>
      <c r="N125" s="22" t="n">
        <f aca="false">IFERROR(M125/L125,0)</f>
        <v>0.0454545454545455</v>
      </c>
      <c r="O125" s="19" t="n">
        <v>1.08</v>
      </c>
      <c r="P125" s="9" t="n">
        <f aca="false">IFERROR(O125/M125,0)</f>
        <v>1.08</v>
      </c>
      <c r="Q125" s="20" t="n">
        <v>0</v>
      </c>
      <c r="R125" s="19" t="n">
        <v>0</v>
      </c>
      <c r="S125" s="8" t="n">
        <f aca="false">IFERROR(O125/R125,0)</f>
        <v>0</v>
      </c>
      <c r="T125" s="8" t="n">
        <f aca="false">IFERROR(Q125/M125,0)</f>
        <v>0</v>
      </c>
    </row>
    <row r="126" customFormat="false" ht="15" hidden="false" customHeight="false" outlineLevel="0" collapsed="false">
      <c r="A126" s="17" t="s">
        <v>16</v>
      </c>
      <c r="B126" s="17" t="s">
        <v>540</v>
      </c>
      <c r="C126" s="17" t="s">
        <v>541</v>
      </c>
      <c r="D126" s="17" t="s">
        <v>31</v>
      </c>
      <c r="E126" s="17" t="s">
        <v>293</v>
      </c>
      <c r="F126" s="17" t="s">
        <v>288</v>
      </c>
      <c r="G126" s="17" t="s">
        <v>114</v>
      </c>
      <c r="H126" s="18" t="s">
        <v>59</v>
      </c>
      <c r="I126" s="17" t="s">
        <v>65</v>
      </c>
      <c r="J126" s="17"/>
      <c r="K126" s="17" t="s">
        <v>59</v>
      </c>
      <c r="L126" s="20" t="n">
        <v>100</v>
      </c>
      <c r="M126" s="20" t="n">
        <v>1</v>
      </c>
      <c r="N126" s="22" t="n">
        <f aca="false">IFERROR(M126/L126,0)</f>
        <v>0.01</v>
      </c>
      <c r="O126" s="19" t="n">
        <v>1.08</v>
      </c>
      <c r="P126" s="9" t="n">
        <f aca="false">IFERROR(O126/M126,0)</f>
        <v>1.08</v>
      </c>
      <c r="Q126" s="20" t="n">
        <v>0</v>
      </c>
      <c r="R126" s="19" t="n">
        <v>0</v>
      </c>
      <c r="S126" s="8" t="n">
        <f aca="false">IFERROR(O126/R126,0)</f>
        <v>0</v>
      </c>
      <c r="T126" s="8" t="n">
        <f aca="false">IFERROR(Q126/M126,0)</f>
        <v>0</v>
      </c>
    </row>
    <row r="127" customFormat="false" ht="15" hidden="false" customHeight="false" outlineLevel="0" collapsed="false">
      <c r="A127" s="17" t="s">
        <v>16</v>
      </c>
      <c r="B127" s="17" t="s">
        <v>408</v>
      </c>
      <c r="C127" s="17" t="s">
        <v>409</v>
      </c>
      <c r="D127" s="17" t="s">
        <v>33</v>
      </c>
      <c r="E127" s="17" t="s">
        <v>300</v>
      </c>
      <c r="F127" s="17" t="s">
        <v>294</v>
      </c>
      <c r="G127" s="17" t="s">
        <v>114</v>
      </c>
      <c r="H127" s="18" t="s">
        <v>59</v>
      </c>
      <c r="I127" s="17" t="s">
        <v>59</v>
      </c>
      <c r="J127" s="17" t="s">
        <v>431</v>
      </c>
      <c r="K127" s="17" t="s">
        <v>65</v>
      </c>
      <c r="L127" s="20" t="n">
        <v>485</v>
      </c>
      <c r="M127" s="20" t="n">
        <v>1</v>
      </c>
      <c r="N127" s="22" t="n">
        <f aca="false">IFERROR(M127/L127,0)</f>
        <v>0.00206185567010309</v>
      </c>
      <c r="O127" s="19" t="n">
        <v>0.99</v>
      </c>
      <c r="P127" s="9" t="n">
        <f aca="false">IFERROR(O127/M127,0)</f>
        <v>0.99</v>
      </c>
      <c r="Q127" s="20" t="n">
        <v>0</v>
      </c>
      <c r="R127" s="19" t="n">
        <v>0</v>
      </c>
      <c r="S127" s="8" t="n">
        <f aca="false">IFERROR(O127/R127,0)</f>
        <v>0</v>
      </c>
      <c r="T127" s="8" t="n">
        <f aca="false">IFERROR(Q127/M127,0)</f>
        <v>0</v>
      </c>
    </row>
    <row r="128" customFormat="false" ht="15" hidden="false" customHeight="false" outlineLevel="0" collapsed="false">
      <c r="A128" s="17" t="s">
        <v>16</v>
      </c>
      <c r="B128" s="17" t="s">
        <v>542</v>
      </c>
      <c r="C128" s="17" t="s">
        <v>543</v>
      </c>
      <c r="D128" s="23" t="s">
        <v>32</v>
      </c>
      <c r="E128" s="17" t="s">
        <v>285</v>
      </c>
      <c r="F128" s="17" t="s">
        <v>288</v>
      </c>
      <c r="G128" s="17" t="s">
        <v>544</v>
      </c>
      <c r="H128" s="23" t="s">
        <v>65</v>
      </c>
      <c r="I128" s="17" t="s">
        <v>65</v>
      </c>
      <c r="J128" s="17"/>
      <c r="K128" s="17" t="s">
        <v>59</v>
      </c>
      <c r="L128" s="20" t="n">
        <v>123</v>
      </c>
      <c r="M128" s="20" t="n">
        <v>1</v>
      </c>
      <c r="N128" s="22" t="n">
        <f aca="false">IFERROR(M128/L128,0)</f>
        <v>0.00813008130081301</v>
      </c>
      <c r="O128" s="19" t="n">
        <v>0.85</v>
      </c>
      <c r="P128" s="9" t="n">
        <f aca="false">IFERROR(O128/M128,0)</f>
        <v>0.85</v>
      </c>
      <c r="Q128" s="20" t="n">
        <v>0</v>
      </c>
      <c r="R128" s="19" t="n">
        <v>0</v>
      </c>
      <c r="S128" s="8" t="n">
        <f aca="false">IFERROR(O128/R128,0)</f>
        <v>0</v>
      </c>
      <c r="T128" s="8" t="n">
        <f aca="false">IFERROR(Q128/M128,0)</f>
        <v>0</v>
      </c>
    </row>
    <row r="129" customFormat="false" ht="15" hidden="false" customHeight="false" outlineLevel="0" collapsed="false">
      <c r="A129" s="17" t="s">
        <v>16</v>
      </c>
      <c r="B129" s="17" t="s">
        <v>545</v>
      </c>
      <c r="C129" s="17" t="s">
        <v>546</v>
      </c>
      <c r="D129" s="17" t="s">
        <v>30</v>
      </c>
      <c r="E129" s="17" t="s">
        <v>297</v>
      </c>
      <c r="F129" s="17" t="s">
        <v>294</v>
      </c>
      <c r="G129" s="17" t="s">
        <v>115</v>
      </c>
      <c r="H129" s="23" t="s">
        <v>65</v>
      </c>
      <c r="I129" s="17" t="s">
        <v>65</v>
      </c>
      <c r="J129" s="17"/>
      <c r="K129" s="17" t="s">
        <v>59</v>
      </c>
      <c r="L129" s="20" t="n">
        <v>1</v>
      </c>
      <c r="M129" s="20" t="n">
        <v>1</v>
      </c>
      <c r="N129" s="22" t="n">
        <f aca="false">IFERROR(M129/L129,0)</f>
        <v>1</v>
      </c>
      <c r="O129" s="19" t="n">
        <v>0.73</v>
      </c>
      <c r="P129" s="9" t="n">
        <f aca="false">IFERROR(O129/M129,0)</f>
        <v>0.73</v>
      </c>
      <c r="Q129" s="20" t="n">
        <v>0</v>
      </c>
      <c r="R129" s="19" t="n">
        <v>0</v>
      </c>
      <c r="S129" s="8" t="n">
        <f aca="false">IFERROR(O129/R129,0)</f>
        <v>0</v>
      </c>
      <c r="T129" s="8" t="n">
        <f aca="false">IFERROR(Q129/M129,0)</f>
        <v>0</v>
      </c>
    </row>
    <row r="130" customFormat="false" ht="15" hidden="false" customHeight="false" outlineLevel="0" collapsed="false">
      <c r="A130" s="17" t="s">
        <v>16</v>
      </c>
      <c r="B130" s="17" t="s">
        <v>547</v>
      </c>
      <c r="C130" s="17" t="s">
        <v>548</v>
      </c>
      <c r="D130" s="17" t="s">
        <v>31</v>
      </c>
      <c r="E130" s="17" t="s">
        <v>293</v>
      </c>
      <c r="F130" s="17" t="s">
        <v>288</v>
      </c>
      <c r="G130" s="17" t="s">
        <v>117</v>
      </c>
      <c r="H130" s="18" t="s">
        <v>59</v>
      </c>
      <c r="I130" s="17" t="s">
        <v>65</v>
      </c>
      <c r="J130" s="17"/>
      <c r="K130" s="17" t="s">
        <v>59</v>
      </c>
      <c r="L130" s="20" t="n">
        <v>59</v>
      </c>
      <c r="M130" s="20" t="n">
        <v>1</v>
      </c>
      <c r="N130" s="22" t="n">
        <f aca="false">IFERROR(M130/L130,0)</f>
        <v>0.0169491525423729</v>
      </c>
      <c r="O130" s="19" t="n">
        <v>0.02</v>
      </c>
      <c r="P130" s="9" t="n">
        <f aca="false">IFERROR(O130/M130,0)</f>
        <v>0.02</v>
      </c>
      <c r="Q130" s="20" t="n">
        <v>0</v>
      </c>
      <c r="R130" s="19" t="n">
        <v>0</v>
      </c>
      <c r="S130" s="8" t="n">
        <f aca="false">IFERROR(O130/R130,0)</f>
        <v>0</v>
      </c>
      <c r="T130" s="8" t="n">
        <f aca="false">IFERROR(Q130/M130,0)</f>
        <v>0</v>
      </c>
    </row>
    <row r="131" customFormat="false" ht="15" hidden="false" customHeight="false" outlineLevel="0" collapsed="false">
      <c r="A131" s="17" t="s">
        <v>16</v>
      </c>
      <c r="B131" s="17" t="s">
        <v>549</v>
      </c>
      <c r="C131" s="17" t="s">
        <v>550</v>
      </c>
      <c r="D131" s="17" t="s">
        <v>29</v>
      </c>
      <c r="E131" s="17" t="s">
        <v>297</v>
      </c>
      <c r="F131" s="17" t="s">
        <v>301</v>
      </c>
      <c r="G131" s="17" t="s">
        <v>117</v>
      </c>
      <c r="H131" s="18" t="s">
        <v>59</v>
      </c>
      <c r="I131" s="17" t="s">
        <v>65</v>
      </c>
      <c r="J131" s="17"/>
      <c r="K131" s="17" t="s">
        <v>59</v>
      </c>
      <c r="L131" s="20" t="n">
        <v>21</v>
      </c>
      <c r="M131" s="20" t="n">
        <v>1</v>
      </c>
      <c r="N131" s="22" t="n">
        <f aca="false">IFERROR(M131/L131,0)</f>
        <v>0.0476190476190476</v>
      </c>
      <c r="O131" s="19" t="n">
        <v>0.02</v>
      </c>
      <c r="P131" s="9" t="n">
        <f aca="false">IFERROR(O131/M131,0)</f>
        <v>0.02</v>
      </c>
      <c r="Q131" s="20" t="n">
        <v>0</v>
      </c>
      <c r="R131" s="19" t="n">
        <v>0</v>
      </c>
      <c r="S131" s="8" t="n">
        <f aca="false">IFERROR(O131/R131,0)</f>
        <v>0</v>
      </c>
      <c r="T131" s="8" t="n">
        <f aca="false">IFERROR(Q131/M131,0)</f>
        <v>0</v>
      </c>
    </row>
    <row r="132" customFormat="false" ht="15" hidden="false" customHeight="false" outlineLevel="0" collapsed="false">
      <c r="A132" s="17" t="s">
        <v>17</v>
      </c>
      <c r="B132" s="17" t="s">
        <v>551</v>
      </c>
      <c r="C132" s="17" t="s">
        <v>552</v>
      </c>
      <c r="D132" s="17" t="s">
        <v>28</v>
      </c>
      <c r="E132" s="17" t="s">
        <v>297</v>
      </c>
      <c r="F132" s="17" t="s">
        <v>28</v>
      </c>
      <c r="G132" s="17" t="s">
        <v>553</v>
      </c>
      <c r="H132" s="23" t="s">
        <v>65</v>
      </c>
      <c r="I132" s="17" t="s">
        <v>65</v>
      </c>
      <c r="J132" s="17"/>
      <c r="K132" s="17" t="s">
        <v>59</v>
      </c>
      <c r="L132" s="20" t="n">
        <v>16086</v>
      </c>
      <c r="M132" s="20" t="n">
        <v>67</v>
      </c>
      <c r="N132" s="22" t="n">
        <f aca="false">IFERROR(M132/L132,0)</f>
        <v>0.0041651125202039</v>
      </c>
      <c r="O132" s="19" t="n">
        <v>183.11</v>
      </c>
      <c r="P132" s="9" t="n">
        <f aca="false">IFERROR(O132/M132,0)</f>
        <v>2.73298507462687</v>
      </c>
      <c r="Q132" s="20" t="n">
        <v>11</v>
      </c>
      <c r="R132" s="19" t="n">
        <v>343.45</v>
      </c>
      <c r="S132" s="8" t="n">
        <f aca="false">IFERROR(O132/R132,0)</f>
        <v>0.533148929975251</v>
      </c>
      <c r="T132" s="8" t="n">
        <f aca="false">IFERROR(Q132/M132,0)</f>
        <v>0.164179104477612</v>
      </c>
    </row>
    <row r="133" customFormat="false" ht="15" hidden="false" customHeight="false" outlineLevel="0" collapsed="false">
      <c r="A133" s="17" t="s">
        <v>17</v>
      </c>
      <c r="B133" s="17" t="s">
        <v>554</v>
      </c>
      <c r="C133" s="17" t="s">
        <v>555</v>
      </c>
      <c r="D133" s="21" t="s">
        <v>34</v>
      </c>
      <c r="E133" s="17" t="s">
        <v>293</v>
      </c>
      <c r="F133" s="17"/>
      <c r="G133" s="17"/>
      <c r="H133" s="17"/>
      <c r="I133" s="17" t="s">
        <v>65</v>
      </c>
      <c r="J133" s="17"/>
      <c r="K133" s="17" t="s">
        <v>59</v>
      </c>
      <c r="L133" s="20" t="n">
        <v>13903</v>
      </c>
      <c r="M133" s="20" t="n">
        <v>125</v>
      </c>
      <c r="N133" s="22" t="n">
        <f aca="false">IFERROR(M133/L133,0)</f>
        <v>0.00899086528087463</v>
      </c>
      <c r="O133" s="19" t="n">
        <v>151.25</v>
      </c>
      <c r="P133" s="9" t="n">
        <f aca="false">IFERROR(O133/M133,0)</f>
        <v>1.21</v>
      </c>
      <c r="Q133" s="20" t="n">
        <v>14</v>
      </c>
      <c r="R133" s="19" t="n">
        <v>441.3</v>
      </c>
      <c r="S133" s="8" t="n">
        <f aca="false">IFERROR(O133/R133,0)</f>
        <v>0.34273736687061</v>
      </c>
      <c r="T133" s="8" t="n">
        <f aca="false">IFERROR(Q133/M133,0)</f>
        <v>0.112</v>
      </c>
    </row>
    <row r="134" customFormat="false" ht="15" hidden="false" customHeight="false" outlineLevel="0" collapsed="false">
      <c r="A134" s="17" t="s">
        <v>17</v>
      </c>
      <c r="B134" s="17" t="s">
        <v>556</v>
      </c>
      <c r="C134" s="17" t="s">
        <v>557</v>
      </c>
      <c r="D134" s="17" t="s">
        <v>28</v>
      </c>
      <c r="E134" s="17" t="s">
        <v>297</v>
      </c>
      <c r="F134" s="17" t="s">
        <v>28</v>
      </c>
      <c r="G134" s="17" t="s">
        <v>139</v>
      </c>
      <c r="H134" s="18" t="s">
        <v>59</v>
      </c>
      <c r="I134" s="17" t="s">
        <v>65</v>
      </c>
      <c r="J134" s="17"/>
      <c r="K134" s="17" t="s">
        <v>59</v>
      </c>
      <c r="L134" s="20" t="n">
        <v>2929</v>
      </c>
      <c r="M134" s="20" t="n">
        <v>53</v>
      </c>
      <c r="N134" s="22" t="n">
        <f aca="false">IFERROR(M134/L134,0)</f>
        <v>0.0180949129395698</v>
      </c>
      <c r="O134" s="19" t="n">
        <v>113.33</v>
      </c>
      <c r="P134" s="9" t="n">
        <f aca="false">IFERROR(O134/M134,0)</f>
        <v>2.13830188679245</v>
      </c>
      <c r="Q134" s="20" t="n">
        <v>17</v>
      </c>
      <c r="R134" s="19" t="n">
        <v>513.68</v>
      </c>
      <c r="S134" s="8" t="n">
        <f aca="false">IFERROR(O134/R134,0)</f>
        <v>0.220623734620776</v>
      </c>
      <c r="T134" s="8" t="n">
        <f aca="false">IFERROR(Q134/M134,0)</f>
        <v>0.320754716981132</v>
      </c>
    </row>
    <row r="135" customFormat="false" ht="15" hidden="false" customHeight="false" outlineLevel="0" collapsed="false">
      <c r="A135" s="17" t="s">
        <v>17</v>
      </c>
      <c r="B135" s="17" t="s">
        <v>307</v>
      </c>
      <c r="C135" s="17" t="s">
        <v>308</v>
      </c>
      <c r="D135" s="17" t="s">
        <v>33</v>
      </c>
      <c r="E135" s="17" t="s">
        <v>300</v>
      </c>
      <c r="F135" s="17" t="s">
        <v>294</v>
      </c>
      <c r="G135" s="17"/>
      <c r="H135" s="17"/>
      <c r="I135" s="17" t="s">
        <v>59</v>
      </c>
      <c r="J135" s="17" t="s">
        <v>558</v>
      </c>
      <c r="K135" s="17" t="s">
        <v>65</v>
      </c>
      <c r="L135" s="20" t="n">
        <v>10572</v>
      </c>
      <c r="M135" s="20" t="n">
        <v>64</v>
      </c>
      <c r="N135" s="22" t="n">
        <f aca="false">IFERROR(M135/L135,0)</f>
        <v>0.006053726825577</v>
      </c>
      <c r="O135" s="19" t="n">
        <v>47.6</v>
      </c>
      <c r="P135" s="9" t="n">
        <f aca="false">IFERROR(O135/M135,0)</f>
        <v>0.74375</v>
      </c>
      <c r="Q135" s="20" t="n">
        <v>10</v>
      </c>
      <c r="R135" s="19" t="n">
        <v>453.42</v>
      </c>
      <c r="S135" s="8" t="n">
        <f aca="false">IFERROR(O135/R135,0)</f>
        <v>0.104979930307441</v>
      </c>
      <c r="T135" s="8" t="n">
        <f aca="false">IFERROR(Q135/M135,0)</f>
        <v>0.15625</v>
      </c>
    </row>
    <row r="136" customFormat="false" ht="15" hidden="false" customHeight="false" outlineLevel="0" collapsed="false">
      <c r="A136" s="17" t="s">
        <v>17</v>
      </c>
      <c r="B136" s="17" t="s">
        <v>559</v>
      </c>
      <c r="C136" s="17" t="s">
        <v>560</v>
      </c>
      <c r="D136" s="21" t="s">
        <v>34</v>
      </c>
      <c r="E136" s="17" t="s">
        <v>285</v>
      </c>
      <c r="F136" s="17" t="s">
        <v>314</v>
      </c>
      <c r="G136" s="17"/>
      <c r="H136" s="17"/>
      <c r="I136" s="17" t="s">
        <v>65</v>
      </c>
      <c r="J136" s="17"/>
      <c r="K136" s="17" t="s">
        <v>59</v>
      </c>
      <c r="L136" s="20" t="n">
        <v>13214</v>
      </c>
      <c r="M136" s="20" t="n">
        <v>72</v>
      </c>
      <c r="N136" s="22" t="n">
        <f aca="false">IFERROR(M136/L136,0)</f>
        <v>0.00544876645981535</v>
      </c>
      <c r="O136" s="19" t="n">
        <v>35.38</v>
      </c>
      <c r="P136" s="9" t="n">
        <f aca="false">IFERROR(O136/M136,0)</f>
        <v>0.491388888888889</v>
      </c>
      <c r="Q136" s="20" t="n">
        <v>7</v>
      </c>
      <c r="R136" s="19" t="n">
        <v>227.65</v>
      </c>
      <c r="S136" s="8" t="n">
        <f aca="false">IFERROR(O136/R136,0)</f>
        <v>0.155414012738854</v>
      </c>
      <c r="T136" s="8" t="n">
        <f aca="false">IFERROR(Q136/M136,0)</f>
        <v>0.0972222222222222</v>
      </c>
    </row>
    <row r="137" customFormat="false" ht="15" hidden="false" customHeight="false" outlineLevel="0" collapsed="false">
      <c r="A137" s="17" t="s">
        <v>17</v>
      </c>
      <c r="B137" s="17" t="s">
        <v>561</v>
      </c>
      <c r="C137" s="17" t="s">
        <v>562</v>
      </c>
      <c r="D137" s="17" t="s">
        <v>28</v>
      </c>
      <c r="E137" s="17" t="s">
        <v>297</v>
      </c>
      <c r="F137" s="17" t="s">
        <v>28</v>
      </c>
      <c r="G137" s="17" t="s">
        <v>140</v>
      </c>
      <c r="H137" s="23" t="s">
        <v>65</v>
      </c>
      <c r="I137" s="17" t="s">
        <v>65</v>
      </c>
      <c r="J137" s="17"/>
      <c r="K137" s="17" t="s">
        <v>59</v>
      </c>
      <c r="L137" s="20" t="n">
        <v>375</v>
      </c>
      <c r="M137" s="20" t="n">
        <v>8</v>
      </c>
      <c r="N137" s="22" t="n">
        <f aca="false">IFERROR(M137/L137,0)</f>
        <v>0.0213333333333333</v>
      </c>
      <c r="O137" s="19" t="n">
        <v>31.43</v>
      </c>
      <c r="P137" s="9" t="n">
        <f aca="false">IFERROR(O137/M137,0)</f>
        <v>3.92875</v>
      </c>
      <c r="Q137" s="20" t="n">
        <v>1</v>
      </c>
      <c r="R137" s="19" t="n">
        <v>33.95</v>
      </c>
      <c r="S137" s="8" t="n">
        <f aca="false">IFERROR(O137/R137,0)</f>
        <v>0.925773195876289</v>
      </c>
      <c r="T137" s="8" t="n">
        <f aca="false">IFERROR(Q137/M137,0)</f>
        <v>0.125</v>
      </c>
    </row>
    <row r="138" customFormat="false" ht="15" hidden="false" customHeight="false" outlineLevel="0" collapsed="false">
      <c r="A138" s="17" t="s">
        <v>17</v>
      </c>
      <c r="B138" s="17" t="s">
        <v>563</v>
      </c>
      <c r="C138" s="17" t="s">
        <v>564</v>
      </c>
      <c r="D138" s="17" t="s">
        <v>28</v>
      </c>
      <c r="E138" s="17" t="s">
        <v>297</v>
      </c>
      <c r="F138" s="17" t="s">
        <v>28</v>
      </c>
      <c r="G138" s="17" t="s">
        <v>140</v>
      </c>
      <c r="H138" s="23" t="s">
        <v>65</v>
      </c>
      <c r="I138" s="17" t="s">
        <v>65</v>
      </c>
      <c r="J138" s="17"/>
      <c r="K138" s="17" t="s">
        <v>59</v>
      </c>
      <c r="L138" s="20" t="n">
        <v>526</v>
      </c>
      <c r="M138" s="20" t="n">
        <v>11</v>
      </c>
      <c r="N138" s="22" t="n">
        <f aca="false">IFERROR(M138/L138,0)</f>
        <v>0.0209125475285171</v>
      </c>
      <c r="O138" s="19" t="n">
        <v>27.23</v>
      </c>
      <c r="P138" s="9" t="n">
        <f aca="false">IFERROR(O138/M138,0)</f>
        <v>2.47545454545455</v>
      </c>
      <c r="Q138" s="20" t="n">
        <v>2</v>
      </c>
      <c r="R138" s="19" t="n">
        <v>67.9</v>
      </c>
      <c r="S138" s="8" t="n">
        <f aca="false">IFERROR(O138/R138,0)</f>
        <v>0.401030927835052</v>
      </c>
      <c r="T138" s="8" t="n">
        <f aca="false">IFERROR(Q138/M138,0)</f>
        <v>0.181818181818182</v>
      </c>
    </row>
    <row r="139" customFormat="false" ht="15" hidden="false" customHeight="false" outlineLevel="0" collapsed="false">
      <c r="A139" s="17" t="s">
        <v>17</v>
      </c>
      <c r="B139" s="17" t="s">
        <v>565</v>
      </c>
      <c r="C139" s="17" t="s">
        <v>566</v>
      </c>
      <c r="D139" s="17" t="s">
        <v>28</v>
      </c>
      <c r="E139" s="17" t="s">
        <v>297</v>
      </c>
      <c r="F139" s="17" t="s">
        <v>28</v>
      </c>
      <c r="G139" s="17" t="s">
        <v>139</v>
      </c>
      <c r="H139" s="18" t="s">
        <v>59</v>
      </c>
      <c r="I139" s="17" t="s">
        <v>65</v>
      </c>
      <c r="J139" s="17"/>
      <c r="K139" s="17" t="s">
        <v>59</v>
      </c>
      <c r="L139" s="20" t="n">
        <v>1097</v>
      </c>
      <c r="M139" s="20" t="n">
        <v>13</v>
      </c>
      <c r="N139" s="22" t="n">
        <f aca="false">IFERROR(M139/L139,0)</f>
        <v>0.0118505013673655</v>
      </c>
      <c r="O139" s="19" t="n">
        <v>26.22</v>
      </c>
      <c r="P139" s="9" t="n">
        <f aca="false">IFERROR(O139/M139,0)</f>
        <v>2.01692307692308</v>
      </c>
      <c r="Q139" s="20" t="n">
        <v>3</v>
      </c>
      <c r="R139" s="19" t="n">
        <v>79.47</v>
      </c>
      <c r="S139" s="8" t="n">
        <f aca="false">IFERROR(O139/R139,0)</f>
        <v>0.329935824839562</v>
      </c>
      <c r="T139" s="8" t="n">
        <f aca="false">IFERROR(Q139/M139,0)</f>
        <v>0.230769230769231</v>
      </c>
    </row>
    <row r="140" customFormat="false" ht="15" hidden="false" customHeight="false" outlineLevel="0" collapsed="false">
      <c r="A140" s="17" t="s">
        <v>17</v>
      </c>
      <c r="B140" s="17" t="s">
        <v>567</v>
      </c>
      <c r="C140" s="17" t="s">
        <v>568</v>
      </c>
      <c r="D140" s="17" t="s">
        <v>28</v>
      </c>
      <c r="E140" s="17" t="s">
        <v>297</v>
      </c>
      <c r="F140" s="17" t="s">
        <v>28</v>
      </c>
      <c r="G140" s="17" t="s">
        <v>148</v>
      </c>
      <c r="H140" s="18" t="s">
        <v>59</v>
      </c>
      <c r="I140" s="17" t="s">
        <v>65</v>
      </c>
      <c r="J140" s="17"/>
      <c r="K140" s="17" t="s">
        <v>59</v>
      </c>
      <c r="L140" s="20" t="n">
        <v>183</v>
      </c>
      <c r="M140" s="20" t="n">
        <v>7</v>
      </c>
      <c r="N140" s="22" t="n">
        <f aca="false">IFERROR(M140/L140,0)</f>
        <v>0.0382513661202186</v>
      </c>
      <c r="O140" s="19" t="n">
        <v>22.33</v>
      </c>
      <c r="P140" s="9" t="n">
        <f aca="false">IFERROR(O140/M140,0)</f>
        <v>3.19</v>
      </c>
      <c r="Q140" s="20" t="n">
        <v>2</v>
      </c>
      <c r="R140" s="19" t="n">
        <v>55.9</v>
      </c>
      <c r="S140" s="8" t="n">
        <f aca="false">IFERROR(O140/R140,0)</f>
        <v>0.399463327370304</v>
      </c>
      <c r="T140" s="8" t="n">
        <f aca="false">IFERROR(Q140/M140,0)</f>
        <v>0.285714285714286</v>
      </c>
    </row>
    <row r="141" customFormat="false" ht="15" hidden="false" customHeight="false" outlineLevel="0" collapsed="false">
      <c r="A141" s="17" t="s">
        <v>17</v>
      </c>
      <c r="B141" s="17" t="s">
        <v>569</v>
      </c>
      <c r="C141" s="17" t="s">
        <v>570</v>
      </c>
      <c r="D141" s="21" t="s">
        <v>34</v>
      </c>
      <c r="E141" s="17" t="s">
        <v>293</v>
      </c>
      <c r="F141" s="17"/>
      <c r="G141" s="17"/>
      <c r="H141" s="17"/>
      <c r="I141" s="17" t="s">
        <v>65</v>
      </c>
      <c r="J141" s="17"/>
      <c r="K141" s="17" t="s">
        <v>59</v>
      </c>
      <c r="L141" s="20" t="n">
        <v>2513</v>
      </c>
      <c r="M141" s="20" t="n">
        <v>19</v>
      </c>
      <c r="N141" s="22" t="n">
        <f aca="false">IFERROR(M141/L141,0)</f>
        <v>0.00756068444090728</v>
      </c>
      <c r="O141" s="19" t="n">
        <v>18</v>
      </c>
      <c r="P141" s="9" t="n">
        <f aca="false">IFERROR(O141/M141,0)</f>
        <v>0.947368421052632</v>
      </c>
      <c r="Q141" s="20" t="n">
        <v>3</v>
      </c>
      <c r="R141" s="19" t="n">
        <v>72.67</v>
      </c>
      <c r="S141" s="8" t="n">
        <f aca="false">IFERROR(O141/R141,0)</f>
        <v>0.247695059859639</v>
      </c>
      <c r="T141" s="8" t="n">
        <f aca="false">IFERROR(Q141/M141,0)</f>
        <v>0.157894736842105</v>
      </c>
    </row>
    <row r="142" customFormat="false" ht="15" hidden="false" customHeight="false" outlineLevel="0" collapsed="false">
      <c r="A142" s="17" t="s">
        <v>17</v>
      </c>
      <c r="B142" s="17" t="s">
        <v>571</v>
      </c>
      <c r="C142" s="17" t="s">
        <v>572</v>
      </c>
      <c r="D142" s="17" t="s">
        <v>31</v>
      </c>
      <c r="E142" s="17" t="s">
        <v>293</v>
      </c>
      <c r="F142" s="17" t="s">
        <v>288</v>
      </c>
      <c r="G142" s="17" t="s">
        <v>147</v>
      </c>
      <c r="H142" s="23" t="s">
        <v>65</v>
      </c>
      <c r="I142" s="17" t="s">
        <v>65</v>
      </c>
      <c r="J142" s="17"/>
      <c r="K142" s="17" t="s">
        <v>59</v>
      </c>
      <c r="L142" s="20" t="n">
        <v>744</v>
      </c>
      <c r="M142" s="20" t="n">
        <v>14</v>
      </c>
      <c r="N142" s="22" t="n">
        <f aca="false">IFERROR(M142/L142,0)</f>
        <v>0.0188172043010753</v>
      </c>
      <c r="O142" s="19" t="n">
        <v>16.45</v>
      </c>
      <c r="P142" s="9" t="n">
        <f aca="false">IFERROR(O142/M142,0)</f>
        <v>1.175</v>
      </c>
      <c r="Q142" s="20" t="n">
        <v>4</v>
      </c>
      <c r="R142" s="19" t="n">
        <v>109.82</v>
      </c>
      <c r="S142" s="8" t="n">
        <f aca="false">IFERROR(O142/R142,0)</f>
        <v>0.149790566381351</v>
      </c>
      <c r="T142" s="8" t="n">
        <f aca="false">IFERROR(Q142/M142,0)</f>
        <v>0.285714285714286</v>
      </c>
    </row>
    <row r="143" customFormat="false" ht="15" hidden="false" customHeight="false" outlineLevel="0" collapsed="false">
      <c r="A143" s="17" t="s">
        <v>17</v>
      </c>
      <c r="B143" s="17" t="s">
        <v>573</v>
      </c>
      <c r="C143" s="17" t="s">
        <v>574</v>
      </c>
      <c r="D143" s="23" t="s">
        <v>32</v>
      </c>
      <c r="E143" s="17" t="s">
        <v>285</v>
      </c>
      <c r="F143" s="17" t="s">
        <v>288</v>
      </c>
      <c r="G143" s="17" t="s">
        <v>139</v>
      </c>
      <c r="H143" s="18" t="s">
        <v>59</v>
      </c>
      <c r="I143" s="17" t="s">
        <v>65</v>
      </c>
      <c r="J143" s="17"/>
      <c r="K143" s="17" t="s">
        <v>59</v>
      </c>
      <c r="L143" s="20" t="n">
        <v>4971</v>
      </c>
      <c r="M143" s="20" t="n">
        <v>20</v>
      </c>
      <c r="N143" s="22" t="n">
        <f aca="false">IFERROR(M143/L143,0)</f>
        <v>0.00402333534500101</v>
      </c>
      <c r="O143" s="19" t="n">
        <v>14.09</v>
      </c>
      <c r="P143" s="9" t="n">
        <f aca="false">IFERROR(O143/M143,0)</f>
        <v>0.7045</v>
      </c>
      <c r="Q143" s="20" t="n">
        <v>0</v>
      </c>
      <c r="R143" s="19" t="n">
        <v>0</v>
      </c>
      <c r="S143" s="8" t="n">
        <f aca="false">IFERROR(O143/R143,0)</f>
        <v>0</v>
      </c>
      <c r="T143" s="8" t="n">
        <f aca="false">IFERROR(Q143/M143,0)</f>
        <v>0</v>
      </c>
    </row>
    <row r="144" customFormat="false" ht="15" hidden="false" customHeight="false" outlineLevel="0" collapsed="false">
      <c r="A144" s="17" t="s">
        <v>17</v>
      </c>
      <c r="B144" s="17" t="s">
        <v>575</v>
      </c>
      <c r="C144" s="17" t="s">
        <v>576</v>
      </c>
      <c r="D144" s="17" t="s">
        <v>33</v>
      </c>
      <c r="E144" s="17" t="s">
        <v>300</v>
      </c>
      <c r="F144" s="17" t="s">
        <v>301</v>
      </c>
      <c r="G144" s="17" t="s">
        <v>143</v>
      </c>
      <c r="H144" s="23" t="s">
        <v>65</v>
      </c>
      <c r="I144" s="17" t="s">
        <v>65</v>
      </c>
      <c r="J144" s="17"/>
      <c r="K144" s="17" t="s">
        <v>59</v>
      </c>
      <c r="L144" s="20" t="n">
        <v>5703</v>
      </c>
      <c r="M144" s="20" t="n">
        <v>18</v>
      </c>
      <c r="N144" s="22" t="n">
        <f aca="false">IFERROR(M144/L144,0)</f>
        <v>0.00315623356128354</v>
      </c>
      <c r="O144" s="19" t="n">
        <v>12.85</v>
      </c>
      <c r="P144" s="9" t="n">
        <f aca="false">IFERROR(O144/M144,0)</f>
        <v>0.713888888888889</v>
      </c>
      <c r="Q144" s="20" t="n">
        <v>2</v>
      </c>
      <c r="R144" s="19" t="n">
        <v>67.9</v>
      </c>
      <c r="S144" s="8" t="n">
        <f aca="false">IFERROR(O144/R144,0)</f>
        <v>0.189248895434462</v>
      </c>
      <c r="T144" s="8" t="n">
        <f aca="false">IFERROR(Q144/M144,0)</f>
        <v>0.111111111111111</v>
      </c>
    </row>
    <row r="145" customFormat="false" ht="15" hidden="false" customHeight="false" outlineLevel="0" collapsed="false">
      <c r="A145" s="17" t="s">
        <v>17</v>
      </c>
      <c r="B145" s="17" t="s">
        <v>577</v>
      </c>
      <c r="C145" s="17" t="s">
        <v>578</v>
      </c>
      <c r="D145" s="17" t="s">
        <v>28</v>
      </c>
      <c r="E145" s="17" t="s">
        <v>297</v>
      </c>
      <c r="F145" s="17" t="s">
        <v>28</v>
      </c>
      <c r="G145" s="17" t="s">
        <v>142</v>
      </c>
      <c r="H145" s="18" t="s">
        <v>59</v>
      </c>
      <c r="I145" s="17" t="s">
        <v>65</v>
      </c>
      <c r="J145" s="17"/>
      <c r="K145" s="17" t="s">
        <v>59</v>
      </c>
      <c r="L145" s="20" t="n">
        <v>195</v>
      </c>
      <c r="M145" s="20" t="n">
        <v>5</v>
      </c>
      <c r="N145" s="22" t="n">
        <f aca="false">IFERROR(M145/L145,0)</f>
        <v>0.0256410256410256</v>
      </c>
      <c r="O145" s="19" t="n">
        <v>12.48</v>
      </c>
      <c r="P145" s="9" t="n">
        <f aca="false">IFERROR(O145/M145,0)</f>
        <v>2.496</v>
      </c>
      <c r="Q145" s="20" t="n">
        <v>0</v>
      </c>
      <c r="R145" s="19" t="n">
        <v>0</v>
      </c>
      <c r="S145" s="8" t="n">
        <f aca="false">IFERROR(O145/R145,0)</f>
        <v>0</v>
      </c>
      <c r="T145" s="8" t="n">
        <f aca="false">IFERROR(Q145/M145,0)</f>
        <v>0</v>
      </c>
    </row>
    <row r="146" customFormat="false" ht="15" hidden="false" customHeight="false" outlineLevel="0" collapsed="false">
      <c r="A146" s="17" t="s">
        <v>17</v>
      </c>
      <c r="B146" s="17" t="s">
        <v>579</v>
      </c>
      <c r="C146" s="17" t="s">
        <v>580</v>
      </c>
      <c r="D146" s="17" t="s">
        <v>28</v>
      </c>
      <c r="E146" s="17" t="s">
        <v>297</v>
      </c>
      <c r="F146" s="17" t="s">
        <v>28</v>
      </c>
      <c r="G146" s="17" t="s">
        <v>142</v>
      </c>
      <c r="H146" s="18" t="s">
        <v>59</v>
      </c>
      <c r="I146" s="17" t="s">
        <v>65</v>
      </c>
      <c r="J146" s="17"/>
      <c r="K146" s="17" t="s">
        <v>59</v>
      </c>
      <c r="L146" s="20" t="n">
        <v>166</v>
      </c>
      <c r="M146" s="20" t="n">
        <v>5</v>
      </c>
      <c r="N146" s="22" t="n">
        <f aca="false">IFERROR(M146/L146,0)</f>
        <v>0.0301204819277108</v>
      </c>
      <c r="O146" s="19" t="n">
        <v>12.22</v>
      </c>
      <c r="P146" s="9" t="n">
        <f aca="false">IFERROR(O146/M146,0)</f>
        <v>2.444</v>
      </c>
      <c r="Q146" s="20" t="n">
        <v>0</v>
      </c>
      <c r="R146" s="19" t="n">
        <v>0</v>
      </c>
      <c r="S146" s="8" t="n">
        <f aca="false">IFERROR(O146/R146,0)</f>
        <v>0</v>
      </c>
      <c r="T146" s="8" t="n">
        <f aca="false">IFERROR(Q146/M146,0)</f>
        <v>0</v>
      </c>
    </row>
    <row r="147" customFormat="false" ht="15" hidden="false" customHeight="false" outlineLevel="0" collapsed="false">
      <c r="A147" s="17" t="s">
        <v>17</v>
      </c>
      <c r="B147" s="17" t="s">
        <v>581</v>
      </c>
      <c r="C147" s="17" t="s">
        <v>582</v>
      </c>
      <c r="D147" s="17" t="s">
        <v>28</v>
      </c>
      <c r="E147" s="17" t="s">
        <v>297</v>
      </c>
      <c r="F147" s="17" t="s">
        <v>28</v>
      </c>
      <c r="G147" s="17" t="s">
        <v>142</v>
      </c>
      <c r="H147" s="18" t="s">
        <v>59</v>
      </c>
      <c r="I147" s="17" t="s">
        <v>65</v>
      </c>
      <c r="J147" s="17"/>
      <c r="K147" s="17" t="s">
        <v>59</v>
      </c>
      <c r="L147" s="20" t="n">
        <v>113</v>
      </c>
      <c r="M147" s="20" t="n">
        <v>4</v>
      </c>
      <c r="N147" s="22" t="n">
        <f aca="false">IFERROR(M147/L147,0)</f>
        <v>0.0353982300884956</v>
      </c>
      <c r="O147" s="19" t="n">
        <v>11.76</v>
      </c>
      <c r="P147" s="9" t="n">
        <f aca="false">IFERROR(O147/M147,0)</f>
        <v>2.94</v>
      </c>
      <c r="Q147" s="20" t="n">
        <v>1</v>
      </c>
      <c r="R147" s="19" t="n">
        <v>29.95</v>
      </c>
      <c r="S147" s="8" t="n">
        <f aca="false">IFERROR(O147/R147,0)</f>
        <v>0.392654424040067</v>
      </c>
      <c r="T147" s="8" t="n">
        <f aca="false">IFERROR(Q147/M147,0)</f>
        <v>0.25</v>
      </c>
    </row>
    <row r="148" customFormat="false" ht="15" hidden="false" customHeight="false" outlineLevel="0" collapsed="false">
      <c r="A148" s="17" t="s">
        <v>17</v>
      </c>
      <c r="B148" s="17" t="s">
        <v>583</v>
      </c>
      <c r="C148" s="17" t="s">
        <v>584</v>
      </c>
      <c r="D148" s="17" t="s">
        <v>28</v>
      </c>
      <c r="E148" s="17" t="s">
        <v>297</v>
      </c>
      <c r="F148" s="17" t="s">
        <v>28</v>
      </c>
      <c r="G148" s="17" t="s">
        <v>142</v>
      </c>
      <c r="H148" s="18" t="s">
        <v>59</v>
      </c>
      <c r="I148" s="17" t="s">
        <v>65</v>
      </c>
      <c r="J148" s="17"/>
      <c r="K148" s="17" t="s">
        <v>59</v>
      </c>
      <c r="L148" s="20" t="n">
        <v>130</v>
      </c>
      <c r="M148" s="20" t="n">
        <v>5</v>
      </c>
      <c r="N148" s="22" t="n">
        <f aca="false">IFERROR(M148/L148,0)</f>
        <v>0.0384615384615385</v>
      </c>
      <c r="O148" s="19" t="n">
        <v>11.6</v>
      </c>
      <c r="P148" s="9" t="n">
        <f aca="false">IFERROR(O148/M148,0)</f>
        <v>2.32</v>
      </c>
      <c r="Q148" s="20" t="n">
        <v>1</v>
      </c>
      <c r="R148" s="19" t="n">
        <v>29.95</v>
      </c>
      <c r="S148" s="8" t="n">
        <f aca="false">IFERROR(O148/R148,0)</f>
        <v>0.387312186978297</v>
      </c>
      <c r="T148" s="8" t="n">
        <f aca="false">IFERROR(Q148/M148,0)</f>
        <v>0.2</v>
      </c>
    </row>
    <row r="149" customFormat="false" ht="15" hidden="false" customHeight="false" outlineLevel="0" collapsed="false">
      <c r="A149" s="17" t="s">
        <v>17</v>
      </c>
      <c r="B149" s="17" t="s">
        <v>585</v>
      </c>
      <c r="C149" s="17" t="s">
        <v>586</v>
      </c>
      <c r="D149" s="17" t="s">
        <v>31</v>
      </c>
      <c r="E149" s="17" t="s">
        <v>293</v>
      </c>
      <c r="F149" s="17" t="s">
        <v>288</v>
      </c>
      <c r="G149" s="17" t="s">
        <v>145</v>
      </c>
      <c r="H149" s="23" t="s">
        <v>65</v>
      </c>
      <c r="I149" s="17" t="s">
        <v>65</v>
      </c>
      <c r="J149" s="17"/>
      <c r="K149" s="17" t="s">
        <v>59</v>
      </c>
      <c r="L149" s="20" t="n">
        <v>1682</v>
      </c>
      <c r="M149" s="20" t="n">
        <v>15</v>
      </c>
      <c r="N149" s="22" t="n">
        <f aca="false">IFERROR(M149/L149,0)</f>
        <v>0.0089179548156956</v>
      </c>
      <c r="O149" s="19" t="n">
        <v>11.56</v>
      </c>
      <c r="P149" s="9" t="n">
        <f aca="false">IFERROR(O149/M149,0)</f>
        <v>0.770666666666667</v>
      </c>
      <c r="Q149" s="20" t="n">
        <v>5</v>
      </c>
      <c r="R149" s="19" t="n">
        <v>125.9</v>
      </c>
      <c r="S149" s="8" t="n">
        <f aca="false">IFERROR(O149/R149,0)</f>
        <v>0.0918189038919778</v>
      </c>
      <c r="T149" s="8" t="n">
        <f aca="false">IFERROR(Q149/M149,0)</f>
        <v>0.333333333333333</v>
      </c>
    </row>
    <row r="150" customFormat="false" ht="15" hidden="false" customHeight="false" outlineLevel="0" collapsed="false">
      <c r="A150" s="17" t="s">
        <v>17</v>
      </c>
      <c r="B150" s="17" t="s">
        <v>587</v>
      </c>
      <c r="C150" s="17" t="s">
        <v>588</v>
      </c>
      <c r="D150" s="17" t="s">
        <v>28</v>
      </c>
      <c r="E150" s="17" t="s">
        <v>297</v>
      </c>
      <c r="F150" s="17" t="s">
        <v>28</v>
      </c>
      <c r="G150" s="17" t="s">
        <v>220</v>
      </c>
      <c r="H150" s="23" t="s">
        <v>65</v>
      </c>
      <c r="I150" s="17" t="s">
        <v>65</v>
      </c>
      <c r="J150" s="17"/>
      <c r="K150" s="17" t="s">
        <v>59</v>
      </c>
      <c r="L150" s="20" t="n">
        <v>559</v>
      </c>
      <c r="M150" s="20" t="n">
        <v>7</v>
      </c>
      <c r="N150" s="22" t="n">
        <f aca="false">IFERROR(M150/L150,0)</f>
        <v>0.0125223613595707</v>
      </c>
      <c r="O150" s="19" t="n">
        <v>9</v>
      </c>
      <c r="P150" s="9" t="n">
        <f aca="false">IFERROR(O150/M150,0)</f>
        <v>1.28571428571429</v>
      </c>
      <c r="Q150" s="20" t="n">
        <v>0</v>
      </c>
      <c r="R150" s="19" t="n">
        <v>0</v>
      </c>
      <c r="S150" s="8" t="n">
        <f aca="false">IFERROR(O150/R150,0)</f>
        <v>0</v>
      </c>
      <c r="T150" s="8" t="n">
        <f aca="false">IFERROR(Q150/M150,0)</f>
        <v>0</v>
      </c>
    </row>
    <row r="151" customFormat="false" ht="15" hidden="false" customHeight="false" outlineLevel="0" collapsed="false">
      <c r="A151" s="17" t="s">
        <v>17</v>
      </c>
      <c r="B151" s="17" t="s">
        <v>589</v>
      </c>
      <c r="C151" s="17" t="s">
        <v>590</v>
      </c>
      <c r="D151" s="17" t="s">
        <v>29</v>
      </c>
      <c r="E151" s="17" t="s">
        <v>297</v>
      </c>
      <c r="F151" s="17"/>
      <c r="G151" s="17" t="s">
        <v>591</v>
      </c>
      <c r="H151" s="23" t="s">
        <v>65</v>
      </c>
      <c r="I151" s="17" t="s">
        <v>65</v>
      </c>
      <c r="J151" s="17"/>
      <c r="K151" s="17" t="s">
        <v>59</v>
      </c>
      <c r="L151" s="20" t="n">
        <v>59</v>
      </c>
      <c r="M151" s="20" t="n">
        <v>4</v>
      </c>
      <c r="N151" s="22" t="n">
        <f aca="false">IFERROR(M151/L151,0)</f>
        <v>0.0677966101694915</v>
      </c>
      <c r="O151" s="19" t="n">
        <v>8.78</v>
      </c>
      <c r="P151" s="9" t="n">
        <f aca="false">IFERROR(O151/M151,0)</f>
        <v>2.195</v>
      </c>
      <c r="Q151" s="20" t="n">
        <v>2</v>
      </c>
      <c r="R151" s="19" t="n">
        <v>67.9</v>
      </c>
      <c r="S151" s="8" t="n">
        <f aca="false">IFERROR(O151/R151,0)</f>
        <v>0.129307805596465</v>
      </c>
      <c r="T151" s="8" t="n">
        <f aca="false">IFERROR(Q151/M151,0)</f>
        <v>0.5</v>
      </c>
    </row>
    <row r="152" customFormat="false" ht="15" hidden="false" customHeight="false" outlineLevel="0" collapsed="false">
      <c r="A152" s="17" t="s">
        <v>17</v>
      </c>
      <c r="B152" s="17" t="s">
        <v>360</v>
      </c>
      <c r="C152" s="17" t="s">
        <v>361</v>
      </c>
      <c r="D152" s="21" t="s">
        <v>34</v>
      </c>
      <c r="E152" s="17" t="s">
        <v>285</v>
      </c>
      <c r="F152" s="17" t="s">
        <v>314</v>
      </c>
      <c r="G152" s="17"/>
      <c r="H152" s="17"/>
      <c r="I152" s="17" t="s">
        <v>59</v>
      </c>
      <c r="J152" s="17" t="s">
        <v>558</v>
      </c>
      <c r="K152" s="17" t="s">
        <v>65</v>
      </c>
      <c r="L152" s="20" t="n">
        <v>2736</v>
      </c>
      <c r="M152" s="20" t="n">
        <v>18</v>
      </c>
      <c r="N152" s="22" t="n">
        <f aca="false">IFERROR(M152/L152,0)</f>
        <v>0.00657894736842105</v>
      </c>
      <c r="O152" s="19" t="n">
        <v>7.96</v>
      </c>
      <c r="P152" s="9" t="n">
        <f aca="false">IFERROR(O152/M152,0)</f>
        <v>0.442222222222222</v>
      </c>
      <c r="Q152" s="20" t="n">
        <v>2</v>
      </c>
      <c r="R152" s="19" t="n">
        <v>61.9</v>
      </c>
      <c r="S152" s="8" t="n">
        <f aca="false">IFERROR(O152/R152,0)</f>
        <v>0.12859450726979</v>
      </c>
      <c r="T152" s="8" t="n">
        <f aca="false">IFERROR(Q152/M152,0)</f>
        <v>0.111111111111111</v>
      </c>
    </row>
    <row r="153" customFormat="false" ht="15" hidden="false" customHeight="false" outlineLevel="0" collapsed="false">
      <c r="A153" s="17" t="s">
        <v>17</v>
      </c>
      <c r="B153" s="17" t="s">
        <v>592</v>
      </c>
      <c r="C153" s="17" t="s">
        <v>593</v>
      </c>
      <c r="D153" s="17" t="s">
        <v>28</v>
      </c>
      <c r="E153" s="17" t="s">
        <v>297</v>
      </c>
      <c r="F153" s="17" t="s">
        <v>28</v>
      </c>
      <c r="G153" s="17" t="s">
        <v>140</v>
      </c>
      <c r="H153" s="23" t="s">
        <v>65</v>
      </c>
      <c r="I153" s="17" t="s">
        <v>65</v>
      </c>
      <c r="J153" s="17"/>
      <c r="K153" s="17" t="s">
        <v>59</v>
      </c>
      <c r="L153" s="20" t="n">
        <v>69</v>
      </c>
      <c r="M153" s="20" t="n">
        <v>4</v>
      </c>
      <c r="N153" s="22" t="n">
        <f aca="false">IFERROR(M153/L153,0)</f>
        <v>0.0579710144927536</v>
      </c>
      <c r="O153" s="19" t="n">
        <v>7.81</v>
      </c>
      <c r="P153" s="9" t="n">
        <f aca="false">IFERROR(O153/M153,0)</f>
        <v>1.9525</v>
      </c>
      <c r="Q153" s="20" t="n">
        <v>0</v>
      </c>
      <c r="R153" s="19" t="n">
        <v>0</v>
      </c>
      <c r="S153" s="8" t="n">
        <f aca="false">IFERROR(O153/R153,0)</f>
        <v>0</v>
      </c>
      <c r="T153" s="8" t="n">
        <f aca="false">IFERROR(Q153/M153,0)</f>
        <v>0</v>
      </c>
    </row>
    <row r="154" customFormat="false" ht="15" hidden="false" customHeight="false" outlineLevel="0" collapsed="false">
      <c r="A154" s="17" t="s">
        <v>17</v>
      </c>
      <c r="B154" s="17" t="s">
        <v>594</v>
      </c>
      <c r="C154" s="17" t="s">
        <v>595</v>
      </c>
      <c r="D154" s="17" t="s">
        <v>28</v>
      </c>
      <c r="E154" s="17" t="s">
        <v>297</v>
      </c>
      <c r="F154" s="17" t="s">
        <v>28</v>
      </c>
      <c r="G154" s="17" t="s">
        <v>139</v>
      </c>
      <c r="H154" s="18" t="s">
        <v>59</v>
      </c>
      <c r="I154" s="17" t="s">
        <v>65</v>
      </c>
      <c r="J154" s="17"/>
      <c r="K154" s="17" t="s">
        <v>59</v>
      </c>
      <c r="L154" s="20" t="n">
        <v>82</v>
      </c>
      <c r="M154" s="20" t="n">
        <v>4</v>
      </c>
      <c r="N154" s="22" t="n">
        <f aca="false">IFERROR(M154/L154,0)</f>
        <v>0.0487804878048781</v>
      </c>
      <c r="O154" s="19" t="n">
        <v>7.51</v>
      </c>
      <c r="P154" s="9" t="n">
        <f aca="false">IFERROR(O154/M154,0)</f>
        <v>1.8775</v>
      </c>
      <c r="Q154" s="20" t="n">
        <v>0</v>
      </c>
      <c r="R154" s="19" t="n">
        <v>0</v>
      </c>
      <c r="S154" s="8" t="n">
        <f aca="false">IFERROR(O154/R154,0)</f>
        <v>0</v>
      </c>
      <c r="T154" s="8" t="n">
        <f aca="false">IFERROR(Q154/M154,0)</f>
        <v>0</v>
      </c>
    </row>
    <row r="155" customFormat="false" ht="15" hidden="false" customHeight="false" outlineLevel="0" collapsed="false">
      <c r="A155" s="17" t="s">
        <v>17</v>
      </c>
      <c r="B155" s="17" t="s">
        <v>596</v>
      </c>
      <c r="C155" s="17" t="s">
        <v>597</v>
      </c>
      <c r="D155" s="17" t="s">
        <v>28</v>
      </c>
      <c r="E155" s="17" t="s">
        <v>297</v>
      </c>
      <c r="F155" s="17" t="s">
        <v>28</v>
      </c>
      <c r="G155" s="17" t="s">
        <v>142</v>
      </c>
      <c r="H155" s="18" t="s">
        <v>59</v>
      </c>
      <c r="I155" s="17" t="s">
        <v>65</v>
      </c>
      <c r="J155" s="17"/>
      <c r="K155" s="17" t="s">
        <v>59</v>
      </c>
      <c r="L155" s="20" t="n">
        <v>113</v>
      </c>
      <c r="M155" s="20" t="n">
        <v>3</v>
      </c>
      <c r="N155" s="22" t="n">
        <f aca="false">IFERROR(M155/L155,0)</f>
        <v>0.0265486725663717</v>
      </c>
      <c r="O155" s="19" t="n">
        <v>7.5</v>
      </c>
      <c r="P155" s="9" t="n">
        <f aca="false">IFERROR(O155/M155,0)</f>
        <v>2.5</v>
      </c>
      <c r="Q155" s="20" t="n">
        <v>0</v>
      </c>
      <c r="R155" s="19" t="n">
        <v>0</v>
      </c>
      <c r="S155" s="8" t="n">
        <f aca="false">IFERROR(O155/R155,0)</f>
        <v>0</v>
      </c>
      <c r="T155" s="8" t="n">
        <f aca="false">IFERROR(Q155/M155,0)</f>
        <v>0</v>
      </c>
    </row>
    <row r="156" customFormat="false" ht="15" hidden="false" customHeight="false" outlineLevel="0" collapsed="false">
      <c r="A156" s="17" t="s">
        <v>17</v>
      </c>
      <c r="B156" s="17" t="s">
        <v>598</v>
      </c>
      <c r="C156" s="17" t="s">
        <v>599</v>
      </c>
      <c r="D156" s="17" t="s">
        <v>28</v>
      </c>
      <c r="E156" s="17" t="s">
        <v>297</v>
      </c>
      <c r="F156" s="17" t="s">
        <v>28</v>
      </c>
      <c r="G156" s="17" t="s">
        <v>140</v>
      </c>
      <c r="H156" s="23" t="s">
        <v>65</v>
      </c>
      <c r="I156" s="17" t="s">
        <v>65</v>
      </c>
      <c r="J156" s="17"/>
      <c r="K156" s="17" t="s">
        <v>59</v>
      </c>
      <c r="L156" s="20" t="n">
        <v>154</v>
      </c>
      <c r="M156" s="20" t="n">
        <v>4</v>
      </c>
      <c r="N156" s="22" t="n">
        <f aca="false">IFERROR(M156/L156,0)</f>
        <v>0.025974025974026</v>
      </c>
      <c r="O156" s="19" t="n">
        <v>6.88</v>
      </c>
      <c r="P156" s="9" t="n">
        <f aca="false">IFERROR(O156/M156,0)</f>
        <v>1.72</v>
      </c>
      <c r="Q156" s="20" t="n">
        <v>0</v>
      </c>
      <c r="R156" s="19" t="n">
        <v>0</v>
      </c>
      <c r="S156" s="8" t="n">
        <f aca="false">IFERROR(O156/R156,0)</f>
        <v>0</v>
      </c>
      <c r="T156" s="8" t="n">
        <f aca="false">IFERROR(Q156/M156,0)</f>
        <v>0</v>
      </c>
    </row>
    <row r="157" customFormat="false" ht="15" hidden="false" customHeight="false" outlineLevel="0" collapsed="false">
      <c r="A157" s="17" t="s">
        <v>17</v>
      </c>
      <c r="B157" s="17" t="s">
        <v>370</v>
      </c>
      <c r="C157" s="17" t="s">
        <v>371</v>
      </c>
      <c r="D157" s="17" t="s">
        <v>33</v>
      </c>
      <c r="E157" s="17" t="s">
        <v>300</v>
      </c>
      <c r="F157" s="17" t="s">
        <v>294</v>
      </c>
      <c r="G157" s="17" t="s">
        <v>372</v>
      </c>
      <c r="H157" s="23" t="s">
        <v>65</v>
      </c>
      <c r="I157" s="17" t="s">
        <v>59</v>
      </c>
      <c r="J157" s="17" t="s">
        <v>558</v>
      </c>
      <c r="K157" s="17" t="s">
        <v>65</v>
      </c>
      <c r="L157" s="20" t="n">
        <v>249</v>
      </c>
      <c r="M157" s="20" t="n">
        <v>6</v>
      </c>
      <c r="N157" s="22" t="n">
        <f aca="false">IFERROR(M157/L157,0)</f>
        <v>0.0240963855421687</v>
      </c>
      <c r="O157" s="19" t="n">
        <v>6.43</v>
      </c>
      <c r="P157" s="9" t="n">
        <f aca="false">IFERROR(O157/M157,0)</f>
        <v>1.07166666666667</v>
      </c>
      <c r="Q157" s="20" t="n">
        <v>1</v>
      </c>
      <c r="R157" s="19" t="n">
        <v>67.99</v>
      </c>
      <c r="S157" s="8" t="n">
        <f aca="false">IFERROR(O157/R157,0)</f>
        <v>0.0945727312840124</v>
      </c>
      <c r="T157" s="8" t="n">
        <f aca="false">IFERROR(Q157/M157,0)</f>
        <v>0.166666666666667</v>
      </c>
    </row>
    <row r="158" customFormat="false" ht="15" hidden="false" customHeight="false" outlineLevel="0" collapsed="false">
      <c r="A158" s="17" t="s">
        <v>17</v>
      </c>
      <c r="B158" s="17" t="s">
        <v>600</v>
      </c>
      <c r="C158" s="17" t="s">
        <v>601</v>
      </c>
      <c r="D158" s="17" t="s">
        <v>28</v>
      </c>
      <c r="E158" s="17" t="s">
        <v>297</v>
      </c>
      <c r="F158" s="17" t="s">
        <v>28</v>
      </c>
      <c r="G158" s="17" t="s">
        <v>161</v>
      </c>
      <c r="H158" s="18" t="s">
        <v>59</v>
      </c>
      <c r="I158" s="17" t="s">
        <v>65</v>
      </c>
      <c r="J158" s="17"/>
      <c r="K158" s="17" t="s">
        <v>59</v>
      </c>
      <c r="L158" s="20" t="n">
        <v>52</v>
      </c>
      <c r="M158" s="20" t="n">
        <v>3</v>
      </c>
      <c r="N158" s="22" t="n">
        <f aca="false">IFERROR(M158/L158,0)</f>
        <v>0.0576923076923077</v>
      </c>
      <c r="O158" s="19" t="n">
        <v>6.21</v>
      </c>
      <c r="P158" s="9" t="n">
        <f aca="false">IFERROR(O158/M158,0)</f>
        <v>2.07</v>
      </c>
      <c r="Q158" s="20" t="n">
        <v>0</v>
      </c>
      <c r="R158" s="19" t="n">
        <v>0</v>
      </c>
      <c r="S158" s="8" t="n">
        <f aca="false">IFERROR(O158/R158,0)</f>
        <v>0</v>
      </c>
      <c r="T158" s="8" t="n">
        <f aca="false">IFERROR(Q158/M158,0)</f>
        <v>0</v>
      </c>
    </row>
    <row r="159" customFormat="false" ht="15" hidden="false" customHeight="false" outlineLevel="0" collapsed="false">
      <c r="A159" s="17" t="s">
        <v>17</v>
      </c>
      <c r="B159" s="17" t="s">
        <v>602</v>
      </c>
      <c r="C159" s="17" t="s">
        <v>603</v>
      </c>
      <c r="D159" s="17" t="s">
        <v>28</v>
      </c>
      <c r="E159" s="17" t="s">
        <v>297</v>
      </c>
      <c r="F159" s="17" t="s">
        <v>28</v>
      </c>
      <c r="G159" s="17" t="s">
        <v>140</v>
      </c>
      <c r="H159" s="23" t="s">
        <v>65</v>
      </c>
      <c r="I159" s="17" t="s">
        <v>65</v>
      </c>
      <c r="J159" s="17"/>
      <c r="K159" s="17" t="s">
        <v>59</v>
      </c>
      <c r="L159" s="20" t="n">
        <v>256</v>
      </c>
      <c r="M159" s="20" t="n">
        <v>3</v>
      </c>
      <c r="N159" s="22" t="n">
        <f aca="false">IFERROR(M159/L159,0)</f>
        <v>0.01171875</v>
      </c>
      <c r="O159" s="19" t="n">
        <v>6.21</v>
      </c>
      <c r="P159" s="9" t="n">
        <f aca="false">IFERROR(O159/M159,0)</f>
        <v>2.07</v>
      </c>
      <c r="Q159" s="20" t="n">
        <v>0</v>
      </c>
      <c r="R159" s="19" t="n">
        <v>0</v>
      </c>
      <c r="S159" s="8" t="n">
        <f aca="false">IFERROR(O159/R159,0)</f>
        <v>0</v>
      </c>
      <c r="T159" s="8" t="n">
        <f aca="false">IFERROR(Q159/M159,0)</f>
        <v>0</v>
      </c>
    </row>
    <row r="160" customFormat="false" ht="15" hidden="false" customHeight="false" outlineLevel="0" collapsed="false">
      <c r="A160" s="17" t="s">
        <v>17</v>
      </c>
      <c r="B160" s="17" t="s">
        <v>604</v>
      </c>
      <c r="C160" s="17" t="s">
        <v>605</v>
      </c>
      <c r="D160" s="23" t="s">
        <v>32</v>
      </c>
      <c r="E160" s="17" t="s">
        <v>285</v>
      </c>
      <c r="F160" s="17" t="s">
        <v>288</v>
      </c>
      <c r="G160" s="17" t="s">
        <v>145</v>
      </c>
      <c r="H160" s="23" t="s">
        <v>65</v>
      </c>
      <c r="I160" s="17" t="s">
        <v>65</v>
      </c>
      <c r="J160" s="17"/>
      <c r="K160" s="17" t="s">
        <v>59</v>
      </c>
      <c r="L160" s="20" t="n">
        <v>8845</v>
      </c>
      <c r="M160" s="20" t="n">
        <v>11</v>
      </c>
      <c r="N160" s="22" t="n">
        <f aca="false">IFERROR(M160/L160,0)</f>
        <v>0.00124364047484455</v>
      </c>
      <c r="O160" s="19" t="n">
        <v>5.36</v>
      </c>
      <c r="P160" s="9" t="n">
        <f aca="false">IFERROR(O160/M160,0)</f>
        <v>0.487272727272727</v>
      </c>
      <c r="Q160" s="20" t="n">
        <v>1</v>
      </c>
      <c r="R160" s="19" t="n">
        <v>29.95</v>
      </c>
      <c r="S160" s="8" t="n">
        <f aca="false">IFERROR(O160/R160,0)</f>
        <v>0.178964941569282</v>
      </c>
      <c r="T160" s="8" t="n">
        <f aca="false">IFERROR(Q160/M160,0)</f>
        <v>0.0909090909090909</v>
      </c>
    </row>
    <row r="161" customFormat="false" ht="15" hidden="false" customHeight="false" outlineLevel="0" collapsed="false">
      <c r="A161" s="17" t="s">
        <v>17</v>
      </c>
      <c r="B161" s="17" t="s">
        <v>606</v>
      </c>
      <c r="C161" s="17" t="s">
        <v>607</v>
      </c>
      <c r="D161" s="17" t="s">
        <v>28</v>
      </c>
      <c r="E161" s="17" t="s">
        <v>297</v>
      </c>
      <c r="F161" s="17" t="s">
        <v>28</v>
      </c>
      <c r="G161" s="17" t="s">
        <v>146</v>
      </c>
      <c r="H161" s="23" t="s">
        <v>65</v>
      </c>
      <c r="I161" s="17" t="s">
        <v>65</v>
      </c>
      <c r="J161" s="17"/>
      <c r="K161" s="17" t="s">
        <v>59</v>
      </c>
      <c r="L161" s="20" t="n">
        <v>600</v>
      </c>
      <c r="M161" s="20" t="n">
        <v>3</v>
      </c>
      <c r="N161" s="22" t="n">
        <f aca="false">IFERROR(M161/L161,0)</f>
        <v>0.005</v>
      </c>
      <c r="O161" s="19" t="n">
        <v>5.35</v>
      </c>
      <c r="P161" s="9" t="n">
        <f aca="false">IFERROR(O161/M161,0)</f>
        <v>1.78333333333333</v>
      </c>
      <c r="Q161" s="20" t="n">
        <v>0</v>
      </c>
      <c r="R161" s="19" t="n">
        <v>0</v>
      </c>
      <c r="S161" s="8" t="n">
        <f aca="false">IFERROR(O161/R161,0)</f>
        <v>0</v>
      </c>
      <c r="T161" s="8" t="n">
        <f aca="false">IFERROR(Q161/M161,0)</f>
        <v>0</v>
      </c>
    </row>
    <row r="162" customFormat="false" ht="15" hidden="false" customHeight="false" outlineLevel="0" collapsed="false">
      <c r="A162" s="17" t="s">
        <v>17</v>
      </c>
      <c r="B162" s="17" t="s">
        <v>608</v>
      </c>
      <c r="C162" s="17" t="s">
        <v>609</v>
      </c>
      <c r="D162" s="17" t="s">
        <v>28</v>
      </c>
      <c r="E162" s="17" t="s">
        <v>297</v>
      </c>
      <c r="F162" s="17" t="s">
        <v>28</v>
      </c>
      <c r="G162" s="17" t="s">
        <v>140</v>
      </c>
      <c r="H162" s="23" t="s">
        <v>65</v>
      </c>
      <c r="I162" s="17" t="s">
        <v>65</v>
      </c>
      <c r="J162" s="17"/>
      <c r="K162" s="17" t="s">
        <v>59</v>
      </c>
      <c r="L162" s="20" t="n">
        <v>239</v>
      </c>
      <c r="M162" s="20" t="n">
        <v>2</v>
      </c>
      <c r="N162" s="22" t="n">
        <f aca="false">IFERROR(M162/L162,0)</f>
        <v>0.00836820083682008</v>
      </c>
      <c r="O162" s="19" t="n">
        <v>5.2</v>
      </c>
      <c r="P162" s="9" t="n">
        <f aca="false">IFERROR(O162/M162,0)</f>
        <v>2.6</v>
      </c>
      <c r="Q162" s="20" t="n">
        <v>1</v>
      </c>
      <c r="R162" s="19" t="n">
        <v>33.95</v>
      </c>
      <c r="S162" s="8" t="n">
        <f aca="false">IFERROR(O162/R162,0)</f>
        <v>0.153166421207658</v>
      </c>
      <c r="T162" s="8" t="n">
        <f aca="false">IFERROR(Q162/M162,0)</f>
        <v>0.5</v>
      </c>
    </row>
    <row r="163" customFormat="false" ht="15" hidden="false" customHeight="false" outlineLevel="0" collapsed="false">
      <c r="A163" s="17" t="s">
        <v>17</v>
      </c>
      <c r="B163" s="17" t="s">
        <v>610</v>
      </c>
      <c r="C163" s="17" t="s">
        <v>611</v>
      </c>
      <c r="D163" s="17" t="s">
        <v>28</v>
      </c>
      <c r="E163" s="17" t="s">
        <v>297</v>
      </c>
      <c r="F163" s="17" t="s">
        <v>28</v>
      </c>
      <c r="G163" s="17" t="s">
        <v>142</v>
      </c>
      <c r="H163" s="18" t="s">
        <v>59</v>
      </c>
      <c r="I163" s="17" t="s">
        <v>65</v>
      </c>
      <c r="J163" s="17"/>
      <c r="K163" s="17" t="s">
        <v>59</v>
      </c>
      <c r="L163" s="20" t="n">
        <v>87</v>
      </c>
      <c r="M163" s="20" t="n">
        <v>3</v>
      </c>
      <c r="N163" s="22" t="n">
        <f aca="false">IFERROR(M163/L163,0)</f>
        <v>0.0344827586206897</v>
      </c>
      <c r="O163" s="19" t="n">
        <v>5.19</v>
      </c>
      <c r="P163" s="9" t="n">
        <f aca="false">IFERROR(O163/M163,0)</f>
        <v>1.73</v>
      </c>
      <c r="Q163" s="20" t="n">
        <v>0</v>
      </c>
      <c r="R163" s="19" t="n">
        <v>0</v>
      </c>
      <c r="S163" s="8" t="n">
        <f aca="false">IFERROR(O163/R163,0)</f>
        <v>0</v>
      </c>
      <c r="T163" s="8" t="n">
        <f aca="false">IFERROR(Q163/M163,0)</f>
        <v>0</v>
      </c>
    </row>
    <row r="164" customFormat="false" ht="15" hidden="false" customHeight="false" outlineLevel="0" collapsed="false">
      <c r="A164" s="17" t="s">
        <v>17</v>
      </c>
      <c r="B164" s="17" t="s">
        <v>612</v>
      </c>
      <c r="C164" s="17" t="s">
        <v>613</v>
      </c>
      <c r="D164" s="17" t="s">
        <v>29</v>
      </c>
      <c r="E164" s="17" t="s">
        <v>297</v>
      </c>
      <c r="F164" s="17"/>
      <c r="G164" s="17" t="s">
        <v>591</v>
      </c>
      <c r="H164" s="23" t="s">
        <v>65</v>
      </c>
      <c r="I164" s="17" t="s">
        <v>65</v>
      </c>
      <c r="J164" s="17"/>
      <c r="K164" s="17" t="s">
        <v>59</v>
      </c>
      <c r="L164" s="20" t="n">
        <v>20</v>
      </c>
      <c r="M164" s="20" t="n">
        <v>3</v>
      </c>
      <c r="N164" s="22" t="n">
        <f aca="false">IFERROR(M164/L164,0)</f>
        <v>0.15</v>
      </c>
      <c r="O164" s="19" t="n">
        <v>5.09</v>
      </c>
      <c r="P164" s="9" t="n">
        <f aca="false">IFERROR(O164/M164,0)</f>
        <v>1.69666666666667</v>
      </c>
      <c r="Q164" s="20" t="n">
        <v>0</v>
      </c>
      <c r="R164" s="19" t="n">
        <v>0</v>
      </c>
      <c r="S164" s="8" t="n">
        <f aca="false">IFERROR(O164/R164,0)</f>
        <v>0</v>
      </c>
      <c r="T164" s="8" t="n">
        <f aca="false">IFERROR(Q164/M164,0)</f>
        <v>0</v>
      </c>
    </row>
    <row r="165" customFormat="false" ht="15" hidden="false" customHeight="false" outlineLevel="0" collapsed="false">
      <c r="A165" s="17" t="s">
        <v>17</v>
      </c>
      <c r="B165" s="17" t="s">
        <v>614</v>
      </c>
      <c r="C165" s="17" t="s">
        <v>615</v>
      </c>
      <c r="D165" s="17" t="s">
        <v>28</v>
      </c>
      <c r="E165" s="17" t="s">
        <v>297</v>
      </c>
      <c r="F165" s="17" t="s">
        <v>28</v>
      </c>
      <c r="G165" s="17" t="s">
        <v>142</v>
      </c>
      <c r="H165" s="18" t="s">
        <v>59</v>
      </c>
      <c r="I165" s="17" t="s">
        <v>65</v>
      </c>
      <c r="J165" s="17"/>
      <c r="K165" s="17" t="s">
        <v>59</v>
      </c>
      <c r="L165" s="20" t="n">
        <v>68</v>
      </c>
      <c r="M165" s="20" t="n">
        <v>2</v>
      </c>
      <c r="N165" s="22" t="n">
        <f aca="false">IFERROR(M165/L165,0)</f>
        <v>0.0294117647058824</v>
      </c>
      <c r="O165" s="19" t="n">
        <v>4.99</v>
      </c>
      <c r="P165" s="9" t="n">
        <f aca="false">IFERROR(O165/M165,0)</f>
        <v>2.495</v>
      </c>
      <c r="Q165" s="20" t="n">
        <v>1</v>
      </c>
      <c r="R165" s="19" t="n">
        <v>29.95</v>
      </c>
      <c r="S165" s="8" t="n">
        <f aca="false">IFERROR(O165/R165,0)</f>
        <v>0.16661101836394</v>
      </c>
      <c r="T165" s="8" t="n">
        <f aca="false">IFERROR(Q165/M165,0)</f>
        <v>0.5</v>
      </c>
    </row>
    <row r="166" customFormat="false" ht="15" hidden="false" customHeight="false" outlineLevel="0" collapsed="false">
      <c r="A166" s="17" t="s">
        <v>17</v>
      </c>
      <c r="B166" s="17" t="s">
        <v>616</v>
      </c>
      <c r="C166" s="17" t="s">
        <v>617</v>
      </c>
      <c r="D166" s="23" t="s">
        <v>32</v>
      </c>
      <c r="E166" s="17" t="s">
        <v>285</v>
      </c>
      <c r="F166" s="17" t="s">
        <v>288</v>
      </c>
      <c r="G166" s="17" t="s">
        <v>618</v>
      </c>
      <c r="H166" s="18" t="s">
        <v>59</v>
      </c>
      <c r="I166" s="17" t="s">
        <v>65</v>
      </c>
      <c r="J166" s="17"/>
      <c r="K166" s="17" t="s">
        <v>59</v>
      </c>
      <c r="L166" s="20" t="n">
        <v>3008</v>
      </c>
      <c r="M166" s="20" t="n">
        <v>8</v>
      </c>
      <c r="N166" s="22" t="n">
        <f aca="false">IFERROR(M166/L166,0)</f>
        <v>0.00265957446808511</v>
      </c>
      <c r="O166" s="19" t="n">
        <v>4.81</v>
      </c>
      <c r="P166" s="9" t="n">
        <f aca="false">IFERROR(O166/M166,0)</f>
        <v>0.60125</v>
      </c>
      <c r="Q166" s="20" t="n">
        <v>0</v>
      </c>
      <c r="R166" s="19" t="n">
        <v>0</v>
      </c>
      <c r="S166" s="8" t="n">
        <f aca="false">IFERROR(O166/R166,0)</f>
        <v>0</v>
      </c>
      <c r="T166" s="8" t="n">
        <f aca="false">IFERROR(Q166/M166,0)</f>
        <v>0</v>
      </c>
    </row>
    <row r="167" customFormat="false" ht="15" hidden="false" customHeight="false" outlineLevel="0" collapsed="false">
      <c r="A167" s="17" t="s">
        <v>17</v>
      </c>
      <c r="B167" s="17" t="s">
        <v>619</v>
      </c>
      <c r="C167" s="17" t="s">
        <v>620</v>
      </c>
      <c r="D167" s="17" t="s">
        <v>31</v>
      </c>
      <c r="E167" s="17" t="s">
        <v>293</v>
      </c>
      <c r="F167" s="17" t="s">
        <v>288</v>
      </c>
      <c r="G167" s="17" t="s">
        <v>139</v>
      </c>
      <c r="H167" s="18" t="s">
        <v>59</v>
      </c>
      <c r="I167" s="17" t="s">
        <v>65</v>
      </c>
      <c r="J167" s="17"/>
      <c r="K167" s="17" t="s">
        <v>59</v>
      </c>
      <c r="L167" s="20" t="n">
        <v>179</v>
      </c>
      <c r="M167" s="20" t="n">
        <v>5</v>
      </c>
      <c r="N167" s="22" t="n">
        <f aca="false">IFERROR(M167/L167,0)</f>
        <v>0.0279329608938547</v>
      </c>
      <c r="O167" s="19" t="n">
        <v>4.8</v>
      </c>
      <c r="P167" s="9" t="n">
        <f aca="false">IFERROR(O167/M167,0)</f>
        <v>0.96</v>
      </c>
      <c r="Q167" s="20" t="n">
        <v>1</v>
      </c>
      <c r="R167" s="19" t="n">
        <v>29.95</v>
      </c>
      <c r="S167" s="8" t="n">
        <f aca="false">IFERROR(O167/R167,0)</f>
        <v>0.160267111853088</v>
      </c>
      <c r="T167" s="8" t="n">
        <f aca="false">IFERROR(Q167/M167,0)</f>
        <v>0.2</v>
      </c>
    </row>
    <row r="168" customFormat="false" ht="15" hidden="false" customHeight="false" outlineLevel="0" collapsed="false">
      <c r="A168" s="17" t="s">
        <v>17</v>
      </c>
      <c r="B168" s="17" t="s">
        <v>621</v>
      </c>
      <c r="C168" s="17" t="s">
        <v>622</v>
      </c>
      <c r="D168" s="17" t="s">
        <v>30</v>
      </c>
      <c r="E168" s="17" t="s">
        <v>293</v>
      </c>
      <c r="F168" s="17" t="s">
        <v>294</v>
      </c>
      <c r="G168" s="17" t="s">
        <v>139</v>
      </c>
      <c r="H168" s="18" t="s">
        <v>59</v>
      </c>
      <c r="I168" s="17" t="s">
        <v>65</v>
      </c>
      <c r="J168" s="17"/>
      <c r="K168" s="17" t="s">
        <v>59</v>
      </c>
      <c r="L168" s="20" t="n">
        <v>279</v>
      </c>
      <c r="M168" s="20" t="n">
        <v>6</v>
      </c>
      <c r="N168" s="22" t="n">
        <f aca="false">IFERROR(M168/L168,0)</f>
        <v>0.021505376344086</v>
      </c>
      <c r="O168" s="19" t="n">
        <v>4.48</v>
      </c>
      <c r="P168" s="9" t="n">
        <f aca="false">IFERROR(O168/M168,0)</f>
        <v>0.746666666666667</v>
      </c>
      <c r="Q168" s="20" t="n">
        <v>2</v>
      </c>
      <c r="R168" s="19" t="n">
        <v>50.82</v>
      </c>
      <c r="S168" s="8" t="n">
        <f aca="false">IFERROR(O168/R168,0)</f>
        <v>0.0881542699724518</v>
      </c>
      <c r="T168" s="8" t="n">
        <f aca="false">IFERROR(Q168/M168,0)</f>
        <v>0.333333333333333</v>
      </c>
    </row>
    <row r="169" customFormat="false" ht="15" hidden="false" customHeight="false" outlineLevel="0" collapsed="false">
      <c r="A169" s="17" t="s">
        <v>17</v>
      </c>
      <c r="B169" s="17" t="s">
        <v>623</v>
      </c>
      <c r="C169" s="17" t="s">
        <v>624</v>
      </c>
      <c r="D169" s="17" t="s">
        <v>28</v>
      </c>
      <c r="E169" s="17" t="s">
        <v>297</v>
      </c>
      <c r="F169" s="17" t="s">
        <v>28</v>
      </c>
      <c r="G169" s="17" t="s">
        <v>165</v>
      </c>
      <c r="H169" s="23" t="s">
        <v>65</v>
      </c>
      <c r="I169" s="17" t="s">
        <v>65</v>
      </c>
      <c r="J169" s="17"/>
      <c r="K169" s="17" t="s">
        <v>59</v>
      </c>
      <c r="L169" s="20" t="n">
        <v>271</v>
      </c>
      <c r="M169" s="20" t="n">
        <v>5</v>
      </c>
      <c r="N169" s="22" t="n">
        <f aca="false">IFERROR(M169/L169,0)</f>
        <v>0.018450184501845</v>
      </c>
      <c r="O169" s="19" t="n">
        <v>4.45</v>
      </c>
      <c r="P169" s="9" t="n">
        <f aca="false">IFERROR(O169/M169,0)</f>
        <v>0.89</v>
      </c>
      <c r="Q169" s="20" t="n">
        <v>0</v>
      </c>
      <c r="R169" s="19" t="n">
        <v>0</v>
      </c>
      <c r="S169" s="8" t="n">
        <f aca="false">IFERROR(O169/R169,0)</f>
        <v>0</v>
      </c>
      <c r="T169" s="8" t="n">
        <f aca="false">IFERROR(Q169/M169,0)</f>
        <v>0</v>
      </c>
    </row>
    <row r="170" customFormat="false" ht="15" hidden="false" customHeight="false" outlineLevel="0" collapsed="false">
      <c r="A170" s="17" t="s">
        <v>17</v>
      </c>
      <c r="B170" s="17" t="s">
        <v>625</v>
      </c>
      <c r="C170" s="17" t="s">
        <v>626</v>
      </c>
      <c r="D170" s="17" t="s">
        <v>31</v>
      </c>
      <c r="E170" s="17" t="s">
        <v>293</v>
      </c>
      <c r="F170" s="17" t="s">
        <v>288</v>
      </c>
      <c r="G170" s="17" t="s">
        <v>627</v>
      </c>
      <c r="H170" s="23" t="s">
        <v>65</v>
      </c>
      <c r="I170" s="17" t="s">
        <v>65</v>
      </c>
      <c r="J170" s="17"/>
      <c r="K170" s="17" t="s">
        <v>59</v>
      </c>
      <c r="L170" s="20" t="n">
        <v>821</v>
      </c>
      <c r="M170" s="20" t="n">
        <v>6</v>
      </c>
      <c r="N170" s="22" t="n">
        <f aca="false">IFERROR(M170/L170,0)</f>
        <v>0.00730816077953715</v>
      </c>
      <c r="O170" s="19" t="n">
        <v>4.32</v>
      </c>
      <c r="P170" s="9" t="n">
        <f aca="false">IFERROR(O170/M170,0)</f>
        <v>0.72</v>
      </c>
      <c r="Q170" s="20" t="n">
        <v>0</v>
      </c>
      <c r="R170" s="19" t="n">
        <v>0</v>
      </c>
      <c r="S170" s="8" t="n">
        <f aca="false">IFERROR(O170/R170,0)</f>
        <v>0</v>
      </c>
      <c r="T170" s="8" t="n">
        <f aca="false">IFERROR(Q170/M170,0)</f>
        <v>0</v>
      </c>
    </row>
    <row r="171" customFormat="false" ht="15" hidden="false" customHeight="false" outlineLevel="0" collapsed="false">
      <c r="A171" s="17" t="s">
        <v>17</v>
      </c>
      <c r="B171" s="17" t="s">
        <v>628</v>
      </c>
      <c r="C171" s="17" t="s">
        <v>629</v>
      </c>
      <c r="D171" s="17" t="s">
        <v>28</v>
      </c>
      <c r="E171" s="17" t="s">
        <v>297</v>
      </c>
      <c r="F171" s="17" t="s">
        <v>28</v>
      </c>
      <c r="G171" s="17" t="s">
        <v>139</v>
      </c>
      <c r="H171" s="18" t="s">
        <v>59</v>
      </c>
      <c r="I171" s="17" t="s">
        <v>65</v>
      </c>
      <c r="J171" s="17"/>
      <c r="K171" s="17" t="s">
        <v>59</v>
      </c>
      <c r="L171" s="20" t="n">
        <v>37</v>
      </c>
      <c r="M171" s="20" t="n">
        <v>2</v>
      </c>
      <c r="N171" s="22" t="n">
        <f aca="false">IFERROR(M171/L171,0)</f>
        <v>0.0540540540540541</v>
      </c>
      <c r="O171" s="19" t="n">
        <v>3.7</v>
      </c>
      <c r="P171" s="9" t="n">
        <f aca="false">IFERROR(O171/M171,0)</f>
        <v>1.85</v>
      </c>
      <c r="Q171" s="20" t="n">
        <v>0</v>
      </c>
      <c r="R171" s="19" t="n">
        <v>0</v>
      </c>
      <c r="S171" s="8" t="n">
        <f aca="false">IFERROR(O171/R171,0)</f>
        <v>0</v>
      </c>
      <c r="T171" s="8" t="n">
        <f aca="false">IFERROR(Q171/M171,0)</f>
        <v>0</v>
      </c>
    </row>
    <row r="172" customFormat="false" ht="15" hidden="false" customHeight="false" outlineLevel="0" collapsed="false">
      <c r="A172" s="17" t="s">
        <v>17</v>
      </c>
      <c r="B172" s="17" t="s">
        <v>630</v>
      </c>
      <c r="C172" s="17" t="s">
        <v>631</v>
      </c>
      <c r="D172" s="17" t="s">
        <v>28</v>
      </c>
      <c r="E172" s="17" t="s">
        <v>297</v>
      </c>
      <c r="F172" s="17" t="s">
        <v>28</v>
      </c>
      <c r="G172" s="17" t="s">
        <v>139</v>
      </c>
      <c r="H172" s="18" t="s">
        <v>59</v>
      </c>
      <c r="I172" s="17" t="s">
        <v>65</v>
      </c>
      <c r="J172" s="17"/>
      <c r="K172" s="17" t="s">
        <v>59</v>
      </c>
      <c r="L172" s="20" t="n">
        <v>271</v>
      </c>
      <c r="M172" s="20" t="n">
        <v>3</v>
      </c>
      <c r="N172" s="22" t="n">
        <f aca="false">IFERROR(M172/L172,0)</f>
        <v>0.011070110701107</v>
      </c>
      <c r="O172" s="19" t="n">
        <v>3.6</v>
      </c>
      <c r="P172" s="9" t="n">
        <f aca="false">IFERROR(O172/M172,0)</f>
        <v>1.2</v>
      </c>
      <c r="Q172" s="20" t="n">
        <v>0</v>
      </c>
      <c r="R172" s="19" t="n">
        <v>0</v>
      </c>
      <c r="S172" s="8" t="n">
        <f aca="false">IFERROR(O172/R172,0)</f>
        <v>0</v>
      </c>
      <c r="T172" s="8" t="n">
        <f aca="false">IFERROR(Q172/M172,0)</f>
        <v>0</v>
      </c>
    </row>
    <row r="173" customFormat="false" ht="15" hidden="false" customHeight="false" outlineLevel="0" collapsed="false">
      <c r="A173" s="17" t="s">
        <v>17</v>
      </c>
      <c r="B173" s="17" t="s">
        <v>632</v>
      </c>
      <c r="C173" s="17" t="s">
        <v>633</v>
      </c>
      <c r="D173" s="17" t="s">
        <v>28</v>
      </c>
      <c r="E173" s="17" t="s">
        <v>297</v>
      </c>
      <c r="F173" s="17" t="s">
        <v>28</v>
      </c>
      <c r="G173" s="17" t="s">
        <v>139</v>
      </c>
      <c r="H173" s="18" t="s">
        <v>59</v>
      </c>
      <c r="I173" s="17" t="s">
        <v>65</v>
      </c>
      <c r="J173" s="17"/>
      <c r="K173" s="17" t="s">
        <v>59</v>
      </c>
      <c r="L173" s="20" t="n">
        <v>691</v>
      </c>
      <c r="M173" s="20" t="n">
        <v>2</v>
      </c>
      <c r="N173" s="22" t="n">
        <f aca="false">IFERROR(M173/L173,0)</f>
        <v>0.00289435600578871</v>
      </c>
      <c r="O173" s="19" t="n">
        <v>3.45</v>
      </c>
      <c r="P173" s="9" t="n">
        <f aca="false">IFERROR(O173/M173,0)</f>
        <v>1.725</v>
      </c>
      <c r="Q173" s="20" t="n">
        <v>0</v>
      </c>
      <c r="R173" s="19" t="n">
        <v>0</v>
      </c>
      <c r="S173" s="8" t="n">
        <f aca="false">IFERROR(O173/R173,0)</f>
        <v>0</v>
      </c>
      <c r="T173" s="8" t="n">
        <f aca="false">IFERROR(Q173/M173,0)</f>
        <v>0</v>
      </c>
    </row>
    <row r="174" customFormat="false" ht="15" hidden="false" customHeight="false" outlineLevel="0" collapsed="false">
      <c r="A174" s="17" t="s">
        <v>17</v>
      </c>
      <c r="B174" s="17" t="s">
        <v>634</v>
      </c>
      <c r="C174" s="17" t="s">
        <v>635</v>
      </c>
      <c r="D174" s="17" t="s">
        <v>30</v>
      </c>
      <c r="E174" s="17" t="s">
        <v>297</v>
      </c>
      <c r="F174" s="17" t="s">
        <v>294</v>
      </c>
      <c r="G174" s="17" t="s">
        <v>139</v>
      </c>
      <c r="H174" s="18" t="s">
        <v>59</v>
      </c>
      <c r="I174" s="17" t="s">
        <v>65</v>
      </c>
      <c r="J174" s="17"/>
      <c r="K174" s="17" t="s">
        <v>59</v>
      </c>
      <c r="L174" s="20" t="n">
        <v>193</v>
      </c>
      <c r="M174" s="20" t="n">
        <v>3</v>
      </c>
      <c r="N174" s="22" t="n">
        <f aca="false">IFERROR(M174/L174,0)</f>
        <v>0.0155440414507772</v>
      </c>
      <c r="O174" s="19" t="n">
        <v>3.39</v>
      </c>
      <c r="P174" s="9" t="n">
        <f aca="false">IFERROR(O174/M174,0)</f>
        <v>1.13</v>
      </c>
      <c r="Q174" s="20" t="n">
        <v>0</v>
      </c>
      <c r="R174" s="19" t="n">
        <v>0</v>
      </c>
      <c r="S174" s="8" t="n">
        <f aca="false">IFERROR(O174/R174,0)</f>
        <v>0</v>
      </c>
      <c r="T174" s="8" t="n">
        <f aca="false">IFERROR(Q174/M174,0)</f>
        <v>0</v>
      </c>
    </row>
    <row r="175" customFormat="false" ht="15" hidden="false" customHeight="false" outlineLevel="0" collapsed="false">
      <c r="A175" s="17" t="s">
        <v>17</v>
      </c>
      <c r="B175" s="17" t="s">
        <v>636</v>
      </c>
      <c r="C175" s="17" t="s">
        <v>637</v>
      </c>
      <c r="D175" s="17" t="s">
        <v>28</v>
      </c>
      <c r="E175" s="17" t="s">
        <v>297</v>
      </c>
      <c r="F175" s="17" t="s">
        <v>28</v>
      </c>
      <c r="G175" s="17" t="s">
        <v>139</v>
      </c>
      <c r="H175" s="18" t="s">
        <v>59</v>
      </c>
      <c r="I175" s="17" t="s">
        <v>65</v>
      </c>
      <c r="J175" s="17"/>
      <c r="K175" s="17" t="s">
        <v>59</v>
      </c>
      <c r="L175" s="20" t="n">
        <v>118</v>
      </c>
      <c r="M175" s="20" t="n">
        <v>2</v>
      </c>
      <c r="N175" s="22" t="n">
        <f aca="false">IFERROR(M175/L175,0)</f>
        <v>0.0169491525423729</v>
      </c>
      <c r="O175" s="19" t="n">
        <v>3.15</v>
      </c>
      <c r="P175" s="9" t="n">
        <f aca="false">IFERROR(O175/M175,0)</f>
        <v>1.575</v>
      </c>
      <c r="Q175" s="20" t="n">
        <v>1</v>
      </c>
      <c r="R175" s="19" t="n">
        <v>25.56</v>
      </c>
      <c r="S175" s="8" t="n">
        <f aca="false">IFERROR(O175/R175,0)</f>
        <v>0.123239436619718</v>
      </c>
      <c r="T175" s="8" t="n">
        <f aca="false">IFERROR(Q175/M175,0)</f>
        <v>0.5</v>
      </c>
    </row>
    <row r="176" customFormat="false" ht="15" hidden="false" customHeight="false" outlineLevel="0" collapsed="false">
      <c r="A176" s="17" t="s">
        <v>17</v>
      </c>
      <c r="B176" s="17" t="s">
        <v>638</v>
      </c>
      <c r="C176" s="17" t="s">
        <v>639</v>
      </c>
      <c r="D176" s="17" t="s">
        <v>31</v>
      </c>
      <c r="E176" s="17" t="s">
        <v>333</v>
      </c>
      <c r="F176" s="17" t="s">
        <v>288</v>
      </c>
      <c r="G176" s="17"/>
      <c r="H176" s="17"/>
      <c r="I176" s="17" t="s">
        <v>65</v>
      </c>
      <c r="J176" s="17"/>
      <c r="K176" s="17" t="s">
        <v>59</v>
      </c>
      <c r="L176" s="20" t="n">
        <v>64</v>
      </c>
      <c r="M176" s="20" t="n">
        <v>4</v>
      </c>
      <c r="N176" s="22" t="n">
        <f aca="false">IFERROR(M176/L176,0)</f>
        <v>0.0625</v>
      </c>
      <c r="O176" s="19" t="n">
        <v>3.15</v>
      </c>
      <c r="P176" s="9" t="n">
        <f aca="false">IFERROR(O176/M176,0)</f>
        <v>0.7875</v>
      </c>
      <c r="Q176" s="20" t="n">
        <v>1</v>
      </c>
      <c r="R176" s="19" t="n">
        <v>33.95</v>
      </c>
      <c r="S176" s="8" t="n">
        <f aca="false">IFERROR(O176/R176,0)</f>
        <v>0.0927835051546392</v>
      </c>
      <c r="T176" s="8" t="n">
        <f aca="false">IFERROR(Q176/M176,0)</f>
        <v>0.25</v>
      </c>
    </row>
    <row r="177" customFormat="false" ht="15" hidden="false" customHeight="false" outlineLevel="0" collapsed="false">
      <c r="A177" s="17" t="s">
        <v>17</v>
      </c>
      <c r="B177" s="17" t="s">
        <v>640</v>
      </c>
      <c r="C177" s="17" t="s">
        <v>641</v>
      </c>
      <c r="D177" s="17" t="s">
        <v>29</v>
      </c>
      <c r="E177" s="17" t="s">
        <v>297</v>
      </c>
      <c r="F177" s="17"/>
      <c r="G177" s="17" t="s">
        <v>642</v>
      </c>
      <c r="H177" s="18" t="s">
        <v>59</v>
      </c>
      <c r="I177" s="17" t="s">
        <v>65</v>
      </c>
      <c r="J177" s="17"/>
      <c r="K177" s="17" t="s">
        <v>59</v>
      </c>
      <c r="L177" s="20" t="n">
        <v>79</v>
      </c>
      <c r="M177" s="20" t="n">
        <v>2</v>
      </c>
      <c r="N177" s="22" t="n">
        <f aca="false">IFERROR(M177/L177,0)</f>
        <v>0.0253164556962025</v>
      </c>
      <c r="O177" s="19" t="n">
        <v>3.08</v>
      </c>
      <c r="P177" s="9" t="n">
        <f aca="false">IFERROR(O177/M177,0)</f>
        <v>1.54</v>
      </c>
      <c r="Q177" s="20" t="n">
        <v>0</v>
      </c>
      <c r="R177" s="19" t="n">
        <v>0</v>
      </c>
      <c r="S177" s="8" t="n">
        <f aca="false">IFERROR(O177/R177,0)</f>
        <v>0</v>
      </c>
      <c r="T177" s="8" t="n">
        <f aca="false">IFERROR(Q177/M177,0)</f>
        <v>0</v>
      </c>
    </row>
    <row r="178" customFormat="false" ht="15" hidden="false" customHeight="false" outlineLevel="0" collapsed="false">
      <c r="A178" s="17" t="s">
        <v>17</v>
      </c>
      <c r="B178" s="17" t="s">
        <v>396</v>
      </c>
      <c r="C178" s="17" t="s">
        <v>397</v>
      </c>
      <c r="D178" s="17" t="s">
        <v>33</v>
      </c>
      <c r="E178" s="17" t="s">
        <v>300</v>
      </c>
      <c r="F178" s="17" t="s">
        <v>294</v>
      </c>
      <c r="G178" s="17" t="s">
        <v>117</v>
      </c>
      <c r="H178" s="23" t="s">
        <v>65</v>
      </c>
      <c r="I178" s="17" t="s">
        <v>59</v>
      </c>
      <c r="J178" s="17" t="s">
        <v>558</v>
      </c>
      <c r="K178" s="17" t="s">
        <v>65</v>
      </c>
      <c r="L178" s="20" t="n">
        <v>476</v>
      </c>
      <c r="M178" s="20" t="n">
        <v>3</v>
      </c>
      <c r="N178" s="22" t="n">
        <f aca="false">IFERROR(M178/L178,0)</f>
        <v>0.00630252100840336</v>
      </c>
      <c r="O178" s="19" t="n">
        <v>2.81</v>
      </c>
      <c r="P178" s="9" t="n">
        <f aca="false">IFERROR(O178/M178,0)</f>
        <v>0.936666666666667</v>
      </c>
      <c r="Q178" s="20" t="n">
        <v>0</v>
      </c>
      <c r="R178" s="19" t="n">
        <v>0</v>
      </c>
      <c r="S178" s="8" t="n">
        <f aca="false">IFERROR(O178/R178,0)</f>
        <v>0</v>
      </c>
      <c r="T178" s="8" t="n">
        <f aca="false">IFERROR(Q178/M178,0)</f>
        <v>0</v>
      </c>
    </row>
    <row r="179" customFormat="false" ht="15" hidden="false" customHeight="false" outlineLevel="0" collapsed="false">
      <c r="A179" s="17" t="s">
        <v>17</v>
      </c>
      <c r="B179" s="17" t="s">
        <v>643</v>
      </c>
      <c r="C179" s="17" t="s">
        <v>644</v>
      </c>
      <c r="D179" s="17" t="s">
        <v>28</v>
      </c>
      <c r="E179" s="17" t="s">
        <v>297</v>
      </c>
      <c r="F179" s="17" t="s">
        <v>28</v>
      </c>
      <c r="G179" s="17" t="s">
        <v>148</v>
      </c>
      <c r="H179" s="18" t="s">
        <v>59</v>
      </c>
      <c r="I179" s="17" t="s">
        <v>65</v>
      </c>
      <c r="J179" s="17"/>
      <c r="K179" s="17" t="s">
        <v>59</v>
      </c>
      <c r="L179" s="20" t="n">
        <v>147</v>
      </c>
      <c r="M179" s="20" t="n">
        <v>2</v>
      </c>
      <c r="N179" s="22" t="n">
        <f aca="false">IFERROR(M179/L179,0)</f>
        <v>0.0136054421768707</v>
      </c>
      <c r="O179" s="19" t="n">
        <v>2.76</v>
      </c>
      <c r="P179" s="9" t="n">
        <f aca="false">IFERROR(O179/M179,0)</f>
        <v>1.38</v>
      </c>
      <c r="Q179" s="20" t="n">
        <v>0</v>
      </c>
      <c r="R179" s="19" t="n">
        <v>0</v>
      </c>
      <c r="S179" s="8" t="n">
        <f aca="false">IFERROR(O179/R179,0)</f>
        <v>0</v>
      </c>
      <c r="T179" s="8" t="n">
        <f aca="false">IFERROR(Q179/M179,0)</f>
        <v>0</v>
      </c>
    </row>
    <row r="180" customFormat="false" ht="15" hidden="false" customHeight="false" outlineLevel="0" collapsed="false">
      <c r="A180" s="17" t="s">
        <v>17</v>
      </c>
      <c r="B180" s="17" t="s">
        <v>645</v>
      </c>
      <c r="C180" s="17" t="s">
        <v>646</v>
      </c>
      <c r="D180" s="17" t="s">
        <v>28</v>
      </c>
      <c r="E180" s="17" t="s">
        <v>297</v>
      </c>
      <c r="F180" s="17" t="s">
        <v>28</v>
      </c>
      <c r="G180" s="17" t="s">
        <v>140</v>
      </c>
      <c r="H180" s="23" t="s">
        <v>65</v>
      </c>
      <c r="I180" s="17" t="s">
        <v>65</v>
      </c>
      <c r="J180" s="17"/>
      <c r="K180" s="17" t="s">
        <v>59</v>
      </c>
      <c r="L180" s="20" t="n">
        <v>126</v>
      </c>
      <c r="M180" s="20" t="n">
        <v>2</v>
      </c>
      <c r="N180" s="22" t="n">
        <f aca="false">IFERROR(M180/L180,0)</f>
        <v>0.0158730158730159</v>
      </c>
      <c r="O180" s="19" t="n">
        <v>2.7</v>
      </c>
      <c r="P180" s="9" t="n">
        <f aca="false">IFERROR(O180/M180,0)</f>
        <v>1.35</v>
      </c>
      <c r="Q180" s="20" t="n">
        <v>0</v>
      </c>
      <c r="R180" s="19" t="n">
        <v>0</v>
      </c>
      <c r="S180" s="8" t="n">
        <f aca="false">IFERROR(O180/R180,0)</f>
        <v>0</v>
      </c>
      <c r="T180" s="8" t="n">
        <f aca="false">IFERROR(Q180/M180,0)</f>
        <v>0</v>
      </c>
    </row>
    <row r="181" customFormat="false" ht="15" hidden="false" customHeight="false" outlineLevel="0" collapsed="false">
      <c r="A181" s="17" t="s">
        <v>17</v>
      </c>
      <c r="B181" s="17" t="s">
        <v>647</v>
      </c>
      <c r="C181" s="17" t="s">
        <v>648</v>
      </c>
      <c r="D181" s="17" t="s">
        <v>31</v>
      </c>
      <c r="E181" s="17" t="s">
        <v>293</v>
      </c>
      <c r="F181" s="17" t="s">
        <v>288</v>
      </c>
      <c r="G181" s="17" t="s">
        <v>139</v>
      </c>
      <c r="H181" s="18" t="s">
        <v>59</v>
      </c>
      <c r="I181" s="17" t="s">
        <v>65</v>
      </c>
      <c r="J181" s="17"/>
      <c r="K181" s="17" t="s">
        <v>59</v>
      </c>
      <c r="L181" s="20" t="n">
        <v>196</v>
      </c>
      <c r="M181" s="20" t="n">
        <v>3</v>
      </c>
      <c r="N181" s="22" t="n">
        <f aca="false">IFERROR(M181/L181,0)</f>
        <v>0.0153061224489796</v>
      </c>
      <c r="O181" s="19" t="n">
        <v>2.69</v>
      </c>
      <c r="P181" s="9" t="n">
        <f aca="false">IFERROR(O181/M181,0)</f>
        <v>0.896666666666667</v>
      </c>
      <c r="Q181" s="20" t="n">
        <v>1</v>
      </c>
      <c r="R181" s="19" t="n">
        <v>31.95</v>
      </c>
      <c r="S181" s="8" t="n">
        <f aca="false">IFERROR(O181/R181,0)</f>
        <v>0.0841940532081377</v>
      </c>
      <c r="T181" s="8" t="n">
        <f aca="false">IFERROR(Q181/M181,0)</f>
        <v>0.333333333333333</v>
      </c>
    </row>
    <row r="182" customFormat="false" ht="15" hidden="false" customHeight="false" outlineLevel="0" collapsed="false">
      <c r="A182" s="17" t="s">
        <v>17</v>
      </c>
      <c r="B182" s="17" t="s">
        <v>649</v>
      </c>
      <c r="C182" s="17" t="s">
        <v>650</v>
      </c>
      <c r="D182" s="17" t="s">
        <v>29</v>
      </c>
      <c r="E182" s="17" t="s">
        <v>297</v>
      </c>
      <c r="F182" s="17"/>
      <c r="G182" s="17" t="s">
        <v>651</v>
      </c>
      <c r="H182" s="23" t="s">
        <v>65</v>
      </c>
      <c r="I182" s="17" t="s">
        <v>65</v>
      </c>
      <c r="J182" s="17"/>
      <c r="K182" s="17" t="s">
        <v>59</v>
      </c>
      <c r="L182" s="20" t="n">
        <v>312</v>
      </c>
      <c r="M182" s="20" t="n">
        <v>2</v>
      </c>
      <c r="N182" s="22" t="n">
        <f aca="false">IFERROR(M182/L182,0)</f>
        <v>0.00641025641025641</v>
      </c>
      <c r="O182" s="19" t="n">
        <v>2.66</v>
      </c>
      <c r="P182" s="9" t="n">
        <f aca="false">IFERROR(O182/M182,0)</f>
        <v>1.33</v>
      </c>
      <c r="Q182" s="20" t="n">
        <v>0</v>
      </c>
      <c r="R182" s="19" t="n">
        <v>0</v>
      </c>
      <c r="S182" s="8" t="n">
        <f aca="false">IFERROR(O182/R182,0)</f>
        <v>0</v>
      </c>
      <c r="T182" s="8" t="n">
        <f aca="false">IFERROR(Q182/M182,0)</f>
        <v>0</v>
      </c>
    </row>
    <row r="183" customFormat="false" ht="15" hidden="false" customHeight="false" outlineLevel="0" collapsed="false">
      <c r="A183" s="17" t="s">
        <v>17</v>
      </c>
      <c r="B183" s="17" t="s">
        <v>652</v>
      </c>
      <c r="C183" s="17" t="s">
        <v>653</v>
      </c>
      <c r="D183" s="17" t="s">
        <v>28</v>
      </c>
      <c r="E183" s="17" t="s">
        <v>297</v>
      </c>
      <c r="F183" s="17" t="s">
        <v>28</v>
      </c>
      <c r="G183" s="17" t="s">
        <v>139</v>
      </c>
      <c r="H183" s="18" t="s">
        <v>59</v>
      </c>
      <c r="I183" s="17" t="s">
        <v>65</v>
      </c>
      <c r="J183" s="17"/>
      <c r="K183" s="17" t="s">
        <v>59</v>
      </c>
      <c r="L183" s="20" t="n">
        <v>307</v>
      </c>
      <c r="M183" s="20" t="n">
        <v>1</v>
      </c>
      <c r="N183" s="22" t="n">
        <f aca="false">IFERROR(M183/L183,0)</f>
        <v>0.00325732899022801</v>
      </c>
      <c r="O183" s="19" t="n">
        <v>2.58</v>
      </c>
      <c r="P183" s="9" t="n">
        <f aca="false">IFERROR(O183/M183,0)</f>
        <v>2.58</v>
      </c>
      <c r="Q183" s="20" t="n">
        <v>1</v>
      </c>
      <c r="R183" s="19" t="n">
        <v>31.95</v>
      </c>
      <c r="S183" s="8" t="n">
        <f aca="false">IFERROR(O183/R183,0)</f>
        <v>0.0807511737089202</v>
      </c>
      <c r="T183" s="8" t="n">
        <f aca="false">IFERROR(Q183/M183,0)</f>
        <v>1</v>
      </c>
    </row>
    <row r="184" customFormat="false" ht="15" hidden="false" customHeight="false" outlineLevel="0" collapsed="false">
      <c r="A184" s="17" t="s">
        <v>17</v>
      </c>
      <c r="B184" s="17" t="s">
        <v>654</v>
      </c>
      <c r="C184" s="17" t="s">
        <v>655</v>
      </c>
      <c r="D184" s="17" t="s">
        <v>29</v>
      </c>
      <c r="E184" s="17" t="s">
        <v>297</v>
      </c>
      <c r="F184" s="17"/>
      <c r="G184" s="17" t="s">
        <v>642</v>
      </c>
      <c r="H184" s="18" t="s">
        <v>59</v>
      </c>
      <c r="I184" s="17" t="s">
        <v>65</v>
      </c>
      <c r="J184" s="17"/>
      <c r="K184" s="17" t="s">
        <v>59</v>
      </c>
      <c r="L184" s="20" t="n">
        <v>59</v>
      </c>
      <c r="M184" s="20" t="n">
        <v>1</v>
      </c>
      <c r="N184" s="22" t="n">
        <f aca="false">IFERROR(M184/L184,0)</f>
        <v>0.0169491525423729</v>
      </c>
      <c r="O184" s="19" t="n">
        <v>2.41</v>
      </c>
      <c r="P184" s="9" t="n">
        <f aca="false">IFERROR(O184/M184,0)</f>
        <v>2.41</v>
      </c>
      <c r="Q184" s="20" t="n">
        <v>2</v>
      </c>
      <c r="R184" s="19" t="n">
        <v>51.12</v>
      </c>
      <c r="S184" s="8" t="n">
        <f aca="false">IFERROR(O184/R184,0)</f>
        <v>0.0471439749608764</v>
      </c>
      <c r="T184" s="8" t="n">
        <f aca="false">IFERROR(Q184/M184,0)</f>
        <v>2</v>
      </c>
    </row>
    <row r="185" customFormat="false" ht="15" hidden="false" customHeight="false" outlineLevel="0" collapsed="false">
      <c r="A185" s="17" t="s">
        <v>17</v>
      </c>
      <c r="B185" s="17" t="s">
        <v>656</v>
      </c>
      <c r="C185" s="17" t="s">
        <v>657</v>
      </c>
      <c r="D185" s="17" t="s">
        <v>28</v>
      </c>
      <c r="E185" s="17" t="s">
        <v>297</v>
      </c>
      <c r="F185" s="17" t="s">
        <v>28</v>
      </c>
      <c r="G185" s="17" t="s">
        <v>658</v>
      </c>
      <c r="H185" s="23" t="s">
        <v>65</v>
      </c>
      <c r="I185" s="17" t="s">
        <v>65</v>
      </c>
      <c r="J185" s="17"/>
      <c r="K185" s="17" t="s">
        <v>59</v>
      </c>
      <c r="L185" s="20" t="n">
        <v>45</v>
      </c>
      <c r="M185" s="20" t="n">
        <v>2</v>
      </c>
      <c r="N185" s="22" t="n">
        <f aca="false">IFERROR(M185/L185,0)</f>
        <v>0.0444444444444444</v>
      </c>
      <c r="O185" s="19" t="n">
        <v>2.3</v>
      </c>
      <c r="P185" s="9" t="n">
        <f aca="false">IFERROR(O185/M185,0)</f>
        <v>1.15</v>
      </c>
      <c r="Q185" s="20" t="n">
        <v>0</v>
      </c>
      <c r="R185" s="19" t="n">
        <v>0</v>
      </c>
      <c r="S185" s="8" t="n">
        <f aca="false">IFERROR(O185/R185,0)</f>
        <v>0</v>
      </c>
      <c r="T185" s="8" t="n">
        <f aca="false">IFERROR(Q185/M185,0)</f>
        <v>0</v>
      </c>
    </row>
    <row r="186" customFormat="false" ht="15" hidden="false" customHeight="false" outlineLevel="0" collapsed="false">
      <c r="A186" s="17" t="s">
        <v>17</v>
      </c>
      <c r="B186" s="17" t="s">
        <v>659</v>
      </c>
      <c r="C186" s="17" t="s">
        <v>660</v>
      </c>
      <c r="D186" s="21" t="s">
        <v>34</v>
      </c>
      <c r="E186" s="17" t="s">
        <v>285</v>
      </c>
      <c r="F186" s="17"/>
      <c r="G186" s="17"/>
      <c r="H186" s="17"/>
      <c r="I186" s="17" t="s">
        <v>65</v>
      </c>
      <c r="J186" s="17"/>
      <c r="K186" s="17" t="s">
        <v>59</v>
      </c>
      <c r="L186" s="20" t="n">
        <v>855</v>
      </c>
      <c r="M186" s="20" t="n">
        <v>6</v>
      </c>
      <c r="N186" s="22" t="n">
        <f aca="false">IFERROR(M186/L186,0)</f>
        <v>0.00701754385964912</v>
      </c>
      <c r="O186" s="19" t="n">
        <v>2.3</v>
      </c>
      <c r="P186" s="9" t="n">
        <f aca="false">IFERROR(O186/M186,0)</f>
        <v>0.383333333333333</v>
      </c>
      <c r="Q186" s="20" t="n">
        <v>1</v>
      </c>
      <c r="R186" s="19" t="n">
        <v>31.95</v>
      </c>
      <c r="S186" s="8" t="n">
        <f aca="false">IFERROR(O186/R186,0)</f>
        <v>0.0719874804381847</v>
      </c>
      <c r="T186" s="8" t="n">
        <f aca="false">IFERROR(Q186/M186,0)</f>
        <v>0.166666666666667</v>
      </c>
    </row>
    <row r="187" customFormat="false" ht="15" hidden="false" customHeight="false" outlineLevel="0" collapsed="false">
      <c r="A187" s="17" t="s">
        <v>17</v>
      </c>
      <c r="B187" s="17" t="s">
        <v>661</v>
      </c>
      <c r="C187" s="17" t="s">
        <v>662</v>
      </c>
      <c r="D187" s="17" t="s">
        <v>28</v>
      </c>
      <c r="E187" s="17" t="s">
        <v>297</v>
      </c>
      <c r="F187" s="17" t="s">
        <v>28</v>
      </c>
      <c r="G187" s="17" t="s">
        <v>139</v>
      </c>
      <c r="H187" s="18" t="s">
        <v>59</v>
      </c>
      <c r="I187" s="17" t="s">
        <v>65</v>
      </c>
      <c r="J187" s="17"/>
      <c r="K187" s="17" t="s">
        <v>59</v>
      </c>
      <c r="L187" s="20" t="n">
        <v>58</v>
      </c>
      <c r="M187" s="20" t="n">
        <v>1</v>
      </c>
      <c r="N187" s="22" t="n">
        <f aca="false">IFERROR(M187/L187,0)</f>
        <v>0.0172413793103448</v>
      </c>
      <c r="O187" s="19" t="n">
        <v>1.92</v>
      </c>
      <c r="P187" s="9" t="n">
        <f aca="false">IFERROR(O187/M187,0)</f>
        <v>1.92</v>
      </c>
      <c r="Q187" s="20" t="n">
        <v>0</v>
      </c>
      <c r="R187" s="19" t="n">
        <v>0</v>
      </c>
      <c r="S187" s="8" t="n">
        <f aca="false">IFERROR(O187/R187,0)</f>
        <v>0</v>
      </c>
      <c r="T187" s="8" t="n">
        <f aca="false">IFERROR(Q187/M187,0)</f>
        <v>0</v>
      </c>
    </row>
    <row r="188" customFormat="false" ht="15" hidden="false" customHeight="false" outlineLevel="0" collapsed="false">
      <c r="A188" s="17" t="s">
        <v>17</v>
      </c>
      <c r="B188" s="17" t="s">
        <v>663</v>
      </c>
      <c r="C188" s="17" t="s">
        <v>664</v>
      </c>
      <c r="D188" s="17" t="s">
        <v>33</v>
      </c>
      <c r="E188" s="17" t="s">
        <v>300</v>
      </c>
      <c r="F188" s="17" t="s">
        <v>665</v>
      </c>
      <c r="G188" s="17" t="s">
        <v>139</v>
      </c>
      <c r="H188" s="18" t="s">
        <v>59</v>
      </c>
      <c r="I188" s="17" t="s">
        <v>65</v>
      </c>
      <c r="J188" s="17"/>
      <c r="K188" s="17" t="s">
        <v>59</v>
      </c>
      <c r="L188" s="20" t="n">
        <v>397</v>
      </c>
      <c r="M188" s="20" t="n">
        <v>1</v>
      </c>
      <c r="N188" s="22" t="n">
        <f aca="false">IFERROR(M188/L188,0)</f>
        <v>0.00251889168765743</v>
      </c>
      <c r="O188" s="19" t="n">
        <v>1.9</v>
      </c>
      <c r="P188" s="9" t="n">
        <f aca="false">IFERROR(O188/M188,0)</f>
        <v>1.9</v>
      </c>
      <c r="Q188" s="20" t="n">
        <v>0</v>
      </c>
      <c r="R188" s="19" t="n">
        <v>0</v>
      </c>
      <c r="S188" s="8" t="n">
        <f aca="false">IFERROR(O188/R188,0)</f>
        <v>0</v>
      </c>
      <c r="T188" s="8" t="n">
        <f aca="false">IFERROR(Q188/M188,0)</f>
        <v>0</v>
      </c>
    </row>
    <row r="189" customFormat="false" ht="15" hidden="false" customHeight="false" outlineLevel="0" collapsed="false">
      <c r="A189" s="17" t="s">
        <v>17</v>
      </c>
      <c r="B189" s="17" t="s">
        <v>666</v>
      </c>
      <c r="C189" s="17" t="s">
        <v>667</v>
      </c>
      <c r="D189" s="17" t="s">
        <v>28</v>
      </c>
      <c r="E189" s="17" t="s">
        <v>297</v>
      </c>
      <c r="F189" s="17" t="s">
        <v>28</v>
      </c>
      <c r="G189" s="17" t="s">
        <v>139</v>
      </c>
      <c r="H189" s="18" t="s">
        <v>59</v>
      </c>
      <c r="I189" s="17" t="s">
        <v>65</v>
      </c>
      <c r="J189" s="17"/>
      <c r="K189" s="17" t="s">
        <v>59</v>
      </c>
      <c r="L189" s="20" t="n">
        <v>13</v>
      </c>
      <c r="M189" s="20" t="n">
        <v>1</v>
      </c>
      <c r="N189" s="22" t="n">
        <f aca="false">IFERROR(M189/L189,0)</f>
        <v>0.0769230769230769</v>
      </c>
      <c r="O189" s="19" t="n">
        <v>1.85</v>
      </c>
      <c r="P189" s="9" t="n">
        <f aca="false">IFERROR(O189/M189,0)</f>
        <v>1.85</v>
      </c>
      <c r="Q189" s="20" t="n">
        <v>0</v>
      </c>
      <c r="R189" s="19" t="n">
        <v>0</v>
      </c>
      <c r="S189" s="8" t="n">
        <f aca="false">IFERROR(O189/R189,0)</f>
        <v>0</v>
      </c>
      <c r="T189" s="8" t="n">
        <f aca="false">IFERROR(Q189/M189,0)</f>
        <v>0</v>
      </c>
    </row>
    <row r="190" customFormat="false" ht="15" hidden="false" customHeight="false" outlineLevel="0" collapsed="false">
      <c r="A190" s="17" t="s">
        <v>17</v>
      </c>
      <c r="B190" s="17" t="s">
        <v>668</v>
      </c>
      <c r="C190" s="17" t="s">
        <v>669</v>
      </c>
      <c r="D190" s="17" t="s">
        <v>28</v>
      </c>
      <c r="E190" s="17" t="s">
        <v>297</v>
      </c>
      <c r="F190" s="17" t="s">
        <v>28</v>
      </c>
      <c r="G190" s="17" t="s">
        <v>142</v>
      </c>
      <c r="H190" s="18" t="s">
        <v>59</v>
      </c>
      <c r="I190" s="17" t="s">
        <v>65</v>
      </c>
      <c r="J190" s="17"/>
      <c r="K190" s="17" t="s">
        <v>59</v>
      </c>
      <c r="L190" s="20" t="n">
        <v>14</v>
      </c>
      <c r="M190" s="20" t="n">
        <v>1</v>
      </c>
      <c r="N190" s="22" t="n">
        <f aca="false">IFERROR(M190/L190,0)</f>
        <v>0.0714285714285714</v>
      </c>
      <c r="O190" s="19" t="n">
        <v>1.82</v>
      </c>
      <c r="P190" s="9" t="n">
        <f aca="false">IFERROR(O190/M190,0)</f>
        <v>1.82</v>
      </c>
      <c r="Q190" s="20" t="n">
        <v>1</v>
      </c>
      <c r="R190" s="19" t="n">
        <v>29.95</v>
      </c>
      <c r="S190" s="8" t="n">
        <f aca="false">IFERROR(O190/R190,0)</f>
        <v>0.0607679465776294</v>
      </c>
      <c r="T190" s="8" t="n">
        <f aca="false">IFERROR(Q190/M190,0)</f>
        <v>1</v>
      </c>
    </row>
    <row r="191" customFormat="false" ht="15" hidden="false" customHeight="false" outlineLevel="0" collapsed="false">
      <c r="A191" s="17" t="s">
        <v>17</v>
      </c>
      <c r="B191" s="17" t="s">
        <v>670</v>
      </c>
      <c r="C191" s="17" t="s">
        <v>671</v>
      </c>
      <c r="D191" s="17" t="s">
        <v>28</v>
      </c>
      <c r="E191" s="17" t="s">
        <v>297</v>
      </c>
      <c r="F191" s="17" t="s">
        <v>28</v>
      </c>
      <c r="G191" s="17" t="s">
        <v>139</v>
      </c>
      <c r="H191" s="18" t="s">
        <v>59</v>
      </c>
      <c r="I191" s="17" t="s">
        <v>65</v>
      </c>
      <c r="J191" s="17"/>
      <c r="K191" s="17" t="s">
        <v>59</v>
      </c>
      <c r="L191" s="20" t="n">
        <v>68</v>
      </c>
      <c r="M191" s="20" t="n">
        <v>1</v>
      </c>
      <c r="N191" s="22" t="n">
        <f aca="false">IFERROR(M191/L191,0)</f>
        <v>0.0147058823529412</v>
      </c>
      <c r="O191" s="19" t="n">
        <v>1.79</v>
      </c>
      <c r="P191" s="9" t="n">
        <f aca="false">IFERROR(O191/M191,0)</f>
        <v>1.79</v>
      </c>
      <c r="Q191" s="20" t="n">
        <v>0</v>
      </c>
      <c r="R191" s="19" t="n">
        <v>0</v>
      </c>
      <c r="S191" s="8" t="n">
        <f aca="false">IFERROR(O191/R191,0)</f>
        <v>0</v>
      </c>
      <c r="T191" s="8" t="n">
        <f aca="false">IFERROR(Q191/M191,0)</f>
        <v>0</v>
      </c>
    </row>
    <row r="192" customFormat="false" ht="15" hidden="false" customHeight="false" outlineLevel="0" collapsed="false">
      <c r="A192" s="17" t="s">
        <v>17</v>
      </c>
      <c r="B192" s="17" t="s">
        <v>672</v>
      </c>
      <c r="C192" s="17" t="s">
        <v>673</v>
      </c>
      <c r="D192" s="17" t="s">
        <v>29</v>
      </c>
      <c r="E192" s="17" t="s">
        <v>297</v>
      </c>
      <c r="F192" s="17"/>
      <c r="G192" s="17" t="s">
        <v>591</v>
      </c>
      <c r="H192" s="23" t="s">
        <v>65</v>
      </c>
      <c r="I192" s="17" t="s">
        <v>65</v>
      </c>
      <c r="J192" s="17"/>
      <c r="K192" s="17" t="s">
        <v>59</v>
      </c>
      <c r="L192" s="20" t="n">
        <v>16</v>
      </c>
      <c r="M192" s="20" t="n">
        <v>1</v>
      </c>
      <c r="N192" s="22" t="n">
        <f aca="false">IFERROR(M192/L192,0)</f>
        <v>0.0625</v>
      </c>
      <c r="O192" s="19" t="n">
        <v>1.74</v>
      </c>
      <c r="P192" s="9" t="n">
        <f aca="false">IFERROR(O192/M192,0)</f>
        <v>1.74</v>
      </c>
      <c r="Q192" s="20" t="n">
        <v>0</v>
      </c>
      <c r="R192" s="19" t="n">
        <v>0</v>
      </c>
      <c r="S192" s="8" t="n">
        <f aca="false">IFERROR(O192/R192,0)</f>
        <v>0</v>
      </c>
      <c r="T192" s="8" t="n">
        <f aca="false">IFERROR(Q192/M192,0)</f>
        <v>0</v>
      </c>
    </row>
    <row r="193" customFormat="false" ht="15" hidden="false" customHeight="false" outlineLevel="0" collapsed="false">
      <c r="A193" s="17" t="s">
        <v>17</v>
      </c>
      <c r="B193" s="17" t="s">
        <v>674</v>
      </c>
      <c r="C193" s="17" t="s">
        <v>675</v>
      </c>
      <c r="D193" s="17" t="s">
        <v>28</v>
      </c>
      <c r="E193" s="17" t="s">
        <v>297</v>
      </c>
      <c r="F193" s="17" t="s">
        <v>28</v>
      </c>
      <c r="G193" s="17" t="s">
        <v>618</v>
      </c>
      <c r="H193" s="18" t="s">
        <v>59</v>
      </c>
      <c r="I193" s="17" t="s">
        <v>65</v>
      </c>
      <c r="J193" s="17"/>
      <c r="K193" s="17" t="s">
        <v>59</v>
      </c>
      <c r="L193" s="20" t="n">
        <v>164</v>
      </c>
      <c r="M193" s="20" t="n">
        <v>1</v>
      </c>
      <c r="N193" s="22" t="n">
        <f aca="false">IFERROR(M193/L193,0)</f>
        <v>0.00609756097560976</v>
      </c>
      <c r="O193" s="19" t="n">
        <v>1.68</v>
      </c>
      <c r="P193" s="9" t="n">
        <f aca="false">IFERROR(O193/M193,0)</f>
        <v>1.68</v>
      </c>
      <c r="Q193" s="20" t="n">
        <v>1</v>
      </c>
      <c r="R193" s="19" t="n">
        <v>31.95</v>
      </c>
      <c r="S193" s="8" t="n">
        <f aca="false">IFERROR(O193/R193,0)</f>
        <v>0.0525821596244131</v>
      </c>
      <c r="T193" s="8" t="n">
        <f aca="false">IFERROR(Q193/M193,0)</f>
        <v>1</v>
      </c>
    </row>
    <row r="194" customFormat="false" ht="15" hidden="false" customHeight="false" outlineLevel="0" collapsed="false">
      <c r="A194" s="17" t="s">
        <v>17</v>
      </c>
      <c r="B194" s="17" t="s">
        <v>676</v>
      </c>
      <c r="C194" s="17" t="s">
        <v>677</v>
      </c>
      <c r="D194" s="17" t="s">
        <v>28</v>
      </c>
      <c r="E194" s="17" t="s">
        <v>297</v>
      </c>
      <c r="F194" s="17" t="s">
        <v>28</v>
      </c>
      <c r="G194" s="17" t="s">
        <v>139</v>
      </c>
      <c r="H194" s="18" t="s">
        <v>59</v>
      </c>
      <c r="I194" s="17" t="s">
        <v>65</v>
      </c>
      <c r="J194" s="17"/>
      <c r="K194" s="17" t="s">
        <v>59</v>
      </c>
      <c r="L194" s="20" t="n">
        <v>71</v>
      </c>
      <c r="M194" s="20" t="n">
        <v>1</v>
      </c>
      <c r="N194" s="22" t="n">
        <f aca="false">IFERROR(M194/L194,0)</f>
        <v>0.0140845070422535</v>
      </c>
      <c r="O194" s="19" t="n">
        <v>1.6</v>
      </c>
      <c r="P194" s="9" t="n">
        <f aca="false">IFERROR(O194/M194,0)</f>
        <v>1.6</v>
      </c>
      <c r="Q194" s="20" t="n">
        <v>0</v>
      </c>
      <c r="R194" s="19" t="n">
        <v>0</v>
      </c>
      <c r="S194" s="8" t="n">
        <f aca="false">IFERROR(O194/R194,0)</f>
        <v>0</v>
      </c>
      <c r="T194" s="8" t="n">
        <f aca="false">IFERROR(Q194/M194,0)</f>
        <v>0</v>
      </c>
    </row>
    <row r="195" customFormat="false" ht="15" hidden="false" customHeight="false" outlineLevel="0" collapsed="false">
      <c r="A195" s="17" t="s">
        <v>17</v>
      </c>
      <c r="B195" s="17" t="s">
        <v>678</v>
      </c>
      <c r="C195" s="17" t="s">
        <v>679</v>
      </c>
      <c r="D195" s="17" t="s">
        <v>28</v>
      </c>
      <c r="E195" s="17" t="s">
        <v>297</v>
      </c>
      <c r="F195" s="17" t="s">
        <v>28</v>
      </c>
      <c r="G195" s="17" t="s">
        <v>148</v>
      </c>
      <c r="H195" s="18" t="s">
        <v>59</v>
      </c>
      <c r="I195" s="17" t="s">
        <v>65</v>
      </c>
      <c r="J195" s="17"/>
      <c r="K195" s="17" t="s">
        <v>59</v>
      </c>
      <c r="L195" s="20" t="n">
        <v>252</v>
      </c>
      <c r="M195" s="20" t="n">
        <v>1</v>
      </c>
      <c r="N195" s="22" t="n">
        <f aca="false">IFERROR(M195/L195,0)</f>
        <v>0.00396825396825397</v>
      </c>
      <c r="O195" s="19" t="n">
        <v>1.55</v>
      </c>
      <c r="P195" s="9" t="n">
        <f aca="false">IFERROR(O195/M195,0)</f>
        <v>1.55</v>
      </c>
      <c r="Q195" s="20" t="n">
        <v>0</v>
      </c>
      <c r="R195" s="19" t="n">
        <v>0</v>
      </c>
      <c r="S195" s="8" t="n">
        <f aca="false">IFERROR(O195/R195,0)</f>
        <v>0</v>
      </c>
      <c r="T195" s="8" t="n">
        <f aca="false">IFERROR(Q195/M195,0)</f>
        <v>0</v>
      </c>
    </row>
    <row r="196" customFormat="false" ht="15" hidden="false" customHeight="false" outlineLevel="0" collapsed="false">
      <c r="A196" s="17" t="s">
        <v>17</v>
      </c>
      <c r="B196" s="17" t="s">
        <v>680</v>
      </c>
      <c r="C196" s="17" t="s">
        <v>681</v>
      </c>
      <c r="D196" s="17" t="s">
        <v>28</v>
      </c>
      <c r="E196" s="17" t="s">
        <v>297</v>
      </c>
      <c r="F196" s="17" t="s">
        <v>28</v>
      </c>
      <c r="G196" s="17" t="s">
        <v>142</v>
      </c>
      <c r="H196" s="18" t="s">
        <v>59</v>
      </c>
      <c r="I196" s="17" t="s">
        <v>65</v>
      </c>
      <c r="J196" s="17"/>
      <c r="K196" s="17" t="s">
        <v>59</v>
      </c>
      <c r="L196" s="20" t="n">
        <v>139</v>
      </c>
      <c r="M196" s="20" t="n">
        <v>1</v>
      </c>
      <c r="N196" s="22" t="n">
        <f aca="false">IFERROR(M196/L196,0)</f>
        <v>0.00719424460431655</v>
      </c>
      <c r="O196" s="19" t="n">
        <v>1.5</v>
      </c>
      <c r="P196" s="9" t="n">
        <f aca="false">IFERROR(O196/M196,0)</f>
        <v>1.5</v>
      </c>
      <c r="Q196" s="20" t="n">
        <v>1</v>
      </c>
      <c r="R196" s="19" t="n">
        <v>23.96</v>
      </c>
      <c r="S196" s="8" t="n">
        <f aca="false">IFERROR(O196/R196,0)</f>
        <v>0.0626043405676127</v>
      </c>
      <c r="T196" s="8" t="n">
        <f aca="false">IFERROR(Q196/M196,0)</f>
        <v>1</v>
      </c>
    </row>
    <row r="197" customFormat="false" ht="15" hidden="false" customHeight="false" outlineLevel="0" collapsed="false">
      <c r="A197" s="17" t="s">
        <v>17</v>
      </c>
      <c r="B197" s="17" t="s">
        <v>682</v>
      </c>
      <c r="C197" s="17" t="s">
        <v>683</v>
      </c>
      <c r="D197" s="17" t="s">
        <v>28</v>
      </c>
      <c r="E197" s="17" t="s">
        <v>297</v>
      </c>
      <c r="F197" s="17" t="s">
        <v>28</v>
      </c>
      <c r="G197" s="17" t="s">
        <v>142</v>
      </c>
      <c r="H197" s="18" t="s">
        <v>59</v>
      </c>
      <c r="I197" s="17" t="s">
        <v>65</v>
      </c>
      <c r="J197" s="17"/>
      <c r="K197" s="17" t="s">
        <v>59</v>
      </c>
      <c r="L197" s="20" t="n">
        <v>27</v>
      </c>
      <c r="M197" s="20" t="n">
        <v>1</v>
      </c>
      <c r="N197" s="22" t="n">
        <f aca="false">IFERROR(M197/L197,0)</f>
        <v>0.037037037037037</v>
      </c>
      <c r="O197" s="19" t="n">
        <v>1.45</v>
      </c>
      <c r="P197" s="9" t="n">
        <f aca="false">IFERROR(O197/M197,0)</f>
        <v>1.45</v>
      </c>
      <c r="Q197" s="20" t="n">
        <v>0</v>
      </c>
      <c r="R197" s="19" t="n">
        <v>0</v>
      </c>
      <c r="S197" s="8" t="n">
        <f aca="false">IFERROR(O197/R197,0)</f>
        <v>0</v>
      </c>
      <c r="T197" s="8" t="n">
        <f aca="false">IFERROR(Q197/M197,0)</f>
        <v>0</v>
      </c>
    </row>
    <row r="198" customFormat="false" ht="15" hidden="false" customHeight="false" outlineLevel="0" collapsed="false">
      <c r="A198" s="17" t="s">
        <v>17</v>
      </c>
      <c r="B198" s="17" t="s">
        <v>684</v>
      </c>
      <c r="C198" s="17" t="s">
        <v>685</v>
      </c>
      <c r="D198" s="17" t="s">
        <v>33</v>
      </c>
      <c r="E198" s="17" t="s">
        <v>300</v>
      </c>
      <c r="F198" s="17" t="s">
        <v>665</v>
      </c>
      <c r="G198" s="17" t="s">
        <v>145</v>
      </c>
      <c r="H198" s="23" t="s">
        <v>65</v>
      </c>
      <c r="I198" s="17" t="s">
        <v>65</v>
      </c>
      <c r="J198" s="17"/>
      <c r="K198" s="17" t="s">
        <v>59</v>
      </c>
      <c r="L198" s="20" t="n">
        <v>245</v>
      </c>
      <c r="M198" s="20" t="n">
        <v>1</v>
      </c>
      <c r="N198" s="22" t="n">
        <f aca="false">IFERROR(M198/L198,0)</f>
        <v>0.00408163265306123</v>
      </c>
      <c r="O198" s="19" t="n">
        <v>1.33</v>
      </c>
      <c r="P198" s="9" t="n">
        <f aca="false">IFERROR(O198/M198,0)</f>
        <v>1.33</v>
      </c>
      <c r="Q198" s="20" t="n">
        <v>1</v>
      </c>
      <c r="R198" s="19" t="n">
        <v>33.95</v>
      </c>
      <c r="S198" s="8" t="n">
        <f aca="false">IFERROR(O198/R198,0)</f>
        <v>0.0391752577319588</v>
      </c>
      <c r="T198" s="8" t="n">
        <f aca="false">IFERROR(Q198/M198,0)</f>
        <v>1</v>
      </c>
    </row>
    <row r="199" customFormat="false" ht="15" hidden="false" customHeight="false" outlineLevel="0" collapsed="false">
      <c r="A199" s="17" t="s">
        <v>17</v>
      </c>
      <c r="B199" s="17" t="s">
        <v>686</v>
      </c>
      <c r="C199" s="17" t="s">
        <v>687</v>
      </c>
      <c r="D199" s="17" t="s">
        <v>29</v>
      </c>
      <c r="E199" s="17" t="s">
        <v>297</v>
      </c>
      <c r="F199" s="17"/>
      <c r="G199" s="17" t="s">
        <v>688</v>
      </c>
      <c r="H199" s="18" t="s">
        <v>59</v>
      </c>
      <c r="I199" s="17" t="s">
        <v>65</v>
      </c>
      <c r="J199" s="17"/>
      <c r="K199" s="17" t="s">
        <v>59</v>
      </c>
      <c r="L199" s="20" t="n">
        <v>41</v>
      </c>
      <c r="M199" s="20" t="n">
        <v>1</v>
      </c>
      <c r="N199" s="22" t="n">
        <f aca="false">IFERROR(M199/L199,0)</f>
        <v>0.024390243902439</v>
      </c>
      <c r="O199" s="19" t="n">
        <v>1.23</v>
      </c>
      <c r="P199" s="9" t="n">
        <f aca="false">IFERROR(O199/M199,0)</f>
        <v>1.23</v>
      </c>
      <c r="Q199" s="20" t="n">
        <v>0</v>
      </c>
      <c r="R199" s="19" t="n">
        <v>0</v>
      </c>
      <c r="S199" s="8" t="n">
        <f aca="false">IFERROR(O199/R199,0)</f>
        <v>0</v>
      </c>
      <c r="T199" s="8" t="n">
        <f aca="false">IFERROR(Q199/M199,0)</f>
        <v>0</v>
      </c>
    </row>
    <row r="200" customFormat="false" ht="15" hidden="false" customHeight="false" outlineLevel="0" collapsed="false">
      <c r="A200" s="17" t="s">
        <v>17</v>
      </c>
      <c r="B200" s="17" t="s">
        <v>689</v>
      </c>
      <c r="C200" s="17" t="s">
        <v>690</v>
      </c>
      <c r="D200" s="17" t="s">
        <v>28</v>
      </c>
      <c r="E200" s="17" t="s">
        <v>297</v>
      </c>
      <c r="F200" s="17" t="s">
        <v>28</v>
      </c>
      <c r="G200" s="17" t="s">
        <v>691</v>
      </c>
      <c r="H200" s="23" t="s">
        <v>65</v>
      </c>
      <c r="I200" s="17" t="s">
        <v>65</v>
      </c>
      <c r="J200" s="17"/>
      <c r="K200" s="17" t="s">
        <v>59</v>
      </c>
      <c r="L200" s="20" t="n">
        <v>13</v>
      </c>
      <c r="M200" s="20" t="n">
        <v>1</v>
      </c>
      <c r="N200" s="22" t="n">
        <f aca="false">IFERROR(M200/L200,0)</f>
        <v>0.0769230769230769</v>
      </c>
      <c r="O200" s="19" t="n">
        <v>1.16</v>
      </c>
      <c r="P200" s="9" t="n">
        <f aca="false">IFERROR(O200/M200,0)</f>
        <v>1.16</v>
      </c>
      <c r="Q200" s="20" t="n">
        <v>0</v>
      </c>
      <c r="R200" s="19" t="n">
        <v>0</v>
      </c>
      <c r="S200" s="8" t="n">
        <f aca="false">IFERROR(O200/R200,0)</f>
        <v>0</v>
      </c>
      <c r="T200" s="8" t="n">
        <f aca="false">IFERROR(Q200/M200,0)</f>
        <v>0</v>
      </c>
    </row>
    <row r="201" customFormat="false" ht="15" hidden="false" customHeight="false" outlineLevel="0" collapsed="false">
      <c r="A201" s="17" t="s">
        <v>17</v>
      </c>
      <c r="B201" s="17" t="s">
        <v>692</v>
      </c>
      <c r="C201" s="17" t="s">
        <v>693</v>
      </c>
      <c r="D201" s="17" t="s">
        <v>28</v>
      </c>
      <c r="E201" s="17" t="s">
        <v>297</v>
      </c>
      <c r="F201" s="17" t="s">
        <v>28</v>
      </c>
      <c r="G201" s="17" t="s">
        <v>142</v>
      </c>
      <c r="H201" s="18" t="s">
        <v>59</v>
      </c>
      <c r="I201" s="17" t="s">
        <v>65</v>
      </c>
      <c r="J201" s="17"/>
      <c r="K201" s="17" t="s">
        <v>59</v>
      </c>
      <c r="L201" s="20" t="n">
        <v>64</v>
      </c>
      <c r="M201" s="20" t="n">
        <v>1</v>
      </c>
      <c r="N201" s="22" t="n">
        <f aca="false">IFERROR(M201/L201,0)</f>
        <v>0.015625</v>
      </c>
      <c r="O201" s="19" t="n">
        <v>1.08</v>
      </c>
      <c r="P201" s="9" t="n">
        <f aca="false">IFERROR(O201/M201,0)</f>
        <v>1.08</v>
      </c>
      <c r="Q201" s="20" t="n">
        <v>0</v>
      </c>
      <c r="R201" s="19" t="n">
        <v>0</v>
      </c>
      <c r="S201" s="8" t="n">
        <f aca="false">IFERROR(O201/R201,0)</f>
        <v>0</v>
      </c>
      <c r="T201" s="8" t="n">
        <f aca="false">IFERROR(Q201/M201,0)</f>
        <v>0</v>
      </c>
    </row>
    <row r="202" customFormat="false" ht="15" hidden="false" customHeight="false" outlineLevel="0" collapsed="false">
      <c r="A202" s="17" t="s">
        <v>17</v>
      </c>
      <c r="B202" s="17" t="s">
        <v>408</v>
      </c>
      <c r="C202" s="17" t="s">
        <v>409</v>
      </c>
      <c r="D202" s="17" t="s">
        <v>33</v>
      </c>
      <c r="E202" s="17" t="s">
        <v>300</v>
      </c>
      <c r="F202" s="17" t="s">
        <v>294</v>
      </c>
      <c r="G202" s="17" t="s">
        <v>114</v>
      </c>
      <c r="H202" s="23" t="s">
        <v>65</v>
      </c>
      <c r="I202" s="17" t="s">
        <v>59</v>
      </c>
      <c r="J202" s="17" t="s">
        <v>558</v>
      </c>
      <c r="K202" s="17" t="s">
        <v>65</v>
      </c>
      <c r="L202" s="20" t="n">
        <v>485</v>
      </c>
      <c r="M202" s="20" t="n">
        <v>1</v>
      </c>
      <c r="N202" s="22" t="n">
        <f aca="false">IFERROR(M202/L202,0)</f>
        <v>0.00206185567010309</v>
      </c>
      <c r="O202" s="19" t="n">
        <v>0.99</v>
      </c>
      <c r="P202" s="9" t="n">
        <f aca="false">IFERROR(O202/M202,0)</f>
        <v>0.99</v>
      </c>
      <c r="Q202" s="20" t="n">
        <v>0</v>
      </c>
      <c r="R202" s="19" t="n">
        <v>0</v>
      </c>
      <c r="S202" s="8" t="n">
        <f aca="false">IFERROR(O202/R202,0)</f>
        <v>0</v>
      </c>
      <c r="T202" s="8" t="n">
        <f aca="false">IFERROR(Q202/M202,0)</f>
        <v>0</v>
      </c>
    </row>
    <row r="203" customFormat="false" ht="15" hidden="false" customHeight="false" outlineLevel="0" collapsed="false">
      <c r="A203" s="17" t="s">
        <v>17</v>
      </c>
      <c r="B203" s="17" t="s">
        <v>694</v>
      </c>
      <c r="C203" s="17" t="s">
        <v>695</v>
      </c>
      <c r="D203" s="17" t="s">
        <v>28</v>
      </c>
      <c r="E203" s="17" t="s">
        <v>297</v>
      </c>
      <c r="F203" s="17" t="s">
        <v>28</v>
      </c>
      <c r="G203" s="17" t="s">
        <v>139</v>
      </c>
      <c r="H203" s="18" t="s">
        <v>59</v>
      </c>
      <c r="I203" s="17" t="s">
        <v>65</v>
      </c>
      <c r="J203" s="17"/>
      <c r="K203" s="17" t="s">
        <v>59</v>
      </c>
      <c r="L203" s="20" t="n">
        <v>85</v>
      </c>
      <c r="M203" s="20" t="n">
        <v>1</v>
      </c>
      <c r="N203" s="22" t="n">
        <f aca="false">IFERROR(M203/L203,0)</f>
        <v>0.0117647058823529</v>
      </c>
      <c r="O203" s="19" t="n">
        <v>0.93</v>
      </c>
      <c r="P203" s="9" t="n">
        <f aca="false">IFERROR(O203/M203,0)</f>
        <v>0.93</v>
      </c>
      <c r="Q203" s="20" t="n">
        <v>1</v>
      </c>
      <c r="R203" s="19" t="n">
        <v>23.96</v>
      </c>
      <c r="S203" s="8" t="n">
        <f aca="false">IFERROR(O203/R203,0)</f>
        <v>0.0388146911519199</v>
      </c>
      <c r="T203" s="8" t="n">
        <f aca="false">IFERROR(Q203/M203,0)</f>
        <v>1</v>
      </c>
    </row>
    <row r="204" customFormat="false" ht="15" hidden="false" customHeight="false" outlineLevel="0" collapsed="false">
      <c r="A204" s="17" t="s">
        <v>17</v>
      </c>
      <c r="B204" s="17" t="s">
        <v>696</v>
      </c>
      <c r="C204" s="17" t="s">
        <v>697</v>
      </c>
      <c r="D204" s="17" t="s">
        <v>33</v>
      </c>
      <c r="E204" s="17" t="s">
        <v>300</v>
      </c>
      <c r="F204" s="17" t="s">
        <v>665</v>
      </c>
      <c r="G204" s="17" t="s">
        <v>139</v>
      </c>
      <c r="H204" s="18" t="s">
        <v>59</v>
      </c>
      <c r="I204" s="17" t="s">
        <v>65</v>
      </c>
      <c r="J204" s="17"/>
      <c r="K204" s="17" t="s">
        <v>59</v>
      </c>
      <c r="L204" s="20" t="n">
        <v>197</v>
      </c>
      <c r="M204" s="20" t="n">
        <v>1</v>
      </c>
      <c r="N204" s="22" t="n">
        <f aca="false">IFERROR(M204/L204,0)</f>
        <v>0.0050761421319797</v>
      </c>
      <c r="O204" s="19" t="n">
        <v>0.85</v>
      </c>
      <c r="P204" s="9" t="n">
        <f aca="false">IFERROR(O204/M204,0)</f>
        <v>0.85</v>
      </c>
      <c r="Q204" s="20" t="n">
        <v>0</v>
      </c>
      <c r="R204" s="19" t="n">
        <v>0</v>
      </c>
      <c r="S204" s="8" t="n">
        <f aca="false">IFERROR(O204/R204,0)</f>
        <v>0</v>
      </c>
      <c r="T204" s="8" t="n">
        <f aca="false">IFERROR(Q204/M204,0)</f>
        <v>0</v>
      </c>
    </row>
    <row r="205" customFormat="false" ht="15" hidden="false" customHeight="false" outlineLevel="0" collapsed="false">
      <c r="A205" s="17" t="s">
        <v>17</v>
      </c>
      <c r="B205" s="17" t="s">
        <v>698</v>
      </c>
      <c r="C205" s="17" t="s">
        <v>699</v>
      </c>
      <c r="D205" s="17" t="s">
        <v>31</v>
      </c>
      <c r="E205" s="17" t="s">
        <v>333</v>
      </c>
      <c r="F205" s="17" t="s">
        <v>288</v>
      </c>
      <c r="G205" s="17" t="s">
        <v>140</v>
      </c>
      <c r="H205" s="23" t="s">
        <v>65</v>
      </c>
      <c r="I205" s="17" t="s">
        <v>65</v>
      </c>
      <c r="J205" s="17"/>
      <c r="K205" s="17" t="s">
        <v>59</v>
      </c>
      <c r="L205" s="20" t="n">
        <v>53</v>
      </c>
      <c r="M205" s="20" t="n">
        <v>1</v>
      </c>
      <c r="N205" s="22" t="n">
        <f aca="false">IFERROR(M205/L205,0)</f>
        <v>0.0188679245283019</v>
      </c>
      <c r="O205" s="19" t="n">
        <v>0.83</v>
      </c>
      <c r="P205" s="9" t="n">
        <f aca="false">IFERROR(O205/M205,0)</f>
        <v>0.83</v>
      </c>
      <c r="Q205" s="20" t="n">
        <v>0</v>
      </c>
      <c r="R205" s="19" t="n">
        <v>0</v>
      </c>
      <c r="S205" s="8" t="n">
        <f aca="false">IFERROR(O205/R205,0)</f>
        <v>0</v>
      </c>
      <c r="T205" s="8" t="n">
        <f aca="false">IFERROR(Q205/M205,0)</f>
        <v>0</v>
      </c>
    </row>
    <row r="206" customFormat="false" ht="15" hidden="false" customHeight="false" outlineLevel="0" collapsed="false">
      <c r="A206" s="17" t="s">
        <v>17</v>
      </c>
      <c r="B206" s="17" t="s">
        <v>700</v>
      </c>
      <c r="C206" s="17" t="s">
        <v>701</v>
      </c>
      <c r="D206" s="17" t="s">
        <v>29</v>
      </c>
      <c r="E206" s="17" t="s">
        <v>333</v>
      </c>
      <c r="F206" s="17" t="s">
        <v>301</v>
      </c>
      <c r="G206" s="17" t="s">
        <v>225</v>
      </c>
      <c r="H206" s="23" t="s">
        <v>65</v>
      </c>
      <c r="I206" s="17" t="s">
        <v>65</v>
      </c>
      <c r="J206" s="17"/>
      <c r="K206" s="17" t="s">
        <v>59</v>
      </c>
      <c r="L206" s="20" t="n">
        <v>28</v>
      </c>
      <c r="M206" s="20" t="n">
        <v>1</v>
      </c>
      <c r="N206" s="22" t="n">
        <f aca="false">IFERROR(M206/L206,0)</f>
        <v>0.0357142857142857</v>
      </c>
      <c r="O206" s="19" t="n">
        <v>0.74</v>
      </c>
      <c r="P206" s="9" t="n">
        <f aca="false">IFERROR(O206/M206,0)</f>
        <v>0.74</v>
      </c>
      <c r="Q206" s="20" t="n">
        <v>0</v>
      </c>
      <c r="R206" s="19" t="n">
        <v>0</v>
      </c>
      <c r="S206" s="8" t="n">
        <f aca="false">IFERROR(O206/R206,0)</f>
        <v>0</v>
      </c>
      <c r="T206" s="8" t="n">
        <f aca="false">IFERROR(Q206/M206,0)</f>
        <v>0</v>
      </c>
    </row>
    <row r="207" customFormat="false" ht="15" hidden="false" customHeight="false" outlineLevel="0" collapsed="false">
      <c r="A207" s="17" t="s">
        <v>17</v>
      </c>
      <c r="B207" s="17" t="s">
        <v>702</v>
      </c>
      <c r="C207" s="17" t="s">
        <v>703</v>
      </c>
      <c r="D207" s="17" t="s">
        <v>31</v>
      </c>
      <c r="E207" s="17" t="s">
        <v>293</v>
      </c>
      <c r="F207" s="17" t="s">
        <v>288</v>
      </c>
      <c r="G207" s="17" t="s">
        <v>145</v>
      </c>
      <c r="H207" s="23" t="s">
        <v>65</v>
      </c>
      <c r="I207" s="17" t="s">
        <v>65</v>
      </c>
      <c r="J207" s="17"/>
      <c r="K207" s="17" t="s">
        <v>59</v>
      </c>
      <c r="L207" s="20" t="n">
        <v>39</v>
      </c>
      <c r="M207" s="20" t="n">
        <v>2</v>
      </c>
      <c r="N207" s="22" t="n">
        <f aca="false">IFERROR(M207/L207,0)</f>
        <v>0.0512820512820513</v>
      </c>
      <c r="O207" s="19" t="n">
        <v>0.36</v>
      </c>
      <c r="P207" s="9" t="n">
        <f aca="false">IFERROR(O207/M207,0)</f>
        <v>0.18</v>
      </c>
      <c r="Q207" s="20" t="n">
        <v>0</v>
      </c>
      <c r="R207" s="19" t="n">
        <v>0</v>
      </c>
      <c r="S207" s="8" t="n">
        <f aca="false">IFERROR(O207/R207,0)</f>
        <v>0</v>
      </c>
      <c r="T207" s="8" t="n">
        <f aca="false">IFERROR(Q207/M207,0)</f>
        <v>0</v>
      </c>
    </row>
    <row r="208" customFormat="false" ht="15" hidden="false" customHeight="false" outlineLevel="0" collapsed="false">
      <c r="A208" s="17" t="s">
        <v>17</v>
      </c>
      <c r="B208" s="17" t="s">
        <v>704</v>
      </c>
      <c r="C208" s="17" t="s">
        <v>705</v>
      </c>
      <c r="D208" s="17" t="s">
        <v>31</v>
      </c>
      <c r="E208" s="17" t="s">
        <v>333</v>
      </c>
      <c r="F208" s="17" t="s">
        <v>288</v>
      </c>
      <c r="G208" s="17" t="s">
        <v>145</v>
      </c>
      <c r="H208" s="23" t="s">
        <v>65</v>
      </c>
      <c r="I208" s="17" t="s">
        <v>65</v>
      </c>
      <c r="J208" s="17"/>
      <c r="K208" s="17" t="s">
        <v>59</v>
      </c>
      <c r="L208" s="20" t="n">
        <v>21</v>
      </c>
      <c r="M208" s="20" t="n">
        <v>1</v>
      </c>
      <c r="N208" s="22" t="n">
        <f aca="false">IFERROR(M208/L208,0)</f>
        <v>0.0476190476190476</v>
      </c>
      <c r="O208" s="19" t="n">
        <v>0.24</v>
      </c>
      <c r="P208" s="9" t="n">
        <f aca="false">IFERROR(O208/M208,0)</f>
        <v>0.24</v>
      </c>
      <c r="Q208" s="20" t="n">
        <v>0</v>
      </c>
      <c r="R208" s="19" t="n">
        <v>0</v>
      </c>
      <c r="S208" s="8" t="n">
        <f aca="false">IFERROR(O208/R208,0)</f>
        <v>0</v>
      </c>
      <c r="T208" s="8" t="n">
        <f aca="false">IFERROR(Q208/M208,0)</f>
        <v>0</v>
      </c>
    </row>
  </sheetData>
  <autoFilter ref="A4:T20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62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30"/>
    <col collapsed="false" customWidth="true" hidden="false" outlineLevel="0" max="9" min="8" style="0" width="10"/>
    <col collapsed="false" customWidth="true" hidden="false" outlineLevel="0" max="10" min="10" style="0" width="16"/>
    <col collapsed="false" customWidth="true" hidden="false" outlineLevel="0" max="11" min="11" style="0" width="8"/>
    <col collapsed="false" customWidth="true" hidden="false" outlineLevel="0" max="12" min="12" style="0" width="11"/>
    <col collapsed="false" customWidth="true" hidden="false" outlineLevel="0" max="14" min="13" style="0" width="8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8"/>
    <col collapsed="false" customWidth="true" hidden="false" outlineLevel="0" max="18" min="18" style="0" width="12"/>
    <col collapsed="false" customWidth="true" hidden="false" outlineLevel="0" max="20" min="19" style="0" width="9"/>
  </cols>
  <sheetData>
    <row r="1" customFormat="false" ht="17.35" hidden="false" customHeight="false" outlineLevel="0" collapsed="false">
      <c r="A1" s="1" t="s">
        <v>706</v>
      </c>
    </row>
    <row r="2" customFormat="false" ht="15" hidden="false" customHeight="false" outlineLevel="0" collapsed="false">
      <c r="A2" s="2" t="s">
        <v>707</v>
      </c>
    </row>
    <row r="4" customFormat="false" ht="31.5" hidden="false" customHeight="true" outlineLevel="0" collapsed="false">
      <c r="A4" s="6" t="s">
        <v>5</v>
      </c>
      <c r="B4" s="6" t="s">
        <v>265</v>
      </c>
      <c r="C4" s="6" t="s">
        <v>266</v>
      </c>
      <c r="D4" s="6" t="s">
        <v>23</v>
      </c>
      <c r="E4" s="6" t="s">
        <v>267</v>
      </c>
      <c r="F4" s="6" t="s">
        <v>268</v>
      </c>
      <c r="G4" s="6" t="s">
        <v>269</v>
      </c>
      <c r="H4" s="6" t="s">
        <v>270</v>
      </c>
      <c r="I4" s="6" t="s">
        <v>271</v>
      </c>
      <c r="J4" s="6" t="s">
        <v>272</v>
      </c>
      <c r="K4" s="6" t="s">
        <v>273</v>
      </c>
      <c r="L4" s="6" t="s">
        <v>274</v>
      </c>
      <c r="M4" s="6" t="s">
        <v>275</v>
      </c>
      <c r="N4" s="6" t="s">
        <v>276</v>
      </c>
      <c r="O4" s="6" t="s">
        <v>708</v>
      </c>
      <c r="P4" s="6" t="s">
        <v>709</v>
      </c>
      <c r="Q4" s="6" t="s">
        <v>279</v>
      </c>
      <c r="R4" s="6" t="s">
        <v>710</v>
      </c>
      <c r="S4" s="6" t="s">
        <v>281</v>
      </c>
      <c r="T4" s="6" t="s">
        <v>282</v>
      </c>
    </row>
    <row r="5" customFormat="false" ht="15" hidden="false" customHeight="false" outlineLevel="0" collapsed="false">
      <c r="A5" s="17" t="s">
        <v>15</v>
      </c>
      <c r="B5" s="17" t="s">
        <v>711</v>
      </c>
      <c r="C5" s="17" t="s">
        <v>712</v>
      </c>
      <c r="D5" s="21" t="s">
        <v>34</v>
      </c>
      <c r="E5" s="17" t="s">
        <v>285</v>
      </c>
      <c r="F5" s="17"/>
      <c r="G5" s="17"/>
      <c r="H5" s="17"/>
      <c r="I5" s="17" t="s">
        <v>65</v>
      </c>
      <c r="J5" s="17"/>
      <c r="K5" s="17" t="s">
        <v>59</v>
      </c>
      <c r="L5" s="20" t="n">
        <v>59055</v>
      </c>
      <c r="M5" s="20" t="n">
        <v>216</v>
      </c>
      <c r="N5" s="22" t="n">
        <f aca="false">IFERROR(M5/L5,0)</f>
        <v>0.00365760731521463</v>
      </c>
      <c r="O5" s="24" t="n">
        <v>250.51</v>
      </c>
      <c r="P5" s="14" t="n">
        <f aca="false">IFERROR(O5/M5,0)</f>
        <v>1.15976851851852</v>
      </c>
      <c r="Q5" s="20" t="n">
        <v>19</v>
      </c>
      <c r="R5" s="24" t="n">
        <v>1596.71</v>
      </c>
      <c r="S5" s="8" t="n">
        <f aca="false">IFERROR(O5/R5,0)</f>
        <v>0.156891357854589</v>
      </c>
      <c r="T5" s="8" t="n">
        <f aca="false">IFERROR(Q5/M5,0)</f>
        <v>0.087962962962963</v>
      </c>
    </row>
    <row r="6" customFormat="false" ht="15" hidden="false" customHeight="false" outlineLevel="0" collapsed="false">
      <c r="A6" s="17" t="s">
        <v>15</v>
      </c>
      <c r="B6" s="17" t="s">
        <v>713</v>
      </c>
      <c r="C6" s="17" t="s">
        <v>714</v>
      </c>
      <c r="D6" s="23" t="s">
        <v>32</v>
      </c>
      <c r="E6" s="17" t="s">
        <v>285</v>
      </c>
      <c r="F6" s="17" t="s">
        <v>288</v>
      </c>
      <c r="G6" s="17" t="s">
        <v>715</v>
      </c>
      <c r="H6" s="23" t="s">
        <v>65</v>
      </c>
      <c r="I6" s="17" t="s">
        <v>65</v>
      </c>
      <c r="J6" s="17"/>
      <c r="K6" s="17" t="s">
        <v>59</v>
      </c>
      <c r="L6" s="20" t="n">
        <v>135024</v>
      </c>
      <c r="M6" s="20" t="n">
        <v>145</v>
      </c>
      <c r="N6" s="22" t="n">
        <f aca="false">IFERROR(M6/L6,0)</f>
        <v>0.00107388316151203</v>
      </c>
      <c r="O6" s="24" t="n">
        <v>150.16</v>
      </c>
      <c r="P6" s="14" t="n">
        <f aca="false">IFERROR(O6/M6,0)</f>
        <v>1.03558620689655</v>
      </c>
      <c r="Q6" s="20" t="n">
        <v>10</v>
      </c>
      <c r="R6" s="24" t="n">
        <v>897.13</v>
      </c>
      <c r="S6" s="8" t="n">
        <f aca="false">IFERROR(O6/R6,0)</f>
        <v>0.167378194910437</v>
      </c>
      <c r="T6" s="8" t="n">
        <f aca="false">IFERROR(Q6/M6,0)</f>
        <v>0.0689655172413793</v>
      </c>
    </row>
    <row r="7" customFormat="false" ht="15" hidden="false" customHeight="false" outlineLevel="0" collapsed="false">
      <c r="A7" s="17" t="s">
        <v>15</v>
      </c>
      <c r="B7" s="17" t="s">
        <v>716</v>
      </c>
      <c r="C7" s="17" t="s">
        <v>717</v>
      </c>
      <c r="D7" s="21" t="s">
        <v>34</v>
      </c>
      <c r="E7" s="17" t="s">
        <v>285</v>
      </c>
      <c r="F7" s="17" t="s">
        <v>314</v>
      </c>
      <c r="G7" s="17"/>
      <c r="H7" s="17"/>
      <c r="I7" s="17" t="s">
        <v>59</v>
      </c>
      <c r="J7" s="17" t="s">
        <v>718</v>
      </c>
      <c r="K7" s="17" t="s">
        <v>59</v>
      </c>
      <c r="L7" s="20" t="n">
        <v>61980</v>
      </c>
      <c r="M7" s="20" t="n">
        <v>123</v>
      </c>
      <c r="N7" s="22" t="n">
        <f aca="false">IFERROR(M7/L7,0)</f>
        <v>0.00198451113262343</v>
      </c>
      <c r="O7" s="24" t="n">
        <v>123.09</v>
      </c>
      <c r="P7" s="14" t="n">
        <f aca="false">IFERROR(O7/M7,0)</f>
        <v>1.00073170731707</v>
      </c>
      <c r="Q7" s="20" t="n">
        <v>5</v>
      </c>
      <c r="R7" s="24" t="n">
        <v>303.79</v>
      </c>
      <c r="S7" s="8" t="n">
        <f aca="false">IFERROR(O7/R7,0)</f>
        <v>0.405181210704763</v>
      </c>
      <c r="T7" s="8" t="n">
        <f aca="false">IFERROR(Q7/M7,0)</f>
        <v>0.040650406504065</v>
      </c>
    </row>
    <row r="8" customFormat="false" ht="15" hidden="false" customHeight="false" outlineLevel="0" collapsed="false">
      <c r="A8" s="17" t="s">
        <v>15</v>
      </c>
      <c r="B8" s="17" t="s">
        <v>719</v>
      </c>
      <c r="C8" s="17" t="s">
        <v>720</v>
      </c>
      <c r="D8" s="21" t="s">
        <v>34</v>
      </c>
      <c r="E8" s="17" t="s">
        <v>293</v>
      </c>
      <c r="F8" s="17"/>
      <c r="G8" s="17"/>
      <c r="H8" s="17"/>
      <c r="I8" s="17" t="s">
        <v>65</v>
      </c>
      <c r="J8" s="17"/>
      <c r="K8" s="17" t="s">
        <v>59</v>
      </c>
      <c r="L8" s="20" t="n">
        <v>5629</v>
      </c>
      <c r="M8" s="20" t="n">
        <v>61</v>
      </c>
      <c r="N8" s="22" t="n">
        <f aca="false">IFERROR(M8/L8,0)</f>
        <v>0.0108367383194173</v>
      </c>
      <c r="O8" s="24" t="n">
        <v>77.97</v>
      </c>
      <c r="P8" s="14" t="n">
        <f aca="false">IFERROR(O8/M8,0)</f>
        <v>1.27819672131148</v>
      </c>
      <c r="Q8" s="20" t="n">
        <v>5</v>
      </c>
      <c r="R8" s="24" t="n">
        <v>464.95</v>
      </c>
      <c r="S8" s="8" t="n">
        <f aca="false">IFERROR(O8/R8,0)</f>
        <v>0.167695451123777</v>
      </c>
      <c r="T8" s="8" t="n">
        <f aca="false">IFERROR(Q8/M8,0)</f>
        <v>0.0819672131147541</v>
      </c>
    </row>
    <row r="9" customFormat="false" ht="15" hidden="false" customHeight="false" outlineLevel="0" collapsed="false">
      <c r="A9" s="17" t="s">
        <v>15</v>
      </c>
      <c r="B9" s="17" t="s">
        <v>721</v>
      </c>
      <c r="C9" s="17" t="s">
        <v>722</v>
      </c>
      <c r="D9" s="17" t="s">
        <v>28</v>
      </c>
      <c r="E9" s="17" t="s">
        <v>297</v>
      </c>
      <c r="F9" s="17" t="s">
        <v>28</v>
      </c>
      <c r="G9" s="17" t="s">
        <v>193</v>
      </c>
      <c r="H9" s="23" t="s">
        <v>65</v>
      </c>
      <c r="I9" s="17" t="s">
        <v>65</v>
      </c>
      <c r="J9" s="17"/>
      <c r="K9" s="17" t="s">
        <v>59</v>
      </c>
      <c r="L9" s="20" t="n">
        <v>6970</v>
      </c>
      <c r="M9" s="20" t="n">
        <v>41</v>
      </c>
      <c r="N9" s="22" t="n">
        <f aca="false">IFERROR(M9/L9,0)</f>
        <v>0.00588235294117647</v>
      </c>
      <c r="O9" s="24" t="n">
        <v>68.1</v>
      </c>
      <c r="P9" s="14" t="n">
        <f aca="false">IFERROR(O9/M9,0)</f>
        <v>1.6609756097561</v>
      </c>
      <c r="Q9" s="20" t="n">
        <v>6</v>
      </c>
      <c r="R9" s="24" t="n">
        <v>507.94</v>
      </c>
      <c r="S9" s="8" t="n">
        <f aca="false">IFERROR(O9/R9,0)</f>
        <v>0.134070953262196</v>
      </c>
      <c r="T9" s="8" t="n">
        <f aca="false">IFERROR(Q9/M9,0)</f>
        <v>0.146341463414634</v>
      </c>
    </row>
    <row r="10" customFormat="false" ht="15" hidden="false" customHeight="false" outlineLevel="0" collapsed="false">
      <c r="A10" s="17" t="s">
        <v>15</v>
      </c>
      <c r="B10" s="17" t="s">
        <v>723</v>
      </c>
      <c r="C10" s="17" t="s">
        <v>724</v>
      </c>
      <c r="D10" s="17" t="s">
        <v>30</v>
      </c>
      <c r="E10" s="17" t="s">
        <v>297</v>
      </c>
      <c r="F10" s="17" t="s">
        <v>294</v>
      </c>
      <c r="G10" s="17" t="s">
        <v>192</v>
      </c>
      <c r="H10" s="23" t="s">
        <v>65</v>
      </c>
      <c r="I10" s="17" t="s">
        <v>65</v>
      </c>
      <c r="J10" s="17"/>
      <c r="K10" s="17" t="s">
        <v>59</v>
      </c>
      <c r="L10" s="20" t="n">
        <v>3752</v>
      </c>
      <c r="M10" s="20" t="n">
        <v>30</v>
      </c>
      <c r="N10" s="22" t="n">
        <f aca="false">IFERROR(M10/L10,0)</f>
        <v>0.00799573560767591</v>
      </c>
      <c r="O10" s="24" t="n">
        <v>62</v>
      </c>
      <c r="P10" s="14" t="n">
        <f aca="false">IFERROR(O10/M10,0)</f>
        <v>2.06666666666667</v>
      </c>
      <c r="Q10" s="20" t="n">
        <v>8</v>
      </c>
      <c r="R10" s="24" t="n">
        <v>676.67</v>
      </c>
      <c r="S10" s="8" t="n">
        <f aca="false">IFERROR(O10/R10,0)</f>
        <v>0.0916251644080571</v>
      </c>
      <c r="T10" s="8" t="n">
        <f aca="false">IFERROR(Q10/M10,0)</f>
        <v>0.266666666666667</v>
      </c>
    </row>
    <row r="11" customFormat="false" ht="15" hidden="false" customHeight="false" outlineLevel="0" collapsed="false">
      <c r="A11" s="17" t="s">
        <v>15</v>
      </c>
      <c r="B11" s="17" t="s">
        <v>725</v>
      </c>
      <c r="C11" s="17" t="s">
        <v>726</v>
      </c>
      <c r="D11" s="17" t="s">
        <v>28</v>
      </c>
      <c r="E11" s="17" t="s">
        <v>297</v>
      </c>
      <c r="F11" s="17" t="s">
        <v>28</v>
      </c>
      <c r="G11" s="17"/>
      <c r="H11" s="17"/>
      <c r="I11" s="17" t="s">
        <v>65</v>
      </c>
      <c r="J11" s="17"/>
      <c r="K11" s="17" t="s">
        <v>59</v>
      </c>
      <c r="L11" s="20" t="n">
        <v>2626</v>
      </c>
      <c r="M11" s="20" t="n">
        <v>13</v>
      </c>
      <c r="N11" s="22" t="n">
        <f aca="false">IFERROR(M11/L11,0)</f>
        <v>0.00495049504950495</v>
      </c>
      <c r="O11" s="24" t="n">
        <v>44.82</v>
      </c>
      <c r="P11" s="14" t="n">
        <f aca="false">IFERROR(O11/M11,0)</f>
        <v>3.44769230769231</v>
      </c>
      <c r="Q11" s="20" t="n">
        <v>1</v>
      </c>
      <c r="R11" s="24" t="n">
        <v>79.99</v>
      </c>
      <c r="S11" s="8" t="n">
        <f aca="false">IFERROR(O11/R11,0)</f>
        <v>0.560320040005001</v>
      </c>
      <c r="T11" s="8" t="n">
        <f aca="false">IFERROR(Q11/M11,0)</f>
        <v>0.0769230769230769</v>
      </c>
    </row>
    <row r="12" customFormat="false" ht="15" hidden="false" customHeight="false" outlineLevel="0" collapsed="false">
      <c r="A12" s="17" t="s">
        <v>15</v>
      </c>
      <c r="B12" s="17" t="s">
        <v>727</v>
      </c>
      <c r="C12" s="17" t="s">
        <v>728</v>
      </c>
      <c r="D12" s="17" t="s">
        <v>28</v>
      </c>
      <c r="E12" s="17" t="s">
        <v>297</v>
      </c>
      <c r="F12" s="17" t="s">
        <v>28</v>
      </c>
      <c r="G12" s="17" t="s">
        <v>192</v>
      </c>
      <c r="H12" s="23" t="s">
        <v>65</v>
      </c>
      <c r="I12" s="17" t="s">
        <v>65</v>
      </c>
      <c r="J12" s="17"/>
      <c r="K12" s="17" t="s">
        <v>59</v>
      </c>
      <c r="L12" s="20" t="n">
        <v>517</v>
      </c>
      <c r="M12" s="20" t="n">
        <v>8</v>
      </c>
      <c r="N12" s="22" t="n">
        <f aca="false">IFERROR(M12/L12,0)</f>
        <v>0.0154738878143133</v>
      </c>
      <c r="O12" s="24" t="n">
        <v>40.73</v>
      </c>
      <c r="P12" s="14" t="n">
        <f aca="false">IFERROR(O12/M12,0)</f>
        <v>5.09125</v>
      </c>
      <c r="Q12" s="20" t="n">
        <v>0</v>
      </c>
      <c r="R12" s="24" t="n">
        <v>0</v>
      </c>
      <c r="S12" s="8" t="n">
        <f aca="false">IFERROR(O12/R12,0)</f>
        <v>0</v>
      </c>
      <c r="T12" s="8" t="n">
        <f aca="false">IFERROR(Q12/M12,0)</f>
        <v>0</v>
      </c>
    </row>
    <row r="13" customFormat="false" ht="15" hidden="false" customHeight="false" outlineLevel="0" collapsed="false">
      <c r="A13" s="17" t="s">
        <v>15</v>
      </c>
      <c r="B13" s="17" t="s">
        <v>729</v>
      </c>
      <c r="C13" s="17" t="s">
        <v>730</v>
      </c>
      <c r="D13" s="17" t="s">
        <v>30</v>
      </c>
      <c r="E13" s="17" t="s">
        <v>293</v>
      </c>
      <c r="F13" s="17" t="s">
        <v>294</v>
      </c>
      <c r="G13" s="17" t="s">
        <v>85</v>
      </c>
      <c r="H13" s="23" t="s">
        <v>65</v>
      </c>
      <c r="I13" s="17" t="s">
        <v>65</v>
      </c>
      <c r="J13" s="17"/>
      <c r="K13" s="17" t="s">
        <v>59</v>
      </c>
      <c r="L13" s="20" t="n">
        <v>1717</v>
      </c>
      <c r="M13" s="20" t="n">
        <v>30</v>
      </c>
      <c r="N13" s="22" t="n">
        <f aca="false">IFERROR(M13/L13,0)</f>
        <v>0.017472335468841</v>
      </c>
      <c r="O13" s="24" t="n">
        <v>30.47</v>
      </c>
      <c r="P13" s="14" t="n">
        <f aca="false">IFERROR(O13/M13,0)</f>
        <v>1.01566666666667</v>
      </c>
      <c r="Q13" s="20" t="n">
        <v>0</v>
      </c>
      <c r="R13" s="24" t="n">
        <v>0</v>
      </c>
      <c r="S13" s="8" t="n">
        <f aca="false">IFERROR(O13/R13,0)</f>
        <v>0</v>
      </c>
      <c r="T13" s="8" t="n">
        <f aca="false">IFERROR(Q13/M13,0)</f>
        <v>0</v>
      </c>
    </row>
    <row r="14" customFormat="false" ht="15" hidden="false" customHeight="false" outlineLevel="0" collapsed="false">
      <c r="A14" s="17" t="s">
        <v>15</v>
      </c>
      <c r="B14" s="17" t="s">
        <v>731</v>
      </c>
      <c r="C14" s="17" t="s">
        <v>732</v>
      </c>
      <c r="D14" s="17" t="s">
        <v>28</v>
      </c>
      <c r="E14" s="17" t="s">
        <v>297</v>
      </c>
      <c r="F14" s="17" t="s">
        <v>28</v>
      </c>
      <c r="G14" s="17" t="s">
        <v>192</v>
      </c>
      <c r="H14" s="23" t="s">
        <v>65</v>
      </c>
      <c r="I14" s="17" t="s">
        <v>65</v>
      </c>
      <c r="J14" s="17"/>
      <c r="K14" s="17" t="s">
        <v>59</v>
      </c>
      <c r="L14" s="20" t="n">
        <v>1857</v>
      </c>
      <c r="M14" s="20" t="n">
        <v>10</v>
      </c>
      <c r="N14" s="22" t="n">
        <f aca="false">IFERROR(M14/L14,0)</f>
        <v>0.0053850296176629</v>
      </c>
      <c r="O14" s="24" t="n">
        <v>28.6</v>
      </c>
      <c r="P14" s="14" t="n">
        <f aca="false">IFERROR(O14/M14,0)</f>
        <v>2.86</v>
      </c>
      <c r="Q14" s="20" t="n">
        <v>2</v>
      </c>
      <c r="R14" s="24" t="n">
        <v>165.73</v>
      </c>
      <c r="S14" s="8" t="n">
        <f aca="false">IFERROR(O14/R14,0)</f>
        <v>0.172569842514934</v>
      </c>
      <c r="T14" s="8" t="n">
        <f aca="false">IFERROR(Q14/M14,0)</f>
        <v>0.2</v>
      </c>
    </row>
    <row r="15" customFormat="false" ht="15" hidden="false" customHeight="false" outlineLevel="0" collapsed="false">
      <c r="A15" s="17" t="s">
        <v>15</v>
      </c>
      <c r="B15" s="17" t="s">
        <v>733</v>
      </c>
      <c r="C15" s="17" t="s">
        <v>734</v>
      </c>
      <c r="D15" s="17" t="s">
        <v>33</v>
      </c>
      <c r="E15" s="17" t="s">
        <v>300</v>
      </c>
      <c r="F15" s="17" t="s">
        <v>28</v>
      </c>
      <c r="G15" s="17" t="s">
        <v>85</v>
      </c>
      <c r="H15" s="23" t="s">
        <v>65</v>
      </c>
      <c r="I15" s="17" t="s">
        <v>65</v>
      </c>
      <c r="J15" s="17"/>
      <c r="K15" s="17" t="s">
        <v>59</v>
      </c>
      <c r="L15" s="20" t="n">
        <v>4656</v>
      </c>
      <c r="M15" s="20" t="n">
        <v>8</v>
      </c>
      <c r="N15" s="22" t="n">
        <f aca="false">IFERROR(M15/L15,0)</f>
        <v>0.00171821305841924</v>
      </c>
      <c r="O15" s="24" t="n">
        <v>18.28</v>
      </c>
      <c r="P15" s="14" t="n">
        <f aca="false">IFERROR(O15/M15,0)</f>
        <v>2.285</v>
      </c>
      <c r="Q15" s="20" t="n">
        <v>2</v>
      </c>
      <c r="R15" s="24" t="n">
        <v>187.98</v>
      </c>
      <c r="S15" s="8" t="n">
        <f aca="false">IFERROR(O15/R15,0)</f>
        <v>0.0972443877008193</v>
      </c>
      <c r="T15" s="8" t="n">
        <f aca="false">IFERROR(Q15/M15,0)</f>
        <v>0.25</v>
      </c>
    </row>
    <row r="16" customFormat="false" ht="15" hidden="false" customHeight="false" outlineLevel="0" collapsed="false">
      <c r="A16" s="17" t="s">
        <v>15</v>
      </c>
      <c r="B16" s="17" t="s">
        <v>735</v>
      </c>
      <c r="C16" s="17" t="s">
        <v>736</v>
      </c>
      <c r="D16" s="17" t="s">
        <v>28</v>
      </c>
      <c r="E16" s="17" t="s">
        <v>297</v>
      </c>
      <c r="F16" s="17" t="s">
        <v>28</v>
      </c>
      <c r="G16" s="17" t="s">
        <v>193</v>
      </c>
      <c r="H16" s="23" t="s">
        <v>65</v>
      </c>
      <c r="I16" s="17" t="s">
        <v>65</v>
      </c>
      <c r="J16" s="17"/>
      <c r="K16" s="17" t="s">
        <v>59</v>
      </c>
      <c r="L16" s="20" t="n">
        <v>288</v>
      </c>
      <c r="M16" s="20" t="n">
        <v>8</v>
      </c>
      <c r="N16" s="22" t="n">
        <f aca="false">IFERROR(M16/L16,0)</f>
        <v>0.0277777777777778</v>
      </c>
      <c r="O16" s="24" t="n">
        <v>17.89</v>
      </c>
      <c r="P16" s="14" t="n">
        <f aca="false">IFERROR(O16/M16,0)</f>
        <v>2.23625</v>
      </c>
      <c r="Q16" s="20" t="n">
        <v>4</v>
      </c>
      <c r="R16" s="24" t="n">
        <v>360.71</v>
      </c>
      <c r="S16" s="8" t="n">
        <f aca="false">IFERROR(O16/R16,0)</f>
        <v>0.0495966288708381</v>
      </c>
      <c r="T16" s="8" t="n">
        <f aca="false">IFERROR(Q16/M16,0)</f>
        <v>0.5</v>
      </c>
    </row>
    <row r="17" customFormat="false" ht="15" hidden="false" customHeight="false" outlineLevel="0" collapsed="false">
      <c r="A17" s="17" t="s">
        <v>15</v>
      </c>
      <c r="B17" s="17" t="s">
        <v>737</v>
      </c>
      <c r="C17" s="17" t="s">
        <v>738</v>
      </c>
      <c r="D17" s="17" t="s">
        <v>28</v>
      </c>
      <c r="E17" s="17" t="s">
        <v>297</v>
      </c>
      <c r="F17" s="17" t="s">
        <v>28</v>
      </c>
      <c r="G17" s="17" t="s">
        <v>85</v>
      </c>
      <c r="H17" s="23" t="s">
        <v>65</v>
      </c>
      <c r="I17" s="17" t="s">
        <v>65</v>
      </c>
      <c r="J17" s="17"/>
      <c r="K17" s="17" t="s">
        <v>59</v>
      </c>
      <c r="L17" s="20" t="n">
        <v>379</v>
      </c>
      <c r="M17" s="20" t="n">
        <v>3</v>
      </c>
      <c r="N17" s="22" t="n">
        <f aca="false">IFERROR(M17/L17,0)</f>
        <v>0.0079155672823219</v>
      </c>
      <c r="O17" s="24" t="n">
        <v>4.88</v>
      </c>
      <c r="P17" s="14" t="n">
        <f aca="false">IFERROR(O17/M17,0)</f>
        <v>1.62666666666667</v>
      </c>
      <c r="Q17" s="20" t="n">
        <v>0</v>
      </c>
      <c r="R17" s="24" t="n">
        <v>0</v>
      </c>
      <c r="S17" s="8" t="n">
        <f aca="false">IFERROR(O17/R17,0)</f>
        <v>0</v>
      </c>
      <c r="T17" s="8" t="n">
        <f aca="false">IFERROR(Q17/M17,0)</f>
        <v>0</v>
      </c>
    </row>
    <row r="18" customFormat="false" ht="15" hidden="false" customHeight="false" outlineLevel="0" collapsed="false">
      <c r="A18" s="17" t="s">
        <v>15</v>
      </c>
      <c r="B18" s="17" t="s">
        <v>739</v>
      </c>
      <c r="C18" s="17" t="s">
        <v>740</v>
      </c>
      <c r="D18" s="17" t="s">
        <v>28</v>
      </c>
      <c r="E18" s="17" t="s">
        <v>297</v>
      </c>
      <c r="F18" s="17" t="s">
        <v>28</v>
      </c>
      <c r="G18" s="17"/>
      <c r="H18" s="17"/>
      <c r="I18" s="17" t="s">
        <v>65</v>
      </c>
      <c r="J18" s="17"/>
      <c r="K18" s="17" t="s">
        <v>59</v>
      </c>
      <c r="L18" s="20" t="n">
        <v>370</v>
      </c>
      <c r="M18" s="20" t="n">
        <v>2</v>
      </c>
      <c r="N18" s="22" t="n">
        <f aca="false">IFERROR(M18/L18,0)</f>
        <v>0.00540540540540541</v>
      </c>
      <c r="O18" s="24" t="n">
        <v>3.82</v>
      </c>
      <c r="P18" s="14" t="n">
        <f aca="false">IFERROR(O18/M18,0)</f>
        <v>1.91</v>
      </c>
      <c r="Q18" s="20" t="n">
        <v>0</v>
      </c>
      <c r="R18" s="24" t="n">
        <v>0</v>
      </c>
      <c r="S18" s="8" t="n">
        <f aca="false">IFERROR(O18/R18,0)</f>
        <v>0</v>
      </c>
      <c r="T18" s="8" t="n">
        <f aca="false">IFERROR(Q18/M18,0)</f>
        <v>0</v>
      </c>
    </row>
    <row r="19" customFormat="false" ht="15" hidden="false" customHeight="false" outlineLevel="0" collapsed="false">
      <c r="A19" s="17" t="s">
        <v>15</v>
      </c>
      <c r="B19" s="17" t="s">
        <v>741</v>
      </c>
      <c r="C19" s="17" t="s">
        <v>742</v>
      </c>
      <c r="D19" s="17" t="s">
        <v>31</v>
      </c>
      <c r="E19" s="17" t="s">
        <v>293</v>
      </c>
      <c r="F19" s="17" t="s">
        <v>288</v>
      </c>
      <c r="G19" s="17"/>
      <c r="H19" s="17"/>
      <c r="I19" s="17" t="s">
        <v>65</v>
      </c>
      <c r="J19" s="17"/>
      <c r="K19" s="17" t="s">
        <v>59</v>
      </c>
      <c r="L19" s="20" t="n">
        <v>11298</v>
      </c>
      <c r="M19" s="20" t="n">
        <v>13</v>
      </c>
      <c r="N19" s="22" t="n">
        <f aca="false">IFERROR(M19/L19,0)</f>
        <v>0.00115064613205877</v>
      </c>
      <c r="O19" s="24" t="n">
        <v>3.68</v>
      </c>
      <c r="P19" s="14" t="n">
        <f aca="false">IFERROR(O19/M19,0)</f>
        <v>0.283076923076923</v>
      </c>
      <c r="Q19" s="20" t="n">
        <v>2</v>
      </c>
      <c r="R19" s="24" t="n">
        <v>179.98</v>
      </c>
      <c r="S19" s="8" t="n">
        <f aca="false">IFERROR(O19/R19,0)</f>
        <v>0.0204467163018113</v>
      </c>
      <c r="T19" s="8" t="n">
        <f aca="false">IFERROR(Q19/M19,0)</f>
        <v>0.153846153846154</v>
      </c>
    </row>
    <row r="20" customFormat="false" ht="15" hidden="false" customHeight="false" outlineLevel="0" collapsed="false">
      <c r="A20" s="17" t="s">
        <v>15</v>
      </c>
      <c r="B20" s="17" t="s">
        <v>743</v>
      </c>
      <c r="C20" s="17" t="s">
        <v>744</v>
      </c>
      <c r="D20" s="17" t="s">
        <v>33</v>
      </c>
      <c r="E20" s="17" t="s">
        <v>300</v>
      </c>
      <c r="F20" s="17" t="s">
        <v>301</v>
      </c>
      <c r="G20" s="17" t="s">
        <v>85</v>
      </c>
      <c r="H20" s="23" t="s">
        <v>65</v>
      </c>
      <c r="I20" s="17" t="s">
        <v>65</v>
      </c>
      <c r="J20" s="17"/>
      <c r="K20" s="17" t="s">
        <v>59</v>
      </c>
      <c r="L20" s="20" t="n">
        <v>109</v>
      </c>
      <c r="M20" s="20" t="n">
        <v>2</v>
      </c>
      <c r="N20" s="22" t="n">
        <f aca="false">IFERROR(M20/L20,0)</f>
        <v>0.018348623853211</v>
      </c>
      <c r="O20" s="24" t="n">
        <v>3.61</v>
      </c>
      <c r="P20" s="14" t="n">
        <f aca="false">IFERROR(O20/M20,0)</f>
        <v>1.805</v>
      </c>
      <c r="Q20" s="20" t="n">
        <v>0</v>
      </c>
      <c r="R20" s="24" t="n">
        <v>0</v>
      </c>
      <c r="S20" s="8" t="n">
        <f aca="false">IFERROR(O20/R20,0)</f>
        <v>0</v>
      </c>
      <c r="T20" s="8" t="n">
        <f aca="false">IFERROR(Q20/M20,0)</f>
        <v>0</v>
      </c>
    </row>
    <row r="21" customFormat="false" ht="15" hidden="false" customHeight="false" outlineLevel="0" collapsed="false">
      <c r="A21" s="17" t="s">
        <v>15</v>
      </c>
      <c r="B21" s="17" t="s">
        <v>745</v>
      </c>
      <c r="C21" s="17" t="s">
        <v>746</v>
      </c>
      <c r="D21" s="17" t="s">
        <v>28</v>
      </c>
      <c r="E21" s="17" t="s">
        <v>297</v>
      </c>
      <c r="F21" s="17" t="s">
        <v>28</v>
      </c>
      <c r="G21" s="17" t="s">
        <v>192</v>
      </c>
      <c r="H21" s="23" t="s">
        <v>65</v>
      </c>
      <c r="I21" s="17" t="s">
        <v>65</v>
      </c>
      <c r="J21" s="17"/>
      <c r="K21" s="17" t="s">
        <v>59</v>
      </c>
      <c r="L21" s="20" t="n">
        <v>2150</v>
      </c>
      <c r="M21" s="20" t="n">
        <v>2</v>
      </c>
      <c r="N21" s="22" t="n">
        <f aca="false">IFERROR(M21/L21,0)</f>
        <v>0.000930232558139535</v>
      </c>
      <c r="O21" s="24" t="n">
        <v>3.6</v>
      </c>
      <c r="P21" s="14" t="n">
        <f aca="false">IFERROR(O21/M21,0)</f>
        <v>1.8</v>
      </c>
      <c r="Q21" s="20" t="n">
        <v>0</v>
      </c>
      <c r="R21" s="24" t="n">
        <v>0</v>
      </c>
      <c r="S21" s="8" t="n">
        <f aca="false">IFERROR(O21/R21,0)</f>
        <v>0</v>
      </c>
      <c r="T21" s="8" t="n">
        <f aca="false">IFERROR(Q21/M21,0)</f>
        <v>0</v>
      </c>
    </row>
    <row r="22" customFormat="false" ht="15" hidden="false" customHeight="false" outlineLevel="0" collapsed="false">
      <c r="A22" s="17" t="s">
        <v>15</v>
      </c>
      <c r="B22" s="17" t="s">
        <v>747</v>
      </c>
      <c r="C22" s="17" t="s">
        <v>748</v>
      </c>
      <c r="D22" s="21" t="s">
        <v>34</v>
      </c>
      <c r="E22" s="17" t="s">
        <v>285</v>
      </c>
      <c r="F22" s="17" t="s">
        <v>314</v>
      </c>
      <c r="G22" s="17"/>
      <c r="H22" s="17"/>
      <c r="I22" s="17" t="s">
        <v>65</v>
      </c>
      <c r="J22" s="17"/>
      <c r="K22" s="17" t="s">
        <v>59</v>
      </c>
      <c r="L22" s="20" t="n">
        <v>1619</v>
      </c>
      <c r="M22" s="20" t="n">
        <v>8</v>
      </c>
      <c r="N22" s="22" t="n">
        <f aca="false">IFERROR(M22/L22,0)</f>
        <v>0.00494132180358246</v>
      </c>
      <c r="O22" s="24" t="n">
        <v>3.38</v>
      </c>
      <c r="P22" s="14" t="n">
        <f aca="false">IFERROR(O22/M22,0)</f>
        <v>0.4225</v>
      </c>
      <c r="Q22" s="20" t="n">
        <v>0</v>
      </c>
      <c r="R22" s="24" t="n">
        <v>0</v>
      </c>
      <c r="S22" s="8" t="n">
        <f aca="false">IFERROR(O22/R22,0)</f>
        <v>0</v>
      </c>
      <c r="T22" s="8" t="n">
        <f aca="false">IFERROR(Q22/M22,0)</f>
        <v>0</v>
      </c>
    </row>
    <row r="23" customFormat="false" ht="15" hidden="false" customHeight="false" outlineLevel="0" collapsed="false">
      <c r="A23" s="17" t="s">
        <v>15</v>
      </c>
      <c r="B23" s="17" t="s">
        <v>749</v>
      </c>
      <c r="C23" s="17" t="s">
        <v>750</v>
      </c>
      <c r="D23" s="17" t="s">
        <v>28</v>
      </c>
      <c r="E23" s="17" t="s">
        <v>297</v>
      </c>
      <c r="F23" s="17" t="s">
        <v>28</v>
      </c>
      <c r="G23" s="17"/>
      <c r="H23" s="17"/>
      <c r="I23" s="17" t="s">
        <v>65</v>
      </c>
      <c r="J23" s="17"/>
      <c r="K23" s="17" t="s">
        <v>59</v>
      </c>
      <c r="L23" s="20" t="n">
        <v>45</v>
      </c>
      <c r="M23" s="20" t="n">
        <v>2</v>
      </c>
      <c r="N23" s="22" t="n">
        <f aca="false">IFERROR(M23/L23,0)</f>
        <v>0.0444444444444444</v>
      </c>
      <c r="O23" s="24" t="n">
        <v>3.28</v>
      </c>
      <c r="P23" s="14" t="n">
        <f aca="false">IFERROR(O23/M23,0)</f>
        <v>1.64</v>
      </c>
      <c r="Q23" s="20" t="n">
        <v>0</v>
      </c>
      <c r="R23" s="24" t="n">
        <v>0</v>
      </c>
      <c r="S23" s="8" t="n">
        <f aca="false">IFERROR(O23/R23,0)</f>
        <v>0</v>
      </c>
      <c r="T23" s="8" t="n">
        <f aca="false">IFERROR(Q23/M23,0)</f>
        <v>0</v>
      </c>
    </row>
    <row r="24" customFormat="false" ht="15" hidden="false" customHeight="false" outlineLevel="0" collapsed="false">
      <c r="A24" s="17" t="s">
        <v>15</v>
      </c>
      <c r="B24" s="17" t="s">
        <v>751</v>
      </c>
      <c r="C24" s="17" t="s">
        <v>752</v>
      </c>
      <c r="D24" s="17" t="s">
        <v>28</v>
      </c>
      <c r="E24" s="17" t="s">
        <v>297</v>
      </c>
      <c r="F24" s="17" t="s">
        <v>28</v>
      </c>
      <c r="G24" s="17" t="s">
        <v>193</v>
      </c>
      <c r="H24" s="23" t="s">
        <v>65</v>
      </c>
      <c r="I24" s="17" t="s">
        <v>65</v>
      </c>
      <c r="J24" s="17"/>
      <c r="K24" s="17" t="s">
        <v>59</v>
      </c>
      <c r="L24" s="20" t="n">
        <v>65</v>
      </c>
      <c r="M24" s="20" t="n">
        <v>1</v>
      </c>
      <c r="N24" s="22" t="n">
        <f aca="false">IFERROR(M24/L24,0)</f>
        <v>0.0153846153846154</v>
      </c>
      <c r="O24" s="24" t="n">
        <v>3.18</v>
      </c>
      <c r="P24" s="14" t="n">
        <f aca="false">IFERROR(O24/M24,0)</f>
        <v>3.18</v>
      </c>
      <c r="Q24" s="20" t="n">
        <v>0</v>
      </c>
      <c r="R24" s="24" t="n">
        <v>0</v>
      </c>
      <c r="S24" s="8" t="n">
        <f aca="false">IFERROR(O24/R24,0)</f>
        <v>0</v>
      </c>
      <c r="T24" s="8" t="n">
        <f aca="false">IFERROR(Q24/M24,0)</f>
        <v>0</v>
      </c>
    </row>
    <row r="25" customFormat="false" ht="15" hidden="false" customHeight="false" outlineLevel="0" collapsed="false">
      <c r="A25" s="17" t="s">
        <v>15</v>
      </c>
      <c r="B25" s="17" t="s">
        <v>753</v>
      </c>
      <c r="C25" s="17" t="s">
        <v>754</v>
      </c>
      <c r="D25" s="17" t="s">
        <v>28</v>
      </c>
      <c r="E25" s="17" t="s">
        <v>297</v>
      </c>
      <c r="F25" s="17" t="s">
        <v>28</v>
      </c>
      <c r="G25" s="17" t="s">
        <v>60</v>
      </c>
      <c r="H25" s="18" t="s">
        <v>59</v>
      </c>
      <c r="I25" s="17" t="s">
        <v>65</v>
      </c>
      <c r="J25" s="17"/>
      <c r="K25" s="17" t="s">
        <v>59</v>
      </c>
      <c r="L25" s="20" t="n">
        <v>45</v>
      </c>
      <c r="M25" s="20" t="n">
        <v>2</v>
      </c>
      <c r="N25" s="22" t="n">
        <f aca="false">IFERROR(M25/L25,0)</f>
        <v>0.0444444444444444</v>
      </c>
      <c r="O25" s="24" t="n">
        <v>3.07</v>
      </c>
      <c r="P25" s="14" t="n">
        <f aca="false">IFERROR(O25/M25,0)</f>
        <v>1.535</v>
      </c>
      <c r="Q25" s="20" t="n">
        <v>0</v>
      </c>
      <c r="R25" s="24" t="n">
        <v>0</v>
      </c>
      <c r="S25" s="8" t="n">
        <f aca="false">IFERROR(O25/R25,0)</f>
        <v>0</v>
      </c>
      <c r="T25" s="8" t="n">
        <f aca="false">IFERROR(Q25/M25,0)</f>
        <v>0</v>
      </c>
    </row>
    <row r="26" customFormat="false" ht="15" hidden="false" customHeight="false" outlineLevel="0" collapsed="false">
      <c r="A26" s="17" t="s">
        <v>15</v>
      </c>
      <c r="B26" s="17" t="s">
        <v>755</v>
      </c>
      <c r="C26" s="17" t="s">
        <v>756</v>
      </c>
      <c r="D26" s="17" t="s">
        <v>28</v>
      </c>
      <c r="E26" s="17" t="s">
        <v>297</v>
      </c>
      <c r="F26" s="17" t="s">
        <v>28</v>
      </c>
      <c r="G26" s="17" t="s">
        <v>192</v>
      </c>
      <c r="H26" s="23" t="s">
        <v>65</v>
      </c>
      <c r="I26" s="17" t="s">
        <v>65</v>
      </c>
      <c r="J26" s="17"/>
      <c r="K26" s="17" t="s">
        <v>59</v>
      </c>
      <c r="L26" s="20" t="n">
        <v>75</v>
      </c>
      <c r="M26" s="20" t="n">
        <v>2</v>
      </c>
      <c r="N26" s="22" t="n">
        <f aca="false">IFERROR(M26/L26,0)</f>
        <v>0.0266666666666667</v>
      </c>
      <c r="O26" s="24" t="n">
        <v>3.01</v>
      </c>
      <c r="P26" s="14" t="n">
        <f aca="false">IFERROR(O26/M26,0)</f>
        <v>1.505</v>
      </c>
      <c r="Q26" s="20" t="n">
        <v>1</v>
      </c>
      <c r="R26" s="24" t="n">
        <v>99.99</v>
      </c>
      <c r="S26" s="8" t="n">
        <f aca="false">IFERROR(O26/R26,0)</f>
        <v>0.0301030103010301</v>
      </c>
      <c r="T26" s="8" t="n">
        <f aca="false">IFERROR(Q26/M26,0)</f>
        <v>0.5</v>
      </c>
    </row>
    <row r="27" customFormat="false" ht="15" hidden="false" customHeight="false" outlineLevel="0" collapsed="false">
      <c r="A27" s="17" t="s">
        <v>15</v>
      </c>
      <c r="B27" s="17" t="s">
        <v>757</v>
      </c>
      <c r="C27" s="17" t="s">
        <v>758</v>
      </c>
      <c r="D27" s="21" t="s">
        <v>34</v>
      </c>
      <c r="E27" s="17" t="s">
        <v>285</v>
      </c>
      <c r="F27" s="17" t="s">
        <v>314</v>
      </c>
      <c r="G27" s="17"/>
      <c r="H27" s="17"/>
      <c r="I27" s="17" t="s">
        <v>65</v>
      </c>
      <c r="J27" s="17"/>
      <c r="K27" s="17" t="s">
        <v>59</v>
      </c>
      <c r="L27" s="20" t="n">
        <v>2208</v>
      </c>
      <c r="M27" s="20" t="n">
        <v>6</v>
      </c>
      <c r="N27" s="22" t="n">
        <f aca="false">IFERROR(M27/L27,0)</f>
        <v>0.00271739130434783</v>
      </c>
      <c r="O27" s="24" t="n">
        <v>2.66</v>
      </c>
      <c r="P27" s="14" t="n">
        <f aca="false">IFERROR(O27/M27,0)</f>
        <v>0.443333333333333</v>
      </c>
      <c r="Q27" s="20" t="n">
        <v>1</v>
      </c>
      <c r="R27" s="24" t="n">
        <v>79.99</v>
      </c>
      <c r="S27" s="8" t="n">
        <f aca="false">IFERROR(O27/R27,0)</f>
        <v>0.0332541567695962</v>
      </c>
      <c r="T27" s="8" t="n">
        <f aca="false">IFERROR(Q27/M27,0)</f>
        <v>0.166666666666667</v>
      </c>
    </row>
    <row r="28" customFormat="false" ht="15" hidden="false" customHeight="false" outlineLevel="0" collapsed="false">
      <c r="A28" s="17" t="s">
        <v>15</v>
      </c>
      <c r="B28" s="17" t="s">
        <v>759</v>
      </c>
      <c r="C28" s="17" t="s">
        <v>760</v>
      </c>
      <c r="D28" s="17" t="s">
        <v>28</v>
      </c>
      <c r="E28" s="17" t="s">
        <v>297</v>
      </c>
      <c r="F28" s="17" t="s">
        <v>28</v>
      </c>
      <c r="G28" s="17" t="s">
        <v>85</v>
      </c>
      <c r="H28" s="23" t="s">
        <v>65</v>
      </c>
      <c r="I28" s="17" t="s">
        <v>65</v>
      </c>
      <c r="J28" s="17"/>
      <c r="K28" s="17" t="s">
        <v>59</v>
      </c>
      <c r="L28" s="20" t="n">
        <v>561</v>
      </c>
      <c r="M28" s="20" t="n">
        <v>2</v>
      </c>
      <c r="N28" s="22" t="n">
        <f aca="false">IFERROR(M28/L28,0)</f>
        <v>0.0035650623885918</v>
      </c>
      <c r="O28" s="24" t="n">
        <v>2.39</v>
      </c>
      <c r="P28" s="14" t="n">
        <f aca="false">IFERROR(O28/M28,0)</f>
        <v>1.195</v>
      </c>
      <c r="Q28" s="20" t="n">
        <v>0</v>
      </c>
      <c r="R28" s="24" t="n">
        <v>0</v>
      </c>
      <c r="S28" s="8" t="n">
        <f aca="false">IFERROR(O28/R28,0)</f>
        <v>0</v>
      </c>
      <c r="T28" s="8" t="n">
        <f aca="false">IFERROR(Q28/M28,0)</f>
        <v>0</v>
      </c>
    </row>
    <row r="29" customFormat="false" ht="15" hidden="false" customHeight="false" outlineLevel="0" collapsed="false">
      <c r="A29" s="17" t="s">
        <v>15</v>
      </c>
      <c r="B29" s="17" t="s">
        <v>761</v>
      </c>
      <c r="C29" s="17" t="s">
        <v>762</v>
      </c>
      <c r="D29" s="17" t="s">
        <v>33</v>
      </c>
      <c r="E29" s="17" t="s">
        <v>300</v>
      </c>
      <c r="F29" s="17" t="s">
        <v>665</v>
      </c>
      <c r="G29" s="17"/>
      <c r="H29" s="17"/>
      <c r="I29" s="17" t="s">
        <v>59</v>
      </c>
      <c r="J29" s="17" t="s">
        <v>16</v>
      </c>
      <c r="K29" s="17" t="s">
        <v>59</v>
      </c>
      <c r="L29" s="20" t="n">
        <v>55</v>
      </c>
      <c r="M29" s="20" t="n">
        <v>1</v>
      </c>
      <c r="N29" s="22" t="n">
        <f aca="false">IFERROR(M29/L29,0)</f>
        <v>0.0181818181818182</v>
      </c>
      <c r="O29" s="24" t="n">
        <v>2.23</v>
      </c>
      <c r="P29" s="14" t="n">
        <f aca="false">IFERROR(O29/M29,0)</f>
        <v>2.23</v>
      </c>
      <c r="Q29" s="20" t="n">
        <v>0</v>
      </c>
      <c r="R29" s="24" t="n">
        <v>0</v>
      </c>
      <c r="S29" s="8" t="n">
        <f aca="false">IFERROR(O29/R29,0)</f>
        <v>0</v>
      </c>
      <c r="T29" s="8" t="n">
        <f aca="false">IFERROR(Q29/M29,0)</f>
        <v>0</v>
      </c>
    </row>
    <row r="30" customFormat="false" ht="15" hidden="false" customHeight="false" outlineLevel="0" collapsed="false">
      <c r="A30" s="17" t="s">
        <v>15</v>
      </c>
      <c r="B30" s="17" t="s">
        <v>763</v>
      </c>
      <c r="C30" s="17" t="s">
        <v>764</v>
      </c>
      <c r="D30" s="17" t="s">
        <v>28</v>
      </c>
      <c r="E30" s="17" t="s">
        <v>297</v>
      </c>
      <c r="F30" s="17" t="s">
        <v>28</v>
      </c>
      <c r="G30" s="17"/>
      <c r="H30" s="17"/>
      <c r="I30" s="17" t="s">
        <v>65</v>
      </c>
      <c r="J30" s="17"/>
      <c r="K30" s="17" t="s">
        <v>59</v>
      </c>
      <c r="L30" s="20" t="n">
        <v>367</v>
      </c>
      <c r="M30" s="20" t="n">
        <v>1</v>
      </c>
      <c r="N30" s="22" t="n">
        <f aca="false">IFERROR(M30/L30,0)</f>
        <v>0.00272479564032698</v>
      </c>
      <c r="O30" s="24" t="n">
        <v>1.91</v>
      </c>
      <c r="P30" s="14" t="n">
        <f aca="false">IFERROR(O30/M30,0)</f>
        <v>1.91</v>
      </c>
      <c r="Q30" s="20" t="n">
        <v>0</v>
      </c>
      <c r="R30" s="24" t="n">
        <v>0</v>
      </c>
      <c r="S30" s="8" t="n">
        <f aca="false">IFERROR(O30/R30,0)</f>
        <v>0</v>
      </c>
      <c r="T30" s="8" t="n">
        <f aca="false">IFERROR(Q30/M30,0)</f>
        <v>0</v>
      </c>
    </row>
    <row r="31" customFormat="false" ht="15" hidden="false" customHeight="false" outlineLevel="0" collapsed="false">
      <c r="A31" s="17" t="s">
        <v>15</v>
      </c>
      <c r="B31" s="17" t="s">
        <v>765</v>
      </c>
      <c r="C31" s="17" t="s">
        <v>766</v>
      </c>
      <c r="D31" s="17" t="s">
        <v>28</v>
      </c>
      <c r="E31" s="17" t="s">
        <v>297</v>
      </c>
      <c r="F31" s="17" t="s">
        <v>28</v>
      </c>
      <c r="G31" s="17" t="s">
        <v>85</v>
      </c>
      <c r="H31" s="23" t="s">
        <v>65</v>
      </c>
      <c r="I31" s="17" t="s">
        <v>65</v>
      </c>
      <c r="J31" s="17"/>
      <c r="K31" s="17" t="s">
        <v>59</v>
      </c>
      <c r="L31" s="20" t="n">
        <v>24</v>
      </c>
      <c r="M31" s="20" t="n">
        <v>1</v>
      </c>
      <c r="N31" s="22" t="n">
        <f aca="false">IFERROR(M31/L31,0)</f>
        <v>0.0416666666666667</v>
      </c>
      <c r="O31" s="24" t="n">
        <v>1.91</v>
      </c>
      <c r="P31" s="14" t="n">
        <f aca="false">IFERROR(O31/M31,0)</f>
        <v>1.91</v>
      </c>
      <c r="Q31" s="20" t="n">
        <v>0</v>
      </c>
      <c r="R31" s="24" t="n">
        <v>0</v>
      </c>
      <c r="S31" s="8" t="n">
        <f aca="false">IFERROR(O31/R31,0)</f>
        <v>0</v>
      </c>
      <c r="T31" s="8" t="n">
        <f aca="false">IFERROR(Q31/M31,0)</f>
        <v>0</v>
      </c>
    </row>
    <row r="32" customFormat="false" ht="15" hidden="false" customHeight="false" outlineLevel="0" collapsed="false">
      <c r="A32" s="17" t="s">
        <v>15</v>
      </c>
      <c r="B32" s="17" t="s">
        <v>767</v>
      </c>
      <c r="C32" s="17" t="s">
        <v>768</v>
      </c>
      <c r="D32" s="17" t="s">
        <v>28</v>
      </c>
      <c r="E32" s="17" t="s">
        <v>297</v>
      </c>
      <c r="F32" s="17" t="s">
        <v>28</v>
      </c>
      <c r="G32" s="17" t="s">
        <v>85</v>
      </c>
      <c r="H32" s="23" t="s">
        <v>65</v>
      </c>
      <c r="I32" s="17" t="s">
        <v>65</v>
      </c>
      <c r="J32" s="17"/>
      <c r="K32" s="17" t="s">
        <v>59</v>
      </c>
      <c r="L32" s="20" t="n">
        <v>69</v>
      </c>
      <c r="M32" s="20" t="n">
        <v>1</v>
      </c>
      <c r="N32" s="22" t="n">
        <f aca="false">IFERROR(M32/L32,0)</f>
        <v>0.0144927536231884</v>
      </c>
      <c r="O32" s="24" t="n">
        <v>1.84</v>
      </c>
      <c r="P32" s="14" t="n">
        <f aca="false">IFERROR(O32/M32,0)</f>
        <v>1.84</v>
      </c>
      <c r="Q32" s="20" t="n">
        <v>0</v>
      </c>
      <c r="R32" s="24" t="n">
        <v>0</v>
      </c>
      <c r="S32" s="8" t="n">
        <f aca="false">IFERROR(O32/R32,0)</f>
        <v>0</v>
      </c>
      <c r="T32" s="8" t="n">
        <f aca="false">IFERROR(Q32/M32,0)</f>
        <v>0</v>
      </c>
    </row>
    <row r="33" customFormat="false" ht="15" hidden="false" customHeight="false" outlineLevel="0" collapsed="false">
      <c r="A33" s="17" t="s">
        <v>15</v>
      </c>
      <c r="B33" s="17" t="s">
        <v>769</v>
      </c>
      <c r="C33" s="17" t="s">
        <v>770</v>
      </c>
      <c r="D33" s="17" t="s">
        <v>28</v>
      </c>
      <c r="E33" s="17" t="s">
        <v>297</v>
      </c>
      <c r="F33" s="17" t="s">
        <v>28</v>
      </c>
      <c r="G33" s="17" t="s">
        <v>192</v>
      </c>
      <c r="H33" s="23" t="s">
        <v>65</v>
      </c>
      <c r="I33" s="17" t="s">
        <v>65</v>
      </c>
      <c r="J33" s="17"/>
      <c r="K33" s="17" t="s">
        <v>59</v>
      </c>
      <c r="L33" s="20" t="n">
        <v>1621</v>
      </c>
      <c r="M33" s="20" t="n">
        <v>1</v>
      </c>
      <c r="N33" s="22" t="n">
        <f aca="false">IFERROR(M33/L33,0)</f>
        <v>0.000616903146206046</v>
      </c>
      <c r="O33" s="24" t="n">
        <v>1.73</v>
      </c>
      <c r="P33" s="14" t="n">
        <f aca="false">IFERROR(O33/M33,0)</f>
        <v>1.73</v>
      </c>
      <c r="Q33" s="20" t="n">
        <v>1</v>
      </c>
      <c r="R33" s="24" t="n">
        <v>99.99</v>
      </c>
      <c r="S33" s="8" t="n">
        <f aca="false">IFERROR(O33/R33,0)</f>
        <v>0.0173017301730173</v>
      </c>
      <c r="T33" s="8" t="n">
        <f aca="false">IFERROR(Q33/M33,0)</f>
        <v>1</v>
      </c>
    </row>
    <row r="34" customFormat="false" ht="15" hidden="false" customHeight="false" outlineLevel="0" collapsed="false">
      <c r="A34" s="17" t="s">
        <v>15</v>
      </c>
      <c r="B34" s="17" t="s">
        <v>771</v>
      </c>
      <c r="C34" s="17" t="s">
        <v>772</v>
      </c>
      <c r="D34" s="17" t="s">
        <v>29</v>
      </c>
      <c r="E34" s="17" t="s">
        <v>297</v>
      </c>
      <c r="F34" s="17" t="s">
        <v>301</v>
      </c>
      <c r="G34" s="17" t="s">
        <v>56</v>
      </c>
      <c r="H34" s="18" t="s">
        <v>59</v>
      </c>
      <c r="I34" s="17" t="s">
        <v>65</v>
      </c>
      <c r="J34" s="17"/>
      <c r="K34" s="17" t="s">
        <v>59</v>
      </c>
      <c r="L34" s="20" t="n">
        <v>164</v>
      </c>
      <c r="M34" s="20" t="n">
        <v>1</v>
      </c>
      <c r="N34" s="22" t="n">
        <f aca="false">IFERROR(M34/L34,0)</f>
        <v>0.00609756097560976</v>
      </c>
      <c r="O34" s="24" t="n">
        <v>1.54</v>
      </c>
      <c r="P34" s="14" t="n">
        <f aca="false">IFERROR(O34/M34,0)</f>
        <v>1.54</v>
      </c>
      <c r="Q34" s="20" t="n">
        <v>0</v>
      </c>
      <c r="R34" s="24" t="n">
        <v>0</v>
      </c>
      <c r="S34" s="8" t="n">
        <f aca="false">IFERROR(O34/R34,0)</f>
        <v>0</v>
      </c>
      <c r="T34" s="8" t="n">
        <f aca="false">IFERROR(Q34/M34,0)</f>
        <v>0</v>
      </c>
    </row>
    <row r="35" customFormat="false" ht="15" hidden="false" customHeight="false" outlineLevel="0" collapsed="false">
      <c r="A35" s="17" t="s">
        <v>15</v>
      </c>
      <c r="B35" s="17" t="s">
        <v>773</v>
      </c>
      <c r="C35" s="17" t="s">
        <v>774</v>
      </c>
      <c r="D35" s="17" t="s">
        <v>28</v>
      </c>
      <c r="E35" s="17" t="s">
        <v>297</v>
      </c>
      <c r="F35" s="17" t="s">
        <v>28</v>
      </c>
      <c r="G35" s="17" t="s">
        <v>62</v>
      </c>
      <c r="H35" s="23" t="s">
        <v>65</v>
      </c>
      <c r="I35" s="17" t="s">
        <v>65</v>
      </c>
      <c r="J35" s="17"/>
      <c r="K35" s="17" t="s">
        <v>59</v>
      </c>
      <c r="L35" s="20" t="n">
        <v>41</v>
      </c>
      <c r="M35" s="20" t="n">
        <v>1</v>
      </c>
      <c r="N35" s="22" t="n">
        <f aca="false">IFERROR(M35/L35,0)</f>
        <v>0.024390243902439</v>
      </c>
      <c r="O35" s="24" t="n">
        <v>1.45</v>
      </c>
      <c r="P35" s="14" t="n">
        <f aca="false">IFERROR(O35/M35,0)</f>
        <v>1.45</v>
      </c>
      <c r="Q35" s="20" t="n">
        <v>0</v>
      </c>
      <c r="R35" s="24" t="n">
        <v>0</v>
      </c>
      <c r="S35" s="8" t="n">
        <f aca="false">IFERROR(O35/R35,0)</f>
        <v>0</v>
      </c>
      <c r="T35" s="8" t="n">
        <f aca="false">IFERROR(Q35/M35,0)</f>
        <v>0</v>
      </c>
    </row>
    <row r="36" customFormat="false" ht="15" hidden="false" customHeight="false" outlineLevel="0" collapsed="false">
      <c r="A36" s="17" t="s">
        <v>15</v>
      </c>
      <c r="B36" s="17" t="s">
        <v>775</v>
      </c>
      <c r="C36" s="17" t="s">
        <v>776</v>
      </c>
      <c r="D36" s="17" t="s">
        <v>28</v>
      </c>
      <c r="E36" s="17" t="s">
        <v>297</v>
      </c>
      <c r="F36" s="17" t="s">
        <v>28</v>
      </c>
      <c r="G36" s="17" t="s">
        <v>85</v>
      </c>
      <c r="H36" s="23" t="s">
        <v>65</v>
      </c>
      <c r="I36" s="17" t="s">
        <v>65</v>
      </c>
      <c r="J36" s="17"/>
      <c r="K36" s="17" t="s">
        <v>59</v>
      </c>
      <c r="L36" s="20" t="n">
        <v>9</v>
      </c>
      <c r="M36" s="20" t="n">
        <v>1</v>
      </c>
      <c r="N36" s="22" t="n">
        <f aca="false">IFERROR(M36/L36,0)</f>
        <v>0.111111111111111</v>
      </c>
      <c r="O36" s="24" t="n">
        <v>1.41</v>
      </c>
      <c r="P36" s="14" t="n">
        <f aca="false">IFERROR(O36/M36,0)</f>
        <v>1.41</v>
      </c>
      <c r="Q36" s="20" t="n">
        <v>0</v>
      </c>
      <c r="R36" s="24" t="n">
        <v>0</v>
      </c>
      <c r="S36" s="8" t="n">
        <f aca="false">IFERROR(O36/R36,0)</f>
        <v>0</v>
      </c>
      <c r="T36" s="8" t="n">
        <f aca="false">IFERROR(Q36/M36,0)</f>
        <v>0</v>
      </c>
    </row>
    <row r="37" customFormat="false" ht="15" hidden="false" customHeight="false" outlineLevel="0" collapsed="false">
      <c r="A37" s="17" t="s">
        <v>15</v>
      </c>
      <c r="B37" s="17" t="s">
        <v>777</v>
      </c>
      <c r="C37" s="17" t="s">
        <v>778</v>
      </c>
      <c r="D37" s="17" t="s">
        <v>28</v>
      </c>
      <c r="E37" s="17" t="s">
        <v>297</v>
      </c>
      <c r="F37" s="17" t="s">
        <v>28</v>
      </c>
      <c r="G37" s="17"/>
      <c r="H37" s="17"/>
      <c r="I37" s="17" t="s">
        <v>65</v>
      </c>
      <c r="J37" s="17"/>
      <c r="K37" s="17" t="s">
        <v>59</v>
      </c>
      <c r="L37" s="20" t="n">
        <v>267</v>
      </c>
      <c r="M37" s="20" t="n">
        <v>1</v>
      </c>
      <c r="N37" s="22" t="n">
        <f aca="false">IFERROR(M37/L37,0)</f>
        <v>0.00374531835205993</v>
      </c>
      <c r="O37" s="24" t="n">
        <v>1.37</v>
      </c>
      <c r="P37" s="14" t="n">
        <f aca="false">IFERROR(O37/M37,0)</f>
        <v>1.37</v>
      </c>
      <c r="Q37" s="20" t="n">
        <v>0</v>
      </c>
      <c r="R37" s="24" t="n">
        <v>0</v>
      </c>
      <c r="S37" s="8" t="n">
        <f aca="false">IFERROR(O37/R37,0)</f>
        <v>0</v>
      </c>
      <c r="T37" s="8" t="n">
        <f aca="false">IFERROR(Q37/M37,0)</f>
        <v>0</v>
      </c>
    </row>
    <row r="38" customFormat="false" ht="15" hidden="false" customHeight="false" outlineLevel="0" collapsed="false">
      <c r="A38" s="17" t="s">
        <v>15</v>
      </c>
      <c r="B38" s="17" t="s">
        <v>779</v>
      </c>
      <c r="C38" s="17" t="s">
        <v>780</v>
      </c>
      <c r="D38" s="17" t="s">
        <v>28</v>
      </c>
      <c r="E38" s="17" t="s">
        <v>297</v>
      </c>
      <c r="F38" s="17" t="s">
        <v>28</v>
      </c>
      <c r="G38" s="17"/>
      <c r="H38" s="17"/>
      <c r="I38" s="17" t="s">
        <v>65</v>
      </c>
      <c r="J38" s="17"/>
      <c r="K38" s="17" t="s">
        <v>59</v>
      </c>
      <c r="L38" s="20" t="n">
        <v>23</v>
      </c>
      <c r="M38" s="20" t="n">
        <v>3</v>
      </c>
      <c r="N38" s="22" t="n">
        <f aca="false">IFERROR(M38/L38,0)</f>
        <v>0.130434782608696</v>
      </c>
      <c r="O38" s="24" t="n">
        <v>1.36</v>
      </c>
      <c r="P38" s="14" t="n">
        <f aca="false">IFERROR(O38/M38,0)</f>
        <v>0.453333333333333</v>
      </c>
      <c r="Q38" s="20" t="n">
        <v>0</v>
      </c>
      <c r="R38" s="24" t="n">
        <v>0</v>
      </c>
      <c r="S38" s="8" t="n">
        <f aca="false">IFERROR(O38/R38,0)</f>
        <v>0</v>
      </c>
      <c r="T38" s="8" t="n">
        <f aca="false">IFERROR(Q38/M38,0)</f>
        <v>0</v>
      </c>
    </row>
    <row r="39" customFormat="false" ht="15" hidden="false" customHeight="false" outlineLevel="0" collapsed="false">
      <c r="A39" s="17" t="s">
        <v>15</v>
      </c>
      <c r="B39" s="17" t="s">
        <v>781</v>
      </c>
      <c r="C39" s="17" t="s">
        <v>782</v>
      </c>
      <c r="D39" s="17" t="s">
        <v>28</v>
      </c>
      <c r="E39" s="17" t="s">
        <v>297</v>
      </c>
      <c r="F39" s="17" t="s">
        <v>28</v>
      </c>
      <c r="G39" s="17" t="s">
        <v>192</v>
      </c>
      <c r="H39" s="23" t="s">
        <v>65</v>
      </c>
      <c r="I39" s="17" t="s">
        <v>65</v>
      </c>
      <c r="J39" s="17"/>
      <c r="K39" s="17" t="s">
        <v>59</v>
      </c>
      <c r="L39" s="20" t="n">
        <v>207</v>
      </c>
      <c r="M39" s="20" t="n">
        <v>1</v>
      </c>
      <c r="N39" s="22" t="n">
        <f aca="false">IFERROR(M39/L39,0)</f>
        <v>0.00483091787439614</v>
      </c>
      <c r="O39" s="24" t="n">
        <v>1.3</v>
      </c>
      <c r="P39" s="14" t="n">
        <f aca="false">IFERROR(O39/M39,0)</f>
        <v>1.3</v>
      </c>
      <c r="Q39" s="20" t="n">
        <v>0</v>
      </c>
      <c r="R39" s="24" t="n">
        <v>0</v>
      </c>
      <c r="S39" s="8" t="n">
        <f aca="false">IFERROR(O39/R39,0)</f>
        <v>0</v>
      </c>
      <c r="T39" s="8" t="n">
        <f aca="false">IFERROR(Q39/M39,0)</f>
        <v>0</v>
      </c>
    </row>
    <row r="40" customFormat="false" ht="15" hidden="false" customHeight="false" outlineLevel="0" collapsed="false">
      <c r="A40" s="17" t="s">
        <v>15</v>
      </c>
      <c r="B40" s="17" t="s">
        <v>783</v>
      </c>
      <c r="C40" s="17" t="s">
        <v>784</v>
      </c>
      <c r="D40" s="21" t="s">
        <v>34</v>
      </c>
      <c r="E40" s="17" t="s">
        <v>285</v>
      </c>
      <c r="F40" s="17" t="s">
        <v>314</v>
      </c>
      <c r="G40" s="17"/>
      <c r="H40" s="17"/>
      <c r="I40" s="17" t="s">
        <v>65</v>
      </c>
      <c r="J40" s="17"/>
      <c r="K40" s="17" t="s">
        <v>59</v>
      </c>
      <c r="L40" s="20" t="n">
        <v>656</v>
      </c>
      <c r="M40" s="20" t="n">
        <v>3</v>
      </c>
      <c r="N40" s="22" t="n">
        <f aca="false">IFERROR(M40/L40,0)</f>
        <v>0.00457317073170732</v>
      </c>
      <c r="O40" s="24" t="n">
        <v>1.21</v>
      </c>
      <c r="P40" s="14" t="n">
        <f aca="false">IFERROR(O40/M40,0)</f>
        <v>0.403333333333333</v>
      </c>
      <c r="Q40" s="20" t="n">
        <v>0</v>
      </c>
      <c r="R40" s="24" t="n">
        <v>0</v>
      </c>
      <c r="S40" s="8" t="n">
        <f aca="false">IFERROR(O40/R40,0)</f>
        <v>0</v>
      </c>
      <c r="T40" s="8" t="n">
        <f aca="false">IFERROR(Q40/M40,0)</f>
        <v>0</v>
      </c>
    </row>
    <row r="41" customFormat="false" ht="15" hidden="false" customHeight="false" outlineLevel="0" collapsed="false">
      <c r="A41" s="17" t="s">
        <v>15</v>
      </c>
      <c r="B41" s="17" t="s">
        <v>785</v>
      </c>
      <c r="C41" s="17" t="s">
        <v>786</v>
      </c>
      <c r="D41" s="17" t="s">
        <v>31</v>
      </c>
      <c r="E41" s="17" t="s">
        <v>293</v>
      </c>
      <c r="F41" s="17"/>
      <c r="G41" s="17" t="s">
        <v>205</v>
      </c>
      <c r="H41" s="18" t="s">
        <v>59</v>
      </c>
      <c r="I41" s="17" t="s">
        <v>65</v>
      </c>
      <c r="J41" s="17"/>
      <c r="K41" s="17" t="s">
        <v>59</v>
      </c>
      <c r="L41" s="20" t="n">
        <v>37</v>
      </c>
      <c r="M41" s="20" t="n">
        <v>1</v>
      </c>
      <c r="N41" s="22" t="n">
        <f aca="false">IFERROR(M41/L41,0)</f>
        <v>0.027027027027027</v>
      </c>
      <c r="O41" s="24" t="n">
        <v>1.09</v>
      </c>
      <c r="P41" s="14" t="n">
        <f aca="false">IFERROR(O41/M41,0)</f>
        <v>1.09</v>
      </c>
      <c r="Q41" s="20" t="n">
        <v>1</v>
      </c>
      <c r="R41" s="24" t="n">
        <v>79.99</v>
      </c>
      <c r="S41" s="8" t="n">
        <f aca="false">IFERROR(O41/R41,0)</f>
        <v>0.0136267033379172</v>
      </c>
      <c r="T41" s="8" t="n">
        <f aca="false">IFERROR(Q41/M41,0)</f>
        <v>1</v>
      </c>
    </row>
    <row r="42" customFormat="false" ht="15" hidden="false" customHeight="false" outlineLevel="0" collapsed="false">
      <c r="A42" s="17" t="s">
        <v>15</v>
      </c>
      <c r="B42" s="17" t="s">
        <v>787</v>
      </c>
      <c r="C42" s="17" t="s">
        <v>788</v>
      </c>
      <c r="D42" s="17" t="s">
        <v>28</v>
      </c>
      <c r="E42" s="17" t="s">
        <v>293</v>
      </c>
      <c r="F42" s="17" t="s">
        <v>28</v>
      </c>
      <c r="G42" s="17" t="s">
        <v>85</v>
      </c>
      <c r="H42" s="23" t="s">
        <v>65</v>
      </c>
      <c r="I42" s="17" t="s">
        <v>65</v>
      </c>
      <c r="J42" s="17"/>
      <c r="K42" s="17" t="s">
        <v>59</v>
      </c>
      <c r="L42" s="20" t="n">
        <v>502</v>
      </c>
      <c r="M42" s="20" t="n">
        <v>1</v>
      </c>
      <c r="N42" s="22" t="n">
        <f aca="false">IFERROR(M42/L42,0)</f>
        <v>0.00199203187250996</v>
      </c>
      <c r="O42" s="24" t="n">
        <v>0.48</v>
      </c>
      <c r="P42" s="14" t="n">
        <f aca="false">IFERROR(O42/M42,0)</f>
        <v>0.48</v>
      </c>
      <c r="Q42" s="20" t="n">
        <v>0</v>
      </c>
      <c r="R42" s="24" t="n">
        <v>0</v>
      </c>
      <c r="S42" s="8" t="n">
        <f aca="false">IFERROR(O42/R42,0)</f>
        <v>0</v>
      </c>
      <c r="T42" s="8" t="n">
        <f aca="false">IFERROR(Q42/M42,0)</f>
        <v>0</v>
      </c>
    </row>
    <row r="43" customFormat="false" ht="15" hidden="false" customHeight="false" outlineLevel="0" collapsed="false">
      <c r="A43" s="17" t="s">
        <v>15</v>
      </c>
      <c r="B43" s="17" t="s">
        <v>789</v>
      </c>
      <c r="C43" s="17" t="s">
        <v>790</v>
      </c>
      <c r="D43" s="21" t="s">
        <v>34</v>
      </c>
      <c r="E43" s="17" t="s">
        <v>285</v>
      </c>
      <c r="F43" s="17" t="s">
        <v>314</v>
      </c>
      <c r="G43" s="17"/>
      <c r="H43" s="17"/>
      <c r="I43" s="17" t="s">
        <v>65</v>
      </c>
      <c r="J43" s="17"/>
      <c r="K43" s="17" t="s">
        <v>59</v>
      </c>
      <c r="L43" s="20" t="n">
        <v>303</v>
      </c>
      <c r="M43" s="20" t="n">
        <v>2</v>
      </c>
      <c r="N43" s="22" t="n">
        <f aca="false">IFERROR(M43/L43,0)</f>
        <v>0.0066006600660066</v>
      </c>
      <c r="O43" s="24" t="n">
        <v>0.45</v>
      </c>
      <c r="P43" s="14" t="n">
        <f aca="false">IFERROR(O43/M43,0)</f>
        <v>0.225</v>
      </c>
      <c r="Q43" s="20" t="n">
        <v>0</v>
      </c>
      <c r="R43" s="24" t="n">
        <v>0</v>
      </c>
      <c r="S43" s="8" t="n">
        <f aca="false">IFERROR(O43/R43,0)</f>
        <v>0</v>
      </c>
      <c r="T43" s="8" t="n">
        <f aca="false">IFERROR(Q43/M43,0)</f>
        <v>0</v>
      </c>
    </row>
    <row r="44" customFormat="false" ht="15" hidden="false" customHeight="false" outlineLevel="0" collapsed="false">
      <c r="A44" s="17" t="s">
        <v>15</v>
      </c>
      <c r="B44" s="17" t="s">
        <v>791</v>
      </c>
      <c r="C44" s="17" t="s">
        <v>792</v>
      </c>
      <c r="D44" s="21" t="s">
        <v>34</v>
      </c>
      <c r="E44" s="17" t="s">
        <v>285</v>
      </c>
      <c r="F44" s="17" t="s">
        <v>314</v>
      </c>
      <c r="G44" s="17"/>
      <c r="H44" s="17"/>
      <c r="I44" s="17" t="s">
        <v>65</v>
      </c>
      <c r="J44" s="17"/>
      <c r="K44" s="17" t="s">
        <v>59</v>
      </c>
      <c r="L44" s="20" t="n">
        <v>440</v>
      </c>
      <c r="M44" s="20" t="n">
        <v>1</v>
      </c>
      <c r="N44" s="22" t="n">
        <f aca="false">IFERROR(M44/L44,0)</f>
        <v>0.00227272727272727</v>
      </c>
      <c r="O44" s="24" t="n">
        <v>0.32</v>
      </c>
      <c r="P44" s="14" t="n">
        <f aca="false">IFERROR(O44/M44,0)</f>
        <v>0.32</v>
      </c>
      <c r="Q44" s="20" t="n">
        <v>0</v>
      </c>
      <c r="R44" s="24" t="n">
        <v>0</v>
      </c>
      <c r="S44" s="8" t="n">
        <f aca="false">IFERROR(O44/R44,0)</f>
        <v>0</v>
      </c>
      <c r="T44" s="8" t="n">
        <f aca="false">IFERROR(Q44/M44,0)</f>
        <v>0</v>
      </c>
    </row>
    <row r="45" customFormat="false" ht="15" hidden="false" customHeight="false" outlineLevel="0" collapsed="false">
      <c r="A45" s="17" t="s">
        <v>15</v>
      </c>
      <c r="B45" s="17" t="s">
        <v>793</v>
      </c>
      <c r="C45" s="17" t="s">
        <v>794</v>
      </c>
      <c r="D45" s="23" t="s">
        <v>32</v>
      </c>
      <c r="E45" s="17" t="s">
        <v>285</v>
      </c>
      <c r="F45" s="17" t="s">
        <v>288</v>
      </c>
      <c r="G45" s="17" t="s">
        <v>85</v>
      </c>
      <c r="H45" s="23" t="s">
        <v>65</v>
      </c>
      <c r="I45" s="17" t="s">
        <v>65</v>
      </c>
      <c r="J45" s="17"/>
      <c r="K45" s="17" t="s">
        <v>59</v>
      </c>
      <c r="L45" s="20" t="n">
        <v>247</v>
      </c>
      <c r="M45" s="20" t="n">
        <v>1</v>
      </c>
      <c r="N45" s="22" t="n">
        <f aca="false">IFERROR(M45/L45,0)</f>
        <v>0.00404858299595142</v>
      </c>
      <c r="O45" s="24" t="n">
        <v>0.07</v>
      </c>
      <c r="P45" s="14" t="n">
        <f aca="false">IFERROR(O45/M45,0)</f>
        <v>0.07</v>
      </c>
      <c r="Q45" s="20" t="n">
        <v>1</v>
      </c>
      <c r="R45" s="24" t="n">
        <v>80.74</v>
      </c>
      <c r="S45" s="8" t="n">
        <f aca="false">IFERROR(O45/R45,0)</f>
        <v>0.000866980431013129</v>
      </c>
      <c r="T45" s="8" t="n">
        <f aca="false">IFERROR(Q45/M45,0)</f>
        <v>1</v>
      </c>
    </row>
    <row r="46" customFormat="false" ht="15" hidden="false" customHeight="false" outlineLevel="0" collapsed="false">
      <c r="A46" s="17" t="s">
        <v>16</v>
      </c>
      <c r="B46" s="17" t="s">
        <v>795</v>
      </c>
      <c r="C46" s="17" t="s">
        <v>796</v>
      </c>
      <c r="D46" s="17" t="s">
        <v>28</v>
      </c>
      <c r="E46" s="17" t="s">
        <v>297</v>
      </c>
      <c r="F46" s="17" t="s">
        <v>28</v>
      </c>
      <c r="G46" s="17" t="s">
        <v>117</v>
      </c>
      <c r="H46" s="18" t="s">
        <v>59</v>
      </c>
      <c r="I46" s="17" t="s">
        <v>65</v>
      </c>
      <c r="J46" s="17"/>
      <c r="K46" s="17" t="s">
        <v>59</v>
      </c>
      <c r="L46" s="20" t="n">
        <v>1068</v>
      </c>
      <c r="M46" s="20" t="n">
        <v>47</v>
      </c>
      <c r="N46" s="22" t="n">
        <f aca="false">IFERROR(M46/L46,0)</f>
        <v>0.0440074906367041</v>
      </c>
      <c r="O46" s="24" t="n">
        <v>188.15</v>
      </c>
      <c r="P46" s="14" t="n">
        <f aca="false">IFERROR(O46/M46,0)</f>
        <v>4.0031914893617</v>
      </c>
      <c r="Q46" s="20" t="n">
        <v>6</v>
      </c>
      <c r="R46" s="24" t="n">
        <v>533.94</v>
      </c>
      <c r="S46" s="8" t="n">
        <f aca="false">IFERROR(O46/R46,0)</f>
        <v>0.352380417275349</v>
      </c>
      <c r="T46" s="8" t="n">
        <f aca="false">IFERROR(Q46/M46,0)</f>
        <v>0.127659574468085</v>
      </c>
    </row>
    <row r="47" customFormat="false" ht="15" hidden="false" customHeight="false" outlineLevel="0" collapsed="false">
      <c r="A47" s="17" t="s">
        <v>16</v>
      </c>
      <c r="B47" s="17" t="s">
        <v>797</v>
      </c>
      <c r="C47" s="17" t="s">
        <v>798</v>
      </c>
      <c r="D47" s="21" t="s">
        <v>34</v>
      </c>
      <c r="E47" s="17" t="s">
        <v>293</v>
      </c>
      <c r="F47" s="17"/>
      <c r="G47" s="17"/>
      <c r="H47" s="17"/>
      <c r="I47" s="17" t="s">
        <v>65</v>
      </c>
      <c r="J47" s="17"/>
      <c r="K47" s="17" t="s">
        <v>59</v>
      </c>
      <c r="L47" s="20" t="n">
        <v>7289</v>
      </c>
      <c r="M47" s="20" t="n">
        <v>37</v>
      </c>
      <c r="N47" s="22" t="n">
        <f aca="false">IFERROR(M47/L47,0)</f>
        <v>0.0050761421319797</v>
      </c>
      <c r="O47" s="24" t="n">
        <v>44.13</v>
      </c>
      <c r="P47" s="14" t="n">
        <f aca="false">IFERROR(O47/M47,0)</f>
        <v>1.1927027027027</v>
      </c>
      <c r="Q47" s="20" t="n">
        <v>3</v>
      </c>
      <c r="R47" s="24" t="n">
        <v>253.72</v>
      </c>
      <c r="S47" s="8" t="n">
        <f aca="false">IFERROR(O47/R47,0)</f>
        <v>0.173931893425824</v>
      </c>
      <c r="T47" s="8" t="n">
        <f aca="false">IFERROR(Q47/M47,0)</f>
        <v>0.0810810810810811</v>
      </c>
    </row>
    <row r="48" customFormat="false" ht="15" hidden="false" customHeight="false" outlineLevel="0" collapsed="false">
      <c r="A48" s="17" t="s">
        <v>16</v>
      </c>
      <c r="B48" s="17" t="s">
        <v>799</v>
      </c>
      <c r="C48" s="17" t="s">
        <v>800</v>
      </c>
      <c r="D48" s="17" t="s">
        <v>28</v>
      </c>
      <c r="E48" s="17" t="s">
        <v>297</v>
      </c>
      <c r="F48" s="17" t="s">
        <v>28</v>
      </c>
      <c r="G48" s="17" t="s">
        <v>115</v>
      </c>
      <c r="H48" s="23" t="s">
        <v>65</v>
      </c>
      <c r="I48" s="17" t="s">
        <v>65</v>
      </c>
      <c r="J48" s="17"/>
      <c r="K48" s="17" t="s">
        <v>59</v>
      </c>
      <c r="L48" s="20" t="n">
        <v>116</v>
      </c>
      <c r="M48" s="20" t="n">
        <v>69</v>
      </c>
      <c r="N48" s="22" t="n">
        <f aca="false">IFERROR(M48/L48,0)</f>
        <v>0.594827586206897</v>
      </c>
      <c r="O48" s="24" t="n">
        <v>37.72</v>
      </c>
      <c r="P48" s="14" t="n">
        <f aca="false">IFERROR(O48/M48,0)</f>
        <v>0.546666666666667</v>
      </c>
      <c r="Q48" s="20" t="n">
        <v>1</v>
      </c>
      <c r="R48" s="24" t="n">
        <v>80.74</v>
      </c>
      <c r="S48" s="8" t="n">
        <f aca="false">IFERROR(O48/R48,0)</f>
        <v>0.467178597968789</v>
      </c>
      <c r="T48" s="8" t="n">
        <f aca="false">IFERROR(Q48/M48,0)</f>
        <v>0.0144927536231884</v>
      </c>
    </row>
    <row r="49" customFormat="false" ht="15" hidden="false" customHeight="false" outlineLevel="0" collapsed="false">
      <c r="A49" s="17" t="s">
        <v>16</v>
      </c>
      <c r="B49" s="17" t="s">
        <v>801</v>
      </c>
      <c r="C49" s="17" t="s">
        <v>802</v>
      </c>
      <c r="D49" s="21" t="s">
        <v>34</v>
      </c>
      <c r="E49" s="17" t="s">
        <v>285</v>
      </c>
      <c r="F49" s="17"/>
      <c r="G49" s="17"/>
      <c r="H49" s="17"/>
      <c r="I49" s="17" t="s">
        <v>65</v>
      </c>
      <c r="J49" s="17"/>
      <c r="K49" s="17" t="s">
        <v>59</v>
      </c>
      <c r="L49" s="20" t="n">
        <v>5473</v>
      </c>
      <c r="M49" s="20" t="n">
        <v>26</v>
      </c>
      <c r="N49" s="22" t="n">
        <f aca="false">IFERROR(M49/L49,0)</f>
        <v>0.00475059382422803</v>
      </c>
      <c r="O49" s="24" t="n">
        <v>30.22</v>
      </c>
      <c r="P49" s="14" t="n">
        <f aca="false">IFERROR(O49/M49,0)</f>
        <v>1.16230769230769</v>
      </c>
      <c r="Q49" s="20" t="n">
        <v>1</v>
      </c>
      <c r="R49" s="24" t="n">
        <v>84.99</v>
      </c>
      <c r="S49" s="8" t="n">
        <f aca="false">IFERROR(O49/R49,0)</f>
        <v>0.355571243675727</v>
      </c>
      <c r="T49" s="8" t="n">
        <f aca="false">IFERROR(Q49/M49,0)</f>
        <v>0.0384615384615385</v>
      </c>
    </row>
    <row r="50" customFormat="false" ht="15" hidden="false" customHeight="false" outlineLevel="0" collapsed="false">
      <c r="A50" s="17" t="s">
        <v>16</v>
      </c>
      <c r="B50" s="17" t="s">
        <v>803</v>
      </c>
      <c r="C50" s="17" t="s">
        <v>804</v>
      </c>
      <c r="D50" s="17" t="s">
        <v>28</v>
      </c>
      <c r="E50" s="17" t="s">
        <v>297</v>
      </c>
      <c r="F50" s="17" t="s">
        <v>28</v>
      </c>
      <c r="G50" s="17" t="s">
        <v>209</v>
      </c>
      <c r="H50" s="23" t="s">
        <v>65</v>
      </c>
      <c r="I50" s="17" t="s">
        <v>65</v>
      </c>
      <c r="J50" s="17"/>
      <c r="K50" s="17" t="s">
        <v>59</v>
      </c>
      <c r="L50" s="20" t="n">
        <v>6785</v>
      </c>
      <c r="M50" s="20" t="n">
        <v>14</v>
      </c>
      <c r="N50" s="22" t="n">
        <f aca="false">IFERROR(M50/L50,0)</f>
        <v>0.00206337509211496</v>
      </c>
      <c r="O50" s="24" t="n">
        <v>27.51</v>
      </c>
      <c r="P50" s="14" t="n">
        <f aca="false">IFERROR(O50/M50,0)</f>
        <v>1.965</v>
      </c>
      <c r="Q50" s="20" t="n">
        <v>1</v>
      </c>
      <c r="R50" s="24" t="n">
        <v>85.49</v>
      </c>
      <c r="S50" s="8" t="n">
        <f aca="false">IFERROR(O50/R50,0)</f>
        <v>0.321792022458767</v>
      </c>
      <c r="T50" s="8" t="n">
        <f aca="false">IFERROR(Q50/M50,0)</f>
        <v>0.0714285714285714</v>
      </c>
    </row>
    <row r="51" customFormat="false" ht="15" hidden="false" customHeight="false" outlineLevel="0" collapsed="false">
      <c r="A51" s="17" t="s">
        <v>16</v>
      </c>
      <c r="B51" s="17" t="s">
        <v>805</v>
      </c>
      <c r="C51" s="17" t="s">
        <v>806</v>
      </c>
      <c r="D51" s="17" t="s">
        <v>31</v>
      </c>
      <c r="E51" s="17" t="s">
        <v>293</v>
      </c>
      <c r="F51" s="17" t="s">
        <v>288</v>
      </c>
      <c r="G51" s="17" t="s">
        <v>807</v>
      </c>
      <c r="H51" s="23" t="s">
        <v>65</v>
      </c>
      <c r="I51" s="17" t="s">
        <v>65</v>
      </c>
      <c r="J51" s="17"/>
      <c r="K51" s="17" t="s">
        <v>59</v>
      </c>
      <c r="L51" s="20" t="n">
        <v>3338</v>
      </c>
      <c r="M51" s="20" t="n">
        <v>10</v>
      </c>
      <c r="N51" s="22" t="n">
        <f aca="false">IFERROR(M51/L51,0)</f>
        <v>0.00299580587177951</v>
      </c>
      <c r="O51" s="24" t="n">
        <v>26.68</v>
      </c>
      <c r="P51" s="14" t="n">
        <f aca="false">IFERROR(O51/M51,0)</f>
        <v>2.668</v>
      </c>
      <c r="Q51" s="20" t="n">
        <v>0</v>
      </c>
      <c r="R51" s="24" t="n">
        <v>0</v>
      </c>
      <c r="S51" s="8" t="n">
        <f aca="false">IFERROR(O51/R51,0)</f>
        <v>0</v>
      </c>
      <c r="T51" s="8" t="n">
        <f aca="false">IFERROR(Q51/M51,0)</f>
        <v>0</v>
      </c>
    </row>
    <row r="52" customFormat="false" ht="15" hidden="false" customHeight="false" outlineLevel="0" collapsed="false">
      <c r="A52" s="17" t="s">
        <v>16</v>
      </c>
      <c r="B52" s="17" t="s">
        <v>808</v>
      </c>
      <c r="C52" s="17" t="s">
        <v>809</v>
      </c>
      <c r="D52" s="17" t="s">
        <v>31</v>
      </c>
      <c r="E52" s="17" t="s">
        <v>810</v>
      </c>
      <c r="F52" s="17" t="s">
        <v>288</v>
      </c>
      <c r="G52" s="17" t="s">
        <v>117</v>
      </c>
      <c r="H52" s="18" t="s">
        <v>59</v>
      </c>
      <c r="I52" s="17" t="s">
        <v>65</v>
      </c>
      <c r="J52" s="17"/>
      <c r="K52" s="17" t="s">
        <v>59</v>
      </c>
      <c r="L52" s="20" t="n">
        <v>4160</v>
      </c>
      <c r="M52" s="20" t="n">
        <v>24</v>
      </c>
      <c r="N52" s="22" t="n">
        <f aca="false">IFERROR(M52/L52,0)</f>
        <v>0.00576923076923077</v>
      </c>
      <c r="O52" s="24" t="n">
        <v>25.27</v>
      </c>
      <c r="P52" s="14" t="n">
        <f aca="false">IFERROR(O52/M52,0)</f>
        <v>1.05291666666667</v>
      </c>
      <c r="Q52" s="20" t="n">
        <v>2</v>
      </c>
      <c r="R52" s="24" t="n">
        <v>164.98</v>
      </c>
      <c r="S52" s="8" t="n">
        <f aca="false">IFERROR(O52/R52,0)</f>
        <v>0.153170081221966</v>
      </c>
      <c r="T52" s="8" t="n">
        <f aca="false">IFERROR(Q52/M52,0)</f>
        <v>0.0833333333333333</v>
      </c>
    </row>
    <row r="53" customFormat="false" ht="15" hidden="false" customHeight="false" outlineLevel="0" collapsed="false">
      <c r="A53" s="17" t="s">
        <v>16</v>
      </c>
      <c r="B53" s="17" t="s">
        <v>811</v>
      </c>
      <c r="C53" s="17" t="s">
        <v>812</v>
      </c>
      <c r="D53" s="17" t="s">
        <v>30</v>
      </c>
      <c r="E53" s="17" t="s">
        <v>297</v>
      </c>
      <c r="F53" s="17" t="s">
        <v>294</v>
      </c>
      <c r="G53" s="17" t="s">
        <v>115</v>
      </c>
      <c r="H53" s="23" t="s">
        <v>65</v>
      </c>
      <c r="I53" s="17" t="s">
        <v>65</v>
      </c>
      <c r="J53" s="17"/>
      <c r="K53" s="17" t="s">
        <v>59</v>
      </c>
      <c r="L53" s="20" t="n">
        <v>3152</v>
      </c>
      <c r="M53" s="20" t="n">
        <v>17</v>
      </c>
      <c r="N53" s="22" t="n">
        <f aca="false">IFERROR(M53/L53,0)</f>
        <v>0.00539340101522843</v>
      </c>
      <c r="O53" s="24" t="n">
        <v>24.94</v>
      </c>
      <c r="P53" s="14" t="n">
        <f aca="false">IFERROR(O53/M53,0)</f>
        <v>1.46705882352941</v>
      </c>
      <c r="Q53" s="20" t="n">
        <v>2</v>
      </c>
      <c r="R53" s="24" t="n">
        <v>169.98</v>
      </c>
      <c r="S53" s="8" t="n">
        <f aca="false">IFERROR(O53/R53,0)</f>
        <v>0.146723143899282</v>
      </c>
      <c r="T53" s="8" t="n">
        <f aca="false">IFERROR(Q53/M53,0)</f>
        <v>0.117647058823529</v>
      </c>
    </row>
    <row r="54" customFormat="false" ht="15" hidden="false" customHeight="false" outlineLevel="0" collapsed="false">
      <c r="A54" s="17" t="s">
        <v>16</v>
      </c>
      <c r="B54" s="17" t="s">
        <v>813</v>
      </c>
      <c r="C54" s="17" t="s">
        <v>814</v>
      </c>
      <c r="D54" s="17" t="s">
        <v>30</v>
      </c>
      <c r="E54" s="17" t="s">
        <v>297</v>
      </c>
      <c r="F54" s="17" t="s">
        <v>294</v>
      </c>
      <c r="G54" s="17"/>
      <c r="H54" s="17"/>
      <c r="I54" s="17" t="s">
        <v>65</v>
      </c>
      <c r="J54" s="17"/>
      <c r="K54" s="17" t="s">
        <v>59</v>
      </c>
      <c r="L54" s="20" t="n">
        <v>2071</v>
      </c>
      <c r="M54" s="20" t="n">
        <v>9</v>
      </c>
      <c r="N54" s="22" t="n">
        <f aca="false">IFERROR(M54/L54,0)</f>
        <v>0.00434572670207629</v>
      </c>
      <c r="O54" s="24" t="n">
        <v>22.76</v>
      </c>
      <c r="P54" s="14" t="n">
        <f aca="false">IFERROR(O54/M54,0)</f>
        <v>2.52888888888889</v>
      </c>
      <c r="Q54" s="20" t="n">
        <v>1</v>
      </c>
      <c r="R54" s="24" t="n">
        <v>80.74</v>
      </c>
      <c r="S54" s="8" t="n">
        <f aca="false">IFERROR(O54/R54,0)</f>
        <v>0.281892494426554</v>
      </c>
      <c r="T54" s="8" t="n">
        <f aca="false">IFERROR(Q54/M54,0)</f>
        <v>0.111111111111111</v>
      </c>
    </row>
    <row r="55" customFormat="false" ht="15" hidden="false" customHeight="false" outlineLevel="0" collapsed="false">
      <c r="A55" s="17" t="s">
        <v>16</v>
      </c>
      <c r="B55" s="17" t="s">
        <v>815</v>
      </c>
      <c r="C55" s="17" t="s">
        <v>816</v>
      </c>
      <c r="D55" s="17" t="s">
        <v>29</v>
      </c>
      <c r="E55" s="17" t="s">
        <v>297</v>
      </c>
      <c r="F55" s="17" t="s">
        <v>301</v>
      </c>
      <c r="G55" s="17" t="s">
        <v>117</v>
      </c>
      <c r="H55" s="18" t="s">
        <v>59</v>
      </c>
      <c r="I55" s="17" t="s">
        <v>65</v>
      </c>
      <c r="J55" s="17"/>
      <c r="K55" s="17" t="s">
        <v>59</v>
      </c>
      <c r="L55" s="20" t="n">
        <v>2440</v>
      </c>
      <c r="M55" s="20" t="n">
        <v>10</v>
      </c>
      <c r="N55" s="22" t="n">
        <f aca="false">IFERROR(M55/L55,0)</f>
        <v>0.00409836065573771</v>
      </c>
      <c r="O55" s="24" t="n">
        <v>17.75</v>
      </c>
      <c r="P55" s="14" t="n">
        <f aca="false">IFERROR(O55/M55,0)</f>
        <v>1.775</v>
      </c>
      <c r="Q55" s="20" t="n">
        <v>1</v>
      </c>
      <c r="R55" s="24" t="n">
        <v>80.74</v>
      </c>
      <c r="S55" s="8" t="n">
        <f aca="false">IFERROR(O55/R55,0)</f>
        <v>0.219841466435472</v>
      </c>
      <c r="T55" s="8" t="n">
        <f aca="false">IFERROR(Q55/M55,0)</f>
        <v>0.1</v>
      </c>
    </row>
    <row r="56" customFormat="false" ht="15" hidden="false" customHeight="false" outlineLevel="0" collapsed="false">
      <c r="A56" s="17" t="s">
        <v>16</v>
      </c>
      <c r="B56" s="17" t="s">
        <v>817</v>
      </c>
      <c r="C56" s="17" t="s">
        <v>818</v>
      </c>
      <c r="D56" s="17" t="s">
        <v>31</v>
      </c>
      <c r="E56" s="17" t="s">
        <v>810</v>
      </c>
      <c r="F56" s="17" t="s">
        <v>288</v>
      </c>
      <c r="G56" s="17" t="s">
        <v>807</v>
      </c>
      <c r="H56" s="23" t="s">
        <v>65</v>
      </c>
      <c r="I56" s="17" t="s">
        <v>65</v>
      </c>
      <c r="J56" s="17"/>
      <c r="K56" s="17" t="s">
        <v>59</v>
      </c>
      <c r="L56" s="20" t="n">
        <v>1911</v>
      </c>
      <c r="M56" s="20" t="n">
        <v>11</v>
      </c>
      <c r="N56" s="22" t="n">
        <f aca="false">IFERROR(M56/L56,0)</f>
        <v>0.00575614861329147</v>
      </c>
      <c r="O56" s="24" t="n">
        <v>10.15</v>
      </c>
      <c r="P56" s="14" t="n">
        <f aca="false">IFERROR(O56/M56,0)</f>
        <v>0.922727272727273</v>
      </c>
      <c r="Q56" s="20" t="n">
        <v>1</v>
      </c>
      <c r="R56" s="24" t="n">
        <v>84.99</v>
      </c>
      <c r="S56" s="8" t="n">
        <f aca="false">IFERROR(O56/R56,0)</f>
        <v>0.119425814801741</v>
      </c>
      <c r="T56" s="8" t="n">
        <f aca="false">IFERROR(Q56/M56,0)</f>
        <v>0.0909090909090909</v>
      </c>
    </row>
    <row r="57" customFormat="false" ht="15" hidden="false" customHeight="false" outlineLevel="0" collapsed="false">
      <c r="A57" s="17" t="s">
        <v>16</v>
      </c>
      <c r="B57" s="17" t="s">
        <v>819</v>
      </c>
      <c r="C57" s="17" t="s">
        <v>820</v>
      </c>
      <c r="D57" s="17" t="s">
        <v>29</v>
      </c>
      <c r="E57" s="17" t="s">
        <v>297</v>
      </c>
      <c r="F57" s="17" t="s">
        <v>301</v>
      </c>
      <c r="G57" s="17" t="s">
        <v>209</v>
      </c>
      <c r="H57" s="23" t="s">
        <v>65</v>
      </c>
      <c r="I57" s="17" t="s">
        <v>65</v>
      </c>
      <c r="J57" s="17"/>
      <c r="K57" s="17" t="s">
        <v>59</v>
      </c>
      <c r="L57" s="20" t="n">
        <v>931</v>
      </c>
      <c r="M57" s="20" t="n">
        <v>3</v>
      </c>
      <c r="N57" s="22" t="n">
        <f aca="false">IFERROR(M57/L57,0)</f>
        <v>0.00322234156820623</v>
      </c>
      <c r="O57" s="24" t="n">
        <v>9.45</v>
      </c>
      <c r="P57" s="14" t="n">
        <f aca="false">IFERROR(O57/M57,0)</f>
        <v>3.15</v>
      </c>
      <c r="Q57" s="20" t="n">
        <v>1</v>
      </c>
      <c r="R57" s="24" t="n">
        <v>84.99</v>
      </c>
      <c r="S57" s="8" t="n">
        <f aca="false">IFERROR(O57/R57,0)</f>
        <v>0.111189551711966</v>
      </c>
      <c r="T57" s="8" t="n">
        <f aca="false">IFERROR(Q57/M57,0)</f>
        <v>0.333333333333333</v>
      </c>
    </row>
    <row r="58" customFormat="false" ht="15" hidden="false" customHeight="false" outlineLevel="0" collapsed="false">
      <c r="A58" s="17" t="s">
        <v>16</v>
      </c>
      <c r="B58" s="17" t="s">
        <v>821</v>
      </c>
      <c r="C58" s="17" t="s">
        <v>822</v>
      </c>
      <c r="D58" s="17" t="s">
        <v>28</v>
      </c>
      <c r="E58" s="17" t="s">
        <v>297</v>
      </c>
      <c r="F58" s="17" t="s">
        <v>28</v>
      </c>
      <c r="G58" s="17" t="s">
        <v>115</v>
      </c>
      <c r="H58" s="23" t="s">
        <v>65</v>
      </c>
      <c r="I58" s="17" t="s">
        <v>65</v>
      </c>
      <c r="J58" s="17"/>
      <c r="K58" s="17" t="s">
        <v>59</v>
      </c>
      <c r="L58" s="20" t="n">
        <v>18</v>
      </c>
      <c r="M58" s="20" t="n">
        <v>16</v>
      </c>
      <c r="N58" s="22" t="n">
        <f aca="false">IFERROR(M58/L58,0)</f>
        <v>0.888888888888889</v>
      </c>
      <c r="O58" s="24" t="n">
        <v>9.2</v>
      </c>
      <c r="P58" s="14" t="n">
        <f aca="false">IFERROR(O58/M58,0)</f>
        <v>0.575</v>
      </c>
      <c r="Q58" s="20" t="n">
        <v>0</v>
      </c>
      <c r="R58" s="24" t="n">
        <v>0</v>
      </c>
      <c r="S58" s="8" t="n">
        <f aca="false">IFERROR(O58/R58,0)</f>
        <v>0</v>
      </c>
      <c r="T58" s="8" t="n">
        <f aca="false">IFERROR(Q58/M58,0)</f>
        <v>0</v>
      </c>
    </row>
    <row r="59" customFormat="false" ht="15" hidden="false" customHeight="false" outlineLevel="0" collapsed="false">
      <c r="A59" s="17" t="s">
        <v>16</v>
      </c>
      <c r="B59" s="17" t="s">
        <v>823</v>
      </c>
      <c r="C59" s="17" t="s">
        <v>824</v>
      </c>
      <c r="D59" s="17" t="s">
        <v>28</v>
      </c>
      <c r="E59" s="17" t="s">
        <v>297</v>
      </c>
      <c r="F59" s="17" t="s">
        <v>28</v>
      </c>
      <c r="G59" s="17" t="s">
        <v>115</v>
      </c>
      <c r="H59" s="23" t="s">
        <v>65</v>
      </c>
      <c r="I59" s="17" t="s">
        <v>65</v>
      </c>
      <c r="J59" s="17"/>
      <c r="K59" s="17" t="s">
        <v>59</v>
      </c>
      <c r="L59" s="20" t="n">
        <v>25</v>
      </c>
      <c r="M59" s="20" t="n">
        <v>17</v>
      </c>
      <c r="N59" s="22" t="n">
        <f aca="false">IFERROR(M59/L59,0)</f>
        <v>0.68</v>
      </c>
      <c r="O59" s="24" t="n">
        <v>9.2</v>
      </c>
      <c r="P59" s="14" t="n">
        <f aca="false">IFERROR(O59/M59,0)</f>
        <v>0.541176470588235</v>
      </c>
      <c r="Q59" s="20" t="n">
        <v>0</v>
      </c>
      <c r="R59" s="24" t="n">
        <v>0</v>
      </c>
      <c r="S59" s="8" t="n">
        <f aca="false">IFERROR(O59/R59,0)</f>
        <v>0</v>
      </c>
      <c r="T59" s="8" t="n">
        <f aca="false">IFERROR(Q59/M59,0)</f>
        <v>0</v>
      </c>
    </row>
    <row r="60" customFormat="false" ht="15" hidden="false" customHeight="false" outlineLevel="0" collapsed="false">
      <c r="A60" s="17" t="s">
        <v>16</v>
      </c>
      <c r="B60" s="17" t="s">
        <v>825</v>
      </c>
      <c r="C60" s="17" t="s">
        <v>826</v>
      </c>
      <c r="D60" s="17" t="s">
        <v>28</v>
      </c>
      <c r="E60" s="17" t="s">
        <v>297</v>
      </c>
      <c r="F60" s="17" t="s">
        <v>28</v>
      </c>
      <c r="G60" s="17" t="s">
        <v>115</v>
      </c>
      <c r="H60" s="23" t="s">
        <v>65</v>
      </c>
      <c r="I60" s="17" t="s">
        <v>65</v>
      </c>
      <c r="J60" s="17"/>
      <c r="K60" s="17" t="s">
        <v>59</v>
      </c>
      <c r="L60" s="20" t="n">
        <v>48</v>
      </c>
      <c r="M60" s="20" t="n">
        <v>17</v>
      </c>
      <c r="N60" s="22" t="n">
        <f aca="false">IFERROR(M60/L60,0)</f>
        <v>0.354166666666667</v>
      </c>
      <c r="O60" s="24" t="n">
        <v>8.97</v>
      </c>
      <c r="P60" s="14" t="n">
        <f aca="false">IFERROR(O60/M60,0)</f>
        <v>0.52764705882353</v>
      </c>
      <c r="Q60" s="20" t="n">
        <v>0</v>
      </c>
      <c r="R60" s="24" t="n">
        <v>0</v>
      </c>
      <c r="S60" s="8" t="n">
        <f aca="false">IFERROR(O60/R60,0)</f>
        <v>0</v>
      </c>
      <c r="T60" s="8" t="n">
        <f aca="false">IFERROR(Q60/M60,0)</f>
        <v>0</v>
      </c>
    </row>
    <row r="61" customFormat="false" ht="15" hidden="false" customHeight="false" outlineLevel="0" collapsed="false">
      <c r="A61" s="17" t="s">
        <v>16</v>
      </c>
      <c r="B61" s="17" t="s">
        <v>827</v>
      </c>
      <c r="C61" s="17" t="s">
        <v>828</v>
      </c>
      <c r="D61" s="17" t="s">
        <v>28</v>
      </c>
      <c r="E61" s="17" t="s">
        <v>297</v>
      </c>
      <c r="F61" s="17" t="s">
        <v>28</v>
      </c>
      <c r="G61" s="17" t="s">
        <v>807</v>
      </c>
      <c r="H61" s="23" t="s">
        <v>65</v>
      </c>
      <c r="I61" s="17" t="s">
        <v>65</v>
      </c>
      <c r="J61" s="17"/>
      <c r="K61" s="17" t="s">
        <v>59</v>
      </c>
      <c r="L61" s="20" t="n">
        <v>732</v>
      </c>
      <c r="M61" s="20" t="n">
        <v>3</v>
      </c>
      <c r="N61" s="22" t="n">
        <f aca="false">IFERROR(M61/L61,0)</f>
        <v>0.00409836065573771</v>
      </c>
      <c r="O61" s="24" t="n">
        <v>8.83</v>
      </c>
      <c r="P61" s="14" t="n">
        <f aca="false">IFERROR(O61/M61,0)</f>
        <v>2.94333333333333</v>
      </c>
      <c r="Q61" s="20" t="n">
        <v>2</v>
      </c>
      <c r="R61" s="24" t="n">
        <v>175.98</v>
      </c>
      <c r="S61" s="8" t="n">
        <f aca="false">IFERROR(O61/R61,0)</f>
        <v>0.050176156381407</v>
      </c>
      <c r="T61" s="8" t="n">
        <f aca="false">IFERROR(Q61/M61,0)</f>
        <v>0.666666666666667</v>
      </c>
    </row>
    <row r="62" customFormat="false" ht="15" hidden="false" customHeight="false" outlineLevel="0" collapsed="false">
      <c r="A62" s="17" t="s">
        <v>16</v>
      </c>
      <c r="B62" s="17" t="s">
        <v>829</v>
      </c>
      <c r="C62" s="17" t="s">
        <v>830</v>
      </c>
      <c r="D62" s="17" t="s">
        <v>29</v>
      </c>
      <c r="E62" s="17" t="s">
        <v>297</v>
      </c>
      <c r="F62" s="17" t="s">
        <v>301</v>
      </c>
      <c r="G62" s="17" t="s">
        <v>117</v>
      </c>
      <c r="H62" s="18" t="s">
        <v>59</v>
      </c>
      <c r="I62" s="17" t="s">
        <v>65</v>
      </c>
      <c r="J62" s="17"/>
      <c r="K62" s="17" t="s">
        <v>59</v>
      </c>
      <c r="L62" s="20" t="n">
        <v>699</v>
      </c>
      <c r="M62" s="20" t="n">
        <v>3</v>
      </c>
      <c r="N62" s="22" t="n">
        <f aca="false">IFERROR(M62/L62,0)</f>
        <v>0.00429184549356223</v>
      </c>
      <c r="O62" s="24" t="n">
        <v>8.42</v>
      </c>
      <c r="P62" s="14" t="n">
        <f aca="false">IFERROR(O62/M62,0)</f>
        <v>2.80666666666667</v>
      </c>
      <c r="Q62" s="20" t="n">
        <v>0</v>
      </c>
      <c r="R62" s="24" t="n">
        <v>0</v>
      </c>
      <c r="S62" s="8" t="n">
        <f aca="false">IFERROR(O62/R62,0)</f>
        <v>0</v>
      </c>
      <c r="T62" s="8" t="n">
        <f aca="false">IFERROR(Q62/M62,0)</f>
        <v>0</v>
      </c>
    </row>
    <row r="63" customFormat="false" ht="15" hidden="false" customHeight="false" outlineLevel="0" collapsed="false">
      <c r="A63" s="17" t="s">
        <v>16</v>
      </c>
      <c r="B63" s="17" t="s">
        <v>831</v>
      </c>
      <c r="C63" s="17" t="s">
        <v>832</v>
      </c>
      <c r="D63" s="17" t="s">
        <v>28</v>
      </c>
      <c r="E63" s="17" t="s">
        <v>297</v>
      </c>
      <c r="F63" s="17" t="s">
        <v>28</v>
      </c>
      <c r="G63" s="17"/>
      <c r="H63" s="17"/>
      <c r="I63" s="17" t="s">
        <v>65</v>
      </c>
      <c r="J63" s="17"/>
      <c r="K63" s="17" t="s">
        <v>59</v>
      </c>
      <c r="L63" s="20" t="n">
        <v>833</v>
      </c>
      <c r="M63" s="20" t="n">
        <v>3</v>
      </c>
      <c r="N63" s="22" t="n">
        <f aca="false">IFERROR(M63/L63,0)</f>
        <v>0.00360144057623049</v>
      </c>
      <c r="O63" s="24" t="n">
        <v>7.43</v>
      </c>
      <c r="P63" s="14" t="n">
        <f aca="false">IFERROR(O63/M63,0)</f>
        <v>2.47666666666667</v>
      </c>
      <c r="Q63" s="20" t="n">
        <v>1</v>
      </c>
      <c r="R63" s="24" t="n">
        <v>85.49</v>
      </c>
      <c r="S63" s="8" t="n">
        <f aca="false">IFERROR(O63/R63,0)</f>
        <v>0.0869107497952977</v>
      </c>
      <c r="T63" s="8" t="n">
        <f aca="false">IFERROR(Q63/M63,0)</f>
        <v>0.333333333333333</v>
      </c>
    </row>
    <row r="64" customFormat="false" ht="15" hidden="false" customHeight="false" outlineLevel="0" collapsed="false">
      <c r="A64" s="17" t="s">
        <v>16</v>
      </c>
      <c r="B64" s="17" t="s">
        <v>833</v>
      </c>
      <c r="C64" s="17" t="s">
        <v>834</v>
      </c>
      <c r="D64" s="21" t="s">
        <v>34</v>
      </c>
      <c r="E64" s="17" t="s">
        <v>285</v>
      </c>
      <c r="F64" s="17" t="s">
        <v>314</v>
      </c>
      <c r="G64" s="17"/>
      <c r="H64" s="17"/>
      <c r="I64" s="17" t="s">
        <v>65</v>
      </c>
      <c r="J64" s="17"/>
      <c r="K64" s="17" t="s">
        <v>59</v>
      </c>
      <c r="L64" s="20" t="n">
        <v>2634</v>
      </c>
      <c r="M64" s="20" t="n">
        <v>16</v>
      </c>
      <c r="N64" s="22" t="n">
        <f aca="false">IFERROR(M64/L64,0)</f>
        <v>0.00607441154138193</v>
      </c>
      <c r="O64" s="24" t="n">
        <v>6.85</v>
      </c>
      <c r="P64" s="14" t="n">
        <f aca="false">IFERROR(O64/M64,0)</f>
        <v>0.428125</v>
      </c>
      <c r="Q64" s="20" t="n">
        <v>1</v>
      </c>
      <c r="R64" s="24" t="n">
        <v>99.99</v>
      </c>
      <c r="S64" s="8" t="n">
        <f aca="false">IFERROR(O64/R64,0)</f>
        <v>0.0685068506850685</v>
      </c>
      <c r="T64" s="8" t="n">
        <f aca="false">IFERROR(Q64/M64,0)</f>
        <v>0.0625</v>
      </c>
    </row>
    <row r="65" customFormat="false" ht="15" hidden="false" customHeight="false" outlineLevel="0" collapsed="false">
      <c r="A65" s="17" t="s">
        <v>16</v>
      </c>
      <c r="B65" s="17" t="s">
        <v>835</v>
      </c>
      <c r="C65" s="17" t="s">
        <v>836</v>
      </c>
      <c r="D65" s="17" t="s">
        <v>29</v>
      </c>
      <c r="E65" s="17" t="s">
        <v>297</v>
      </c>
      <c r="F65" s="17" t="s">
        <v>301</v>
      </c>
      <c r="G65" s="17" t="s">
        <v>209</v>
      </c>
      <c r="H65" s="23" t="s">
        <v>65</v>
      </c>
      <c r="I65" s="17" t="s">
        <v>65</v>
      </c>
      <c r="J65" s="17"/>
      <c r="K65" s="17" t="s">
        <v>59</v>
      </c>
      <c r="L65" s="20" t="n">
        <v>1621</v>
      </c>
      <c r="M65" s="20" t="n">
        <v>4</v>
      </c>
      <c r="N65" s="22" t="n">
        <f aca="false">IFERROR(M65/L65,0)</f>
        <v>0.00246761258482418</v>
      </c>
      <c r="O65" s="24" t="n">
        <v>6.68</v>
      </c>
      <c r="P65" s="14" t="n">
        <f aca="false">IFERROR(O65/M65,0)</f>
        <v>1.67</v>
      </c>
      <c r="Q65" s="20" t="n">
        <v>1</v>
      </c>
      <c r="R65" s="24" t="n">
        <v>80.74</v>
      </c>
      <c r="S65" s="8" t="n">
        <f aca="false">IFERROR(O65/R65,0)</f>
        <v>0.08273470398811</v>
      </c>
      <c r="T65" s="8" t="n">
        <f aca="false">IFERROR(Q65/M65,0)</f>
        <v>0.25</v>
      </c>
    </row>
    <row r="66" customFormat="false" ht="15" hidden="false" customHeight="false" outlineLevel="0" collapsed="false">
      <c r="A66" s="17" t="s">
        <v>16</v>
      </c>
      <c r="B66" s="17" t="s">
        <v>837</v>
      </c>
      <c r="C66" s="17" t="s">
        <v>838</v>
      </c>
      <c r="D66" s="17" t="s">
        <v>28</v>
      </c>
      <c r="E66" s="17" t="s">
        <v>297</v>
      </c>
      <c r="F66" s="17" t="s">
        <v>28</v>
      </c>
      <c r="G66" s="17" t="s">
        <v>117</v>
      </c>
      <c r="H66" s="18" t="s">
        <v>59</v>
      </c>
      <c r="I66" s="17" t="s">
        <v>65</v>
      </c>
      <c r="J66" s="17"/>
      <c r="K66" s="17" t="s">
        <v>59</v>
      </c>
      <c r="L66" s="20" t="n">
        <v>1104</v>
      </c>
      <c r="M66" s="20" t="n">
        <v>2</v>
      </c>
      <c r="N66" s="22" t="n">
        <f aca="false">IFERROR(M66/L66,0)</f>
        <v>0.00181159420289855</v>
      </c>
      <c r="O66" s="24" t="n">
        <v>6</v>
      </c>
      <c r="P66" s="14" t="n">
        <f aca="false">IFERROR(O66/M66,0)</f>
        <v>3</v>
      </c>
      <c r="Q66" s="20" t="n">
        <v>0</v>
      </c>
      <c r="R66" s="24" t="n">
        <v>0</v>
      </c>
      <c r="S66" s="8" t="n">
        <f aca="false">IFERROR(O66/R66,0)</f>
        <v>0</v>
      </c>
      <c r="T66" s="8" t="n">
        <f aca="false">IFERROR(Q66/M66,0)</f>
        <v>0</v>
      </c>
    </row>
    <row r="67" customFormat="false" ht="15" hidden="false" customHeight="false" outlineLevel="0" collapsed="false">
      <c r="A67" s="17" t="s">
        <v>16</v>
      </c>
      <c r="B67" s="17" t="s">
        <v>839</v>
      </c>
      <c r="C67" s="17" t="s">
        <v>840</v>
      </c>
      <c r="D67" s="17" t="s">
        <v>28</v>
      </c>
      <c r="E67" s="17" t="s">
        <v>297</v>
      </c>
      <c r="F67" s="17" t="s">
        <v>28</v>
      </c>
      <c r="G67" s="17" t="s">
        <v>209</v>
      </c>
      <c r="H67" s="23" t="s">
        <v>65</v>
      </c>
      <c r="I67" s="17" t="s">
        <v>65</v>
      </c>
      <c r="J67" s="17"/>
      <c r="K67" s="17" t="s">
        <v>59</v>
      </c>
      <c r="L67" s="20" t="n">
        <v>90</v>
      </c>
      <c r="M67" s="20" t="n">
        <v>3</v>
      </c>
      <c r="N67" s="22" t="n">
        <f aca="false">IFERROR(M67/L67,0)</f>
        <v>0.0333333333333333</v>
      </c>
      <c r="O67" s="24" t="n">
        <v>4.99</v>
      </c>
      <c r="P67" s="14" t="n">
        <f aca="false">IFERROR(O67/M67,0)</f>
        <v>1.66333333333333</v>
      </c>
      <c r="Q67" s="20" t="n">
        <v>1</v>
      </c>
      <c r="R67" s="24" t="n">
        <v>79.99</v>
      </c>
      <c r="S67" s="8" t="n">
        <f aca="false">IFERROR(O67/R67,0)</f>
        <v>0.0623827978497312</v>
      </c>
      <c r="T67" s="8" t="n">
        <f aca="false">IFERROR(Q67/M67,0)</f>
        <v>0.333333333333333</v>
      </c>
    </row>
    <row r="68" customFormat="false" ht="15" hidden="false" customHeight="false" outlineLevel="0" collapsed="false">
      <c r="A68" s="17" t="s">
        <v>16</v>
      </c>
      <c r="B68" s="17" t="s">
        <v>841</v>
      </c>
      <c r="C68" s="17" t="s">
        <v>842</v>
      </c>
      <c r="D68" s="17" t="s">
        <v>29</v>
      </c>
      <c r="E68" s="17" t="s">
        <v>297</v>
      </c>
      <c r="F68" s="17" t="s">
        <v>301</v>
      </c>
      <c r="G68" s="17" t="s">
        <v>209</v>
      </c>
      <c r="H68" s="23" t="s">
        <v>65</v>
      </c>
      <c r="I68" s="17" t="s">
        <v>65</v>
      </c>
      <c r="J68" s="17"/>
      <c r="K68" s="17" t="s">
        <v>59</v>
      </c>
      <c r="L68" s="20" t="n">
        <v>318</v>
      </c>
      <c r="M68" s="20" t="n">
        <v>3</v>
      </c>
      <c r="N68" s="22" t="n">
        <f aca="false">IFERROR(M68/L68,0)</f>
        <v>0.00943396226415094</v>
      </c>
      <c r="O68" s="24" t="n">
        <v>4.77</v>
      </c>
      <c r="P68" s="14" t="n">
        <f aca="false">IFERROR(O68/M68,0)</f>
        <v>1.59</v>
      </c>
      <c r="Q68" s="20" t="n">
        <v>1</v>
      </c>
      <c r="R68" s="24" t="n">
        <v>84.99</v>
      </c>
      <c r="S68" s="8" t="n">
        <f aca="false">IFERROR(O68/R68,0)</f>
        <v>0.0561242499117543</v>
      </c>
      <c r="T68" s="8" t="n">
        <f aca="false">IFERROR(Q68/M68,0)</f>
        <v>0.333333333333333</v>
      </c>
    </row>
    <row r="69" customFormat="false" ht="15" hidden="false" customHeight="false" outlineLevel="0" collapsed="false">
      <c r="A69" s="17" t="s">
        <v>16</v>
      </c>
      <c r="B69" s="17" t="s">
        <v>843</v>
      </c>
      <c r="C69" s="17" t="s">
        <v>844</v>
      </c>
      <c r="D69" s="17" t="s">
        <v>28</v>
      </c>
      <c r="E69" s="17" t="s">
        <v>297</v>
      </c>
      <c r="F69" s="17" t="s">
        <v>28</v>
      </c>
      <c r="G69" s="17" t="s">
        <v>209</v>
      </c>
      <c r="H69" s="23" t="s">
        <v>65</v>
      </c>
      <c r="I69" s="17" t="s">
        <v>65</v>
      </c>
      <c r="J69" s="17"/>
      <c r="K69" s="17" t="s">
        <v>59</v>
      </c>
      <c r="L69" s="20" t="n">
        <v>436</v>
      </c>
      <c r="M69" s="20" t="n">
        <v>3</v>
      </c>
      <c r="N69" s="22" t="n">
        <f aca="false">IFERROR(M69/L69,0)</f>
        <v>0.00688073394495413</v>
      </c>
      <c r="O69" s="24" t="n">
        <v>4.39</v>
      </c>
      <c r="P69" s="14" t="n">
        <f aca="false">IFERROR(O69/M69,0)</f>
        <v>1.46333333333333</v>
      </c>
      <c r="Q69" s="20" t="n">
        <v>0</v>
      </c>
      <c r="R69" s="24" t="n">
        <v>0</v>
      </c>
      <c r="S69" s="8" t="n">
        <f aca="false">IFERROR(O69/R69,0)</f>
        <v>0</v>
      </c>
      <c r="T69" s="8" t="n">
        <f aca="false">IFERROR(Q69/M69,0)</f>
        <v>0</v>
      </c>
    </row>
    <row r="70" customFormat="false" ht="15" hidden="false" customHeight="false" outlineLevel="0" collapsed="false">
      <c r="A70" s="17" t="s">
        <v>16</v>
      </c>
      <c r="B70" s="17" t="s">
        <v>845</v>
      </c>
      <c r="C70" s="17" t="s">
        <v>846</v>
      </c>
      <c r="D70" s="17" t="s">
        <v>30</v>
      </c>
      <c r="E70" s="17" t="s">
        <v>297</v>
      </c>
      <c r="F70" s="17" t="s">
        <v>294</v>
      </c>
      <c r="G70" s="17"/>
      <c r="H70" s="17"/>
      <c r="I70" s="17" t="s">
        <v>65</v>
      </c>
      <c r="J70" s="17"/>
      <c r="K70" s="17" t="s">
        <v>59</v>
      </c>
      <c r="L70" s="20" t="n">
        <v>54</v>
      </c>
      <c r="M70" s="20" t="n">
        <v>1</v>
      </c>
      <c r="N70" s="22" t="n">
        <f aca="false">IFERROR(M70/L70,0)</f>
        <v>0.0185185185185185</v>
      </c>
      <c r="O70" s="24" t="n">
        <v>4</v>
      </c>
      <c r="P70" s="14" t="n">
        <f aca="false">IFERROR(O70/M70,0)</f>
        <v>4</v>
      </c>
      <c r="Q70" s="20" t="n">
        <v>0</v>
      </c>
      <c r="R70" s="24" t="n">
        <v>0</v>
      </c>
      <c r="S70" s="8" t="n">
        <f aca="false">IFERROR(O70/R70,0)</f>
        <v>0</v>
      </c>
      <c r="T70" s="8" t="n">
        <f aca="false">IFERROR(Q70/M70,0)</f>
        <v>0</v>
      </c>
    </row>
    <row r="71" customFormat="false" ht="15" hidden="false" customHeight="false" outlineLevel="0" collapsed="false">
      <c r="A71" s="17" t="s">
        <v>16</v>
      </c>
      <c r="B71" s="17" t="s">
        <v>847</v>
      </c>
      <c r="C71" s="17" t="s">
        <v>848</v>
      </c>
      <c r="D71" s="17" t="s">
        <v>28</v>
      </c>
      <c r="E71" s="17" t="s">
        <v>297</v>
      </c>
      <c r="F71" s="17" t="s">
        <v>28</v>
      </c>
      <c r="G71" s="17" t="s">
        <v>209</v>
      </c>
      <c r="H71" s="23" t="s">
        <v>65</v>
      </c>
      <c r="I71" s="17" t="s">
        <v>65</v>
      </c>
      <c r="J71" s="17"/>
      <c r="K71" s="17" t="s">
        <v>59</v>
      </c>
      <c r="L71" s="20" t="n">
        <v>2701</v>
      </c>
      <c r="M71" s="20" t="n">
        <v>1</v>
      </c>
      <c r="N71" s="22" t="n">
        <f aca="false">IFERROR(M71/L71,0)</f>
        <v>0.000370233246945576</v>
      </c>
      <c r="O71" s="24" t="n">
        <v>3</v>
      </c>
      <c r="P71" s="14" t="n">
        <f aca="false">IFERROR(O71/M71,0)</f>
        <v>3</v>
      </c>
      <c r="Q71" s="20" t="n">
        <v>0</v>
      </c>
      <c r="R71" s="24" t="n">
        <v>0</v>
      </c>
      <c r="S71" s="8" t="n">
        <f aca="false">IFERROR(O71/R71,0)</f>
        <v>0</v>
      </c>
      <c r="T71" s="8" t="n">
        <f aca="false">IFERROR(Q71/M71,0)</f>
        <v>0</v>
      </c>
    </row>
    <row r="72" customFormat="false" ht="15" hidden="false" customHeight="false" outlineLevel="0" collapsed="false">
      <c r="A72" s="17" t="s">
        <v>16</v>
      </c>
      <c r="B72" s="17" t="s">
        <v>849</v>
      </c>
      <c r="C72" s="17" t="s">
        <v>850</v>
      </c>
      <c r="D72" s="17" t="s">
        <v>31</v>
      </c>
      <c r="E72" s="17" t="s">
        <v>293</v>
      </c>
      <c r="F72" s="17" t="s">
        <v>288</v>
      </c>
      <c r="G72" s="17" t="s">
        <v>124</v>
      </c>
      <c r="H72" s="23" t="s">
        <v>65</v>
      </c>
      <c r="I72" s="17" t="s">
        <v>65</v>
      </c>
      <c r="J72" s="17"/>
      <c r="K72" s="17" t="s">
        <v>59</v>
      </c>
      <c r="L72" s="20" t="n">
        <v>6733</v>
      </c>
      <c r="M72" s="20" t="n">
        <v>4</v>
      </c>
      <c r="N72" s="22" t="n">
        <f aca="false">IFERROR(M72/L72,0)</f>
        <v>0.000594088816278034</v>
      </c>
      <c r="O72" s="24" t="n">
        <v>2.54</v>
      </c>
      <c r="P72" s="14" t="n">
        <f aca="false">IFERROR(O72/M72,0)</f>
        <v>0.635</v>
      </c>
      <c r="Q72" s="20" t="n">
        <v>0</v>
      </c>
      <c r="R72" s="24" t="n">
        <v>0</v>
      </c>
      <c r="S72" s="8" t="n">
        <f aca="false">IFERROR(O72/R72,0)</f>
        <v>0</v>
      </c>
      <c r="T72" s="8" t="n">
        <f aca="false">IFERROR(Q72/M72,0)</f>
        <v>0</v>
      </c>
    </row>
    <row r="73" customFormat="false" ht="15" hidden="false" customHeight="false" outlineLevel="0" collapsed="false">
      <c r="A73" s="17" t="s">
        <v>16</v>
      </c>
      <c r="B73" s="17" t="s">
        <v>761</v>
      </c>
      <c r="C73" s="17" t="s">
        <v>762</v>
      </c>
      <c r="D73" s="17" t="s">
        <v>33</v>
      </c>
      <c r="E73" s="17" t="s">
        <v>300</v>
      </c>
      <c r="F73" s="17" t="s">
        <v>665</v>
      </c>
      <c r="G73" s="17"/>
      <c r="H73" s="17"/>
      <c r="I73" s="17" t="s">
        <v>59</v>
      </c>
      <c r="J73" s="17" t="s">
        <v>15</v>
      </c>
      <c r="K73" s="17" t="s">
        <v>65</v>
      </c>
      <c r="L73" s="20" t="n">
        <v>55</v>
      </c>
      <c r="M73" s="20" t="n">
        <v>1</v>
      </c>
      <c r="N73" s="22" t="n">
        <f aca="false">IFERROR(M73/L73,0)</f>
        <v>0.0181818181818182</v>
      </c>
      <c r="O73" s="24" t="n">
        <v>2.23</v>
      </c>
      <c r="P73" s="14" t="n">
        <f aca="false">IFERROR(O73/M73,0)</f>
        <v>2.23</v>
      </c>
      <c r="Q73" s="20" t="n">
        <v>0</v>
      </c>
      <c r="R73" s="24" t="n">
        <v>0</v>
      </c>
      <c r="S73" s="8" t="n">
        <f aca="false">IFERROR(O73/R73,0)</f>
        <v>0</v>
      </c>
      <c r="T73" s="8" t="n">
        <f aca="false">IFERROR(Q73/M73,0)</f>
        <v>0</v>
      </c>
    </row>
    <row r="74" customFormat="false" ht="15" hidden="false" customHeight="false" outlineLevel="0" collapsed="false">
      <c r="A74" s="17" t="s">
        <v>16</v>
      </c>
      <c r="B74" s="17" t="s">
        <v>851</v>
      </c>
      <c r="C74" s="17" t="s">
        <v>852</v>
      </c>
      <c r="D74" s="21" t="s">
        <v>34</v>
      </c>
      <c r="E74" s="17" t="s">
        <v>285</v>
      </c>
      <c r="F74" s="17" t="s">
        <v>314</v>
      </c>
      <c r="G74" s="17"/>
      <c r="H74" s="17"/>
      <c r="I74" s="17" t="s">
        <v>65</v>
      </c>
      <c r="J74" s="17"/>
      <c r="K74" s="17" t="s">
        <v>59</v>
      </c>
      <c r="L74" s="20" t="n">
        <v>2250</v>
      </c>
      <c r="M74" s="20" t="n">
        <v>4</v>
      </c>
      <c r="N74" s="22" t="n">
        <f aca="false">IFERROR(M74/L74,0)</f>
        <v>0.00177777777777778</v>
      </c>
      <c r="O74" s="24" t="n">
        <v>1.89</v>
      </c>
      <c r="P74" s="14" t="n">
        <f aca="false">IFERROR(O74/M74,0)</f>
        <v>0.4725</v>
      </c>
      <c r="Q74" s="20" t="n">
        <v>0</v>
      </c>
      <c r="R74" s="24" t="n">
        <v>0</v>
      </c>
      <c r="S74" s="8" t="n">
        <f aca="false">IFERROR(O74/R74,0)</f>
        <v>0</v>
      </c>
      <c r="T74" s="8" t="n">
        <f aca="false">IFERROR(Q74/M74,0)</f>
        <v>0</v>
      </c>
    </row>
    <row r="75" customFormat="false" ht="15" hidden="false" customHeight="false" outlineLevel="0" collapsed="false">
      <c r="A75" s="17" t="s">
        <v>16</v>
      </c>
      <c r="B75" s="17" t="s">
        <v>853</v>
      </c>
      <c r="C75" s="17" t="s">
        <v>854</v>
      </c>
      <c r="D75" s="17" t="s">
        <v>29</v>
      </c>
      <c r="E75" s="17" t="s">
        <v>297</v>
      </c>
      <c r="F75" s="17" t="s">
        <v>301</v>
      </c>
      <c r="G75" s="17" t="s">
        <v>210</v>
      </c>
      <c r="H75" s="18" t="s">
        <v>59</v>
      </c>
      <c r="I75" s="17" t="s">
        <v>65</v>
      </c>
      <c r="J75" s="17"/>
      <c r="K75" s="17" t="s">
        <v>59</v>
      </c>
      <c r="L75" s="20" t="n">
        <v>966</v>
      </c>
      <c r="M75" s="20" t="n">
        <v>2</v>
      </c>
      <c r="N75" s="22" t="n">
        <f aca="false">IFERROR(M75/L75,0)</f>
        <v>0.0020703933747412</v>
      </c>
      <c r="O75" s="24" t="n">
        <v>1.82</v>
      </c>
      <c r="P75" s="14" t="n">
        <f aca="false">IFERROR(O75/M75,0)</f>
        <v>0.91</v>
      </c>
      <c r="Q75" s="20" t="n">
        <v>0</v>
      </c>
      <c r="R75" s="24" t="n">
        <v>0</v>
      </c>
      <c r="S75" s="8" t="n">
        <f aca="false">IFERROR(O75/R75,0)</f>
        <v>0</v>
      </c>
      <c r="T75" s="8" t="n">
        <f aca="false">IFERROR(Q75/M75,0)</f>
        <v>0</v>
      </c>
    </row>
    <row r="76" customFormat="false" ht="15" hidden="false" customHeight="false" outlineLevel="0" collapsed="false">
      <c r="A76" s="17" t="s">
        <v>16</v>
      </c>
      <c r="B76" s="17" t="s">
        <v>855</v>
      </c>
      <c r="C76" s="17" t="s">
        <v>856</v>
      </c>
      <c r="D76" s="17" t="s">
        <v>28</v>
      </c>
      <c r="E76" s="17" t="s">
        <v>297</v>
      </c>
      <c r="F76" s="17" t="s">
        <v>28</v>
      </c>
      <c r="G76" s="17"/>
      <c r="H76" s="17"/>
      <c r="I76" s="17" t="s">
        <v>65</v>
      </c>
      <c r="J76" s="17"/>
      <c r="K76" s="17" t="s">
        <v>59</v>
      </c>
      <c r="L76" s="20" t="n">
        <v>3</v>
      </c>
      <c r="M76" s="20" t="n">
        <v>2</v>
      </c>
      <c r="N76" s="22" t="n">
        <f aca="false">IFERROR(M76/L76,0)</f>
        <v>0.666666666666667</v>
      </c>
      <c r="O76" s="24" t="n">
        <v>1.68</v>
      </c>
      <c r="P76" s="14" t="n">
        <f aca="false">IFERROR(O76/M76,0)</f>
        <v>0.84</v>
      </c>
      <c r="Q76" s="20" t="n">
        <v>0</v>
      </c>
      <c r="R76" s="24" t="n">
        <v>0</v>
      </c>
      <c r="S76" s="8" t="n">
        <f aca="false">IFERROR(O76/R76,0)</f>
        <v>0</v>
      </c>
      <c r="T76" s="8" t="n">
        <f aca="false">IFERROR(Q76/M76,0)</f>
        <v>0</v>
      </c>
    </row>
    <row r="77" customFormat="false" ht="15" hidden="false" customHeight="false" outlineLevel="0" collapsed="false">
      <c r="A77" s="17" t="s">
        <v>16</v>
      </c>
      <c r="B77" s="17" t="s">
        <v>857</v>
      </c>
      <c r="C77" s="17" t="s">
        <v>858</v>
      </c>
      <c r="D77" s="17" t="s">
        <v>29</v>
      </c>
      <c r="E77" s="17" t="s">
        <v>297</v>
      </c>
      <c r="F77" s="17" t="s">
        <v>301</v>
      </c>
      <c r="G77" s="17" t="s">
        <v>209</v>
      </c>
      <c r="H77" s="23" t="s">
        <v>65</v>
      </c>
      <c r="I77" s="17" t="s">
        <v>65</v>
      </c>
      <c r="J77" s="17"/>
      <c r="K77" s="17" t="s">
        <v>59</v>
      </c>
      <c r="L77" s="20" t="n">
        <v>216</v>
      </c>
      <c r="M77" s="20" t="n">
        <v>1</v>
      </c>
      <c r="N77" s="22" t="n">
        <f aca="false">IFERROR(M77/L77,0)</f>
        <v>0.00462962962962963</v>
      </c>
      <c r="O77" s="24" t="n">
        <v>1.67</v>
      </c>
      <c r="P77" s="14" t="n">
        <f aca="false">IFERROR(O77/M77,0)</f>
        <v>1.67</v>
      </c>
      <c r="Q77" s="20" t="n">
        <v>0</v>
      </c>
      <c r="R77" s="24" t="n">
        <v>0</v>
      </c>
      <c r="S77" s="8" t="n">
        <f aca="false">IFERROR(O77/R77,0)</f>
        <v>0</v>
      </c>
      <c r="T77" s="8" t="n">
        <f aca="false">IFERROR(Q77/M77,0)</f>
        <v>0</v>
      </c>
    </row>
    <row r="78" customFormat="false" ht="15" hidden="false" customHeight="false" outlineLevel="0" collapsed="false">
      <c r="A78" s="17" t="s">
        <v>16</v>
      </c>
      <c r="B78" s="17" t="s">
        <v>859</v>
      </c>
      <c r="C78" s="17" t="s">
        <v>860</v>
      </c>
      <c r="D78" s="17" t="s">
        <v>29</v>
      </c>
      <c r="E78" s="17" t="s">
        <v>297</v>
      </c>
      <c r="F78" s="17" t="s">
        <v>301</v>
      </c>
      <c r="G78" s="17" t="s">
        <v>209</v>
      </c>
      <c r="H78" s="23" t="s">
        <v>65</v>
      </c>
      <c r="I78" s="17" t="s">
        <v>65</v>
      </c>
      <c r="J78" s="17"/>
      <c r="K78" s="17" t="s">
        <v>59</v>
      </c>
      <c r="L78" s="20" t="n">
        <v>1217</v>
      </c>
      <c r="M78" s="20" t="n">
        <v>1</v>
      </c>
      <c r="N78" s="22" t="n">
        <f aca="false">IFERROR(M78/L78,0)</f>
        <v>0.000821692686935086</v>
      </c>
      <c r="O78" s="24" t="n">
        <v>1.67</v>
      </c>
      <c r="P78" s="14" t="n">
        <f aca="false">IFERROR(O78/M78,0)</f>
        <v>1.67</v>
      </c>
      <c r="Q78" s="20" t="n">
        <v>0</v>
      </c>
      <c r="R78" s="24" t="n">
        <v>0</v>
      </c>
      <c r="S78" s="8" t="n">
        <f aca="false">IFERROR(O78/R78,0)</f>
        <v>0</v>
      </c>
      <c r="T78" s="8" t="n">
        <f aca="false">IFERROR(Q78/M78,0)</f>
        <v>0</v>
      </c>
    </row>
    <row r="79" customFormat="false" ht="15" hidden="false" customHeight="false" outlineLevel="0" collapsed="false">
      <c r="A79" s="17" t="s">
        <v>16</v>
      </c>
      <c r="B79" s="17" t="s">
        <v>861</v>
      </c>
      <c r="C79" s="17" t="s">
        <v>862</v>
      </c>
      <c r="D79" s="17" t="s">
        <v>29</v>
      </c>
      <c r="E79" s="17" t="s">
        <v>297</v>
      </c>
      <c r="F79" s="17" t="s">
        <v>301</v>
      </c>
      <c r="G79" s="17" t="s">
        <v>209</v>
      </c>
      <c r="H79" s="23" t="s">
        <v>65</v>
      </c>
      <c r="I79" s="17" t="s">
        <v>65</v>
      </c>
      <c r="J79" s="17"/>
      <c r="K79" s="17" t="s">
        <v>59</v>
      </c>
      <c r="L79" s="20" t="n">
        <v>442</v>
      </c>
      <c r="M79" s="20" t="n">
        <v>2</v>
      </c>
      <c r="N79" s="22" t="n">
        <f aca="false">IFERROR(M79/L79,0)</f>
        <v>0.00452488687782806</v>
      </c>
      <c r="O79" s="24" t="n">
        <v>1.39</v>
      </c>
      <c r="P79" s="14" t="n">
        <f aca="false">IFERROR(O79/M79,0)</f>
        <v>0.695</v>
      </c>
      <c r="Q79" s="20" t="n">
        <v>0</v>
      </c>
      <c r="R79" s="24" t="n">
        <v>0</v>
      </c>
      <c r="S79" s="8" t="n">
        <f aca="false">IFERROR(O79/R79,0)</f>
        <v>0</v>
      </c>
      <c r="T79" s="8" t="n">
        <f aca="false">IFERROR(Q79/M79,0)</f>
        <v>0</v>
      </c>
    </row>
    <row r="80" customFormat="false" ht="15" hidden="false" customHeight="false" outlineLevel="0" collapsed="false">
      <c r="A80" s="17" t="s">
        <v>16</v>
      </c>
      <c r="B80" s="17" t="s">
        <v>863</v>
      </c>
      <c r="C80" s="17" t="s">
        <v>864</v>
      </c>
      <c r="D80" s="17" t="s">
        <v>29</v>
      </c>
      <c r="E80" s="17" t="s">
        <v>297</v>
      </c>
      <c r="F80" s="17" t="s">
        <v>301</v>
      </c>
      <c r="G80" s="17" t="s">
        <v>117</v>
      </c>
      <c r="H80" s="18" t="s">
        <v>59</v>
      </c>
      <c r="I80" s="17" t="s">
        <v>65</v>
      </c>
      <c r="J80" s="17"/>
      <c r="K80" s="17" t="s">
        <v>59</v>
      </c>
      <c r="L80" s="20" t="n">
        <v>8</v>
      </c>
      <c r="M80" s="20" t="n">
        <v>1</v>
      </c>
      <c r="N80" s="22" t="n">
        <f aca="false">IFERROR(M80/L80,0)</f>
        <v>0.125</v>
      </c>
      <c r="O80" s="24" t="n">
        <v>1.18</v>
      </c>
      <c r="P80" s="14" t="n">
        <f aca="false">IFERROR(O80/M80,0)</f>
        <v>1.18</v>
      </c>
      <c r="Q80" s="20" t="n">
        <v>1</v>
      </c>
      <c r="R80" s="24" t="n">
        <v>84.99</v>
      </c>
      <c r="S80" s="8" t="n">
        <f aca="false">IFERROR(O80/R80,0)</f>
        <v>0.0138839863513355</v>
      </c>
      <c r="T80" s="8" t="n">
        <f aca="false">IFERROR(Q80/M80,0)</f>
        <v>1</v>
      </c>
    </row>
    <row r="81" customFormat="false" ht="15" hidden="false" customHeight="false" outlineLevel="0" collapsed="false">
      <c r="A81" s="17" t="s">
        <v>16</v>
      </c>
      <c r="B81" s="17" t="s">
        <v>865</v>
      </c>
      <c r="C81" s="17" t="s">
        <v>866</v>
      </c>
      <c r="D81" s="17" t="s">
        <v>28</v>
      </c>
      <c r="E81" s="17" t="s">
        <v>297</v>
      </c>
      <c r="F81" s="17" t="s">
        <v>28</v>
      </c>
      <c r="G81" s="17" t="s">
        <v>117</v>
      </c>
      <c r="H81" s="18" t="s">
        <v>59</v>
      </c>
      <c r="I81" s="17" t="s">
        <v>65</v>
      </c>
      <c r="J81" s="17"/>
      <c r="K81" s="17" t="s">
        <v>59</v>
      </c>
      <c r="L81" s="20" t="n">
        <v>49</v>
      </c>
      <c r="M81" s="20" t="n">
        <v>1</v>
      </c>
      <c r="N81" s="22" t="n">
        <f aca="false">IFERROR(M81/L81,0)</f>
        <v>0.0204081632653061</v>
      </c>
      <c r="O81" s="24" t="n">
        <v>0.95</v>
      </c>
      <c r="P81" s="14" t="n">
        <f aca="false">IFERROR(O81/M81,0)</f>
        <v>0.95</v>
      </c>
      <c r="Q81" s="20" t="n">
        <v>0</v>
      </c>
      <c r="R81" s="24" t="n">
        <v>0</v>
      </c>
      <c r="S81" s="8" t="n">
        <f aca="false">IFERROR(O81/R81,0)</f>
        <v>0</v>
      </c>
      <c r="T81" s="8" t="n">
        <f aca="false">IFERROR(Q81/M81,0)</f>
        <v>0</v>
      </c>
    </row>
    <row r="82" customFormat="false" ht="15" hidden="false" customHeight="false" outlineLevel="0" collapsed="false">
      <c r="A82" s="17" t="s">
        <v>16</v>
      </c>
      <c r="B82" s="17" t="s">
        <v>867</v>
      </c>
      <c r="C82" s="17" t="s">
        <v>868</v>
      </c>
      <c r="D82" s="17" t="s">
        <v>33</v>
      </c>
      <c r="E82" s="17" t="s">
        <v>300</v>
      </c>
      <c r="F82" s="17" t="s">
        <v>294</v>
      </c>
      <c r="G82" s="17" t="s">
        <v>120</v>
      </c>
      <c r="H82" s="23" t="s">
        <v>65</v>
      </c>
      <c r="I82" s="17" t="s">
        <v>65</v>
      </c>
      <c r="J82" s="17"/>
      <c r="K82" s="17" t="s">
        <v>59</v>
      </c>
      <c r="L82" s="20" t="n">
        <v>183</v>
      </c>
      <c r="M82" s="20" t="n">
        <v>1</v>
      </c>
      <c r="N82" s="22" t="n">
        <f aca="false">IFERROR(M82/L82,0)</f>
        <v>0.00546448087431694</v>
      </c>
      <c r="O82" s="24" t="n">
        <v>0.4</v>
      </c>
      <c r="P82" s="14" t="n">
        <f aca="false">IFERROR(O82/M82,0)</f>
        <v>0.4</v>
      </c>
      <c r="Q82" s="20" t="n">
        <v>0</v>
      </c>
      <c r="R82" s="24" t="n">
        <v>0</v>
      </c>
      <c r="S82" s="8" t="n">
        <f aca="false">IFERROR(O82/R82,0)</f>
        <v>0</v>
      </c>
      <c r="T82" s="8" t="n">
        <f aca="false">IFERROR(Q82/M82,0)</f>
        <v>0</v>
      </c>
    </row>
    <row r="83" customFormat="false" ht="15" hidden="false" customHeight="false" outlineLevel="0" collapsed="false">
      <c r="A83" s="17" t="s">
        <v>16</v>
      </c>
      <c r="B83" s="17" t="s">
        <v>869</v>
      </c>
      <c r="C83" s="17" t="s">
        <v>870</v>
      </c>
      <c r="D83" s="17" t="s">
        <v>28</v>
      </c>
      <c r="E83" s="17" t="s">
        <v>297</v>
      </c>
      <c r="F83" s="17" t="s">
        <v>28</v>
      </c>
      <c r="G83" s="17" t="s">
        <v>209</v>
      </c>
      <c r="H83" s="23" t="s">
        <v>65</v>
      </c>
      <c r="I83" s="17" t="s">
        <v>65</v>
      </c>
      <c r="J83" s="17"/>
      <c r="K83" s="17" t="s">
        <v>59</v>
      </c>
      <c r="L83" s="20" t="n">
        <v>68</v>
      </c>
      <c r="M83" s="20" t="n">
        <v>1</v>
      </c>
      <c r="N83" s="22" t="n">
        <f aca="false">IFERROR(M83/L83,0)</f>
        <v>0.0147058823529412</v>
      </c>
      <c r="O83" s="24" t="n">
        <v>0.4</v>
      </c>
      <c r="P83" s="14" t="n">
        <f aca="false">IFERROR(O83/M83,0)</f>
        <v>0.4</v>
      </c>
      <c r="Q83" s="20" t="n">
        <v>0</v>
      </c>
      <c r="R83" s="24" t="n">
        <v>0</v>
      </c>
      <c r="S83" s="8" t="n">
        <f aca="false">IFERROR(O83/R83,0)</f>
        <v>0</v>
      </c>
      <c r="T83" s="8" t="n">
        <f aca="false">IFERROR(Q83/M83,0)</f>
        <v>0</v>
      </c>
    </row>
    <row r="84" customFormat="false" ht="15" hidden="false" customHeight="false" outlineLevel="0" collapsed="false">
      <c r="A84" s="17" t="s">
        <v>16</v>
      </c>
      <c r="B84" s="17" t="s">
        <v>871</v>
      </c>
      <c r="C84" s="17" t="s">
        <v>872</v>
      </c>
      <c r="D84" s="17" t="s">
        <v>28</v>
      </c>
      <c r="E84" s="17" t="s">
        <v>293</v>
      </c>
      <c r="F84" s="17" t="s">
        <v>28</v>
      </c>
      <c r="G84" s="17" t="s">
        <v>209</v>
      </c>
      <c r="H84" s="23" t="s">
        <v>65</v>
      </c>
      <c r="I84" s="17" t="s">
        <v>65</v>
      </c>
      <c r="J84" s="17"/>
      <c r="K84" s="17" t="s">
        <v>59</v>
      </c>
      <c r="L84" s="20" t="n">
        <v>237</v>
      </c>
      <c r="M84" s="20" t="n">
        <v>1</v>
      </c>
      <c r="N84" s="22" t="n">
        <f aca="false">IFERROR(M84/L84,0)</f>
        <v>0.00421940928270042</v>
      </c>
      <c r="O84" s="24" t="n">
        <v>0.3</v>
      </c>
      <c r="P84" s="14" t="n">
        <f aca="false">IFERROR(O84/M84,0)</f>
        <v>0.3</v>
      </c>
      <c r="Q84" s="20" t="n">
        <v>0</v>
      </c>
      <c r="R84" s="24" t="n">
        <v>0</v>
      </c>
      <c r="S84" s="8" t="n">
        <f aca="false">IFERROR(O84/R84,0)</f>
        <v>0</v>
      </c>
      <c r="T84" s="8" t="n">
        <f aca="false">IFERROR(Q84/M84,0)</f>
        <v>0</v>
      </c>
    </row>
    <row r="85" customFormat="false" ht="15" hidden="false" customHeight="false" outlineLevel="0" collapsed="false">
      <c r="A85" s="17" t="s">
        <v>17</v>
      </c>
      <c r="B85" s="17" t="s">
        <v>716</v>
      </c>
      <c r="C85" s="17" t="s">
        <v>717</v>
      </c>
      <c r="D85" s="21" t="s">
        <v>34</v>
      </c>
      <c r="E85" s="17" t="s">
        <v>285</v>
      </c>
      <c r="F85" s="17" t="s">
        <v>314</v>
      </c>
      <c r="G85" s="17"/>
      <c r="H85" s="17"/>
      <c r="I85" s="17" t="s">
        <v>59</v>
      </c>
      <c r="J85" s="17" t="s">
        <v>873</v>
      </c>
      <c r="K85" s="17" t="s">
        <v>65</v>
      </c>
      <c r="L85" s="20" t="n">
        <v>61980</v>
      </c>
      <c r="M85" s="20" t="n">
        <v>123</v>
      </c>
      <c r="N85" s="22" t="n">
        <f aca="false">IFERROR(M85/L85,0)</f>
        <v>0.00198451113262343</v>
      </c>
      <c r="O85" s="24" t="n">
        <v>123.09</v>
      </c>
      <c r="P85" s="14" t="n">
        <f aca="false">IFERROR(O85/M85,0)</f>
        <v>1.00073170731707</v>
      </c>
      <c r="Q85" s="20" t="n">
        <v>5</v>
      </c>
      <c r="R85" s="24" t="n">
        <v>303.79</v>
      </c>
      <c r="S85" s="8" t="n">
        <f aca="false">IFERROR(O85/R85,0)</f>
        <v>0.405181210704763</v>
      </c>
      <c r="T85" s="8" t="n">
        <f aca="false">IFERROR(Q85/M85,0)</f>
        <v>0.040650406504065</v>
      </c>
    </row>
    <row r="86" customFormat="false" ht="15" hidden="false" customHeight="false" outlineLevel="0" collapsed="false">
      <c r="A86" s="17" t="s">
        <v>17</v>
      </c>
      <c r="B86" s="17" t="s">
        <v>874</v>
      </c>
      <c r="C86" s="17" t="s">
        <v>875</v>
      </c>
      <c r="D86" s="21" t="s">
        <v>34</v>
      </c>
      <c r="E86" s="17" t="s">
        <v>285</v>
      </c>
      <c r="F86" s="17" t="s">
        <v>314</v>
      </c>
      <c r="G86" s="17"/>
      <c r="H86" s="17"/>
      <c r="I86" s="17" t="s">
        <v>59</v>
      </c>
      <c r="J86" s="17" t="s">
        <v>21</v>
      </c>
      <c r="K86" s="17" t="s">
        <v>59</v>
      </c>
      <c r="L86" s="20" t="n">
        <v>38286</v>
      </c>
      <c r="M86" s="20" t="n">
        <v>105</v>
      </c>
      <c r="N86" s="22" t="n">
        <f aca="false">IFERROR(M86/L86,0)</f>
        <v>0.0027425168468892</v>
      </c>
      <c r="O86" s="24" t="n">
        <v>100.9</v>
      </c>
      <c r="P86" s="14" t="n">
        <f aca="false">IFERROR(O86/M86,0)</f>
        <v>0.960952380952381</v>
      </c>
      <c r="Q86" s="20" t="n">
        <v>10</v>
      </c>
      <c r="R86" s="24" t="n">
        <v>435.99</v>
      </c>
      <c r="S86" s="8" t="n">
        <f aca="false">IFERROR(O86/R86,0)</f>
        <v>0.231427326314824</v>
      </c>
      <c r="T86" s="8" t="n">
        <f aca="false">IFERROR(Q86/M86,0)</f>
        <v>0.0952380952380952</v>
      </c>
    </row>
    <row r="87" customFormat="false" ht="15" hidden="false" customHeight="false" outlineLevel="0" collapsed="false">
      <c r="A87" s="17" t="s">
        <v>17</v>
      </c>
      <c r="B87" s="17" t="s">
        <v>876</v>
      </c>
      <c r="C87" s="17" t="s">
        <v>877</v>
      </c>
      <c r="D87" s="23" t="s">
        <v>32</v>
      </c>
      <c r="E87" s="17" t="s">
        <v>285</v>
      </c>
      <c r="F87" s="17" t="s">
        <v>288</v>
      </c>
      <c r="G87" s="17" t="s">
        <v>215</v>
      </c>
      <c r="H87" s="23" t="s">
        <v>65</v>
      </c>
      <c r="I87" s="17" t="s">
        <v>65</v>
      </c>
      <c r="J87" s="17"/>
      <c r="K87" s="17" t="s">
        <v>59</v>
      </c>
      <c r="L87" s="20" t="n">
        <v>27721</v>
      </c>
      <c r="M87" s="20" t="n">
        <v>51</v>
      </c>
      <c r="N87" s="22" t="n">
        <f aca="false">IFERROR(M87/L87,0)</f>
        <v>0.0018397604704015</v>
      </c>
      <c r="O87" s="24" t="n">
        <v>73.31</v>
      </c>
      <c r="P87" s="14" t="n">
        <f aca="false">IFERROR(O87/M87,0)</f>
        <v>1.43745098039216</v>
      </c>
      <c r="Q87" s="20" t="n">
        <v>1</v>
      </c>
      <c r="R87" s="24" t="n">
        <v>40.79</v>
      </c>
      <c r="S87" s="8" t="n">
        <f aca="false">IFERROR(O87/R87,0)</f>
        <v>1.79725422897769</v>
      </c>
      <c r="T87" s="8" t="n">
        <f aca="false">IFERROR(Q87/M87,0)</f>
        <v>0.0196078431372549</v>
      </c>
    </row>
    <row r="88" customFormat="false" ht="15" hidden="false" customHeight="false" outlineLevel="0" collapsed="false">
      <c r="A88" s="17" t="s">
        <v>17</v>
      </c>
      <c r="B88" s="17" t="s">
        <v>878</v>
      </c>
      <c r="C88" s="17" t="s">
        <v>879</v>
      </c>
      <c r="D88" s="17" t="s">
        <v>31</v>
      </c>
      <c r="E88" s="17" t="s">
        <v>293</v>
      </c>
      <c r="F88" s="17" t="s">
        <v>288</v>
      </c>
      <c r="G88" s="17"/>
      <c r="H88" s="17"/>
      <c r="I88" s="17" t="s">
        <v>65</v>
      </c>
      <c r="J88" s="17"/>
      <c r="K88" s="17" t="s">
        <v>59</v>
      </c>
      <c r="L88" s="20" t="n">
        <v>56005</v>
      </c>
      <c r="M88" s="20" t="n">
        <v>101</v>
      </c>
      <c r="N88" s="22" t="n">
        <f aca="false">IFERROR(M88/L88,0)</f>
        <v>0.00180341040978484</v>
      </c>
      <c r="O88" s="24" t="n">
        <v>54.14</v>
      </c>
      <c r="P88" s="14" t="n">
        <f aca="false">IFERROR(O88/M88,0)</f>
        <v>0.536039603960396</v>
      </c>
      <c r="Q88" s="20" t="n">
        <v>10</v>
      </c>
      <c r="R88" s="24" t="n">
        <v>508.22</v>
      </c>
      <c r="S88" s="8" t="n">
        <f aca="false">IFERROR(O88/R88,0)</f>
        <v>0.106528668686789</v>
      </c>
      <c r="T88" s="8" t="n">
        <f aca="false">IFERROR(Q88/M88,0)</f>
        <v>0.099009900990099</v>
      </c>
    </row>
    <row r="89" customFormat="false" ht="15" hidden="false" customHeight="false" outlineLevel="0" collapsed="false">
      <c r="A89" s="17" t="s">
        <v>17</v>
      </c>
      <c r="B89" s="17" t="s">
        <v>880</v>
      </c>
      <c r="C89" s="17" t="s">
        <v>881</v>
      </c>
      <c r="D89" s="17" t="s">
        <v>28</v>
      </c>
      <c r="E89" s="17" t="s">
        <v>297</v>
      </c>
      <c r="F89" s="17" t="s">
        <v>28</v>
      </c>
      <c r="G89" s="17" t="s">
        <v>145</v>
      </c>
      <c r="H89" s="23" t="s">
        <v>65</v>
      </c>
      <c r="I89" s="17" t="s">
        <v>65</v>
      </c>
      <c r="J89" s="17"/>
      <c r="K89" s="17" t="s">
        <v>59</v>
      </c>
      <c r="L89" s="20" t="n">
        <v>1241</v>
      </c>
      <c r="M89" s="20" t="n">
        <v>12</v>
      </c>
      <c r="N89" s="22" t="n">
        <f aca="false">IFERROR(M89/L89,0)</f>
        <v>0.0096696212731668</v>
      </c>
      <c r="O89" s="24" t="n">
        <v>38.93</v>
      </c>
      <c r="P89" s="14" t="n">
        <f aca="false">IFERROR(O89/M89,0)</f>
        <v>3.24416666666667</v>
      </c>
      <c r="Q89" s="20" t="n">
        <v>0</v>
      </c>
      <c r="R89" s="24" t="n">
        <v>0</v>
      </c>
      <c r="S89" s="8" t="n">
        <f aca="false">IFERROR(O89/R89,0)</f>
        <v>0</v>
      </c>
      <c r="T89" s="8" t="n">
        <f aca="false">IFERROR(Q89/M89,0)</f>
        <v>0</v>
      </c>
    </row>
    <row r="90" customFormat="false" ht="15" hidden="false" customHeight="false" outlineLevel="0" collapsed="false">
      <c r="A90" s="17" t="s">
        <v>17</v>
      </c>
      <c r="B90" s="17" t="s">
        <v>882</v>
      </c>
      <c r="C90" s="17" t="s">
        <v>883</v>
      </c>
      <c r="D90" s="23" t="s">
        <v>32</v>
      </c>
      <c r="E90" s="17" t="s">
        <v>285</v>
      </c>
      <c r="F90" s="17" t="s">
        <v>288</v>
      </c>
      <c r="G90" s="17" t="s">
        <v>223</v>
      </c>
      <c r="H90" s="23" t="s">
        <v>65</v>
      </c>
      <c r="I90" s="17" t="s">
        <v>65</v>
      </c>
      <c r="J90" s="17"/>
      <c r="K90" s="17" t="s">
        <v>59</v>
      </c>
      <c r="L90" s="20" t="n">
        <v>11952</v>
      </c>
      <c r="M90" s="20" t="n">
        <v>58</v>
      </c>
      <c r="N90" s="22" t="n">
        <f aca="false">IFERROR(M90/L90,0)</f>
        <v>0.00485274431057564</v>
      </c>
      <c r="O90" s="24" t="n">
        <v>33.59</v>
      </c>
      <c r="P90" s="14" t="n">
        <f aca="false">IFERROR(O90/M90,0)</f>
        <v>0.579137931034483</v>
      </c>
      <c r="Q90" s="20" t="n">
        <v>8</v>
      </c>
      <c r="R90" s="24" t="n">
        <v>310.82</v>
      </c>
      <c r="S90" s="8" t="n">
        <f aca="false">IFERROR(O90/R90,0)</f>
        <v>0.108068978830191</v>
      </c>
      <c r="T90" s="8" t="n">
        <f aca="false">IFERROR(Q90/M90,0)</f>
        <v>0.137931034482759</v>
      </c>
    </row>
    <row r="91" customFormat="false" ht="15" hidden="false" customHeight="false" outlineLevel="0" collapsed="false">
      <c r="A91" s="17" t="s">
        <v>17</v>
      </c>
      <c r="B91" s="17" t="s">
        <v>884</v>
      </c>
      <c r="C91" s="17" t="s">
        <v>885</v>
      </c>
      <c r="D91" s="17" t="s">
        <v>28</v>
      </c>
      <c r="E91" s="17" t="s">
        <v>297</v>
      </c>
      <c r="F91" s="17" t="s">
        <v>28</v>
      </c>
      <c r="G91" s="17" t="s">
        <v>145</v>
      </c>
      <c r="H91" s="23" t="s">
        <v>65</v>
      </c>
      <c r="I91" s="17" t="s">
        <v>65</v>
      </c>
      <c r="J91" s="17"/>
      <c r="K91" s="17" t="s">
        <v>59</v>
      </c>
      <c r="L91" s="20" t="n">
        <v>801</v>
      </c>
      <c r="M91" s="20" t="n">
        <v>29</v>
      </c>
      <c r="N91" s="22" t="n">
        <f aca="false">IFERROR(M91/L91,0)</f>
        <v>0.0362047440699126</v>
      </c>
      <c r="O91" s="24" t="n">
        <v>18.93</v>
      </c>
      <c r="P91" s="14" t="n">
        <f aca="false">IFERROR(O91/M91,0)</f>
        <v>0.652758620689655</v>
      </c>
      <c r="Q91" s="20" t="n">
        <v>3</v>
      </c>
      <c r="R91" s="24" t="n">
        <v>139.17</v>
      </c>
      <c r="S91" s="8" t="n">
        <f aca="false">IFERROR(O91/R91,0)</f>
        <v>0.136020694115111</v>
      </c>
      <c r="T91" s="8" t="n">
        <f aca="false">IFERROR(Q91/M91,0)</f>
        <v>0.103448275862069</v>
      </c>
    </row>
    <row r="92" customFormat="false" ht="15" hidden="false" customHeight="false" outlineLevel="0" collapsed="false">
      <c r="A92" s="17" t="s">
        <v>17</v>
      </c>
      <c r="B92" s="17" t="s">
        <v>886</v>
      </c>
      <c r="C92" s="17" t="s">
        <v>887</v>
      </c>
      <c r="D92" s="17" t="s">
        <v>31</v>
      </c>
      <c r="E92" s="17" t="s">
        <v>293</v>
      </c>
      <c r="F92" s="17" t="s">
        <v>288</v>
      </c>
      <c r="G92" s="17" t="s">
        <v>145</v>
      </c>
      <c r="H92" s="23" t="s">
        <v>65</v>
      </c>
      <c r="I92" s="17" t="s">
        <v>65</v>
      </c>
      <c r="J92" s="17"/>
      <c r="K92" s="17" t="s">
        <v>59</v>
      </c>
      <c r="L92" s="20" t="n">
        <v>853</v>
      </c>
      <c r="M92" s="20" t="n">
        <v>19</v>
      </c>
      <c r="N92" s="22" t="n">
        <f aca="false">IFERROR(M92/L92,0)</f>
        <v>0.022274325908558</v>
      </c>
      <c r="O92" s="24" t="n">
        <v>18.66</v>
      </c>
      <c r="P92" s="14" t="n">
        <f aca="false">IFERROR(O92/M92,0)</f>
        <v>0.982105263157895</v>
      </c>
      <c r="Q92" s="20" t="n">
        <v>1</v>
      </c>
      <c r="R92" s="24" t="n">
        <v>42.23</v>
      </c>
      <c r="S92" s="8" t="n">
        <f aca="false">IFERROR(O92/R92,0)</f>
        <v>0.441865972057779</v>
      </c>
      <c r="T92" s="8" t="n">
        <f aca="false">IFERROR(Q92/M92,0)</f>
        <v>0.0526315789473684</v>
      </c>
    </row>
    <row r="93" customFormat="false" ht="15" hidden="false" customHeight="false" outlineLevel="0" collapsed="false">
      <c r="A93" s="17" t="s">
        <v>17</v>
      </c>
      <c r="B93" s="17" t="s">
        <v>888</v>
      </c>
      <c r="C93" s="17" t="s">
        <v>889</v>
      </c>
      <c r="D93" s="17" t="s">
        <v>30</v>
      </c>
      <c r="E93" s="17" t="s">
        <v>293</v>
      </c>
      <c r="F93" s="17" t="s">
        <v>294</v>
      </c>
      <c r="G93" s="17" t="s">
        <v>145</v>
      </c>
      <c r="H93" s="23" t="s">
        <v>65</v>
      </c>
      <c r="I93" s="17" t="s">
        <v>65</v>
      </c>
      <c r="J93" s="17"/>
      <c r="K93" s="17" t="s">
        <v>59</v>
      </c>
      <c r="L93" s="20" t="n">
        <v>5927</v>
      </c>
      <c r="M93" s="20" t="n">
        <v>10</v>
      </c>
      <c r="N93" s="22" t="n">
        <f aca="false">IFERROR(M93/L93,0)</f>
        <v>0.00168719419605197</v>
      </c>
      <c r="O93" s="24" t="n">
        <v>16.89</v>
      </c>
      <c r="P93" s="14" t="n">
        <f aca="false">IFERROR(O93/M93,0)</f>
        <v>1.689</v>
      </c>
      <c r="Q93" s="20" t="n">
        <v>1</v>
      </c>
      <c r="R93" s="24" t="n">
        <v>42.23</v>
      </c>
      <c r="S93" s="8" t="n">
        <f aca="false">IFERROR(O93/R93,0)</f>
        <v>0.399952640303102</v>
      </c>
      <c r="T93" s="8" t="n">
        <f aca="false">IFERROR(Q93/M93,0)</f>
        <v>0.1</v>
      </c>
    </row>
    <row r="94" customFormat="false" ht="15" hidden="false" customHeight="false" outlineLevel="0" collapsed="false">
      <c r="A94" s="17" t="s">
        <v>17</v>
      </c>
      <c r="B94" s="17" t="s">
        <v>890</v>
      </c>
      <c r="C94" s="17" t="s">
        <v>891</v>
      </c>
      <c r="D94" s="17" t="s">
        <v>33</v>
      </c>
      <c r="E94" s="17" t="s">
        <v>300</v>
      </c>
      <c r="F94" s="17" t="s">
        <v>665</v>
      </c>
      <c r="G94" s="17" t="s">
        <v>145</v>
      </c>
      <c r="H94" s="23" t="s">
        <v>65</v>
      </c>
      <c r="I94" s="17" t="s">
        <v>65</v>
      </c>
      <c r="J94" s="17"/>
      <c r="K94" s="17" t="s">
        <v>59</v>
      </c>
      <c r="L94" s="20" t="n">
        <v>510</v>
      </c>
      <c r="M94" s="20" t="n">
        <v>12</v>
      </c>
      <c r="N94" s="22" t="n">
        <f aca="false">IFERROR(M94/L94,0)</f>
        <v>0.0235294117647059</v>
      </c>
      <c r="O94" s="24" t="n">
        <v>11.41</v>
      </c>
      <c r="P94" s="14" t="n">
        <f aca="false">IFERROR(O94/M94,0)</f>
        <v>0.950833333333333</v>
      </c>
      <c r="Q94" s="20" t="n">
        <v>0</v>
      </c>
      <c r="R94" s="24" t="n">
        <v>0</v>
      </c>
      <c r="S94" s="8" t="n">
        <f aca="false">IFERROR(O94/R94,0)</f>
        <v>0</v>
      </c>
      <c r="T94" s="8" t="n">
        <f aca="false">IFERROR(Q94/M94,0)</f>
        <v>0</v>
      </c>
    </row>
    <row r="95" customFormat="false" ht="15" hidden="false" customHeight="false" outlineLevel="0" collapsed="false">
      <c r="A95" s="17" t="s">
        <v>17</v>
      </c>
      <c r="B95" s="17" t="s">
        <v>892</v>
      </c>
      <c r="C95" s="17" t="s">
        <v>893</v>
      </c>
      <c r="D95" s="23" t="s">
        <v>32</v>
      </c>
      <c r="E95" s="17" t="s">
        <v>285</v>
      </c>
      <c r="F95" s="17" t="s">
        <v>288</v>
      </c>
      <c r="G95" s="17" t="s">
        <v>145</v>
      </c>
      <c r="H95" s="23" t="s">
        <v>65</v>
      </c>
      <c r="I95" s="17" t="s">
        <v>65</v>
      </c>
      <c r="J95" s="17"/>
      <c r="K95" s="17" t="s">
        <v>59</v>
      </c>
      <c r="L95" s="20" t="n">
        <v>858</v>
      </c>
      <c r="M95" s="20" t="n">
        <v>12</v>
      </c>
      <c r="N95" s="22" t="n">
        <f aca="false">IFERROR(M95/L95,0)</f>
        <v>0.013986013986014</v>
      </c>
      <c r="O95" s="24" t="n">
        <v>9.79</v>
      </c>
      <c r="P95" s="14" t="n">
        <f aca="false">IFERROR(O95/M95,0)</f>
        <v>0.815833333333333</v>
      </c>
      <c r="Q95" s="20" t="n">
        <v>1</v>
      </c>
      <c r="R95" s="24" t="n">
        <v>46.63</v>
      </c>
      <c r="S95" s="8" t="n">
        <f aca="false">IFERROR(O95/R95,0)</f>
        <v>0.209950675530774</v>
      </c>
      <c r="T95" s="8" t="n">
        <f aca="false">IFERROR(Q95/M95,0)</f>
        <v>0.0833333333333333</v>
      </c>
    </row>
    <row r="96" customFormat="false" ht="15" hidden="false" customHeight="false" outlineLevel="0" collapsed="false">
      <c r="A96" s="17" t="s">
        <v>17</v>
      </c>
      <c r="B96" s="17" t="s">
        <v>894</v>
      </c>
      <c r="C96" s="17" t="s">
        <v>895</v>
      </c>
      <c r="D96" s="17" t="s">
        <v>29</v>
      </c>
      <c r="E96" s="17" t="s">
        <v>297</v>
      </c>
      <c r="F96" s="17"/>
      <c r="G96" s="17" t="s">
        <v>896</v>
      </c>
      <c r="H96" s="18" t="s">
        <v>59</v>
      </c>
      <c r="I96" s="17" t="s">
        <v>65</v>
      </c>
      <c r="J96" s="17"/>
      <c r="K96" s="17" t="s">
        <v>59</v>
      </c>
      <c r="L96" s="20" t="n">
        <v>169</v>
      </c>
      <c r="M96" s="20" t="n">
        <v>5</v>
      </c>
      <c r="N96" s="22" t="n">
        <f aca="false">IFERROR(M96/L96,0)</f>
        <v>0.029585798816568</v>
      </c>
      <c r="O96" s="24" t="n">
        <v>6.86</v>
      </c>
      <c r="P96" s="14" t="n">
        <f aca="false">IFERROR(O96/M96,0)</f>
        <v>1.372</v>
      </c>
      <c r="Q96" s="20" t="n">
        <v>0</v>
      </c>
      <c r="R96" s="24" t="n">
        <v>0</v>
      </c>
      <c r="S96" s="8" t="n">
        <f aca="false">IFERROR(O96/R96,0)</f>
        <v>0</v>
      </c>
      <c r="T96" s="8" t="n">
        <f aca="false">IFERROR(Q96/M96,0)</f>
        <v>0</v>
      </c>
    </row>
    <row r="97" customFormat="false" ht="15" hidden="false" customHeight="false" outlineLevel="0" collapsed="false">
      <c r="A97" s="17" t="s">
        <v>17</v>
      </c>
      <c r="B97" s="17" t="s">
        <v>897</v>
      </c>
      <c r="C97" s="17" t="s">
        <v>898</v>
      </c>
      <c r="D97" s="17" t="s">
        <v>28</v>
      </c>
      <c r="E97" s="17" t="s">
        <v>297</v>
      </c>
      <c r="F97" s="17" t="s">
        <v>28</v>
      </c>
      <c r="G97" s="17" t="s">
        <v>219</v>
      </c>
      <c r="H97" s="23" t="s">
        <v>65</v>
      </c>
      <c r="I97" s="17" t="s">
        <v>65</v>
      </c>
      <c r="J97" s="17"/>
      <c r="K97" s="17" t="s">
        <v>59</v>
      </c>
      <c r="L97" s="20" t="n">
        <v>210</v>
      </c>
      <c r="M97" s="20" t="n">
        <v>2</v>
      </c>
      <c r="N97" s="22" t="n">
        <f aca="false">IFERROR(M97/L97,0)</f>
        <v>0.00952380952380953</v>
      </c>
      <c r="O97" s="24" t="n">
        <v>6.57</v>
      </c>
      <c r="P97" s="14" t="n">
        <f aca="false">IFERROR(O97/M97,0)</f>
        <v>3.285</v>
      </c>
      <c r="Q97" s="20" t="n">
        <v>0</v>
      </c>
      <c r="R97" s="24" t="n">
        <v>0</v>
      </c>
      <c r="S97" s="8" t="n">
        <f aca="false">IFERROR(O97/R97,0)</f>
        <v>0</v>
      </c>
      <c r="T97" s="8" t="n">
        <f aca="false">IFERROR(Q97/M97,0)</f>
        <v>0</v>
      </c>
    </row>
    <row r="98" customFormat="false" ht="15" hidden="false" customHeight="false" outlineLevel="0" collapsed="false">
      <c r="A98" s="17" t="s">
        <v>17</v>
      </c>
      <c r="B98" s="17" t="s">
        <v>899</v>
      </c>
      <c r="C98" s="17" t="s">
        <v>900</v>
      </c>
      <c r="D98" s="17" t="s">
        <v>29</v>
      </c>
      <c r="E98" s="17" t="s">
        <v>297</v>
      </c>
      <c r="F98" s="17"/>
      <c r="G98" s="17" t="s">
        <v>901</v>
      </c>
      <c r="H98" s="23" t="s">
        <v>65</v>
      </c>
      <c r="I98" s="17" t="s">
        <v>65</v>
      </c>
      <c r="J98" s="17"/>
      <c r="K98" s="17" t="s">
        <v>59</v>
      </c>
      <c r="L98" s="20" t="n">
        <v>1378</v>
      </c>
      <c r="M98" s="20" t="n">
        <v>4</v>
      </c>
      <c r="N98" s="22" t="n">
        <f aca="false">IFERROR(M98/L98,0)</f>
        <v>0.00290275761973875</v>
      </c>
      <c r="O98" s="24" t="n">
        <v>6.52</v>
      </c>
      <c r="P98" s="14" t="n">
        <f aca="false">IFERROR(O98/M98,0)</f>
        <v>1.63</v>
      </c>
      <c r="Q98" s="20" t="n">
        <v>0</v>
      </c>
      <c r="R98" s="24" t="n">
        <v>0</v>
      </c>
      <c r="S98" s="8" t="n">
        <f aca="false">IFERROR(O98/R98,0)</f>
        <v>0</v>
      </c>
      <c r="T98" s="8" t="n">
        <f aca="false">IFERROR(Q98/M98,0)</f>
        <v>0</v>
      </c>
    </row>
    <row r="99" customFormat="false" ht="15" hidden="false" customHeight="false" outlineLevel="0" collapsed="false">
      <c r="A99" s="17" t="s">
        <v>17</v>
      </c>
      <c r="B99" s="17" t="s">
        <v>902</v>
      </c>
      <c r="C99" s="17" t="s">
        <v>903</v>
      </c>
      <c r="D99" s="17" t="s">
        <v>28</v>
      </c>
      <c r="E99" s="17" t="s">
        <v>297</v>
      </c>
      <c r="F99" s="17" t="s">
        <v>28</v>
      </c>
      <c r="G99" s="17" t="s">
        <v>904</v>
      </c>
      <c r="H99" s="23" t="s">
        <v>65</v>
      </c>
      <c r="I99" s="17" t="s">
        <v>65</v>
      </c>
      <c r="J99" s="17"/>
      <c r="K99" s="17" t="s">
        <v>59</v>
      </c>
      <c r="L99" s="20" t="n">
        <v>164</v>
      </c>
      <c r="M99" s="20" t="n">
        <v>2</v>
      </c>
      <c r="N99" s="22" t="n">
        <f aca="false">IFERROR(M99/L99,0)</f>
        <v>0.0121951219512195</v>
      </c>
      <c r="O99" s="24" t="n">
        <v>6</v>
      </c>
      <c r="P99" s="14" t="n">
        <f aca="false">IFERROR(O99/M99,0)</f>
        <v>3</v>
      </c>
      <c r="Q99" s="20" t="n">
        <v>0</v>
      </c>
      <c r="R99" s="24" t="n">
        <v>0</v>
      </c>
      <c r="S99" s="8" t="n">
        <f aca="false">IFERROR(O99/R99,0)</f>
        <v>0</v>
      </c>
      <c r="T99" s="8" t="n">
        <f aca="false">IFERROR(Q99/M99,0)</f>
        <v>0</v>
      </c>
    </row>
    <row r="100" customFormat="false" ht="15" hidden="false" customHeight="false" outlineLevel="0" collapsed="false">
      <c r="A100" s="17" t="s">
        <v>17</v>
      </c>
      <c r="B100" s="17" t="s">
        <v>905</v>
      </c>
      <c r="C100" s="17" t="s">
        <v>906</v>
      </c>
      <c r="D100" s="17" t="s">
        <v>29</v>
      </c>
      <c r="E100" s="17" t="s">
        <v>297</v>
      </c>
      <c r="F100" s="17"/>
      <c r="G100" s="17" t="s">
        <v>896</v>
      </c>
      <c r="H100" s="18" t="s">
        <v>59</v>
      </c>
      <c r="I100" s="17" t="s">
        <v>65</v>
      </c>
      <c r="J100" s="17"/>
      <c r="K100" s="17" t="s">
        <v>59</v>
      </c>
      <c r="L100" s="20" t="n">
        <v>144</v>
      </c>
      <c r="M100" s="20" t="n">
        <v>5</v>
      </c>
      <c r="N100" s="22" t="n">
        <f aca="false">IFERROR(M100/L100,0)</f>
        <v>0.0347222222222222</v>
      </c>
      <c r="O100" s="24" t="n">
        <v>5.61</v>
      </c>
      <c r="P100" s="14" t="n">
        <f aca="false">IFERROR(O100/M100,0)</f>
        <v>1.122</v>
      </c>
      <c r="Q100" s="20" t="n">
        <v>1</v>
      </c>
      <c r="R100" s="24" t="n">
        <v>35.19</v>
      </c>
      <c r="S100" s="8" t="n">
        <f aca="false">IFERROR(O100/R100,0)</f>
        <v>0.159420289855072</v>
      </c>
      <c r="T100" s="8" t="n">
        <f aca="false">IFERROR(Q100/M100,0)</f>
        <v>0.2</v>
      </c>
    </row>
    <row r="101" customFormat="false" ht="15" hidden="false" customHeight="false" outlineLevel="0" collapsed="false">
      <c r="A101" s="17" t="s">
        <v>17</v>
      </c>
      <c r="B101" s="17" t="s">
        <v>907</v>
      </c>
      <c r="C101" s="17" t="s">
        <v>908</v>
      </c>
      <c r="D101" s="17" t="s">
        <v>31</v>
      </c>
      <c r="E101" s="17" t="s">
        <v>333</v>
      </c>
      <c r="F101" s="17" t="s">
        <v>288</v>
      </c>
      <c r="G101" s="17" t="s">
        <v>145</v>
      </c>
      <c r="H101" s="23" t="s">
        <v>65</v>
      </c>
      <c r="I101" s="17" t="s">
        <v>65</v>
      </c>
      <c r="J101" s="17"/>
      <c r="K101" s="17" t="s">
        <v>59</v>
      </c>
      <c r="L101" s="20" t="n">
        <v>558</v>
      </c>
      <c r="M101" s="20" t="n">
        <v>5</v>
      </c>
      <c r="N101" s="22" t="n">
        <f aca="false">IFERROR(M101/L101,0)</f>
        <v>0.00896057347670251</v>
      </c>
      <c r="O101" s="24" t="n">
        <v>4.91</v>
      </c>
      <c r="P101" s="14" t="n">
        <f aca="false">IFERROR(O101/M101,0)</f>
        <v>0.982</v>
      </c>
      <c r="Q101" s="20" t="n">
        <v>1</v>
      </c>
      <c r="R101" s="24" t="n">
        <v>44.99</v>
      </c>
      <c r="S101" s="8" t="n">
        <f aca="false">IFERROR(O101/R101,0)</f>
        <v>0.109135363414092</v>
      </c>
      <c r="T101" s="8" t="n">
        <f aca="false">IFERROR(Q101/M101,0)</f>
        <v>0.2</v>
      </c>
    </row>
    <row r="102" customFormat="false" ht="15" hidden="false" customHeight="false" outlineLevel="0" collapsed="false">
      <c r="A102" s="17" t="s">
        <v>17</v>
      </c>
      <c r="B102" s="17" t="s">
        <v>909</v>
      </c>
      <c r="C102" s="17" t="s">
        <v>910</v>
      </c>
      <c r="D102" s="21" t="s">
        <v>34</v>
      </c>
      <c r="E102" s="17" t="s">
        <v>285</v>
      </c>
      <c r="F102" s="17" t="s">
        <v>314</v>
      </c>
      <c r="G102" s="17"/>
      <c r="H102" s="17"/>
      <c r="I102" s="17" t="s">
        <v>59</v>
      </c>
      <c r="J102" s="17" t="s">
        <v>21</v>
      </c>
      <c r="K102" s="17" t="s">
        <v>59</v>
      </c>
      <c r="L102" s="20" t="n">
        <v>2339</v>
      </c>
      <c r="M102" s="20" t="n">
        <v>10</v>
      </c>
      <c r="N102" s="22" t="n">
        <f aca="false">IFERROR(M102/L102,0)</f>
        <v>0.00427533133817871</v>
      </c>
      <c r="O102" s="24" t="n">
        <v>4.44</v>
      </c>
      <c r="P102" s="14" t="n">
        <f aca="false">IFERROR(O102/M102,0)</f>
        <v>0.444</v>
      </c>
      <c r="Q102" s="20" t="n">
        <v>0</v>
      </c>
      <c r="R102" s="24" t="n">
        <v>0</v>
      </c>
      <c r="S102" s="8" t="n">
        <f aca="false">IFERROR(O102/R102,0)</f>
        <v>0</v>
      </c>
      <c r="T102" s="8" t="n">
        <f aca="false">IFERROR(Q102/M102,0)</f>
        <v>0</v>
      </c>
    </row>
    <row r="103" customFormat="false" ht="15" hidden="false" customHeight="false" outlineLevel="0" collapsed="false">
      <c r="A103" s="17" t="s">
        <v>17</v>
      </c>
      <c r="B103" s="17" t="s">
        <v>911</v>
      </c>
      <c r="C103" s="17" t="s">
        <v>912</v>
      </c>
      <c r="D103" s="17" t="s">
        <v>28</v>
      </c>
      <c r="E103" s="17" t="s">
        <v>297</v>
      </c>
      <c r="F103" s="17" t="s">
        <v>28</v>
      </c>
      <c r="G103" s="17" t="s">
        <v>145</v>
      </c>
      <c r="H103" s="23" t="s">
        <v>65</v>
      </c>
      <c r="I103" s="17" t="s">
        <v>65</v>
      </c>
      <c r="J103" s="17"/>
      <c r="K103" s="17" t="s">
        <v>59</v>
      </c>
      <c r="L103" s="20" t="n">
        <v>115</v>
      </c>
      <c r="M103" s="20" t="n">
        <v>4</v>
      </c>
      <c r="N103" s="22" t="n">
        <f aca="false">IFERROR(M103/L103,0)</f>
        <v>0.0347826086956522</v>
      </c>
      <c r="O103" s="24" t="n">
        <v>4.32</v>
      </c>
      <c r="P103" s="14" t="n">
        <f aca="false">IFERROR(O103/M103,0)</f>
        <v>1.08</v>
      </c>
      <c r="Q103" s="20" t="n">
        <v>0</v>
      </c>
      <c r="R103" s="24" t="n">
        <v>0</v>
      </c>
      <c r="S103" s="8" t="n">
        <f aca="false">IFERROR(O103/R103,0)</f>
        <v>0</v>
      </c>
      <c r="T103" s="8" t="n">
        <f aca="false">IFERROR(Q103/M103,0)</f>
        <v>0</v>
      </c>
    </row>
    <row r="104" customFormat="false" ht="15" hidden="false" customHeight="false" outlineLevel="0" collapsed="false">
      <c r="A104" s="17" t="s">
        <v>17</v>
      </c>
      <c r="B104" s="17" t="s">
        <v>913</v>
      </c>
      <c r="C104" s="17" t="s">
        <v>914</v>
      </c>
      <c r="D104" s="17" t="s">
        <v>28</v>
      </c>
      <c r="E104" s="17" t="s">
        <v>297</v>
      </c>
      <c r="F104" s="17" t="s">
        <v>28</v>
      </c>
      <c r="G104" s="17" t="s">
        <v>161</v>
      </c>
      <c r="H104" s="18" t="s">
        <v>59</v>
      </c>
      <c r="I104" s="17" t="s">
        <v>65</v>
      </c>
      <c r="J104" s="17"/>
      <c r="K104" s="17" t="s">
        <v>59</v>
      </c>
      <c r="L104" s="20" t="n">
        <v>567</v>
      </c>
      <c r="M104" s="20" t="n">
        <v>2</v>
      </c>
      <c r="N104" s="22" t="n">
        <f aca="false">IFERROR(M104/L104,0)</f>
        <v>0.00352733686067019</v>
      </c>
      <c r="O104" s="24" t="n">
        <v>4.24</v>
      </c>
      <c r="P104" s="14" t="n">
        <f aca="false">IFERROR(O104/M104,0)</f>
        <v>2.12</v>
      </c>
      <c r="Q104" s="20" t="n">
        <v>0</v>
      </c>
      <c r="R104" s="24" t="n">
        <v>0</v>
      </c>
      <c r="S104" s="8" t="n">
        <f aca="false">IFERROR(O104/R104,0)</f>
        <v>0</v>
      </c>
      <c r="T104" s="8" t="n">
        <f aca="false">IFERROR(Q104/M104,0)</f>
        <v>0</v>
      </c>
    </row>
    <row r="105" customFormat="false" ht="15" hidden="false" customHeight="false" outlineLevel="0" collapsed="false">
      <c r="A105" s="17" t="s">
        <v>17</v>
      </c>
      <c r="B105" s="17" t="s">
        <v>915</v>
      </c>
      <c r="C105" s="17" t="s">
        <v>916</v>
      </c>
      <c r="D105" s="17" t="s">
        <v>28</v>
      </c>
      <c r="E105" s="17" t="s">
        <v>297</v>
      </c>
      <c r="F105" s="17" t="s">
        <v>28</v>
      </c>
      <c r="G105" s="17"/>
      <c r="H105" s="17"/>
      <c r="I105" s="17" t="s">
        <v>65</v>
      </c>
      <c r="J105" s="17"/>
      <c r="K105" s="17" t="s">
        <v>59</v>
      </c>
      <c r="L105" s="20" t="n">
        <v>267</v>
      </c>
      <c r="M105" s="20" t="n">
        <v>2</v>
      </c>
      <c r="N105" s="22" t="n">
        <f aca="false">IFERROR(M105/L105,0)</f>
        <v>0.00749063670411985</v>
      </c>
      <c r="O105" s="24" t="n">
        <v>3.55</v>
      </c>
      <c r="P105" s="14" t="n">
        <f aca="false">IFERROR(O105/M105,0)</f>
        <v>1.775</v>
      </c>
      <c r="Q105" s="20" t="n">
        <v>0</v>
      </c>
      <c r="R105" s="24" t="n">
        <v>0</v>
      </c>
      <c r="S105" s="8" t="n">
        <f aca="false">IFERROR(O105/R105,0)</f>
        <v>0</v>
      </c>
      <c r="T105" s="8" t="n">
        <f aca="false">IFERROR(Q105/M105,0)</f>
        <v>0</v>
      </c>
    </row>
    <row r="106" customFormat="false" ht="15" hidden="false" customHeight="false" outlineLevel="0" collapsed="false">
      <c r="A106" s="17" t="s">
        <v>17</v>
      </c>
      <c r="B106" s="17" t="s">
        <v>917</v>
      </c>
      <c r="C106" s="17" t="s">
        <v>918</v>
      </c>
      <c r="D106" s="17" t="s">
        <v>28</v>
      </c>
      <c r="E106" s="17" t="s">
        <v>297</v>
      </c>
      <c r="F106" s="17" t="s">
        <v>28</v>
      </c>
      <c r="G106" s="17" t="s">
        <v>168</v>
      </c>
      <c r="H106" s="23" t="s">
        <v>65</v>
      </c>
      <c r="I106" s="17" t="s">
        <v>65</v>
      </c>
      <c r="J106" s="17"/>
      <c r="K106" s="17" t="s">
        <v>59</v>
      </c>
      <c r="L106" s="20" t="n">
        <v>226</v>
      </c>
      <c r="M106" s="20" t="n">
        <v>3</v>
      </c>
      <c r="N106" s="22" t="n">
        <f aca="false">IFERROR(M106/L106,0)</f>
        <v>0.0132743362831858</v>
      </c>
      <c r="O106" s="24" t="n">
        <v>3.28</v>
      </c>
      <c r="P106" s="14" t="n">
        <f aca="false">IFERROR(O106/M106,0)</f>
        <v>1.09333333333333</v>
      </c>
      <c r="Q106" s="20" t="n">
        <v>1</v>
      </c>
      <c r="R106" s="24" t="n">
        <v>40.79</v>
      </c>
      <c r="S106" s="8" t="n">
        <f aca="false">IFERROR(O106/R106,0)</f>
        <v>0.0804118656533464</v>
      </c>
      <c r="T106" s="8" t="n">
        <f aca="false">IFERROR(Q106/M106,0)</f>
        <v>0.333333333333333</v>
      </c>
    </row>
    <row r="107" customFormat="false" ht="15" hidden="false" customHeight="false" outlineLevel="0" collapsed="false">
      <c r="A107" s="17" t="s">
        <v>17</v>
      </c>
      <c r="B107" s="17" t="s">
        <v>919</v>
      </c>
      <c r="C107" s="17" t="s">
        <v>920</v>
      </c>
      <c r="D107" s="17" t="s">
        <v>28</v>
      </c>
      <c r="E107" s="17" t="s">
        <v>297</v>
      </c>
      <c r="F107" s="17" t="s">
        <v>28</v>
      </c>
      <c r="G107" s="17" t="s">
        <v>145</v>
      </c>
      <c r="H107" s="23" t="s">
        <v>65</v>
      </c>
      <c r="I107" s="17" t="s">
        <v>65</v>
      </c>
      <c r="J107" s="17"/>
      <c r="K107" s="17" t="s">
        <v>59</v>
      </c>
      <c r="L107" s="20" t="n">
        <v>182</v>
      </c>
      <c r="M107" s="20" t="n">
        <v>2</v>
      </c>
      <c r="N107" s="22" t="n">
        <f aca="false">IFERROR(M107/L107,0)</f>
        <v>0.010989010989011</v>
      </c>
      <c r="O107" s="24" t="n">
        <v>3.26</v>
      </c>
      <c r="P107" s="14" t="n">
        <f aca="false">IFERROR(O107/M107,0)</f>
        <v>1.63</v>
      </c>
      <c r="Q107" s="20" t="n">
        <v>1</v>
      </c>
      <c r="R107" s="24" t="n">
        <v>47.99</v>
      </c>
      <c r="S107" s="8" t="n">
        <f aca="false">IFERROR(O107/R107,0)</f>
        <v>0.0679308189206085</v>
      </c>
      <c r="T107" s="8" t="n">
        <f aca="false">IFERROR(Q107/M107,0)</f>
        <v>0.5</v>
      </c>
    </row>
    <row r="108" customFormat="false" ht="15" hidden="false" customHeight="false" outlineLevel="0" collapsed="false">
      <c r="A108" s="17" t="s">
        <v>17</v>
      </c>
      <c r="B108" s="17" t="s">
        <v>921</v>
      </c>
      <c r="C108" s="17" t="s">
        <v>922</v>
      </c>
      <c r="D108" s="17" t="s">
        <v>28</v>
      </c>
      <c r="E108" s="17" t="s">
        <v>297</v>
      </c>
      <c r="F108" s="17" t="s">
        <v>28</v>
      </c>
      <c r="G108" s="17" t="s">
        <v>168</v>
      </c>
      <c r="H108" s="23" t="s">
        <v>65</v>
      </c>
      <c r="I108" s="17" t="s">
        <v>65</v>
      </c>
      <c r="J108" s="17"/>
      <c r="K108" s="17" t="s">
        <v>59</v>
      </c>
      <c r="L108" s="20" t="n">
        <v>4</v>
      </c>
      <c r="M108" s="20" t="n">
        <v>2</v>
      </c>
      <c r="N108" s="22" t="n">
        <f aca="false">IFERROR(M108/L108,0)</f>
        <v>0.5</v>
      </c>
      <c r="O108" s="24" t="n">
        <v>2.88</v>
      </c>
      <c r="P108" s="14" t="n">
        <f aca="false">IFERROR(O108/M108,0)</f>
        <v>1.44</v>
      </c>
      <c r="Q108" s="20" t="n">
        <v>0</v>
      </c>
      <c r="R108" s="24" t="n">
        <v>0</v>
      </c>
      <c r="S108" s="8" t="n">
        <f aca="false">IFERROR(O108/R108,0)</f>
        <v>0</v>
      </c>
      <c r="T108" s="8" t="n">
        <f aca="false">IFERROR(Q108/M108,0)</f>
        <v>0</v>
      </c>
    </row>
    <row r="109" customFormat="false" ht="15" hidden="false" customHeight="false" outlineLevel="0" collapsed="false">
      <c r="A109" s="17" t="s">
        <v>17</v>
      </c>
      <c r="B109" s="17" t="s">
        <v>923</v>
      </c>
      <c r="C109" s="17" t="s">
        <v>924</v>
      </c>
      <c r="D109" s="21" t="s">
        <v>34</v>
      </c>
      <c r="E109" s="17" t="s">
        <v>285</v>
      </c>
      <c r="F109" s="17"/>
      <c r="G109" s="17"/>
      <c r="H109" s="17"/>
      <c r="I109" s="17" t="s">
        <v>65</v>
      </c>
      <c r="J109" s="17"/>
      <c r="K109" s="17" t="s">
        <v>59</v>
      </c>
      <c r="L109" s="20" t="n">
        <v>362</v>
      </c>
      <c r="M109" s="20" t="n">
        <v>4</v>
      </c>
      <c r="N109" s="22" t="n">
        <f aca="false">IFERROR(M109/L109,0)</f>
        <v>0.0110497237569061</v>
      </c>
      <c r="O109" s="24" t="n">
        <v>2.49</v>
      </c>
      <c r="P109" s="14" t="n">
        <f aca="false">IFERROR(O109/M109,0)</f>
        <v>0.6225</v>
      </c>
      <c r="Q109" s="20" t="n">
        <v>1</v>
      </c>
      <c r="R109" s="24" t="n">
        <v>45.59</v>
      </c>
      <c r="S109" s="8" t="n">
        <f aca="false">IFERROR(O109/R109,0)</f>
        <v>0.0546172406229436</v>
      </c>
      <c r="T109" s="8" t="n">
        <f aca="false">IFERROR(Q109/M109,0)</f>
        <v>0.25</v>
      </c>
    </row>
    <row r="110" customFormat="false" ht="15" hidden="false" customHeight="false" outlineLevel="0" collapsed="false">
      <c r="A110" s="17" t="s">
        <v>17</v>
      </c>
      <c r="B110" s="17" t="s">
        <v>925</v>
      </c>
      <c r="C110" s="17" t="s">
        <v>926</v>
      </c>
      <c r="D110" s="17" t="s">
        <v>28</v>
      </c>
      <c r="E110" s="17" t="s">
        <v>297</v>
      </c>
      <c r="F110" s="17" t="s">
        <v>28</v>
      </c>
      <c r="G110" s="17" t="s">
        <v>145</v>
      </c>
      <c r="H110" s="23" t="s">
        <v>65</v>
      </c>
      <c r="I110" s="17" t="s">
        <v>65</v>
      </c>
      <c r="J110" s="17"/>
      <c r="K110" s="17" t="s">
        <v>59</v>
      </c>
      <c r="L110" s="20" t="n">
        <v>108</v>
      </c>
      <c r="M110" s="20" t="n">
        <v>1</v>
      </c>
      <c r="N110" s="22" t="n">
        <f aca="false">IFERROR(M110/L110,0)</f>
        <v>0.00925925925925926</v>
      </c>
      <c r="O110" s="24" t="n">
        <v>2.41</v>
      </c>
      <c r="P110" s="14" t="n">
        <f aca="false">IFERROR(O110/M110,0)</f>
        <v>2.41</v>
      </c>
      <c r="Q110" s="20" t="n">
        <v>0</v>
      </c>
      <c r="R110" s="24" t="n">
        <v>0</v>
      </c>
      <c r="S110" s="8" t="n">
        <f aca="false">IFERROR(O110/R110,0)</f>
        <v>0</v>
      </c>
      <c r="T110" s="8" t="n">
        <f aca="false">IFERROR(Q110/M110,0)</f>
        <v>0</v>
      </c>
    </row>
    <row r="111" customFormat="false" ht="15" hidden="false" customHeight="false" outlineLevel="0" collapsed="false">
      <c r="A111" s="17" t="s">
        <v>17</v>
      </c>
      <c r="B111" s="17" t="s">
        <v>927</v>
      </c>
      <c r="C111" s="17" t="s">
        <v>928</v>
      </c>
      <c r="D111" s="17" t="s">
        <v>28</v>
      </c>
      <c r="E111" s="17" t="s">
        <v>297</v>
      </c>
      <c r="F111" s="17" t="s">
        <v>28</v>
      </c>
      <c r="G111" s="17" t="s">
        <v>161</v>
      </c>
      <c r="H111" s="18" t="s">
        <v>59</v>
      </c>
      <c r="I111" s="17" t="s">
        <v>65</v>
      </c>
      <c r="J111" s="17"/>
      <c r="K111" s="17" t="s">
        <v>59</v>
      </c>
      <c r="L111" s="20" t="n">
        <v>201</v>
      </c>
      <c r="M111" s="20" t="n">
        <v>1</v>
      </c>
      <c r="N111" s="22" t="n">
        <f aca="false">IFERROR(M111/L111,0)</f>
        <v>0.00497512437810945</v>
      </c>
      <c r="O111" s="24" t="n">
        <v>2.36</v>
      </c>
      <c r="P111" s="14" t="n">
        <f aca="false">IFERROR(O111/M111,0)</f>
        <v>2.36</v>
      </c>
      <c r="Q111" s="20" t="n">
        <v>0</v>
      </c>
      <c r="R111" s="24" t="n">
        <v>0</v>
      </c>
      <c r="S111" s="8" t="n">
        <f aca="false">IFERROR(O111/R111,0)</f>
        <v>0</v>
      </c>
      <c r="T111" s="8" t="n">
        <f aca="false">IFERROR(Q111/M111,0)</f>
        <v>0</v>
      </c>
    </row>
    <row r="112" customFormat="false" ht="15" hidden="false" customHeight="false" outlineLevel="0" collapsed="false">
      <c r="A112" s="17" t="s">
        <v>17</v>
      </c>
      <c r="B112" s="17" t="s">
        <v>929</v>
      </c>
      <c r="C112" s="17" t="s">
        <v>930</v>
      </c>
      <c r="D112" s="17" t="s">
        <v>28</v>
      </c>
      <c r="E112" s="17" t="s">
        <v>297</v>
      </c>
      <c r="F112" s="17" t="s">
        <v>28</v>
      </c>
      <c r="G112" s="17" t="s">
        <v>140</v>
      </c>
      <c r="H112" s="23" t="s">
        <v>65</v>
      </c>
      <c r="I112" s="17" t="s">
        <v>65</v>
      </c>
      <c r="J112" s="17"/>
      <c r="K112" s="17" t="s">
        <v>59</v>
      </c>
      <c r="L112" s="20" t="n">
        <v>16</v>
      </c>
      <c r="M112" s="20" t="n">
        <v>2</v>
      </c>
      <c r="N112" s="22" t="n">
        <f aca="false">IFERROR(M112/L112,0)</f>
        <v>0.125</v>
      </c>
      <c r="O112" s="24" t="n">
        <v>2.16</v>
      </c>
      <c r="P112" s="14" t="n">
        <f aca="false">IFERROR(O112/M112,0)</f>
        <v>1.08</v>
      </c>
      <c r="Q112" s="20" t="n">
        <v>0</v>
      </c>
      <c r="R112" s="24" t="n">
        <v>0</v>
      </c>
      <c r="S112" s="8" t="n">
        <f aca="false">IFERROR(O112/R112,0)</f>
        <v>0</v>
      </c>
      <c r="T112" s="8" t="n">
        <f aca="false">IFERROR(Q112/M112,0)</f>
        <v>0</v>
      </c>
    </row>
    <row r="113" customFormat="false" ht="15" hidden="false" customHeight="false" outlineLevel="0" collapsed="false">
      <c r="A113" s="17" t="s">
        <v>17</v>
      </c>
      <c r="B113" s="17" t="s">
        <v>931</v>
      </c>
      <c r="C113" s="17" t="s">
        <v>932</v>
      </c>
      <c r="D113" s="17" t="s">
        <v>28</v>
      </c>
      <c r="E113" s="17" t="s">
        <v>297</v>
      </c>
      <c r="F113" s="17" t="s">
        <v>28</v>
      </c>
      <c r="G113" s="17" t="s">
        <v>145</v>
      </c>
      <c r="H113" s="23" t="s">
        <v>65</v>
      </c>
      <c r="I113" s="17" t="s">
        <v>65</v>
      </c>
      <c r="J113" s="17"/>
      <c r="K113" s="17" t="s">
        <v>59</v>
      </c>
      <c r="L113" s="20" t="n">
        <v>17</v>
      </c>
      <c r="M113" s="20" t="n">
        <v>1</v>
      </c>
      <c r="N113" s="22" t="n">
        <f aca="false">IFERROR(M113/L113,0)</f>
        <v>0.0588235294117647</v>
      </c>
      <c r="O113" s="24" t="n">
        <v>2.1</v>
      </c>
      <c r="P113" s="14" t="n">
        <f aca="false">IFERROR(O113/M113,0)</f>
        <v>2.1</v>
      </c>
      <c r="Q113" s="20" t="n">
        <v>0</v>
      </c>
      <c r="R113" s="24" t="n">
        <v>0</v>
      </c>
      <c r="S113" s="8" t="n">
        <f aca="false">IFERROR(O113/R113,0)</f>
        <v>0</v>
      </c>
      <c r="T113" s="8" t="n">
        <f aca="false">IFERROR(Q113/M113,0)</f>
        <v>0</v>
      </c>
    </row>
    <row r="114" customFormat="false" ht="15" hidden="false" customHeight="false" outlineLevel="0" collapsed="false">
      <c r="A114" s="17" t="s">
        <v>17</v>
      </c>
      <c r="B114" s="17" t="s">
        <v>933</v>
      </c>
      <c r="C114" s="17" t="s">
        <v>934</v>
      </c>
      <c r="D114" s="17" t="s">
        <v>28</v>
      </c>
      <c r="E114" s="17" t="s">
        <v>297</v>
      </c>
      <c r="F114" s="17" t="s">
        <v>28</v>
      </c>
      <c r="G114" s="17" t="s">
        <v>219</v>
      </c>
      <c r="H114" s="23" t="s">
        <v>65</v>
      </c>
      <c r="I114" s="17" t="s">
        <v>65</v>
      </c>
      <c r="J114" s="17"/>
      <c r="K114" s="17" t="s">
        <v>59</v>
      </c>
      <c r="L114" s="20" t="n">
        <v>147</v>
      </c>
      <c r="M114" s="20" t="n">
        <v>1</v>
      </c>
      <c r="N114" s="22" t="n">
        <f aca="false">IFERROR(M114/L114,0)</f>
        <v>0.00680272108843537</v>
      </c>
      <c r="O114" s="24" t="n">
        <v>2.02</v>
      </c>
      <c r="P114" s="14" t="n">
        <f aca="false">IFERROR(O114/M114,0)</f>
        <v>2.02</v>
      </c>
      <c r="Q114" s="20" t="n">
        <v>0</v>
      </c>
      <c r="R114" s="24" t="n">
        <v>0</v>
      </c>
      <c r="S114" s="8" t="n">
        <f aca="false">IFERROR(O114/R114,0)</f>
        <v>0</v>
      </c>
      <c r="T114" s="8" t="n">
        <f aca="false">IFERROR(Q114/M114,0)</f>
        <v>0</v>
      </c>
    </row>
    <row r="115" customFormat="false" ht="15" hidden="false" customHeight="false" outlineLevel="0" collapsed="false">
      <c r="A115" s="17" t="s">
        <v>17</v>
      </c>
      <c r="B115" s="17" t="s">
        <v>935</v>
      </c>
      <c r="C115" s="17" t="s">
        <v>936</v>
      </c>
      <c r="D115" s="17" t="s">
        <v>28</v>
      </c>
      <c r="E115" s="17" t="s">
        <v>297</v>
      </c>
      <c r="F115" s="17" t="s">
        <v>28</v>
      </c>
      <c r="G115" s="17" t="s">
        <v>145</v>
      </c>
      <c r="H115" s="23" t="s">
        <v>65</v>
      </c>
      <c r="I115" s="17" t="s">
        <v>65</v>
      </c>
      <c r="J115" s="17"/>
      <c r="K115" s="17" t="s">
        <v>59</v>
      </c>
      <c r="L115" s="20" t="n">
        <v>6</v>
      </c>
      <c r="M115" s="20" t="n">
        <v>1</v>
      </c>
      <c r="N115" s="22" t="n">
        <f aca="false">IFERROR(M115/L115,0)</f>
        <v>0.166666666666667</v>
      </c>
      <c r="O115" s="24" t="n">
        <v>1.95</v>
      </c>
      <c r="P115" s="14" t="n">
        <f aca="false">IFERROR(O115/M115,0)</f>
        <v>1.95</v>
      </c>
      <c r="Q115" s="20" t="n">
        <v>0</v>
      </c>
      <c r="R115" s="24" t="n">
        <v>0</v>
      </c>
      <c r="S115" s="8" t="n">
        <f aca="false">IFERROR(O115/R115,0)</f>
        <v>0</v>
      </c>
      <c r="T115" s="8" t="n">
        <f aca="false">IFERROR(Q115/M115,0)</f>
        <v>0</v>
      </c>
    </row>
    <row r="116" customFormat="false" ht="15" hidden="false" customHeight="false" outlineLevel="0" collapsed="false">
      <c r="A116" s="17" t="s">
        <v>17</v>
      </c>
      <c r="B116" s="17" t="s">
        <v>937</v>
      </c>
      <c r="C116" s="17" t="s">
        <v>938</v>
      </c>
      <c r="D116" s="21" t="s">
        <v>34</v>
      </c>
      <c r="E116" s="17" t="s">
        <v>293</v>
      </c>
      <c r="F116" s="17"/>
      <c r="G116" s="17"/>
      <c r="H116" s="17"/>
      <c r="I116" s="17" t="s">
        <v>65</v>
      </c>
      <c r="J116" s="17"/>
      <c r="K116" s="17" t="s">
        <v>59</v>
      </c>
      <c r="L116" s="20" t="n">
        <v>250</v>
      </c>
      <c r="M116" s="20" t="n">
        <v>3</v>
      </c>
      <c r="N116" s="22" t="n">
        <f aca="false">IFERROR(M116/L116,0)</f>
        <v>0.012</v>
      </c>
      <c r="O116" s="24" t="n">
        <v>1.93</v>
      </c>
      <c r="P116" s="14" t="n">
        <f aca="false">IFERROR(O116/M116,0)</f>
        <v>0.643333333333333</v>
      </c>
      <c r="Q116" s="20" t="n">
        <v>0</v>
      </c>
      <c r="R116" s="24" t="n">
        <v>0</v>
      </c>
      <c r="S116" s="8" t="n">
        <f aca="false">IFERROR(O116/R116,0)</f>
        <v>0</v>
      </c>
      <c r="T116" s="8" t="n">
        <f aca="false">IFERROR(Q116/M116,0)</f>
        <v>0</v>
      </c>
    </row>
    <row r="117" customFormat="false" ht="15" hidden="false" customHeight="false" outlineLevel="0" collapsed="false">
      <c r="A117" s="17" t="s">
        <v>17</v>
      </c>
      <c r="B117" s="17" t="s">
        <v>939</v>
      </c>
      <c r="C117" s="17" t="s">
        <v>940</v>
      </c>
      <c r="D117" s="17" t="s">
        <v>28</v>
      </c>
      <c r="E117" s="17" t="s">
        <v>297</v>
      </c>
      <c r="F117" s="17" t="s">
        <v>28</v>
      </c>
      <c r="G117" s="17" t="s">
        <v>145</v>
      </c>
      <c r="H117" s="23" t="s">
        <v>65</v>
      </c>
      <c r="I117" s="17" t="s">
        <v>65</v>
      </c>
      <c r="J117" s="17"/>
      <c r="K117" s="17" t="s">
        <v>59</v>
      </c>
      <c r="L117" s="20" t="n">
        <v>25</v>
      </c>
      <c r="M117" s="20" t="n">
        <v>1</v>
      </c>
      <c r="N117" s="22" t="n">
        <f aca="false">IFERROR(M117/L117,0)</f>
        <v>0.04</v>
      </c>
      <c r="O117" s="24" t="n">
        <v>1.63</v>
      </c>
      <c r="P117" s="14" t="n">
        <f aca="false">IFERROR(O117/M117,0)</f>
        <v>1.63</v>
      </c>
      <c r="Q117" s="20" t="n">
        <v>0</v>
      </c>
      <c r="R117" s="24" t="n">
        <v>0</v>
      </c>
      <c r="S117" s="8" t="n">
        <f aca="false">IFERROR(O117/R117,0)</f>
        <v>0</v>
      </c>
      <c r="T117" s="8" t="n">
        <f aca="false">IFERROR(Q117/M117,0)</f>
        <v>0</v>
      </c>
    </row>
    <row r="118" customFormat="false" ht="15" hidden="false" customHeight="false" outlineLevel="0" collapsed="false">
      <c r="A118" s="17" t="s">
        <v>17</v>
      </c>
      <c r="B118" s="17" t="s">
        <v>941</v>
      </c>
      <c r="C118" s="17" t="s">
        <v>942</v>
      </c>
      <c r="D118" s="17" t="s">
        <v>29</v>
      </c>
      <c r="E118" s="17" t="s">
        <v>297</v>
      </c>
      <c r="F118" s="17"/>
      <c r="G118" s="17" t="s">
        <v>901</v>
      </c>
      <c r="H118" s="23" t="s">
        <v>65</v>
      </c>
      <c r="I118" s="17" t="s">
        <v>65</v>
      </c>
      <c r="J118" s="17"/>
      <c r="K118" s="17" t="s">
        <v>59</v>
      </c>
      <c r="L118" s="20" t="n">
        <v>610</v>
      </c>
      <c r="M118" s="20" t="n">
        <v>1</v>
      </c>
      <c r="N118" s="22" t="n">
        <f aca="false">IFERROR(M118/L118,0)</f>
        <v>0.00163934426229508</v>
      </c>
      <c r="O118" s="24" t="n">
        <v>1.55</v>
      </c>
      <c r="P118" s="14" t="n">
        <f aca="false">IFERROR(O118/M118,0)</f>
        <v>1.55</v>
      </c>
      <c r="Q118" s="20" t="n">
        <v>1</v>
      </c>
      <c r="R118" s="24" t="n">
        <v>42.23</v>
      </c>
      <c r="S118" s="8" t="n">
        <f aca="false">IFERROR(O118/R118,0)</f>
        <v>0.0367037650959034</v>
      </c>
      <c r="T118" s="8" t="n">
        <f aca="false">IFERROR(Q118/M118,0)</f>
        <v>1</v>
      </c>
    </row>
    <row r="119" customFormat="false" ht="15" hidden="false" customHeight="false" outlineLevel="0" collapsed="false">
      <c r="A119" s="17" t="s">
        <v>17</v>
      </c>
      <c r="B119" s="17" t="s">
        <v>943</v>
      </c>
      <c r="C119" s="17" t="s">
        <v>944</v>
      </c>
      <c r="D119" s="17" t="s">
        <v>29</v>
      </c>
      <c r="E119" s="17" t="s">
        <v>297</v>
      </c>
      <c r="F119" s="17"/>
      <c r="G119" s="17" t="s">
        <v>688</v>
      </c>
      <c r="H119" s="18" t="s">
        <v>59</v>
      </c>
      <c r="I119" s="17" t="s">
        <v>65</v>
      </c>
      <c r="J119" s="17"/>
      <c r="K119" s="17" t="s">
        <v>59</v>
      </c>
      <c r="L119" s="20" t="n">
        <v>17</v>
      </c>
      <c r="M119" s="20" t="n">
        <v>1</v>
      </c>
      <c r="N119" s="22" t="n">
        <f aca="false">IFERROR(M119/L119,0)</f>
        <v>0.0588235294117647</v>
      </c>
      <c r="O119" s="24" t="n">
        <v>1.3</v>
      </c>
      <c r="P119" s="14" t="n">
        <f aca="false">IFERROR(O119/M119,0)</f>
        <v>1.3</v>
      </c>
      <c r="Q119" s="20" t="n">
        <v>0</v>
      </c>
      <c r="R119" s="24" t="n">
        <v>0</v>
      </c>
      <c r="S119" s="8" t="n">
        <f aca="false">IFERROR(O119/R119,0)</f>
        <v>0</v>
      </c>
      <c r="T119" s="8" t="n">
        <f aca="false">IFERROR(Q119/M119,0)</f>
        <v>0</v>
      </c>
    </row>
    <row r="120" customFormat="false" ht="15" hidden="false" customHeight="false" outlineLevel="0" collapsed="false">
      <c r="A120" s="17" t="s">
        <v>17</v>
      </c>
      <c r="B120" s="17" t="s">
        <v>945</v>
      </c>
      <c r="C120" s="17" t="s">
        <v>946</v>
      </c>
      <c r="D120" s="23" t="s">
        <v>32</v>
      </c>
      <c r="E120" s="17" t="s">
        <v>285</v>
      </c>
      <c r="F120" s="17" t="s">
        <v>288</v>
      </c>
      <c r="G120" s="17" t="s">
        <v>145</v>
      </c>
      <c r="H120" s="23" t="s">
        <v>65</v>
      </c>
      <c r="I120" s="17" t="s">
        <v>65</v>
      </c>
      <c r="J120" s="17"/>
      <c r="K120" s="17" t="s">
        <v>59</v>
      </c>
      <c r="L120" s="20" t="n">
        <v>92</v>
      </c>
      <c r="M120" s="20" t="n">
        <v>1</v>
      </c>
      <c r="N120" s="22" t="n">
        <f aca="false">IFERROR(M120/L120,0)</f>
        <v>0.0108695652173913</v>
      </c>
      <c r="O120" s="24" t="n">
        <v>1.21</v>
      </c>
      <c r="P120" s="14" t="n">
        <f aca="false">IFERROR(O120/M120,0)</f>
        <v>1.21</v>
      </c>
      <c r="Q120" s="20" t="n">
        <v>0</v>
      </c>
      <c r="R120" s="24" t="n">
        <v>0</v>
      </c>
      <c r="S120" s="8" t="n">
        <f aca="false">IFERROR(O120/R120,0)</f>
        <v>0</v>
      </c>
      <c r="T120" s="8" t="n">
        <f aca="false">IFERROR(Q120/M120,0)</f>
        <v>0</v>
      </c>
    </row>
    <row r="121" customFormat="false" ht="15" hidden="false" customHeight="false" outlineLevel="0" collapsed="false">
      <c r="A121" s="17" t="s">
        <v>17</v>
      </c>
      <c r="B121" s="17" t="s">
        <v>947</v>
      </c>
      <c r="C121" s="17" t="s">
        <v>948</v>
      </c>
      <c r="D121" s="17" t="s">
        <v>29</v>
      </c>
      <c r="E121" s="17" t="s">
        <v>297</v>
      </c>
      <c r="F121" s="17" t="s">
        <v>301</v>
      </c>
      <c r="G121" s="17" t="s">
        <v>142</v>
      </c>
      <c r="H121" s="18" t="s">
        <v>59</v>
      </c>
      <c r="I121" s="17" t="s">
        <v>65</v>
      </c>
      <c r="J121" s="17"/>
      <c r="K121" s="17" t="s">
        <v>59</v>
      </c>
      <c r="L121" s="20" t="n">
        <v>6</v>
      </c>
      <c r="M121" s="20" t="n">
        <v>6</v>
      </c>
      <c r="N121" s="22" t="n">
        <f aca="false">IFERROR(M121/L121,0)</f>
        <v>1</v>
      </c>
      <c r="O121" s="24" t="n">
        <v>1.14</v>
      </c>
      <c r="P121" s="14" t="n">
        <f aca="false">IFERROR(O121/M121,0)</f>
        <v>0.19</v>
      </c>
      <c r="Q121" s="20" t="n">
        <v>0</v>
      </c>
      <c r="R121" s="24" t="n">
        <v>0</v>
      </c>
      <c r="S121" s="8" t="n">
        <f aca="false">IFERROR(O121/R121,0)</f>
        <v>0</v>
      </c>
      <c r="T121" s="8" t="n">
        <f aca="false">IFERROR(Q121/M121,0)</f>
        <v>0</v>
      </c>
    </row>
    <row r="122" customFormat="false" ht="15" hidden="false" customHeight="false" outlineLevel="0" collapsed="false">
      <c r="A122" s="17" t="s">
        <v>17</v>
      </c>
      <c r="B122" s="17" t="s">
        <v>949</v>
      </c>
      <c r="C122" s="17" t="s">
        <v>950</v>
      </c>
      <c r="D122" s="17" t="s">
        <v>28</v>
      </c>
      <c r="E122" s="17" t="s">
        <v>297</v>
      </c>
      <c r="F122" s="17" t="s">
        <v>28</v>
      </c>
      <c r="G122" s="17" t="s">
        <v>161</v>
      </c>
      <c r="H122" s="18" t="s">
        <v>59</v>
      </c>
      <c r="I122" s="17" t="s">
        <v>65</v>
      </c>
      <c r="J122" s="17"/>
      <c r="K122" s="17" t="s">
        <v>59</v>
      </c>
      <c r="L122" s="20" t="n">
        <v>11</v>
      </c>
      <c r="M122" s="20" t="n">
        <v>1</v>
      </c>
      <c r="N122" s="22" t="n">
        <f aca="false">IFERROR(M122/L122,0)</f>
        <v>0.0909090909090909</v>
      </c>
      <c r="O122" s="24" t="n">
        <v>0.81</v>
      </c>
      <c r="P122" s="14" t="n">
        <f aca="false">IFERROR(O122/M122,0)</f>
        <v>0.81</v>
      </c>
      <c r="Q122" s="20" t="n">
        <v>0</v>
      </c>
      <c r="R122" s="24" t="n">
        <v>0</v>
      </c>
      <c r="S122" s="8" t="n">
        <f aca="false">IFERROR(O122/R122,0)</f>
        <v>0</v>
      </c>
      <c r="T122" s="8" t="n">
        <f aca="false">IFERROR(Q122/M122,0)</f>
        <v>0</v>
      </c>
    </row>
    <row r="123" customFormat="false" ht="15" hidden="false" customHeight="false" outlineLevel="0" collapsed="false">
      <c r="A123" s="17" t="s">
        <v>17</v>
      </c>
      <c r="B123" s="17" t="s">
        <v>951</v>
      </c>
      <c r="C123" s="17" t="s">
        <v>952</v>
      </c>
      <c r="D123" s="17" t="s">
        <v>28</v>
      </c>
      <c r="E123" s="17" t="s">
        <v>297</v>
      </c>
      <c r="F123" s="17" t="s">
        <v>28</v>
      </c>
      <c r="G123" s="17" t="s">
        <v>139</v>
      </c>
      <c r="H123" s="18" t="s">
        <v>59</v>
      </c>
      <c r="I123" s="17" t="s">
        <v>65</v>
      </c>
      <c r="J123" s="17"/>
      <c r="K123" s="17" t="s">
        <v>59</v>
      </c>
      <c r="L123" s="20" t="n">
        <v>11</v>
      </c>
      <c r="M123" s="20" t="n">
        <v>1</v>
      </c>
      <c r="N123" s="22" t="n">
        <f aca="false">IFERROR(M123/L123,0)</f>
        <v>0.0909090909090909</v>
      </c>
      <c r="O123" s="24" t="n">
        <v>0.7</v>
      </c>
      <c r="P123" s="14" t="n">
        <f aca="false">IFERROR(O123/M123,0)</f>
        <v>0.7</v>
      </c>
      <c r="Q123" s="20" t="n">
        <v>0</v>
      </c>
      <c r="R123" s="24" t="n">
        <v>0</v>
      </c>
      <c r="S123" s="8" t="n">
        <f aca="false">IFERROR(O123/R123,0)</f>
        <v>0</v>
      </c>
      <c r="T123" s="8" t="n">
        <f aca="false">IFERROR(Q123/M123,0)</f>
        <v>0</v>
      </c>
    </row>
    <row r="124" customFormat="false" ht="15" hidden="false" customHeight="false" outlineLevel="0" collapsed="false">
      <c r="A124" s="17" t="s">
        <v>17</v>
      </c>
      <c r="B124" s="17" t="s">
        <v>953</v>
      </c>
      <c r="C124" s="17" t="s">
        <v>954</v>
      </c>
      <c r="D124" s="21" t="s">
        <v>34</v>
      </c>
      <c r="E124" s="17" t="s">
        <v>285</v>
      </c>
      <c r="F124" s="17" t="s">
        <v>314</v>
      </c>
      <c r="G124" s="17"/>
      <c r="H124" s="17"/>
      <c r="I124" s="17" t="s">
        <v>65</v>
      </c>
      <c r="J124" s="17"/>
      <c r="K124" s="17" t="s">
        <v>59</v>
      </c>
      <c r="L124" s="20" t="n">
        <v>1800</v>
      </c>
      <c r="M124" s="20" t="n">
        <v>2</v>
      </c>
      <c r="N124" s="22" t="n">
        <f aca="false">IFERROR(M124/L124,0)</f>
        <v>0.00111111111111111</v>
      </c>
      <c r="O124" s="24" t="n">
        <v>0.54</v>
      </c>
      <c r="P124" s="14" t="n">
        <f aca="false">IFERROR(O124/M124,0)</f>
        <v>0.27</v>
      </c>
      <c r="Q124" s="20" t="n">
        <v>0</v>
      </c>
      <c r="R124" s="24" t="n">
        <v>0</v>
      </c>
      <c r="S124" s="8" t="n">
        <f aca="false">IFERROR(O124/R124,0)</f>
        <v>0</v>
      </c>
      <c r="T124" s="8" t="n">
        <f aca="false">IFERROR(Q124/M124,0)</f>
        <v>0</v>
      </c>
    </row>
    <row r="125" customFormat="false" ht="15" hidden="false" customHeight="false" outlineLevel="0" collapsed="false">
      <c r="A125" s="17" t="s">
        <v>17</v>
      </c>
      <c r="B125" s="17" t="s">
        <v>955</v>
      </c>
      <c r="C125" s="17" t="s">
        <v>956</v>
      </c>
      <c r="D125" s="21" t="s">
        <v>34</v>
      </c>
      <c r="E125" s="17" t="s">
        <v>285</v>
      </c>
      <c r="F125" s="17" t="s">
        <v>314</v>
      </c>
      <c r="G125" s="17"/>
      <c r="H125" s="17"/>
      <c r="I125" s="17" t="s">
        <v>65</v>
      </c>
      <c r="J125" s="17"/>
      <c r="K125" s="17" t="s">
        <v>59</v>
      </c>
      <c r="L125" s="20" t="n">
        <v>22</v>
      </c>
      <c r="M125" s="20" t="n">
        <v>1</v>
      </c>
      <c r="N125" s="22" t="n">
        <f aca="false">IFERROR(M125/L125,0)</f>
        <v>0.0454545454545455</v>
      </c>
      <c r="O125" s="24" t="n">
        <v>0.15</v>
      </c>
      <c r="P125" s="14" t="n">
        <f aca="false">IFERROR(O125/M125,0)</f>
        <v>0.15</v>
      </c>
      <c r="Q125" s="20" t="n">
        <v>0</v>
      </c>
      <c r="R125" s="24" t="n">
        <v>0</v>
      </c>
      <c r="S125" s="8" t="n">
        <f aca="false">IFERROR(O125/R125,0)</f>
        <v>0</v>
      </c>
      <c r="T125" s="8" t="n">
        <f aca="false">IFERROR(Q125/M125,0)</f>
        <v>0</v>
      </c>
    </row>
    <row r="126" customFormat="false" ht="15" hidden="false" customHeight="false" outlineLevel="0" collapsed="false">
      <c r="A126" s="17" t="s">
        <v>21</v>
      </c>
      <c r="B126" s="17" t="s">
        <v>716</v>
      </c>
      <c r="C126" s="17" t="s">
        <v>717</v>
      </c>
      <c r="D126" s="21" t="s">
        <v>34</v>
      </c>
      <c r="E126" s="17" t="s">
        <v>285</v>
      </c>
      <c r="F126" s="17" t="s">
        <v>314</v>
      </c>
      <c r="G126" s="17"/>
      <c r="H126" s="17"/>
      <c r="I126" s="17" t="s">
        <v>59</v>
      </c>
      <c r="J126" s="17" t="s">
        <v>431</v>
      </c>
      <c r="K126" s="17" t="s">
        <v>65</v>
      </c>
      <c r="L126" s="20" t="n">
        <v>61980</v>
      </c>
      <c r="M126" s="20" t="n">
        <v>123</v>
      </c>
      <c r="N126" s="22" t="n">
        <f aca="false">IFERROR(M126/L126,0)</f>
        <v>0.00198451113262343</v>
      </c>
      <c r="O126" s="24" t="n">
        <v>123.09</v>
      </c>
      <c r="P126" s="14" t="n">
        <f aca="false">IFERROR(O126/M126,0)</f>
        <v>1.00073170731707</v>
      </c>
      <c r="Q126" s="20" t="n">
        <v>5</v>
      </c>
      <c r="R126" s="24" t="n">
        <v>303.79</v>
      </c>
      <c r="S126" s="8" t="n">
        <f aca="false">IFERROR(O126/R126,0)</f>
        <v>0.405181210704763</v>
      </c>
      <c r="T126" s="8" t="n">
        <f aca="false">IFERROR(Q126/M126,0)</f>
        <v>0.040650406504065</v>
      </c>
    </row>
    <row r="127" customFormat="false" ht="15" hidden="false" customHeight="false" outlineLevel="0" collapsed="false">
      <c r="A127" s="17" t="s">
        <v>21</v>
      </c>
      <c r="B127" s="17" t="s">
        <v>874</v>
      </c>
      <c r="C127" s="17" t="s">
        <v>875</v>
      </c>
      <c r="D127" s="21" t="s">
        <v>34</v>
      </c>
      <c r="E127" s="17" t="s">
        <v>285</v>
      </c>
      <c r="F127" s="17" t="s">
        <v>314</v>
      </c>
      <c r="G127" s="17"/>
      <c r="H127" s="17"/>
      <c r="I127" s="17" t="s">
        <v>59</v>
      </c>
      <c r="J127" s="17" t="s">
        <v>17</v>
      </c>
      <c r="K127" s="17" t="s">
        <v>65</v>
      </c>
      <c r="L127" s="20" t="n">
        <v>38286</v>
      </c>
      <c r="M127" s="20" t="n">
        <v>105</v>
      </c>
      <c r="N127" s="22" t="n">
        <f aca="false">IFERROR(M127/L127,0)</f>
        <v>0.0027425168468892</v>
      </c>
      <c r="O127" s="24" t="n">
        <v>100.9</v>
      </c>
      <c r="P127" s="14" t="n">
        <f aca="false">IFERROR(O127/M127,0)</f>
        <v>0.960952380952381</v>
      </c>
      <c r="Q127" s="20" t="n">
        <v>10</v>
      </c>
      <c r="R127" s="24" t="n">
        <v>435.99</v>
      </c>
      <c r="S127" s="8" t="n">
        <f aca="false">IFERROR(O127/R127,0)</f>
        <v>0.231427326314824</v>
      </c>
      <c r="T127" s="8" t="n">
        <f aca="false">IFERROR(Q127/M127,0)</f>
        <v>0.0952380952380952</v>
      </c>
    </row>
    <row r="128" customFormat="false" ht="15" hidden="false" customHeight="false" outlineLevel="0" collapsed="false">
      <c r="A128" s="17" t="s">
        <v>21</v>
      </c>
      <c r="B128" s="17" t="s">
        <v>957</v>
      </c>
      <c r="C128" s="17" t="s">
        <v>958</v>
      </c>
      <c r="D128" s="17" t="s">
        <v>28</v>
      </c>
      <c r="E128" s="17" t="s">
        <v>297</v>
      </c>
      <c r="F128" s="17" t="s">
        <v>28</v>
      </c>
      <c r="G128" s="17" t="s">
        <v>236</v>
      </c>
      <c r="H128" s="18" t="s">
        <v>59</v>
      </c>
      <c r="I128" s="17" t="s">
        <v>65</v>
      </c>
      <c r="J128" s="17"/>
      <c r="K128" s="17" t="s">
        <v>59</v>
      </c>
      <c r="L128" s="20" t="n">
        <v>2016</v>
      </c>
      <c r="M128" s="20" t="n">
        <v>13</v>
      </c>
      <c r="N128" s="22" t="n">
        <f aca="false">IFERROR(M128/L128,0)</f>
        <v>0.0064484126984127</v>
      </c>
      <c r="O128" s="24" t="n">
        <v>40.03</v>
      </c>
      <c r="P128" s="14" t="n">
        <f aca="false">IFERROR(O128/M128,0)</f>
        <v>3.07923076923077</v>
      </c>
      <c r="Q128" s="20" t="n">
        <v>4</v>
      </c>
      <c r="R128" s="24" t="n">
        <v>170.68</v>
      </c>
      <c r="S128" s="8" t="n">
        <f aca="false">IFERROR(O128/R128,0)</f>
        <v>0.234532458401687</v>
      </c>
      <c r="T128" s="8" t="n">
        <f aca="false">IFERROR(Q128/M128,0)</f>
        <v>0.307692307692308</v>
      </c>
    </row>
    <row r="129" customFormat="false" ht="15" hidden="false" customHeight="false" outlineLevel="0" collapsed="false">
      <c r="A129" s="17" t="s">
        <v>21</v>
      </c>
      <c r="B129" s="17" t="s">
        <v>959</v>
      </c>
      <c r="C129" s="17" t="s">
        <v>960</v>
      </c>
      <c r="D129" s="17" t="s">
        <v>31</v>
      </c>
      <c r="E129" s="17" t="s">
        <v>293</v>
      </c>
      <c r="F129" s="17"/>
      <c r="G129" s="17" t="s">
        <v>236</v>
      </c>
      <c r="H129" s="18" t="s">
        <v>59</v>
      </c>
      <c r="I129" s="17" t="s">
        <v>65</v>
      </c>
      <c r="J129" s="17"/>
      <c r="K129" s="17" t="s">
        <v>59</v>
      </c>
      <c r="L129" s="20" t="n">
        <v>536</v>
      </c>
      <c r="M129" s="20" t="n">
        <v>13</v>
      </c>
      <c r="N129" s="22" t="n">
        <f aca="false">IFERROR(M129/L129,0)</f>
        <v>0.0242537313432836</v>
      </c>
      <c r="O129" s="24" t="n">
        <v>21.14</v>
      </c>
      <c r="P129" s="14" t="n">
        <f aca="false">IFERROR(O129/M129,0)</f>
        <v>1.62615384615385</v>
      </c>
      <c r="Q129" s="20" t="n">
        <v>3</v>
      </c>
      <c r="R129" s="24" t="n">
        <v>125.97</v>
      </c>
      <c r="S129" s="8" t="n">
        <f aca="false">IFERROR(O129/R129,0)</f>
        <v>0.167817734381202</v>
      </c>
      <c r="T129" s="8" t="n">
        <f aca="false">IFERROR(Q129/M129,0)</f>
        <v>0.230769230769231</v>
      </c>
    </row>
    <row r="130" customFormat="false" ht="15" hidden="false" customHeight="false" outlineLevel="0" collapsed="false">
      <c r="A130" s="17" t="s">
        <v>21</v>
      </c>
      <c r="B130" s="17" t="s">
        <v>961</v>
      </c>
      <c r="C130" s="17" t="s">
        <v>962</v>
      </c>
      <c r="D130" s="21" t="s">
        <v>34</v>
      </c>
      <c r="E130" s="17" t="s">
        <v>285</v>
      </c>
      <c r="F130" s="17"/>
      <c r="G130" s="17"/>
      <c r="H130" s="17"/>
      <c r="I130" s="17" t="s">
        <v>65</v>
      </c>
      <c r="J130" s="17"/>
      <c r="K130" s="17" t="s">
        <v>59</v>
      </c>
      <c r="L130" s="20" t="n">
        <v>5101</v>
      </c>
      <c r="M130" s="20" t="n">
        <v>33</v>
      </c>
      <c r="N130" s="22" t="n">
        <f aca="false">IFERROR(M130/L130,0)</f>
        <v>0.00646931974122721</v>
      </c>
      <c r="O130" s="24" t="n">
        <v>18.13</v>
      </c>
      <c r="P130" s="14" t="n">
        <f aca="false">IFERROR(O130/M130,0)</f>
        <v>0.549393939393939</v>
      </c>
      <c r="Q130" s="20" t="n">
        <v>3</v>
      </c>
      <c r="R130" s="24" t="n">
        <v>126.69</v>
      </c>
      <c r="S130" s="8" t="n">
        <f aca="false">IFERROR(O130/R130,0)</f>
        <v>0.143105217459942</v>
      </c>
      <c r="T130" s="8" t="n">
        <f aca="false">IFERROR(Q130/M130,0)</f>
        <v>0.0909090909090909</v>
      </c>
    </row>
    <row r="131" customFormat="false" ht="15" hidden="false" customHeight="false" outlineLevel="0" collapsed="false">
      <c r="A131" s="17" t="s">
        <v>21</v>
      </c>
      <c r="B131" s="17" t="s">
        <v>963</v>
      </c>
      <c r="C131" s="17" t="s">
        <v>964</v>
      </c>
      <c r="D131" s="21" t="s">
        <v>34</v>
      </c>
      <c r="E131" s="17" t="s">
        <v>293</v>
      </c>
      <c r="F131" s="17"/>
      <c r="G131" s="17"/>
      <c r="H131" s="17"/>
      <c r="I131" s="17" t="s">
        <v>65</v>
      </c>
      <c r="J131" s="17"/>
      <c r="K131" s="17" t="s">
        <v>59</v>
      </c>
      <c r="L131" s="20" t="n">
        <v>1932</v>
      </c>
      <c r="M131" s="20" t="n">
        <v>29</v>
      </c>
      <c r="N131" s="22" t="n">
        <f aca="false">IFERROR(M131/L131,0)</f>
        <v>0.0150103519668737</v>
      </c>
      <c r="O131" s="24" t="n">
        <v>16.02</v>
      </c>
      <c r="P131" s="14" t="n">
        <f aca="false">IFERROR(O131/M131,0)</f>
        <v>0.552413793103448</v>
      </c>
      <c r="Q131" s="20" t="n">
        <v>5</v>
      </c>
      <c r="R131" s="24" t="n">
        <v>208.99</v>
      </c>
      <c r="S131" s="8" t="n">
        <f aca="false">IFERROR(O131/R131,0)</f>
        <v>0.0766543853772908</v>
      </c>
      <c r="T131" s="8" t="n">
        <f aca="false">IFERROR(Q131/M131,0)</f>
        <v>0.172413793103448</v>
      </c>
    </row>
    <row r="132" customFormat="false" ht="15" hidden="false" customHeight="false" outlineLevel="0" collapsed="false">
      <c r="A132" s="17" t="s">
        <v>21</v>
      </c>
      <c r="B132" s="17" t="s">
        <v>965</v>
      </c>
      <c r="C132" s="17" t="s">
        <v>966</v>
      </c>
      <c r="D132" s="17" t="s">
        <v>29</v>
      </c>
      <c r="E132" s="17" t="s">
        <v>297</v>
      </c>
      <c r="F132" s="17" t="s">
        <v>301</v>
      </c>
      <c r="G132" s="17" t="s">
        <v>237</v>
      </c>
      <c r="H132" s="23" t="s">
        <v>65</v>
      </c>
      <c r="I132" s="17" t="s">
        <v>65</v>
      </c>
      <c r="J132" s="17"/>
      <c r="K132" s="17" t="s">
        <v>59</v>
      </c>
      <c r="L132" s="20" t="n">
        <v>641</v>
      </c>
      <c r="M132" s="20" t="n">
        <v>16</v>
      </c>
      <c r="N132" s="22" t="n">
        <f aca="false">IFERROR(M132/L132,0)</f>
        <v>0.0249609984399376</v>
      </c>
      <c r="O132" s="24" t="n">
        <v>14.84</v>
      </c>
      <c r="P132" s="14" t="n">
        <f aca="false">IFERROR(O132/M132,0)</f>
        <v>0.9275</v>
      </c>
      <c r="Q132" s="20" t="n">
        <v>2</v>
      </c>
      <c r="R132" s="24" t="n">
        <v>93.98</v>
      </c>
      <c r="S132" s="8" t="n">
        <f aca="false">IFERROR(O132/R132,0)</f>
        <v>0.157905937433496</v>
      </c>
      <c r="T132" s="8" t="n">
        <f aca="false">IFERROR(Q132/M132,0)</f>
        <v>0.125</v>
      </c>
    </row>
    <row r="133" customFormat="false" ht="15" hidden="false" customHeight="false" outlineLevel="0" collapsed="false">
      <c r="A133" s="17" t="s">
        <v>21</v>
      </c>
      <c r="B133" s="17" t="s">
        <v>967</v>
      </c>
      <c r="C133" s="17" t="s">
        <v>968</v>
      </c>
      <c r="D133" s="17" t="s">
        <v>31</v>
      </c>
      <c r="E133" s="17" t="s">
        <v>293</v>
      </c>
      <c r="F133" s="17"/>
      <c r="G133" s="17" t="s">
        <v>236</v>
      </c>
      <c r="H133" s="18" t="s">
        <v>59</v>
      </c>
      <c r="I133" s="17" t="s">
        <v>65</v>
      </c>
      <c r="J133" s="17"/>
      <c r="K133" s="17" t="s">
        <v>59</v>
      </c>
      <c r="L133" s="20" t="n">
        <v>496</v>
      </c>
      <c r="M133" s="20" t="n">
        <v>9</v>
      </c>
      <c r="N133" s="22" t="n">
        <f aca="false">IFERROR(M133/L133,0)</f>
        <v>0.0181451612903226</v>
      </c>
      <c r="O133" s="24" t="n">
        <v>14.77</v>
      </c>
      <c r="P133" s="14" t="n">
        <f aca="false">IFERROR(O133/M133,0)</f>
        <v>1.64111111111111</v>
      </c>
      <c r="Q133" s="20" t="n">
        <v>1</v>
      </c>
      <c r="R133" s="24" t="n">
        <v>40.79</v>
      </c>
      <c r="S133" s="8" t="n">
        <f aca="false">IFERROR(O133/R133,0)</f>
        <v>0.362098553567051</v>
      </c>
      <c r="T133" s="8" t="n">
        <f aca="false">IFERROR(Q133/M133,0)</f>
        <v>0.111111111111111</v>
      </c>
    </row>
    <row r="134" customFormat="false" ht="15" hidden="false" customHeight="false" outlineLevel="0" collapsed="false">
      <c r="A134" s="17" t="s">
        <v>21</v>
      </c>
      <c r="B134" s="17" t="s">
        <v>969</v>
      </c>
      <c r="C134" s="17" t="s">
        <v>970</v>
      </c>
      <c r="D134" s="21" t="s">
        <v>34</v>
      </c>
      <c r="E134" s="17" t="s">
        <v>285</v>
      </c>
      <c r="F134" s="17" t="s">
        <v>314</v>
      </c>
      <c r="G134" s="17"/>
      <c r="H134" s="17"/>
      <c r="I134" s="17" t="s">
        <v>65</v>
      </c>
      <c r="J134" s="17"/>
      <c r="K134" s="17" t="s">
        <v>59</v>
      </c>
      <c r="L134" s="20" t="n">
        <v>9007</v>
      </c>
      <c r="M134" s="20" t="n">
        <v>8</v>
      </c>
      <c r="N134" s="22" t="n">
        <f aca="false">IFERROR(M134/L134,0)</f>
        <v>0.000888198068169202</v>
      </c>
      <c r="O134" s="24" t="n">
        <v>12.19</v>
      </c>
      <c r="P134" s="14" t="n">
        <f aca="false">IFERROR(O134/M134,0)</f>
        <v>1.52375</v>
      </c>
      <c r="Q134" s="20" t="n">
        <v>0</v>
      </c>
      <c r="R134" s="24" t="n">
        <v>0</v>
      </c>
      <c r="S134" s="8" t="n">
        <f aca="false">IFERROR(O134/R134,0)</f>
        <v>0</v>
      </c>
      <c r="T134" s="8" t="n">
        <f aca="false">IFERROR(Q134/M134,0)</f>
        <v>0</v>
      </c>
    </row>
    <row r="135" customFormat="false" ht="15" hidden="false" customHeight="false" outlineLevel="0" collapsed="false">
      <c r="A135" s="17" t="s">
        <v>21</v>
      </c>
      <c r="B135" s="17" t="s">
        <v>971</v>
      </c>
      <c r="C135" s="17" t="s">
        <v>972</v>
      </c>
      <c r="D135" s="17" t="s">
        <v>29</v>
      </c>
      <c r="E135" s="17" t="s">
        <v>297</v>
      </c>
      <c r="F135" s="17" t="s">
        <v>301</v>
      </c>
      <c r="G135" s="17" t="s">
        <v>237</v>
      </c>
      <c r="H135" s="23" t="s">
        <v>65</v>
      </c>
      <c r="I135" s="17" t="s">
        <v>65</v>
      </c>
      <c r="J135" s="17"/>
      <c r="K135" s="17" t="s">
        <v>59</v>
      </c>
      <c r="L135" s="20" t="n">
        <v>321</v>
      </c>
      <c r="M135" s="20" t="n">
        <v>12</v>
      </c>
      <c r="N135" s="22" t="n">
        <f aca="false">IFERROR(M135/L135,0)</f>
        <v>0.0373831775700935</v>
      </c>
      <c r="O135" s="24" t="n">
        <v>10.36</v>
      </c>
      <c r="P135" s="14" t="n">
        <f aca="false">IFERROR(O135/M135,0)</f>
        <v>0.863333333333333</v>
      </c>
      <c r="Q135" s="20" t="n">
        <v>2</v>
      </c>
      <c r="R135" s="24" t="n">
        <v>86.78</v>
      </c>
      <c r="S135" s="8" t="n">
        <f aca="false">IFERROR(O135/R135,0)</f>
        <v>0.11938234616271</v>
      </c>
      <c r="T135" s="8" t="n">
        <f aca="false">IFERROR(Q135/M135,0)</f>
        <v>0.166666666666667</v>
      </c>
    </row>
    <row r="136" customFormat="false" ht="15" hidden="false" customHeight="false" outlineLevel="0" collapsed="false">
      <c r="A136" s="17" t="s">
        <v>21</v>
      </c>
      <c r="B136" s="17" t="s">
        <v>973</v>
      </c>
      <c r="C136" s="17" t="s">
        <v>974</v>
      </c>
      <c r="D136" s="17" t="s">
        <v>29</v>
      </c>
      <c r="E136" s="17" t="s">
        <v>297</v>
      </c>
      <c r="F136" s="17" t="s">
        <v>301</v>
      </c>
      <c r="G136" s="17" t="s">
        <v>241</v>
      </c>
      <c r="H136" s="23" t="s">
        <v>65</v>
      </c>
      <c r="I136" s="17" t="s">
        <v>65</v>
      </c>
      <c r="J136" s="17"/>
      <c r="K136" s="17" t="s">
        <v>59</v>
      </c>
      <c r="L136" s="20" t="n">
        <v>714</v>
      </c>
      <c r="M136" s="20" t="n">
        <v>6</v>
      </c>
      <c r="N136" s="22" t="n">
        <f aca="false">IFERROR(M136/L136,0)</f>
        <v>0.00840336134453782</v>
      </c>
      <c r="O136" s="24" t="n">
        <v>10.11</v>
      </c>
      <c r="P136" s="14" t="n">
        <f aca="false">IFERROR(O136/M136,0)</f>
        <v>1.685</v>
      </c>
      <c r="Q136" s="20" t="n">
        <v>0</v>
      </c>
      <c r="R136" s="24" t="n">
        <v>0</v>
      </c>
      <c r="S136" s="8" t="n">
        <f aca="false">IFERROR(O136/R136,0)</f>
        <v>0</v>
      </c>
      <c r="T136" s="8" t="n">
        <f aca="false">IFERROR(Q136/M136,0)</f>
        <v>0</v>
      </c>
    </row>
    <row r="137" customFormat="false" ht="15" hidden="false" customHeight="false" outlineLevel="0" collapsed="false">
      <c r="A137" s="17" t="s">
        <v>21</v>
      </c>
      <c r="B137" s="17" t="s">
        <v>909</v>
      </c>
      <c r="C137" s="17" t="s">
        <v>910</v>
      </c>
      <c r="D137" s="21" t="s">
        <v>34</v>
      </c>
      <c r="E137" s="17" t="s">
        <v>285</v>
      </c>
      <c r="F137" s="17" t="s">
        <v>314</v>
      </c>
      <c r="G137" s="17"/>
      <c r="H137" s="17"/>
      <c r="I137" s="17" t="s">
        <v>59</v>
      </c>
      <c r="J137" s="17" t="s">
        <v>17</v>
      </c>
      <c r="K137" s="17" t="s">
        <v>65</v>
      </c>
      <c r="L137" s="20" t="n">
        <v>2339</v>
      </c>
      <c r="M137" s="20" t="n">
        <v>10</v>
      </c>
      <c r="N137" s="22" t="n">
        <f aca="false">IFERROR(M137/L137,0)</f>
        <v>0.00427533133817871</v>
      </c>
      <c r="O137" s="24" t="n">
        <v>4.44</v>
      </c>
      <c r="P137" s="14" t="n">
        <f aca="false">IFERROR(O137/M137,0)</f>
        <v>0.444</v>
      </c>
      <c r="Q137" s="20" t="n">
        <v>0</v>
      </c>
      <c r="R137" s="24" t="n">
        <v>0</v>
      </c>
      <c r="S137" s="8" t="n">
        <f aca="false">IFERROR(O137/R137,0)</f>
        <v>0</v>
      </c>
      <c r="T137" s="8" t="n">
        <f aca="false">IFERROR(Q137/M137,0)</f>
        <v>0</v>
      </c>
    </row>
    <row r="138" customFormat="false" ht="15" hidden="false" customHeight="false" outlineLevel="0" collapsed="false">
      <c r="A138" s="17" t="s">
        <v>21</v>
      </c>
      <c r="B138" s="17" t="s">
        <v>975</v>
      </c>
      <c r="C138" s="17" t="s">
        <v>976</v>
      </c>
      <c r="D138" s="17" t="s">
        <v>28</v>
      </c>
      <c r="E138" s="17" t="s">
        <v>297</v>
      </c>
      <c r="F138" s="17" t="s">
        <v>28</v>
      </c>
      <c r="G138" s="17" t="s">
        <v>236</v>
      </c>
      <c r="H138" s="18" t="s">
        <v>59</v>
      </c>
      <c r="I138" s="17" t="s">
        <v>65</v>
      </c>
      <c r="J138" s="17"/>
      <c r="K138" s="17" t="s">
        <v>59</v>
      </c>
      <c r="L138" s="20" t="n">
        <v>368</v>
      </c>
      <c r="M138" s="20" t="n">
        <v>2</v>
      </c>
      <c r="N138" s="22" t="n">
        <f aca="false">IFERROR(M138/L138,0)</f>
        <v>0.00543478260869565</v>
      </c>
      <c r="O138" s="24" t="n">
        <v>3.68</v>
      </c>
      <c r="P138" s="14" t="n">
        <f aca="false">IFERROR(O138/M138,0)</f>
        <v>1.84</v>
      </c>
      <c r="Q138" s="20" t="n">
        <v>0</v>
      </c>
      <c r="R138" s="24" t="n">
        <v>0</v>
      </c>
      <c r="S138" s="8" t="n">
        <f aca="false">IFERROR(O138/R138,0)</f>
        <v>0</v>
      </c>
      <c r="T138" s="8" t="n">
        <f aca="false">IFERROR(Q138/M138,0)</f>
        <v>0</v>
      </c>
    </row>
    <row r="139" customFormat="false" ht="15" hidden="false" customHeight="false" outlineLevel="0" collapsed="false">
      <c r="A139" s="17" t="s">
        <v>21</v>
      </c>
      <c r="B139" s="17" t="s">
        <v>977</v>
      </c>
      <c r="C139" s="17" t="s">
        <v>978</v>
      </c>
      <c r="D139" s="17" t="s">
        <v>29</v>
      </c>
      <c r="E139" s="17" t="s">
        <v>297</v>
      </c>
      <c r="F139" s="17"/>
      <c r="G139" s="17" t="s">
        <v>979</v>
      </c>
      <c r="H139" s="18" t="s">
        <v>59</v>
      </c>
      <c r="I139" s="17" t="s">
        <v>65</v>
      </c>
      <c r="J139" s="17"/>
      <c r="K139" s="17" t="s">
        <v>59</v>
      </c>
      <c r="L139" s="20" t="n">
        <v>536</v>
      </c>
      <c r="M139" s="20" t="n">
        <v>2</v>
      </c>
      <c r="N139" s="22" t="n">
        <f aca="false">IFERROR(M139/L139,0)</f>
        <v>0.00373134328358209</v>
      </c>
      <c r="O139" s="24" t="n">
        <v>3.36</v>
      </c>
      <c r="P139" s="14" t="n">
        <f aca="false">IFERROR(O139/M139,0)</f>
        <v>1.68</v>
      </c>
      <c r="Q139" s="20" t="n">
        <v>0</v>
      </c>
      <c r="R139" s="24" t="n">
        <v>0</v>
      </c>
      <c r="S139" s="8" t="n">
        <f aca="false">IFERROR(O139/R139,0)</f>
        <v>0</v>
      </c>
      <c r="T139" s="8" t="n">
        <f aca="false">IFERROR(Q139/M139,0)</f>
        <v>0</v>
      </c>
    </row>
    <row r="140" customFormat="false" ht="15" hidden="false" customHeight="false" outlineLevel="0" collapsed="false">
      <c r="A140" s="17" t="s">
        <v>21</v>
      </c>
      <c r="B140" s="17" t="s">
        <v>980</v>
      </c>
      <c r="C140" s="17" t="s">
        <v>981</v>
      </c>
      <c r="D140" s="17" t="s">
        <v>28</v>
      </c>
      <c r="E140" s="17" t="s">
        <v>293</v>
      </c>
      <c r="F140" s="17" t="s">
        <v>28</v>
      </c>
      <c r="G140" s="17"/>
      <c r="H140" s="17"/>
      <c r="I140" s="17" t="s">
        <v>65</v>
      </c>
      <c r="J140" s="17"/>
      <c r="K140" s="17" t="s">
        <v>59</v>
      </c>
      <c r="L140" s="20" t="n">
        <v>56</v>
      </c>
      <c r="M140" s="20" t="n">
        <v>4</v>
      </c>
      <c r="N140" s="22" t="n">
        <f aca="false">IFERROR(M140/L140,0)</f>
        <v>0.0714285714285714</v>
      </c>
      <c r="O140" s="24" t="n">
        <v>3.07</v>
      </c>
      <c r="P140" s="14" t="n">
        <f aca="false">IFERROR(O140/M140,0)</f>
        <v>0.7675</v>
      </c>
      <c r="Q140" s="20" t="n">
        <v>1</v>
      </c>
      <c r="R140" s="24" t="n">
        <v>43.99</v>
      </c>
      <c r="S140" s="8" t="n">
        <f aca="false">IFERROR(O140/R140,0)</f>
        <v>0.0697885883155262</v>
      </c>
      <c r="T140" s="8" t="n">
        <f aca="false">IFERROR(Q140/M140,0)</f>
        <v>0.25</v>
      </c>
    </row>
    <row r="141" customFormat="false" ht="15" hidden="false" customHeight="false" outlineLevel="0" collapsed="false">
      <c r="A141" s="17" t="s">
        <v>21</v>
      </c>
      <c r="B141" s="17" t="s">
        <v>982</v>
      </c>
      <c r="C141" s="17" t="s">
        <v>983</v>
      </c>
      <c r="D141" s="17" t="s">
        <v>29</v>
      </c>
      <c r="E141" s="17" t="s">
        <v>297</v>
      </c>
      <c r="F141" s="17" t="s">
        <v>301</v>
      </c>
      <c r="G141" s="17" t="s">
        <v>237</v>
      </c>
      <c r="H141" s="23" t="s">
        <v>65</v>
      </c>
      <c r="I141" s="17" t="s">
        <v>65</v>
      </c>
      <c r="J141" s="17"/>
      <c r="K141" s="17" t="s">
        <v>59</v>
      </c>
      <c r="L141" s="20" t="n">
        <v>97</v>
      </c>
      <c r="M141" s="20" t="n">
        <v>2</v>
      </c>
      <c r="N141" s="22" t="n">
        <f aca="false">IFERROR(M141/L141,0)</f>
        <v>0.0206185567010309</v>
      </c>
      <c r="O141" s="24" t="n">
        <v>2.94</v>
      </c>
      <c r="P141" s="14" t="n">
        <f aca="false">IFERROR(O141/M141,0)</f>
        <v>1.47</v>
      </c>
      <c r="Q141" s="20" t="n">
        <v>0</v>
      </c>
      <c r="R141" s="24" t="n">
        <v>0</v>
      </c>
      <c r="S141" s="8" t="n">
        <f aca="false">IFERROR(O141/R141,0)</f>
        <v>0</v>
      </c>
      <c r="T141" s="8" t="n">
        <f aca="false">IFERROR(Q141/M141,0)</f>
        <v>0</v>
      </c>
    </row>
    <row r="142" customFormat="false" ht="15" hidden="false" customHeight="false" outlineLevel="0" collapsed="false">
      <c r="A142" s="17" t="s">
        <v>21</v>
      </c>
      <c r="B142" s="17" t="s">
        <v>984</v>
      </c>
      <c r="C142" s="17" t="s">
        <v>985</v>
      </c>
      <c r="D142" s="17" t="s">
        <v>28</v>
      </c>
      <c r="E142" s="17" t="s">
        <v>297</v>
      </c>
      <c r="F142" s="17" t="s">
        <v>28</v>
      </c>
      <c r="G142" s="17" t="s">
        <v>237</v>
      </c>
      <c r="H142" s="23" t="s">
        <v>65</v>
      </c>
      <c r="I142" s="17" t="s">
        <v>65</v>
      </c>
      <c r="J142" s="17"/>
      <c r="K142" s="17" t="s">
        <v>59</v>
      </c>
      <c r="L142" s="20" t="n">
        <v>21</v>
      </c>
      <c r="M142" s="20" t="n">
        <v>1</v>
      </c>
      <c r="N142" s="22" t="n">
        <f aca="false">IFERROR(M142/L142,0)</f>
        <v>0.0476190476190476</v>
      </c>
      <c r="O142" s="24" t="n">
        <v>2.58</v>
      </c>
      <c r="P142" s="14" t="n">
        <f aca="false">IFERROR(O142/M142,0)</f>
        <v>2.58</v>
      </c>
      <c r="Q142" s="20" t="n">
        <v>0</v>
      </c>
      <c r="R142" s="24" t="n">
        <v>0</v>
      </c>
      <c r="S142" s="8" t="n">
        <f aca="false">IFERROR(O142/R142,0)</f>
        <v>0</v>
      </c>
      <c r="T142" s="8" t="n">
        <f aca="false">IFERROR(Q142/M142,0)</f>
        <v>0</v>
      </c>
    </row>
    <row r="143" customFormat="false" ht="15" hidden="false" customHeight="false" outlineLevel="0" collapsed="false">
      <c r="A143" s="17" t="s">
        <v>21</v>
      </c>
      <c r="B143" s="17" t="s">
        <v>986</v>
      </c>
      <c r="C143" s="17" t="s">
        <v>987</v>
      </c>
      <c r="D143" s="17" t="s">
        <v>28</v>
      </c>
      <c r="E143" s="17" t="s">
        <v>297</v>
      </c>
      <c r="F143" s="17" t="s">
        <v>28</v>
      </c>
      <c r="G143" s="17" t="s">
        <v>237</v>
      </c>
      <c r="H143" s="23" t="s">
        <v>65</v>
      </c>
      <c r="I143" s="17" t="s">
        <v>65</v>
      </c>
      <c r="J143" s="17"/>
      <c r="K143" s="17" t="s">
        <v>59</v>
      </c>
      <c r="L143" s="20" t="n">
        <v>52</v>
      </c>
      <c r="M143" s="20" t="n">
        <v>1</v>
      </c>
      <c r="N143" s="22" t="n">
        <f aca="false">IFERROR(M143/L143,0)</f>
        <v>0.0192307692307692</v>
      </c>
      <c r="O143" s="24" t="n">
        <v>2.08</v>
      </c>
      <c r="P143" s="14" t="n">
        <f aca="false">IFERROR(O143/M143,0)</f>
        <v>2.08</v>
      </c>
      <c r="Q143" s="20" t="n">
        <v>1</v>
      </c>
      <c r="R143" s="24" t="n">
        <v>43.99</v>
      </c>
      <c r="S143" s="8" t="n">
        <f aca="false">IFERROR(O143/R143,0)</f>
        <v>0.0472834735167083</v>
      </c>
      <c r="T143" s="8" t="n">
        <f aca="false">IFERROR(Q143/M143,0)</f>
        <v>1</v>
      </c>
    </row>
    <row r="144" customFormat="false" ht="15" hidden="false" customHeight="false" outlineLevel="0" collapsed="false">
      <c r="A144" s="17" t="s">
        <v>21</v>
      </c>
      <c r="B144" s="17" t="s">
        <v>988</v>
      </c>
      <c r="C144" s="17" t="s">
        <v>989</v>
      </c>
      <c r="D144" s="17" t="s">
        <v>28</v>
      </c>
      <c r="E144" s="17" t="s">
        <v>293</v>
      </c>
      <c r="F144" s="17" t="s">
        <v>28</v>
      </c>
      <c r="G144" s="17"/>
      <c r="H144" s="17"/>
      <c r="I144" s="17" t="s">
        <v>65</v>
      </c>
      <c r="J144" s="17"/>
      <c r="K144" s="17" t="s">
        <v>59</v>
      </c>
      <c r="L144" s="20" t="n">
        <v>182</v>
      </c>
      <c r="M144" s="20" t="n">
        <v>2</v>
      </c>
      <c r="N144" s="22" t="n">
        <f aca="false">IFERROR(M144/L144,0)</f>
        <v>0.010989010989011</v>
      </c>
      <c r="O144" s="24" t="n">
        <v>1.99</v>
      </c>
      <c r="P144" s="14" t="n">
        <f aca="false">IFERROR(O144/M144,0)</f>
        <v>0.995</v>
      </c>
      <c r="Q144" s="20" t="n">
        <v>0</v>
      </c>
      <c r="R144" s="24" t="n">
        <v>0</v>
      </c>
      <c r="S144" s="8" t="n">
        <f aca="false">IFERROR(O144/R144,0)</f>
        <v>0</v>
      </c>
      <c r="T144" s="8" t="n">
        <f aca="false">IFERROR(Q144/M144,0)</f>
        <v>0</v>
      </c>
    </row>
    <row r="145" customFormat="false" ht="15" hidden="false" customHeight="false" outlineLevel="0" collapsed="false">
      <c r="A145" s="17" t="s">
        <v>21</v>
      </c>
      <c r="B145" s="17" t="s">
        <v>990</v>
      </c>
      <c r="C145" s="17" t="s">
        <v>991</v>
      </c>
      <c r="D145" s="21" t="s">
        <v>34</v>
      </c>
      <c r="E145" s="17" t="s">
        <v>285</v>
      </c>
      <c r="F145" s="17" t="s">
        <v>314</v>
      </c>
      <c r="G145" s="17"/>
      <c r="H145" s="17"/>
      <c r="I145" s="17" t="s">
        <v>65</v>
      </c>
      <c r="J145" s="17"/>
      <c r="K145" s="17" t="s">
        <v>59</v>
      </c>
      <c r="L145" s="20" t="n">
        <v>175</v>
      </c>
      <c r="M145" s="20" t="n">
        <v>5</v>
      </c>
      <c r="N145" s="22" t="n">
        <f aca="false">IFERROR(M145/L145,0)</f>
        <v>0.0285714285714286</v>
      </c>
      <c r="O145" s="24" t="n">
        <v>1.8</v>
      </c>
      <c r="P145" s="14" t="n">
        <f aca="false">IFERROR(O145/M145,0)</f>
        <v>0.36</v>
      </c>
      <c r="Q145" s="20" t="n">
        <v>1</v>
      </c>
      <c r="R145" s="24" t="n">
        <v>42.23</v>
      </c>
      <c r="S145" s="8" t="n">
        <f aca="false">IFERROR(O145/R145,0)</f>
        <v>0.0426237272081459</v>
      </c>
      <c r="T145" s="8" t="n">
        <f aca="false">IFERROR(Q145/M145,0)</f>
        <v>0.2</v>
      </c>
    </row>
    <row r="146" customFormat="false" ht="15" hidden="false" customHeight="false" outlineLevel="0" collapsed="false">
      <c r="A146" s="17" t="s">
        <v>21</v>
      </c>
      <c r="B146" s="17" t="s">
        <v>992</v>
      </c>
      <c r="C146" s="17" t="s">
        <v>993</v>
      </c>
      <c r="D146" s="17" t="s">
        <v>29</v>
      </c>
      <c r="E146" s="17" t="s">
        <v>297</v>
      </c>
      <c r="F146" s="17" t="s">
        <v>301</v>
      </c>
      <c r="G146" s="17" t="s">
        <v>237</v>
      </c>
      <c r="H146" s="23" t="s">
        <v>65</v>
      </c>
      <c r="I146" s="17" t="s">
        <v>65</v>
      </c>
      <c r="J146" s="17"/>
      <c r="K146" s="17" t="s">
        <v>59</v>
      </c>
      <c r="L146" s="20" t="n">
        <v>18</v>
      </c>
      <c r="M146" s="20" t="n">
        <v>1</v>
      </c>
      <c r="N146" s="22" t="n">
        <f aca="false">IFERROR(M146/L146,0)</f>
        <v>0.0555555555555556</v>
      </c>
      <c r="O146" s="24" t="n">
        <v>1.68</v>
      </c>
      <c r="P146" s="14" t="n">
        <f aca="false">IFERROR(O146/M146,0)</f>
        <v>1.68</v>
      </c>
      <c r="Q146" s="20" t="n">
        <v>0</v>
      </c>
      <c r="R146" s="24" t="n">
        <v>0</v>
      </c>
      <c r="S146" s="8" t="n">
        <f aca="false">IFERROR(O146/R146,0)</f>
        <v>0</v>
      </c>
      <c r="T146" s="8" t="n">
        <f aca="false">IFERROR(Q146/M146,0)</f>
        <v>0</v>
      </c>
    </row>
    <row r="147" customFormat="false" ht="15" hidden="false" customHeight="false" outlineLevel="0" collapsed="false">
      <c r="A147" s="17" t="s">
        <v>21</v>
      </c>
      <c r="B147" s="17" t="s">
        <v>994</v>
      </c>
      <c r="C147" s="17" t="s">
        <v>995</v>
      </c>
      <c r="D147" s="17" t="s">
        <v>28</v>
      </c>
      <c r="E147" s="17" t="s">
        <v>297</v>
      </c>
      <c r="F147" s="17" t="s">
        <v>28</v>
      </c>
      <c r="G147" s="17" t="s">
        <v>236</v>
      </c>
      <c r="H147" s="18" t="s">
        <v>59</v>
      </c>
      <c r="I147" s="17" t="s">
        <v>65</v>
      </c>
      <c r="J147" s="17"/>
      <c r="K147" s="17" t="s">
        <v>59</v>
      </c>
      <c r="L147" s="20" t="n">
        <v>104</v>
      </c>
      <c r="M147" s="20" t="n">
        <v>1</v>
      </c>
      <c r="N147" s="22" t="n">
        <f aca="false">IFERROR(M147/L147,0)</f>
        <v>0.00961538461538462</v>
      </c>
      <c r="O147" s="24" t="n">
        <v>1.49</v>
      </c>
      <c r="P147" s="14" t="n">
        <f aca="false">IFERROR(O147/M147,0)</f>
        <v>1.49</v>
      </c>
      <c r="Q147" s="20" t="n">
        <v>0</v>
      </c>
      <c r="R147" s="24" t="n">
        <v>0</v>
      </c>
      <c r="S147" s="8" t="n">
        <f aca="false">IFERROR(O147/R147,0)</f>
        <v>0</v>
      </c>
      <c r="T147" s="8" t="n">
        <f aca="false">IFERROR(Q147/M147,0)</f>
        <v>0</v>
      </c>
    </row>
    <row r="148" customFormat="false" ht="15" hidden="false" customHeight="false" outlineLevel="0" collapsed="false">
      <c r="A148" s="17" t="s">
        <v>21</v>
      </c>
      <c r="B148" s="17" t="s">
        <v>996</v>
      </c>
      <c r="C148" s="17" t="s">
        <v>997</v>
      </c>
      <c r="D148" s="17" t="s">
        <v>28</v>
      </c>
      <c r="E148" s="17" t="s">
        <v>297</v>
      </c>
      <c r="F148" s="17" t="s">
        <v>28</v>
      </c>
      <c r="G148" s="17" t="s">
        <v>237</v>
      </c>
      <c r="H148" s="23" t="s">
        <v>65</v>
      </c>
      <c r="I148" s="17" t="s">
        <v>65</v>
      </c>
      <c r="J148" s="17"/>
      <c r="K148" s="17" t="s">
        <v>59</v>
      </c>
      <c r="L148" s="20" t="n">
        <v>749</v>
      </c>
      <c r="M148" s="20" t="n">
        <v>1</v>
      </c>
      <c r="N148" s="22" t="n">
        <f aca="false">IFERROR(M148/L148,0)</f>
        <v>0.00133511348464619</v>
      </c>
      <c r="O148" s="24" t="n">
        <v>1.3</v>
      </c>
      <c r="P148" s="14" t="n">
        <f aca="false">IFERROR(O148/M148,0)</f>
        <v>1.3</v>
      </c>
      <c r="Q148" s="20" t="n">
        <v>0</v>
      </c>
      <c r="R148" s="24" t="n">
        <v>0</v>
      </c>
      <c r="S148" s="8" t="n">
        <f aca="false">IFERROR(O148/R148,0)</f>
        <v>0</v>
      </c>
      <c r="T148" s="8" t="n">
        <f aca="false">IFERROR(Q148/M148,0)</f>
        <v>0</v>
      </c>
    </row>
    <row r="149" customFormat="false" ht="15" hidden="false" customHeight="false" outlineLevel="0" collapsed="false">
      <c r="A149" s="17" t="s">
        <v>21</v>
      </c>
      <c r="B149" s="17" t="s">
        <v>998</v>
      </c>
      <c r="C149" s="17" t="s">
        <v>999</v>
      </c>
      <c r="D149" s="17" t="s">
        <v>29</v>
      </c>
      <c r="E149" s="17" t="s">
        <v>297</v>
      </c>
      <c r="F149" s="17"/>
      <c r="G149" s="17" t="s">
        <v>979</v>
      </c>
      <c r="H149" s="18" t="s">
        <v>59</v>
      </c>
      <c r="I149" s="17" t="s">
        <v>65</v>
      </c>
      <c r="J149" s="17"/>
      <c r="K149" s="17" t="s">
        <v>59</v>
      </c>
      <c r="L149" s="20" t="n">
        <v>13</v>
      </c>
      <c r="M149" s="20" t="n">
        <v>1</v>
      </c>
      <c r="N149" s="22" t="n">
        <f aca="false">IFERROR(M149/L149,0)</f>
        <v>0.0769230769230769</v>
      </c>
      <c r="O149" s="24" t="n">
        <v>1.27</v>
      </c>
      <c r="P149" s="14" t="n">
        <f aca="false">IFERROR(O149/M149,0)</f>
        <v>1.27</v>
      </c>
      <c r="Q149" s="20" t="n">
        <v>0</v>
      </c>
      <c r="R149" s="24" t="n">
        <v>0</v>
      </c>
      <c r="S149" s="8" t="n">
        <f aca="false">IFERROR(O149/R149,0)</f>
        <v>0</v>
      </c>
      <c r="T149" s="8" t="n">
        <f aca="false">IFERROR(Q149/M149,0)</f>
        <v>0</v>
      </c>
    </row>
    <row r="150" customFormat="false" ht="15" hidden="false" customHeight="false" outlineLevel="0" collapsed="false">
      <c r="A150" s="17" t="s">
        <v>21</v>
      </c>
      <c r="B150" s="17" t="s">
        <v>1000</v>
      </c>
      <c r="C150" s="17" t="s">
        <v>1001</v>
      </c>
      <c r="D150" s="17" t="s">
        <v>28</v>
      </c>
      <c r="E150" s="17" t="s">
        <v>297</v>
      </c>
      <c r="F150" s="17" t="s">
        <v>28</v>
      </c>
      <c r="G150" s="17" t="s">
        <v>237</v>
      </c>
      <c r="H150" s="23" t="s">
        <v>65</v>
      </c>
      <c r="I150" s="17" t="s">
        <v>65</v>
      </c>
      <c r="J150" s="17"/>
      <c r="K150" s="17" t="s">
        <v>59</v>
      </c>
      <c r="L150" s="20" t="n">
        <v>60</v>
      </c>
      <c r="M150" s="20" t="n">
        <v>1</v>
      </c>
      <c r="N150" s="22" t="n">
        <f aca="false">IFERROR(M150/L150,0)</f>
        <v>0.0166666666666667</v>
      </c>
      <c r="O150" s="24" t="n">
        <v>1.05</v>
      </c>
      <c r="P150" s="14" t="n">
        <f aca="false">IFERROR(O150/M150,0)</f>
        <v>1.05</v>
      </c>
      <c r="Q150" s="20" t="n">
        <v>0</v>
      </c>
      <c r="R150" s="24" t="n">
        <v>0</v>
      </c>
      <c r="S150" s="8" t="n">
        <f aca="false">IFERROR(O150/R150,0)</f>
        <v>0</v>
      </c>
      <c r="T150" s="8" t="n">
        <f aca="false">IFERROR(Q150/M150,0)</f>
        <v>0</v>
      </c>
    </row>
    <row r="151" customFormat="false" ht="15" hidden="false" customHeight="false" outlineLevel="0" collapsed="false">
      <c r="A151" s="17" t="s">
        <v>21</v>
      </c>
      <c r="B151" s="17" t="s">
        <v>1002</v>
      </c>
      <c r="C151" s="17" t="s">
        <v>1003</v>
      </c>
      <c r="D151" s="21" t="s">
        <v>34</v>
      </c>
      <c r="E151" s="17" t="s">
        <v>285</v>
      </c>
      <c r="F151" s="17" t="s">
        <v>314</v>
      </c>
      <c r="G151" s="17"/>
      <c r="H151" s="17"/>
      <c r="I151" s="17" t="s">
        <v>65</v>
      </c>
      <c r="J151" s="17"/>
      <c r="K151" s="17" t="s">
        <v>59</v>
      </c>
      <c r="L151" s="20" t="n">
        <v>823</v>
      </c>
      <c r="M151" s="20" t="n">
        <v>3</v>
      </c>
      <c r="N151" s="22" t="n">
        <f aca="false">IFERROR(M151/L151,0)</f>
        <v>0.00364520048602673</v>
      </c>
      <c r="O151" s="24" t="n">
        <v>1.04</v>
      </c>
      <c r="P151" s="14" t="n">
        <f aca="false">IFERROR(O151/M151,0)</f>
        <v>0.346666666666667</v>
      </c>
      <c r="Q151" s="20" t="n">
        <v>2</v>
      </c>
      <c r="R151" s="24" t="n">
        <v>86.22</v>
      </c>
      <c r="S151" s="8" t="n">
        <f aca="false">IFERROR(O151/R151,0)</f>
        <v>0.0120621665506843</v>
      </c>
      <c r="T151" s="8" t="n">
        <f aca="false">IFERROR(Q151/M151,0)</f>
        <v>0.666666666666667</v>
      </c>
    </row>
    <row r="152" customFormat="false" ht="15" hidden="false" customHeight="false" outlineLevel="0" collapsed="false">
      <c r="A152" s="17" t="s">
        <v>21</v>
      </c>
      <c r="B152" s="17" t="s">
        <v>1004</v>
      </c>
      <c r="C152" s="17" t="s">
        <v>1005</v>
      </c>
      <c r="D152" s="17" t="s">
        <v>33</v>
      </c>
      <c r="E152" s="17" t="s">
        <v>300</v>
      </c>
      <c r="F152" s="17" t="s">
        <v>294</v>
      </c>
      <c r="G152" s="17" t="s">
        <v>1006</v>
      </c>
      <c r="H152" s="23" t="s">
        <v>65</v>
      </c>
      <c r="I152" s="17" t="s">
        <v>65</v>
      </c>
      <c r="J152" s="17"/>
      <c r="K152" s="17" t="s">
        <v>59</v>
      </c>
      <c r="L152" s="20" t="n">
        <v>125</v>
      </c>
      <c r="M152" s="20" t="n">
        <v>1</v>
      </c>
      <c r="N152" s="22" t="n">
        <f aca="false">IFERROR(M152/L152,0)</f>
        <v>0.008</v>
      </c>
      <c r="O152" s="24" t="n">
        <v>0.8</v>
      </c>
      <c r="P152" s="14" t="n">
        <f aca="false">IFERROR(O152/M152,0)</f>
        <v>0.8</v>
      </c>
      <c r="Q152" s="20" t="n">
        <v>0</v>
      </c>
      <c r="R152" s="24" t="n">
        <v>0</v>
      </c>
      <c r="S152" s="8" t="n">
        <f aca="false">IFERROR(O152/R152,0)</f>
        <v>0</v>
      </c>
      <c r="T152" s="8" t="n">
        <f aca="false">IFERROR(Q152/M152,0)</f>
        <v>0</v>
      </c>
    </row>
    <row r="153" customFormat="false" ht="15" hidden="false" customHeight="false" outlineLevel="0" collapsed="false">
      <c r="A153" s="17" t="s">
        <v>21</v>
      </c>
      <c r="B153" s="17" t="s">
        <v>1007</v>
      </c>
      <c r="C153" s="17" t="s">
        <v>1008</v>
      </c>
      <c r="D153" s="17" t="s">
        <v>28</v>
      </c>
      <c r="E153" s="17" t="s">
        <v>297</v>
      </c>
      <c r="F153" s="17" t="s">
        <v>28</v>
      </c>
      <c r="G153" s="17" t="s">
        <v>249</v>
      </c>
      <c r="H153" s="18" t="s">
        <v>59</v>
      </c>
      <c r="I153" s="17" t="s">
        <v>65</v>
      </c>
      <c r="J153" s="17"/>
      <c r="K153" s="17" t="s">
        <v>59</v>
      </c>
      <c r="L153" s="20" t="n">
        <v>2</v>
      </c>
      <c r="M153" s="20" t="n">
        <v>2</v>
      </c>
      <c r="N153" s="22" t="n">
        <f aca="false">IFERROR(M153/L153,0)</f>
        <v>1</v>
      </c>
      <c r="O153" s="24" t="n">
        <v>0.5</v>
      </c>
      <c r="P153" s="14" t="n">
        <f aca="false">IFERROR(O153/M153,0)</f>
        <v>0.25</v>
      </c>
      <c r="Q153" s="20" t="n">
        <v>0</v>
      </c>
      <c r="R153" s="24" t="n">
        <v>0</v>
      </c>
      <c r="S153" s="8" t="n">
        <f aca="false">IFERROR(O153/R153,0)</f>
        <v>0</v>
      </c>
      <c r="T153" s="8" t="n">
        <f aca="false">IFERROR(Q153/M153,0)</f>
        <v>0</v>
      </c>
    </row>
    <row r="154" customFormat="false" ht="15" hidden="false" customHeight="false" outlineLevel="0" collapsed="false">
      <c r="A154" s="17" t="s">
        <v>21</v>
      </c>
      <c r="B154" s="17" t="s">
        <v>1009</v>
      </c>
      <c r="C154" s="17" t="s">
        <v>1010</v>
      </c>
      <c r="D154" s="21" t="s">
        <v>34</v>
      </c>
      <c r="E154" s="17" t="s">
        <v>285</v>
      </c>
      <c r="F154" s="17" t="s">
        <v>314</v>
      </c>
      <c r="G154" s="17"/>
      <c r="H154" s="17"/>
      <c r="I154" s="17" t="s">
        <v>65</v>
      </c>
      <c r="J154" s="17"/>
      <c r="K154" s="17" t="s">
        <v>59</v>
      </c>
      <c r="L154" s="20" t="n">
        <v>173</v>
      </c>
      <c r="M154" s="20" t="n">
        <v>1</v>
      </c>
      <c r="N154" s="22" t="n">
        <f aca="false">IFERROR(M154/L154,0)</f>
        <v>0.00578034682080925</v>
      </c>
      <c r="O154" s="24" t="n">
        <v>0.36</v>
      </c>
      <c r="P154" s="14" t="n">
        <f aca="false">IFERROR(O154/M154,0)</f>
        <v>0.36</v>
      </c>
      <c r="Q154" s="20" t="n">
        <v>0</v>
      </c>
      <c r="R154" s="24" t="n">
        <v>0</v>
      </c>
      <c r="S154" s="8" t="n">
        <f aca="false">IFERROR(O154/R154,0)</f>
        <v>0</v>
      </c>
      <c r="T154" s="8" t="n">
        <f aca="false">IFERROR(Q154/M154,0)</f>
        <v>0</v>
      </c>
    </row>
    <row r="155" customFormat="false" ht="15" hidden="false" customHeight="false" outlineLevel="0" collapsed="false">
      <c r="A155" s="17" t="s">
        <v>21</v>
      </c>
      <c r="B155" s="17" t="s">
        <v>1011</v>
      </c>
      <c r="C155" s="17" t="s">
        <v>1012</v>
      </c>
      <c r="D155" s="21" t="s">
        <v>34</v>
      </c>
      <c r="E155" s="17" t="s">
        <v>285</v>
      </c>
      <c r="F155" s="17" t="s">
        <v>314</v>
      </c>
      <c r="G155" s="17"/>
      <c r="H155" s="17"/>
      <c r="I155" s="17" t="s">
        <v>65</v>
      </c>
      <c r="J155" s="17"/>
      <c r="K155" s="17" t="s">
        <v>59</v>
      </c>
      <c r="L155" s="20" t="n">
        <v>628</v>
      </c>
      <c r="M155" s="20" t="n">
        <v>1</v>
      </c>
      <c r="N155" s="22" t="n">
        <f aca="false">IFERROR(M155/L155,0)</f>
        <v>0.00159235668789809</v>
      </c>
      <c r="O155" s="24" t="n">
        <v>0.03</v>
      </c>
      <c r="P155" s="14" t="n">
        <f aca="false">IFERROR(O155/M155,0)</f>
        <v>0.03</v>
      </c>
      <c r="Q155" s="20" t="n">
        <v>0</v>
      </c>
      <c r="R155" s="24" t="n">
        <v>0</v>
      </c>
      <c r="S155" s="8" t="n">
        <f aca="false">IFERROR(O155/R155,0)</f>
        <v>0</v>
      </c>
      <c r="T155" s="8" t="n">
        <f aca="false">IFERROR(Q155/M155,0)</f>
        <v>0</v>
      </c>
    </row>
  </sheetData>
  <autoFilter ref="A4:T1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66"/>
    <col collapsed="false" customWidth="true" hidden="false" outlineLevel="0" max="4" min="4" style="0" width="24"/>
    <col collapsed="false" customWidth="true" hidden="false" outlineLevel="0" max="5" min="5" style="0" width="13"/>
    <col collapsed="false" customWidth="true" hidden="false" outlineLevel="0" max="7" min="6" style="0" width="9"/>
    <col collapsed="false" customWidth="true" hidden="false" outlineLevel="0" max="8" min="8" style="0" width="60"/>
  </cols>
  <sheetData>
    <row r="1" customFormat="false" ht="17.35" hidden="false" customHeight="false" outlineLevel="0" collapsed="false">
      <c r="A1" s="1" t="s">
        <v>1013</v>
      </c>
    </row>
    <row r="2" customFormat="false" ht="15" hidden="false" customHeight="false" outlineLevel="0" collapsed="false">
      <c r="A2" s="2" t="s">
        <v>1014</v>
      </c>
    </row>
    <row r="4" customFormat="false" ht="31.5" hidden="false" customHeight="true" outlineLevel="0" collapsed="false">
      <c r="A4" s="6" t="s">
        <v>1015</v>
      </c>
      <c r="B4" s="6" t="s">
        <v>1016</v>
      </c>
      <c r="C4" s="6" t="s">
        <v>1017</v>
      </c>
      <c r="D4" s="6" t="s">
        <v>1018</v>
      </c>
      <c r="E4" s="6" t="s">
        <v>1019</v>
      </c>
      <c r="F4" s="6" t="s">
        <v>1020</v>
      </c>
      <c r="G4" s="6" t="s">
        <v>281</v>
      </c>
      <c r="H4" s="6" t="s">
        <v>1021</v>
      </c>
    </row>
    <row r="5" customFormat="false" ht="15" hidden="false" customHeight="false" outlineLevel="0" collapsed="false">
      <c r="A5" s="3" t="s">
        <v>71</v>
      </c>
      <c r="B5" s="19" t="n">
        <v>78.62</v>
      </c>
      <c r="C5" s="17" t="s">
        <v>287</v>
      </c>
      <c r="D5" s="23" t="s">
        <v>1022</v>
      </c>
      <c r="E5" s="19" t="n">
        <v>333.83</v>
      </c>
      <c r="F5" s="19" t="n">
        <v>3.97</v>
      </c>
      <c r="G5" s="25" t="n">
        <v>0.5277</v>
      </c>
      <c r="H5" s="17" t="s">
        <v>1023</v>
      </c>
    </row>
    <row r="6" customFormat="false" ht="15" hidden="false" customHeight="false" outlineLevel="0" collapsed="false">
      <c r="A6" s="3" t="s">
        <v>115</v>
      </c>
      <c r="B6" s="19" t="n">
        <v>244.49</v>
      </c>
      <c r="C6" s="17" t="s">
        <v>417</v>
      </c>
      <c r="D6" s="21" t="s">
        <v>34</v>
      </c>
      <c r="E6" s="19" t="n">
        <v>252.66</v>
      </c>
      <c r="F6" s="19" t="n">
        <v>1.33</v>
      </c>
      <c r="G6" s="25" t="n">
        <v>0.1781</v>
      </c>
      <c r="H6" s="17" t="s">
        <v>1024</v>
      </c>
    </row>
    <row r="7" customFormat="false" ht="15" hidden="false" customHeight="false" outlineLevel="0" collapsed="false">
      <c r="A7" s="17"/>
      <c r="B7" s="19"/>
      <c r="C7" s="17" t="s">
        <v>422</v>
      </c>
      <c r="D7" s="23" t="s">
        <v>1022</v>
      </c>
      <c r="E7" s="19" t="n">
        <v>93.08</v>
      </c>
      <c r="F7" s="19" t="n">
        <v>4.65</v>
      </c>
      <c r="G7" s="25" t="n">
        <v>1.4603</v>
      </c>
      <c r="H7" s="17" t="s">
        <v>1025</v>
      </c>
    </row>
    <row r="8" customFormat="false" ht="15" hidden="false" customHeight="false" outlineLevel="0" collapsed="false">
      <c r="A8" s="17"/>
      <c r="B8" s="19"/>
      <c r="C8" s="17" t="s">
        <v>424</v>
      </c>
      <c r="D8" s="17" t="s">
        <v>28</v>
      </c>
      <c r="E8" s="19" t="n">
        <v>79.08</v>
      </c>
      <c r="F8" s="19" t="n">
        <v>3.3</v>
      </c>
      <c r="G8" s="25" t="n">
        <v>0.413</v>
      </c>
      <c r="H8" s="17" t="s">
        <v>1026</v>
      </c>
    </row>
    <row r="9" customFormat="false" ht="15" hidden="false" customHeight="false" outlineLevel="0" collapsed="false">
      <c r="A9" s="17"/>
      <c r="B9" s="19"/>
      <c r="C9" s="17" t="s">
        <v>488</v>
      </c>
      <c r="D9" s="23" t="s">
        <v>1022</v>
      </c>
      <c r="E9" s="19" t="n">
        <v>6.65</v>
      </c>
      <c r="F9" s="19" t="n">
        <v>1.11</v>
      </c>
      <c r="G9" s="25" t="n">
        <v>0</v>
      </c>
      <c r="H9" s="17"/>
    </row>
    <row r="10" customFormat="false" ht="15" hidden="false" customHeight="false" outlineLevel="0" collapsed="false">
      <c r="A10" s="17"/>
      <c r="B10" s="19"/>
      <c r="C10" s="17" t="s">
        <v>491</v>
      </c>
      <c r="D10" s="17" t="s">
        <v>1027</v>
      </c>
      <c r="E10" s="19" t="n">
        <v>6.52</v>
      </c>
      <c r="F10" s="19" t="n">
        <v>3.26</v>
      </c>
      <c r="G10" s="25" t="n">
        <v>0.0493</v>
      </c>
      <c r="H10" s="17" t="s">
        <v>1028</v>
      </c>
    </row>
    <row r="11" customFormat="false" ht="15" hidden="false" customHeight="false" outlineLevel="0" collapsed="false">
      <c r="A11" s="3" t="s">
        <v>62</v>
      </c>
      <c r="B11" s="19" t="n">
        <v>99.72</v>
      </c>
      <c r="C11" s="17" t="s">
        <v>284</v>
      </c>
      <c r="D11" s="21" t="s">
        <v>34</v>
      </c>
      <c r="E11" s="19" t="n">
        <v>501.26</v>
      </c>
      <c r="F11" s="19" t="n">
        <v>1.33</v>
      </c>
      <c r="G11" s="25" t="n">
        <v>0.352</v>
      </c>
      <c r="H11" s="17" t="s">
        <v>1024</v>
      </c>
    </row>
    <row r="12" customFormat="false" ht="15" hidden="false" customHeight="false" outlineLevel="0" collapsed="false">
      <c r="A12" s="17"/>
      <c r="B12" s="19"/>
      <c r="C12" s="17" t="s">
        <v>417</v>
      </c>
      <c r="D12" s="21" t="s">
        <v>34</v>
      </c>
      <c r="E12" s="19" t="n">
        <v>252.66</v>
      </c>
      <c r="F12" s="19" t="n">
        <v>1.33</v>
      </c>
      <c r="G12" s="25" t="n">
        <v>0.1781</v>
      </c>
      <c r="H12" s="17" t="s">
        <v>1029</v>
      </c>
    </row>
    <row r="13" customFormat="false" ht="15" hidden="false" customHeight="false" outlineLevel="0" collapsed="false">
      <c r="A13" s="17"/>
      <c r="B13" s="19"/>
      <c r="C13" s="17" t="s">
        <v>426</v>
      </c>
      <c r="D13" s="21" t="s">
        <v>34</v>
      </c>
      <c r="E13" s="19" t="n">
        <v>70.16</v>
      </c>
      <c r="F13" s="19" t="n">
        <v>1.4</v>
      </c>
      <c r="G13" s="25" t="n">
        <v>0.3625</v>
      </c>
      <c r="H13" s="17"/>
    </row>
    <row r="14" customFormat="false" ht="15" hidden="false" customHeight="false" outlineLevel="0" collapsed="false">
      <c r="A14" s="17"/>
      <c r="B14" s="19"/>
      <c r="C14" s="17" t="s">
        <v>313</v>
      </c>
      <c r="D14" s="21" t="s">
        <v>34</v>
      </c>
      <c r="E14" s="19" t="n">
        <v>37.87</v>
      </c>
      <c r="F14" s="19" t="n">
        <v>2.52</v>
      </c>
      <c r="G14" s="25" t="n">
        <v>0</v>
      </c>
      <c r="H14" s="17" t="s">
        <v>1030</v>
      </c>
    </row>
    <row r="15" customFormat="false" ht="15" hidden="false" customHeight="false" outlineLevel="0" collapsed="false">
      <c r="A15" s="17"/>
      <c r="B15" s="19"/>
      <c r="C15" s="17" t="s">
        <v>338</v>
      </c>
      <c r="D15" s="17" t="s">
        <v>28</v>
      </c>
      <c r="E15" s="19" t="n">
        <v>8.03</v>
      </c>
      <c r="F15" s="19" t="n">
        <v>4.02</v>
      </c>
      <c r="G15" s="25" t="n">
        <v>0.1452</v>
      </c>
      <c r="H15" s="17" t="s">
        <v>1031</v>
      </c>
    </row>
    <row r="16" customFormat="false" ht="15" hidden="false" customHeight="false" outlineLevel="0" collapsed="false">
      <c r="A16" s="3" t="s">
        <v>67</v>
      </c>
      <c r="B16" s="19" t="n">
        <v>85.44</v>
      </c>
      <c r="C16" s="17" t="s">
        <v>284</v>
      </c>
      <c r="D16" s="21" t="s">
        <v>34</v>
      </c>
      <c r="E16" s="19" t="n">
        <v>501.26</v>
      </c>
      <c r="F16" s="19" t="n">
        <v>1.33</v>
      </c>
      <c r="G16" s="25" t="n">
        <v>0.352</v>
      </c>
      <c r="H16" s="17" t="s">
        <v>1024</v>
      </c>
    </row>
    <row r="17" customFormat="false" ht="15" hidden="false" customHeight="false" outlineLevel="0" collapsed="false">
      <c r="A17" s="17"/>
      <c r="B17" s="19"/>
      <c r="C17" s="17" t="s">
        <v>320</v>
      </c>
      <c r="D17" s="21" t="s">
        <v>34</v>
      </c>
      <c r="E17" s="19" t="n">
        <v>15.9</v>
      </c>
      <c r="F17" s="19" t="n">
        <v>1.06</v>
      </c>
      <c r="G17" s="25" t="n">
        <v>0.1988</v>
      </c>
      <c r="H17" s="17"/>
    </row>
    <row r="18" customFormat="false" ht="15" hidden="false" customHeight="false" outlineLevel="0" collapsed="false">
      <c r="A18" s="3" t="s">
        <v>77</v>
      </c>
      <c r="B18" s="19" t="n">
        <v>69.9</v>
      </c>
      <c r="C18" s="17" t="s">
        <v>284</v>
      </c>
      <c r="D18" s="21" t="s">
        <v>34</v>
      </c>
      <c r="E18" s="19" t="n">
        <v>501.26</v>
      </c>
      <c r="F18" s="19" t="n">
        <v>1.33</v>
      </c>
      <c r="G18" s="25" t="n">
        <v>0.352</v>
      </c>
      <c r="H18" s="17"/>
    </row>
    <row r="19" customFormat="false" ht="15" hidden="false" customHeight="false" outlineLevel="0" collapsed="false">
      <c r="A19" s="17"/>
      <c r="B19" s="19"/>
      <c r="C19" s="17" t="s">
        <v>417</v>
      </c>
      <c r="D19" s="21" t="s">
        <v>34</v>
      </c>
      <c r="E19" s="19" t="n">
        <v>252.66</v>
      </c>
      <c r="F19" s="19" t="n">
        <v>1.33</v>
      </c>
      <c r="G19" s="25" t="n">
        <v>0.1781</v>
      </c>
      <c r="H19" s="17"/>
    </row>
    <row r="20" customFormat="false" ht="15" hidden="false" customHeight="false" outlineLevel="0" collapsed="false">
      <c r="A20" s="17"/>
      <c r="B20" s="19"/>
      <c r="C20" s="17" t="s">
        <v>308</v>
      </c>
      <c r="D20" s="17" t="s">
        <v>1032</v>
      </c>
      <c r="E20" s="19" t="n">
        <v>34.47</v>
      </c>
      <c r="F20" s="19" t="n">
        <v>0.78</v>
      </c>
      <c r="G20" s="25" t="n">
        <v>0.0826</v>
      </c>
      <c r="H20" s="17"/>
    </row>
    <row r="21" customFormat="false" ht="15" hidden="false" customHeight="false" outlineLevel="0" collapsed="false">
      <c r="A21" s="17"/>
      <c r="B21" s="19"/>
      <c r="C21" s="17" t="s">
        <v>345</v>
      </c>
      <c r="D21" s="21" t="s">
        <v>34</v>
      </c>
      <c r="E21" s="19" t="n">
        <v>8.53</v>
      </c>
      <c r="F21" s="19" t="n">
        <v>0.85</v>
      </c>
      <c r="G21" s="25" t="n">
        <v>0</v>
      </c>
      <c r="H21" s="17" t="s">
        <v>1030</v>
      </c>
    </row>
    <row r="22" customFormat="false" ht="15" hidden="false" customHeight="false" outlineLevel="0" collapsed="false">
      <c r="A22" s="17"/>
      <c r="B22" s="19"/>
      <c r="C22" s="17" t="s">
        <v>367</v>
      </c>
      <c r="D22" s="17" t="s">
        <v>1027</v>
      </c>
      <c r="E22" s="19" t="n">
        <v>5.74</v>
      </c>
      <c r="F22" s="19" t="n">
        <v>1.44</v>
      </c>
      <c r="G22" s="25" t="n">
        <v>0</v>
      </c>
      <c r="H22" s="17" t="s">
        <v>1033</v>
      </c>
    </row>
    <row r="23" customFormat="false" ht="15" hidden="false" customHeight="false" outlineLevel="0" collapsed="false">
      <c r="A23" s="3" t="s">
        <v>79</v>
      </c>
      <c r="B23" s="19" t="n">
        <v>62.82</v>
      </c>
      <c r="C23" s="17" t="s">
        <v>287</v>
      </c>
      <c r="D23" s="23" t="s">
        <v>1022</v>
      </c>
      <c r="E23" s="19" t="n">
        <v>333.83</v>
      </c>
      <c r="F23" s="19" t="n">
        <v>3.97</v>
      </c>
      <c r="G23" s="25" t="n">
        <v>0.5277</v>
      </c>
      <c r="H23" s="17" t="s">
        <v>1034</v>
      </c>
    </row>
    <row r="24" customFormat="false" ht="15" hidden="false" customHeight="false" outlineLevel="0" collapsed="false">
      <c r="A24" s="17"/>
      <c r="B24" s="19"/>
      <c r="C24" s="17" t="s">
        <v>417</v>
      </c>
      <c r="D24" s="21" t="s">
        <v>34</v>
      </c>
      <c r="E24" s="19" t="n">
        <v>252.66</v>
      </c>
      <c r="F24" s="19" t="n">
        <v>1.33</v>
      </c>
      <c r="G24" s="25" t="n">
        <v>0.1781</v>
      </c>
      <c r="H24" s="17"/>
    </row>
    <row r="25" customFormat="false" ht="15" hidden="false" customHeight="false" outlineLevel="0" collapsed="false">
      <c r="A25" s="17"/>
      <c r="B25" s="19"/>
      <c r="C25" s="17" t="s">
        <v>343</v>
      </c>
      <c r="D25" s="17" t="s">
        <v>28</v>
      </c>
      <c r="E25" s="19" t="n">
        <v>13.35</v>
      </c>
      <c r="F25" s="19" t="n">
        <v>6.68</v>
      </c>
      <c r="G25" s="25" t="n">
        <v>0.289</v>
      </c>
      <c r="H25" s="17" t="s">
        <v>1035</v>
      </c>
    </row>
    <row r="26" customFormat="false" ht="15" hidden="false" customHeight="false" outlineLevel="0" collapsed="false">
      <c r="A26" s="17"/>
      <c r="B26" s="19"/>
      <c r="C26" s="17" t="s">
        <v>351</v>
      </c>
      <c r="D26" s="17" t="s">
        <v>28</v>
      </c>
      <c r="E26" s="19" t="n">
        <v>10.12</v>
      </c>
      <c r="F26" s="19" t="n">
        <v>10.12</v>
      </c>
      <c r="G26" s="25" t="n">
        <v>0</v>
      </c>
      <c r="H26" s="17" t="s">
        <v>1036</v>
      </c>
    </row>
    <row r="27" customFormat="false" ht="15" hidden="false" customHeight="false" outlineLevel="0" collapsed="false">
      <c r="A27" s="17"/>
      <c r="B27" s="19"/>
      <c r="C27" s="17" t="s">
        <v>355</v>
      </c>
      <c r="D27" s="17" t="s">
        <v>28</v>
      </c>
      <c r="E27" s="19" t="n">
        <v>9.55</v>
      </c>
      <c r="F27" s="19" t="n">
        <v>4.78</v>
      </c>
      <c r="G27" s="25" t="n">
        <v>0</v>
      </c>
      <c r="H27" s="17" t="s">
        <v>1037</v>
      </c>
    </row>
    <row r="28" customFormat="false" ht="15" hidden="false" customHeight="false" outlineLevel="0" collapsed="false">
      <c r="A28" s="17"/>
      <c r="B28" s="19"/>
      <c r="C28" s="17" t="s">
        <v>365</v>
      </c>
      <c r="D28" s="17" t="s">
        <v>28</v>
      </c>
      <c r="E28" s="19" t="n">
        <v>7.13</v>
      </c>
      <c r="F28" s="19" t="n">
        <v>7.13</v>
      </c>
      <c r="G28" s="25" t="n">
        <v>0</v>
      </c>
      <c r="H28" s="17" t="s">
        <v>1038</v>
      </c>
    </row>
    <row r="29" customFormat="false" ht="15" hidden="false" customHeight="false" outlineLevel="0" collapsed="false">
      <c r="A29" s="3" t="s">
        <v>140</v>
      </c>
      <c r="B29" s="19" t="n">
        <v>126.2</v>
      </c>
      <c r="C29" s="17" t="s">
        <v>555</v>
      </c>
      <c r="D29" s="21" t="s">
        <v>34</v>
      </c>
      <c r="E29" s="19" t="n">
        <v>151.25</v>
      </c>
      <c r="F29" s="19" t="n">
        <v>1.21</v>
      </c>
      <c r="G29" s="25" t="n">
        <v>0.3427</v>
      </c>
      <c r="H29" s="17" t="s">
        <v>1039</v>
      </c>
    </row>
    <row r="30" customFormat="false" ht="15" hidden="false" customHeight="false" outlineLevel="0" collapsed="false">
      <c r="A30" s="17"/>
      <c r="B30" s="19"/>
      <c r="C30" s="17" t="s">
        <v>562</v>
      </c>
      <c r="D30" s="17" t="s">
        <v>28</v>
      </c>
      <c r="E30" s="19" t="n">
        <v>27.7</v>
      </c>
      <c r="F30" s="19" t="n">
        <v>3.96</v>
      </c>
      <c r="G30" s="25" t="n">
        <v>0.8159</v>
      </c>
      <c r="H30" s="17" t="s">
        <v>1040</v>
      </c>
    </row>
    <row r="31" customFormat="false" ht="15" hidden="false" customHeight="false" outlineLevel="0" collapsed="false">
      <c r="A31" s="17"/>
      <c r="B31" s="19"/>
      <c r="C31" s="17" t="s">
        <v>564</v>
      </c>
      <c r="D31" s="17" t="s">
        <v>28</v>
      </c>
      <c r="E31" s="19" t="n">
        <v>24.72</v>
      </c>
      <c r="F31" s="19" t="n">
        <v>2.47</v>
      </c>
      <c r="G31" s="25" t="n">
        <v>0.3641</v>
      </c>
      <c r="H31" s="17"/>
    </row>
    <row r="32" customFormat="false" ht="15" hidden="false" customHeight="false" outlineLevel="0" collapsed="false">
      <c r="A32" s="17"/>
      <c r="B32" s="19"/>
      <c r="C32" s="17" t="s">
        <v>590</v>
      </c>
      <c r="D32" s="17" t="s">
        <v>29</v>
      </c>
      <c r="E32" s="19" t="n">
        <v>8.78</v>
      </c>
      <c r="F32" s="19" t="n">
        <v>2.2</v>
      </c>
      <c r="G32" s="25" t="n">
        <v>0.1293</v>
      </c>
      <c r="H32" s="17"/>
    </row>
    <row r="33" customFormat="false" ht="15" hidden="false" customHeight="false" outlineLevel="0" collapsed="false">
      <c r="A33" s="17"/>
      <c r="B33" s="19"/>
      <c r="C33" s="17" t="s">
        <v>593</v>
      </c>
      <c r="D33" s="17" t="s">
        <v>28</v>
      </c>
      <c r="E33" s="19" t="n">
        <v>7.81</v>
      </c>
      <c r="F33" s="19" t="n">
        <v>1.95</v>
      </c>
      <c r="G33" s="25" t="n">
        <v>0</v>
      </c>
      <c r="H33" s="17"/>
    </row>
    <row r="34" customFormat="false" ht="15" hidden="false" customHeight="false" outlineLevel="0" collapsed="false">
      <c r="A34" s="17"/>
      <c r="B34" s="19"/>
      <c r="C34" s="17" t="s">
        <v>1041</v>
      </c>
      <c r="D34" s="17" t="s">
        <v>1042</v>
      </c>
      <c r="E34" s="19" t="n">
        <v>20.73</v>
      </c>
      <c r="F34" s="19"/>
      <c r="G34" s="25"/>
      <c r="H34" s="17" t="s">
        <v>1043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48"/>
    <col collapsed="false" customWidth="true" hidden="false" outlineLevel="0" max="5" min="5" style="0" width="46"/>
    <col collapsed="false" customWidth="true" hidden="false" outlineLevel="0" max="6" min="6" style="0" width="50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" t="s">
        <v>1044</v>
      </c>
    </row>
    <row r="3" customFormat="false" ht="31.5" hidden="false" customHeight="true" outlineLevel="0" collapsed="false">
      <c r="A3" s="6" t="s">
        <v>1045</v>
      </c>
      <c r="B3" s="6" t="s">
        <v>1046</v>
      </c>
      <c r="C3" s="6" t="s">
        <v>1047</v>
      </c>
      <c r="D3" s="6" t="s">
        <v>1048</v>
      </c>
      <c r="E3" s="6" t="s">
        <v>1049</v>
      </c>
      <c r="F3" s="6" t="s">
        <v>1050</v>
      </c>
      <c r="G3" s="6" t="s">
        <v>1051</v>
      </c>
      <c r="H3" s="6" t="s">
        <v>1052</v>
      </c>
    </row>
    <row r="4" customFormat="false" ht="57.75" hidden="false" customHeight="true" outlineLevel="0" collapsed="false">
      <c r="A4" s="26" t="n">
        <v>1</v>
      </c>
      <c r="B4" s="26" t="s">
        <v>1053</v>
      </c>
      <c r="C4" s="26" t="s">
        <v>1054</v>
      </c>
      <c r="D4" s="26" t="s">
        <v>1055</v>
      </c>
      <c r="E4" s="26" t="s">
        <v>1056</v>
      </c>
      <c r="F4" s="26" t="s">
        <v>1057</v>
      </c>
      <c r="G4" s="27"/>
      <c r="H4" s="27" t="s">
        <v>1058</v>
      </c>
    </row>
    <row r="5" customFormat="false" ht="57.75" hidden="false" customHeight="true" outlineLevel="0" collapsed="false">
      <c r="A5" s="26" t="n">
        <v>2</v>
      </c>
      <c r="B5" s="26" t="s">
        <v>1053</v>
      </c>
      <c r="C5" s="26" t="s">
        <v>1059</v>
      </c>
      <c r="D5" s="26" t="s">
        <v>1060</v>
      </c>
      <c r="E5" s="26" t="s">
        <v>1061</v>
      </c>
      <c r="F5" s="26" t="s">
        <v>1062</v>
      </c>
      <c r="G5" s="27"/>
      <c r="H5" s="27" t="s">
        <v>1058</v>
      </c>
    </row>
    <row r="6" customFormat="false" ht="57.75" hidden="false" customHeight="true" outlineLevel="0" collapsed="false">
      <c r="A6" s="26" t="n">
        <v>3</v>
      </c>
      <c r="B6" s="26" t="s">
        <v>1053</v>
      </c>
      <c r="C6" s="26" t="s">
        <v>1063</v>
      </c>
      <c r="D6" s="26" t="s">
        <v>1064</v>
      </c>
      <c r="E6" s="26" t="s">
        <v>1065</v>
      </c>
      <c r="F6" s="26" t="s">
        <v>1066</v>
      </c>
      <c r="G6" s="27"/>
      <c r="H6" s="27" t="s">
        <v>1058</v>
      </c>
    </row>
    <row r="7" customFormat="false" ht="57.75" hidden="false" customHeight="true" outlineLevel="0" collapsed="false">
      <c r="A7" s="26" t="n">
        <v>4</v>
      </c>
      <c r="B7" s="26" t="s">
        <v>1053</v>
      </c>
      <c r="C7" s="26" t="s">
        <v>1067</v>
      </c>
      <c r="D7" s="26" t="s">
        <v>1068</v>
      </c>
      <c r="E7" s="26" t="s">
        <v>1069</v>
      </c>
      <c r="F7" s="26" t="s">
        <v>1070</v>
      </c>
      <c r="G7" s="27"/>
      <c r="H7" s="27" t="s">
        <v>1058</v>
      </c>
    </row>
    <row r="8" customFormat="false" ht="57.75" hidden="false" customHeight="true" outlineLevel="0" collapsed="false">
      <c r="A8" s="26" t="n">
        <v>5</v>
      </c>
      <c r="B8" s="26" t="s">
        <v>1053</v>
      </c>
      <c r="C8" s="26" t="s">
        <v>1071</v>
      </c>
      <c r="D8" s="26" t="s">
        <v>1072</v>
      </c>
      <c r="E8" s="26" t="s">
        <v>1073</v>
      </c>
      <c r="F8" s="26" t="s">
        <v>1074</v>
      </c>
      <c r="G8" s="27"/>
      <c r="H8" s="27" t="s">
        <v>1058</v>
      </c>
    </row>
    <row r="9" customFormat="false" ht="57.75" hidden="false" customHeight="true" outlineLevel="0" collapsed="false">
      <c r="A9" s="26" t="n">
        <v>6</v>
      </c>
      <c r="B9" s="26" t="s">
        <v>1075</v>
      </c>
      <c r="C9" s="26" t="s">
        <v>1076</v>
      </c>
      <c r="D9" s="26" t="s">
        <v>1077</v>
      </c>
      <c r="E9" s="26" t="s">
        <v>1078</v>
      </c>
      <c r="F9" s="26" t="s">
        <v>1079</v>
      </c>
      <c r="G9" s="27"/>
      <c r="H9" s="27" t="s">
        <v>1058</v>
      </c>
    </row>
    <row r="10" customFormat="false" ht="57.75" hidden="false" customHeight="true" outlineLevel="0" collapsed="false">
      <c r="A10" s="26" t="n">
        <v>7</v>
      </c>
      <c r="B10" s="26" t="s">
        <v>1075</v>
      </c>
      <c r="C10" s="26" t="s">
        <v>1080</v>
      </c>
      <c r="D10" s="26" t="s">
        <v>1081</v>
      </c>
      <c r="E10" s="26" t="s">
        <v>1078</v>
      </c>
      <c r="F10" s="26" t="s">
        <v>1082</v>
      </c>
      <c r="G10" s="27"/>
      <c r="H10" s="27" t="s">
        <v>1058</v>
      </c>
    </row>
    <row r="11" customFormat="false" ht="57.75" hidden="false" customHeight="true" outlineLevel="0" collapsed="false">
      <c r="A11" s="26" t="n">
        <v>8</v>
      </c>
      <c r="B11" s="26" t="s">
        <v>1075</v>
      </c>
      <c r="C11" s="26" t="s">
        <v>1083</v>
      </c>
      <c r="D11" s="26" t="s">
        <v>1084</v>
      </c>
      <c r="E11" s="26" t="s">
        <v>1085</v>
      </c>
      <c r="F11" s="26" t="s">
        <v>1086</v>
      </c>
      <c r="G11" s="27"/>
      <c r="H11" s="27" t="s">
        <v>1058</v>
      </c>
    </row>
    <row r="12" customFormat="false" ht="57.75" hidden="false" customHeight="true" outlineLevel="0" collapsed="false">
      <c r="A12" s="26" t="n">
        <v>9</v>
      </c>
      <c r="B12" s="26" t="s">
        <v>1075</v>
      </c>
      <c r="C12" s="26" t="s">
        <v>1087</v>
      </c>
      <c r="D12" s="26" t="s">
        <v>1088</v>
      </c>
      <c r="E12" s="26" t="s">
        <v>1089</v>
      </c>
      <c r="F12" s="26" t="s">
        <v>1090</v>
      </c>
      <c r="G12" s="27"/>
      <c r="H12" s="27" t="s">
        <v>1058</v>
      </c>
    </row>
    <row r="15" customFormat="false" ht="15" hidden="false" customHeight="false" outlineLevel="0" collapsed="false">
      <c r="A15" s="2" t="s">
        <v>1091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28" t="s">
        <v>1092</v>
      </c>
    </row>
    <row r="2" customFormat="false" ht="15" hidden="false" customHeight="false" outlineLevel="0" collapsed="false">
      <c r="A2" s="29" t="s">
        <v>1093</v>
      </c>
    </row>
    <row r="3" customFormat="false" ht="23.85" hidden="false" customHeight="false" outlineLevel="0" collapsed="false">
      <c r="A3" s="29" t="s">
        <v>1094</v>
      </c>
    </row>
    <row r="4" customFormat="false" ht="15" hidden="false" customHeight="false" outlineLevel="0" collapsed="false">
      <c r="A4" s="29" t="s">
        <v>1095</v>
      </c>
    </row>
    <row r="5" customFormat="false" ht="23.85" hidden="false" customHeight="false" outlineLevel="0" collapsed="false">
      <c r="A5" s="29" t="s">
        <v>1096</v>
      </c>
    </row>
    <row r="6" customFormat="false" ht="23.85" hidden="false" customHeight="false" outlineLevel="0" collapsed="false">
      <c r="A6" s="29" t="s">
        <v>1097</v>
      </c>
    </row>
    <row r="7" customFormat="false" ht="23.85" hidden="false" customHeight="false" outlineLevel="0" collapsed="false">
      <c r="A7" s="29" t="s">
        <v>1098</v>
      </c>
    </row>
    <row r="8" customFormat="false" ht="23.85" hidden="false" customHeight="false" outlineLevel="0" collapsed="false">
      <c r="A8" s="29" t="s">
        <v>1099</v>
      </c>
    </row>
    <row r="9" customFormat="false" ht="23.85" hidden="false" customHeight="false" outlineLevel="0" collapsed="false">
      <c r="A9" s="29" t="s">
        <v>1100</v>
      </c>
    </row>
    <row r="10" customFormat="false" ht="15" hidden="false" customHeight="false" outlineLevel="0" collapsed="false">
      <c r="A10" s="29" t="s">
        <v>1101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2026-10-07T16:53:17Z</dcterms:created>
  <dc:creator>openpyxl</dc:creator>
  <dc:description/>
  <dc:language>en-US</dc:language>
  <cp:lastModifiedBy/>
  <dcterms:modified xsi:type="dcterms:W3CDTF">2026-10-07T16:53:17Z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