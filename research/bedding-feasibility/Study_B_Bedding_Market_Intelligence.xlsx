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comments15.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7.xml" ContentType="application/vnd.openxmlformats-officedocument.drawing+xml"/>
  <Override PartName="/xl/drawings/drawing4.xml" ContentType="application/vnd.openxmlformats-officedocument.drawing+xml"/>
  <Override PartName="/xl/drawings/drawing18.xml" ContentType="application/vnd.openxmlformats-officedocument.drawing+xml"/>
  <Override PartName="/xl/drawings/drawing3.xml" ContentType="application/vnd.openxmlformats-officedocument.drawing+xml"/>
  <Override PartName="/xl/drawings/drawing13.xml" ContentType="application/vnd.openxmlformats-officedocument.drawing+xml"/>
  <Override PartName="/xl/drawings/drawing5.xml" ContentType="application/vnd.openxmlformats-officedocument.drawing+xml"/>
  <Override PartName="/xl/drawings/drawing19.xml" ContentType="application/vnd.openxmlformats-officedocument.drawing+xml"/>
  <Override PartName="/xl/drawings/drawing15.xml" ContentType="application/vnd.openxmlformats-officedocument.drawing+xml"/>
  <Override PartName="/xl/drawings/drawing2.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drawings/drawing12.xml" ContentType="application/vnd.openxmlformats-officedocument.drawing+xml"/>
  <Override PartName="/xl/drawings/drawing16.xml" ContentType="application/vnd.openxmlformats-officedocument.drawing+xml"/>
  <Override PartName="/xl/drawings/drawing8.xml" ContentType="application/vnd.openxmlformats-officedocument.drawing+xml"/>
  <Override PartName="/xl/drawings/vmlDrawing1.vml" ContentType="application/vnd.openxmlformats-officedocument.vmlDrawing"/>
  <Override PartName="/xl/drawings/drawing14.xml" ContentType="application/vnd.openxmlformats-officedocument.drawing+xml"/>
  <Override PartName="/xl/drawings/drawing20.xml" ContentType="application/vnd.openxmlformats-officedocument.drawing+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20.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Market" sheetId="2" state="visible" r:id="rId4"/>
    <sheet name="Product segments" sheetId="3" state="visible" r:id="rId5"/>
    <sheet name="Materials" sheetId="4" state="visible" r:id="rId6"/>
    <sheet name="Competitor observations" sheetId="5" state="visible" r:id="rId7"/>
    <sheet name="Price review barriers" sheetId="6" state="visible" r:id="rId8"/>
    <sheet name="Listing detail" sheetId="7" state="visible" r:id="rId9"/>
    <sheet name="Review evidence" sheetId="8" state="visible" r:id="rId10"/>
    <sheet name="Review themes" sheetId="9" state="visible" r:id="rId11"/>
    <sheet name="Keywords and ads" sheetId="10" state="visible" r:id="rId12"/>
    <sheet name="Channels" sheetId="11" state="visible" r:id="rId13"/>
    <sheet name="Risks" sheetId="12" state="visible" r:id="rId14"/>
    <sheet name="Opportunity scorecard" sheetId="13" state="visible" r:id="rId15"/>
    <sheet name="Score methodology" sheetId="14" state="visible" r:id="rId16"/>
    <sheet name="Economics" sheetId="15" state="visible" r:id="rId17"/>
    <sheet name="Sensitivity" sheetId="16" state="visible" r:id="rId18"/>
    <sheet name="Logistics compliance" sheetId="17" state="visible" r:id="rId19"/>
    <sheet name="Gaps and next research" sheetId="18" state="visible" r:id="rId20"/>
    <sheet name="Sources" sheetId="19" state="visible" r:id="rId21"/>
    <sheet name="Charts" sheetId="20" state="visible" r:id="rId22"/>
  </sheets>
  <definedNames>
    <definedName function="false" hidden="false" localSheetId="10" name="_xlnm.Print_Titles" vbProcedure="false">Channels!$1:$1</definedName>
    <definedName function="false" hidden="true" localSheetId="10" name="_xlnm._FilterDatabase" vbProcedure="false">Channels!$A$1:$G$9</definedName>
    <definedName function="false" hidden="false" localSheetId="4" name="_xlnm.Print_Titles" vbProcedure="false">'Competitor observations'!$1:$1</definedName>
    <definedName function="false" hidden="true" localSheetId="4" name="_xlnm._FilterDatabase" vbProcedure="false">'Competitor observations'!$A$1:$U$1628</definedName>
    <definedName function="false" hidden="false" localSheetId="14" name="_xlnm.Print_Titles" vbProcedure="false">Economics!$1:$1</definedName>
    <definedName function="false" hidden="true" localSheetId="14" name="_xlnm._FilterDatabase" vbProcedure="false">Economics!$A$1:$BH$10</definedName>
    <definedName function="false" hidden="false" localSheetId="17" name="_xlnm.Print_Titles" vbProcedure="false">'Gaps and next research'!$1:$1</definedName>
    <definedName function="false" hidden="true" localSheetId="17" name="_xlnm._FilterDatabase" vbProcedure="false">'Gaps and next research'!$A$1:$D$9</definedName>
    <definedName function="false" hidden="false" localSheetId="9" name="_xlnm.Print_Titles" vbProcedure="false">'Keywords and ads'!$1:$1</definedName>
    <definedName function="false" hidden="true" localSheetId="9" name="_xlnm._FilterDatabase" vbProcedure="false">'Keywords and ads'!$A$1:$O$34</definedName>
    <definedName function="false" hidden="false" localSheetId="6" name="_xlnm.Print_Titles" vbProcedure="false">'Listing detail'!$1:$1</definedName>
    <definedName function="false" hidden="true" localSheetId="6" name="_xlnm._FilterDatabase" vbProcedure="false">'Listing detail'!$A$1:$M$16</definedName>
    <definedName function="false" hidden="false" localSheetId="16" name="_xlnm.Print_Titles" vbProcedure="false">'Logistics compliance'!$1:$1</definedName>
    <definedName function="false" hidden="true" localSheetId="16" name="_xlnm._FilterDatabase" vbProcedure="false">'Logistics compliance'!$A$1:$D$12</definedName>
    <definedName function="false" hidden="false" localSheetId="1" name="_xlnm.Print_Titles" vbProcedure="false">Market!$1:$1</definedName>
    <definedName function="false" hidden="true" localSheetId="1" name="_xlnm._FilterDatabase" vbProcedure="false">Market!$A$1:$K$4</definedName>
    <definedName function="false" hidden="false" localSheetId="3" name="_xlnm.Print_Titles" vbProcedure="false">Materials!$1:$1</definedName>
    <definedName function="false" hidden="true" localSheetId="3" name="_xlnm._FilterDatabase" vbProcedure="false">Materials!$A$1:$F$9</definedName>
    <definedName function="false" hidden="false" localSheetId="12" name="_xlnm.Print_Titles" vbProcedure="false">'Opportunity scorecard'!$1:$1</definedName>
    <definedName function="false" hidden="true" localSheetId="12" name="_xlnm._FilterDatabase" vbProcedure="false">'Opportunity scorecard'!$A$1:$Q$11</definedName>
    <definedName function="false" hidden="false" localSheetId="5" name="_xlnm.Print_Titles" vbProcedure="false">'Price review barriers'!$1:$1</definedName>
    <definedName function="false" hidden="true" localSheetId="5" name="_xlnm._FilterDatabase" vbProcedure="false">'Price review barriers'!$A$1:$P$34</definedName>
    <definedName function="false" hidden="false" localSheetId="2" name="_xlnm.Print_Titles" vbProcedure="false">'Product segments'!$1:$1</definedName>
    <definedName function="false" hidden="true" localSheetId="2" name="_xlnm._FilterDatabase" vbProcedure="false">'Product segments'!$A$1:$I$10</definedName>
    <definedName function="false" hidden="false" localSheetId="7" name="_xlnm.Print_Titles" vbProcedure="false">'Review evidence'!$1:$1</definedName>
    <definedName function="false" hidden="true" localSheetId="7" name="_xlnm._FilterDatabase" vbProcedure="false">'Review evidence'!$A$1:$K$123</definedName>
    <definedName function="false" hidden="false" localSheetId="8" name="_xlnm.Print_Titles" vbProcedure="false">'Review themes'!$1:$1</definedName>
    <definedName function="false" hidden="true" localSheetId="8" name="_xlnm._FilterDatabase" vbProcedure="false">'Review themes'!$A$1:$F$45</definedName>
    <definedName function="false" hidden="false" localSheetId="11" name="_xlnm.Print_Titles" vbProcedure="false">Risks!$1:$1</definedName>
    <definedName function="false" hidden="true" localSheetId="11" name="_xlnm._FilterDatabase" vbProcedure="false">Risks!$A$1:$F$11</definedName>
    <definedName function="false" hidden="false" localSheetId="13" name="_xlnm.Print_Titles" vbProcedure="false">'Score methodology'!$1:$1</definedName>
    <definedName function="false" hidden="true" localSheetId="13" name="_xlnm._FilterDatabase" vbProcedure="false">'Score methodology'!$A$1:$C$11</definedName>
    <definedName function="false" hidden="false" localSheetId="15" name="_xlnm.Print_Titles" vbProcedure="false">Sensitivity!$1:$1</definedName>
    <definedName function="false" hidden="true" localSheetId="15" name="_xlnm._FilterDatabase" vbProcedure="false">Sensitivity!$A$1:$H$64</definedName>
    <definedName function="false" hidden="false" localSheetId="18" name="_xlnm.Print_Titles" vbProcedure="false">Sources!$1:$1</definedName>
    <definedName function="false" hidden="true" localSheetId="18" name="_xlnm._FilterDatabase" vbProcedure="false">Sources!$A$1:$I$117</definedName>
    <definedName function="false" hidden="false" localSheetId="0" name="_xlnm.Print_Titles" vbProcedure="false">'START HERE'!$1:$1</definedName>
    <definedName function="false" hidden="true" localSheetId="0" name="_xlnm._FilterDatabase" vbProcedure="false">'START HERE'!$A$1:$B$15</definedName>
  </definedNames>
  <calcPr iterateCount="100" refMode="A1" iterate="false" iterateDelta="0.0001"/>
  <extLst>
    <ext xmlns:loext="http://schemas.libreoffice.org/" uri="{7626C862-2A13-11E5-B345-FEFF819CDC9F}">
      <loext:extCalcPr stringRefSyntax="ExcelA1"/>
    </ext>
  </extLst>
</workbook>
</file>

<file path=xl/comments15.xml><?xml version="1.0" encoding="utf-8"?>
<comments xmlns="http://schemas.openxmlformats.org/spreadsheetml/2006/main" xmlns:xdr="http://schemas.openxmlformats.org/drawingml/2006/spreadsheetDrawing">
  <authors>
    <author>Unknown Author</author>
  </authors>
  <commentList>
    <comment ref="J2" authorId="0">
      <text>
        <r>
          <rPr>
            <sz val="10"/>
            <rFont val="Arial"/>
            <family val="2"/>
          </rPr>
          <t xml:space="preserve">Budget-test assumption only. Not a factory quotation or estimate. Replace after specification-based RFQ.</t>
        </r>
      </text>
    </comment>
    <comment ref="J3" authorId="0">
      <text>
        <r>
          <rPr>
            <sz val="10"/>
            <rFont val="Arial"/>
            <family val="2"/>
          </rPr>
          <t xml:space="preserve">Budget-test assumption only. Not a factory quotation or estimate. Replace after specification-based RFQ.</t>
        </r>
      </text>
    </comment>
    <comment ref="J4" authorId="0">
      <text>
        <r>
          <rPr>
            <sz val="10"/>
            <rFont val="Arial"/>
            <family val="2"/>
          </rPr>
          <t xml:space="preserve">Budget-test assumption only. Not a factory quotation or estimate. Replace after specification-based RFQ.</t>
        </r>
      </text>
    </comment>
    <comment ref="J5" authorId="0">
      <text>
        <r>
          <rPr>
            <sz val="10"/>
            <rFont val="Arial"/>
            <family val="2"/>
          </rPr>
          <t xml:space="preserve">Budget-test assumption only. Not a factory quotation or estimate. Replace after specification-based RFQ.</t>
        </r>
      </text>
    </comment>
    <comment ref="J6" authorId="0">
      <text>
        <r>
          <rPr>
            <sz val="10"/>
            <rFont val="Arial"/>
            <family val="2"/>
          </rPr>
          <t xml:space="preserve">Budget-test assumption only. Not a factory quotation or estimate. Replace after specification-based RFQ.</t>
        </r>
      </text>
    </comment>
    <comment ref="J7" authorId="0">
      <text>
        <r>
          <rPr>
            <sz val="10"/>
            <rFont val="Arial"/>
            <family val="2"/>
          </rPr>
          <t xml:space="preserve">Budget-test assumption only. Not a factory quotation or estimate. Replace after specification-based RFQ.</t>
        </r>
      </text>
    </comment>
    <comment ref="J8" authorId="0">
      <text>
        <r>
          <rPr>
            <sz val="10"/>
            <rFont val="Arial"/>
            <family val="2"/>
          </rPr>
          <t xml:space="preserve">Budget-test assumption only. Not a factory quotation or estimate. Replace after specification-based RFQ.</t>
        </r>
      </text>
    </comment>
    <comment ref="J9" authorId="0">
      <text>
        <r>
          <rPr>
            <sz val="10"/>
            <rFont val="Arial"/>
            <family val="2"/>
          </rPr>
          <t xml:space="preserve">Budget-test assumption only. Not a factory quotation or estimate. Replace after specification-based RFQ.</t>
        </r>
      </text>
    </comment>
    <comment ref="J10" authorId="0">
      <text>
        <r>
          <rPr>
            <sz val="10"/>
            <rFont val="Arial"/>
            <family val="2"/>
          </rPr>
          <t xml:space="preserve">Budget-test assumption only. Not a factory quotation or estimate. Replace after specification-based RFQ.</t>
        </r>
      </text>
    </comment>
    <comment ref="N2" authorId="0">
      <text>
        <r>
          <rPr>
            <sz val="10"/>
            <rFont val="Arial"/>
            <family val="2"/>
          </rPr>
          <t xml:space="preserve">All inputs ASSUMPTION except UK VAT 20% (R09), CA Home/Kitchen referral 15% (F02), and UK Home Products 8% at &lt;=GBP20 otherwise 15% conditional category (F03). US referral15% is planning assumption. CA17% is published cotton bed-linen MFN example R26, application unverified; US20% duty is stress placeholder not legal rate; UK0% conditional DCTS, not clearance quote. Factory numbers are budget test values, NOT estimated actual manufacturing cost. FBA/storage/freight/ads require quotes or trials.</t>
        </r>
      </text>
    </comment>
    <comment ref="N3" authorId="0">
      <text>
        <r>
          <rPr>
            <sz val="10"/>
            <rFont val="Arial"/>
            <family val="2"/>
          </rPr>
          <t xml:space="preserve">All inputs ASSUMPTION except UK VAT 20% (R09), CA Home/Kitchen referral 15% (F02), and UK Home Products 8% at &lt;=GBP20 otherwise 15% conditional category (F03). US referral15% is planning assumption. CA17% is published cotton bed-linen MFN example R26, application unverified; US20% duty is stress placeholder not legal rate; UK0% conditional DCTS, not clearance quote. Factory numbers are budget test values, NOT estimated actual manufacturing cost. FBA/storage/freight/ads require quotes or trials.</t>
        </r>
      </text>
    </comment>
    <comment ref="N4" authorId="0">
      <text>
        <r>
          <rPr>
            <sz val="10"/>
            <rFont val="Arial"/>
            <family val="2"/>
          </rPr>
          <t xml:space="preserve">All inputs ASSUMPTION except UK VAT 20% (R09), CA Home/Kitchen referral 15% (F02), and UK Home Products 8% at &lt;=GBP20 otherwise 15% conditional category (F03). US referral15% is planning assumption. CA17% is published cotton bed-linen MFN example R26, application unverified; US20% duty is stress placeholder not legal rate; UK0% conditional DCTS, not clearance quote. Factory numbers are budget test values, NOT estimated actual manufacturing cost. FBA/storage/freight/ads require quotes or trials.</t>
        </r>
      </text>
    </comment>
    <comment ref="N5" authorId="0">
      <text>
        <r>
          <rPr>
            <sz val="10"/>
            <rFont val="Arial"/>
            <family val="2"/>
          </rPr>
          <t xml:space="preserve">All inputs ASSUMPTION except UK VAT 20% (R09), CA Home/Kitchen referral 15% (F02), and UK Home Products 8% at &lt;=GBP20 otherwise 15% conditional category (F03). US referral15% is planning assumption. CA17% is published cotton bed-linen MFN example R26, application unverified; US20% duty is stress placeholder not legal rate; UK0% conditional DCTS, not clearance quote. Factory numbers are budget test values, NOT estimated actual manufacturing cost. FBA/storage/freight/ads require quotes or trials.</t>
        </r>
      </text>
    </comment>
    <comment ref="N6" authorId="0">
      <text>
        <r>
          <rPr>
            <sz val="10"/>
            <rFont val="Arial"/>
            <family val="2"/>
          </rPr>
          <t xml:space="preserve">All inputs ASSUMPTION except UK VAT 20% (R09), CA Home/Kitchen referral 15% (F02), and UK Home Products 8% at &lt;=GBP20 otherwise 15% conditional category (F03). US referral15% is planning assumption. CA17% is published cotton bed-linen MFN example R26, application unverified; US20% duty is stress placeholder not legal rate; UK0% conditional DCTS, not clearance quote. Factory numbers are budget test values, NOT estimated actual manufacturing cost. FBA/storage/freight/ads require quotes or trials.</t>
        </r>
      </text>
    </comment>
    <comment ref="N7" authorId="0">
      <text>
        <r>
          <rPr>
            <sz val="10"/>
            <rFont val="Arial"/>
            <family val="2"/>
          </rPr>
          <t xml:space="preserve">All inputs ASSUMPTION except UK VAT 20% (R09), CA Home/Kitchen referral 15% (F02), and UK Home Products 8% at &lt;=GBP20 otherwise 15% conditional category (F03). US referral15% is planning assumption. CA17% is published cotton bed-linen MFN example R26, application unverified; US20% duty is stress placeholder not legal rate; UK0% conditional DCTS, not clearance quote. Factory numbers are budget test values, NOT estimated actual manufacturing cost. FBA/storage/freight/ads require quotes or trials.</t>
        </r>
      </text>
    </comment>
    <comment ref="N8" authorId="0">
      <text>
        <r>
          <rPr>
            <sz val="10"/>
            <rFont val="Arial"/>
            <family val="2"/>
          </rPr>
          <t xml:space="preserve">All inputs ASSUMPTION except UK VAT 20% (R09), CA Home/Kitchen referral 15% (F02), and UK Home Products 8% at &lt;=GBP20 otherwise 15% conditional category (F03). US referral15% is planning assumption. CA17% is published cotton bed-linen MFN example R26, application unverified; US20% duty is stress placeholder not legal rate; UK0% conditional DCTS, not clearance quote. Factory numbers are budget test values, NOT estimated actual manufacturing cost. FBA/storage/freight/ads require quotes or trials.</t>
        </r>
      </text>
    </comment>
    <comment ref="N9" authorId="0">
      <text>
        <r>
          <rPr>
            <sz val="10"/>
            <rFont val="Arial"/>
            <family val="2"/>
          </rPr>
          <t xml:space="preserve">All inputs ASSUMPTION except UK VAT 20% (R09), CA Home/Kitchen referral 15% (F02), and UK Home Products 8% at &lt;=GBP20 otherwise 15% conditional category (F03). US referral15% is planning assumption. CA17% is published cotton bed-linen MFN example R26, application unverified; US20% duty is stress placeholder not legal rate; UK0% conditional DCTS, not clearance quote. Factory numbers are budget test values, NOT estimated actual manufacturing cost. FBA/storage/freight/ads require quotes or trials.</t>
        </r>
      </text>
    </comment>
    <comment ref="N10" authorId="0">
      <text>
        <r>
          <rPr>
            <sz val="10"/>
            <rFont val="Arial"/>
            <family val="2"/>
          </rPr>
          <t xml:space="preserve">All inputs ASSUMPTION except UK VAT 20% (R09), CA Home/Kitchen referral 15% (F02), and UK Home Products 8% at &lt;=GBP20 otherwise 15% conditional category (F03). US referral15% is planning assumption. CA17% is published cotton bed-linen MFN example R26, application unverified; US20% duty is stress placeholder not legal rate; UK0% conditional DCTS, not clearance quote. Factory numbers are budget test values, NOT estimated actual manufacturing cost. FBA/storage/freight/ads require quotes or trials.</t>
        </r>
      </text>
    </comment>
  </commentList>
</comments>
</file>

<file path=xl/sharedStrings.xml><?xml version="1.0" encoding="utf-8"?>
<sst xmlns="http://schemas.openxmlformats.org/spreadsheetml/2006/main" count="26479" uniqueCount="6483">
  <si>
    <t xml:space="preserve">Topic</t>
  </si>
  <si>
    <t xml:space="preserve">Read me</t>
  </si>
  <si>
    <t xml:space="preserve">Status</t>
  </si>
  <si>
    <t xml:space="preserve">Evidence-limited research package. Public evidence collected; domestic rank panels, measured keyword demand/CPC/CVR, competitor sales, quotes and review histories are NOT verified.</t>
  </si>
  <si>
    <t xml:space="preserve">Date</t>
  </si>
  <si>
    <t xml:space="preserve">26 October 2026; geography split US/CA/UK. Monetary currency explicit in every financial table.</t>
  </si>
  <si>
    <t xml:space="preserve">Legend</t>
  </si>
  <si>
    <t xml:space="preserve">FACT=observed official/page evidence; CLAIM=seller assertion; ESTIMATE=publisher model; CALC=derived; ASSUMPTION=analyst scenario; GAP=unavailable.</t>
  </si>
  <si>
    <t xml:space="preserve">Edit</t>
  </si>
  <si>
    <t xml:space="preserve">Economics numeric inputs F:AG and BH (runway months) are blue. Derived formulas black. All commercial scenario inputs require replacement with approved quotes/pilot results.</t>
  </si>
  <si>
    <t xml:space="preserve">Samples</t>
  </si>
  <si>
    <t xml:space="preserve">1627 query-ASIN observations, 1568 distinct marketplace-ASIN pairs, 33 query pages. Not a probability sample.</t>
  </si>
  <si>
    <t xml:space="preserve">Prices</t>
  </si>
  <si>
    <t xml:space="preserve">Title-screened but mixed sizes/sets; US/UK retained Colombia delivery destination. Currency corrected through UI. No normalized domestic price distribution claimed.</t>
  </si>
  <si>
    <t xml:space="preserve">Ratings</t>
  </si>
  <si>
    <t xml:space="preserve">Displayed total ratings, not written review count; K/M rounded; pooled variants/countries possible. No review-growth trend from one snapshot.</t>
  </si>
  <si>
    <t xml:space="preserve">Review corpus</t>
  </si>
  <si>
    <t xml:space="preserve">122 visible review cards: 40 Canadian, 33 UK, 25 US, 24 other by reviewer location. US reviews obtained from imported reviews on CA/UK pages. Top/helpful sample, not complaint prevalence.</t>
  </si>
  <si>
    <t xml:space="preserve">Formula basis</t>
  </si>
  <si>
    <t xml:space="preserve">Per shipped order; discounts and refunds reduce revenue; landed cost charged once with zero returned-inventory recovery; referral refund and admin approximated. FBA charged on every shipment.</t>
  </si>
  <si>
    <t xml:space="preserve">UK accounting</t>
  </si>
  <si>
    <t xml:space="preserve">Retail price assumed VAT-inclusive at20%; referral charged on VAT-inclusive order amount. Fee VAT assumed recoverable. Customs base is factory+packaging proxy, NOT a legal valuation.</t>
  </si>
  <si>
    <t xml:space="preserve">Break-even</t>
  </si>
  <si>
    <t xml:space="preserve">BE ACoS=pre-ad contribution / initial gross discounted order revenue. BE CPC=pre-ad contribution*CVR. Blended CM assumes stated paid-order share; attribution halo ignored.</t>
  </si>
  <si>
    <t xml:space="preserve">Capital</t>
  </si>
  <si>
    <t xml:space="preserve">Inventory+reorder deposit+tax float=working capital; setup/media/overhead=planned expenses; reserve unspent buffer. No sales receipts netted. Do not add launch media again to operating expense totals.</t>
  </si>
  <si>
    <t xml:space="preserve">Charts</t>
  </si>
  <si>
    <t xml:space="preserve">01 market scope; 02 sample prices; 03 rating barriers/card concentration; 04 illustrative ad economics; 05 illustrative cash; 06 judgement scorecard.</t>
  </si>
  <si>
    <t xml:space="preserve">Use</t>
  </si>
  <si>
    <t xml:space="preserve">Choose feasibility work, not production purchase orders. No outreach, ads, purchases or launch commitments made.</t>
  </si>
  <si>
    <t xml:space="preserve">Country</t>
  </si>
  <si>
    <t xml:space="preserve">Broad bedding2024 USDm</t>
  </si>
  <si>
    <t xml:space="preserve">GVR CAGR2025-33 %</t>
  </si>
  <si>
    <t xml:space="preserve">Offline2024 %</t>
  </si>
  <si>
    <t xml:space="preserve">Home textiles2025 USDm</t>
  </si>
  <si>
    <t xml:space="preserve">Bed linen share2025 %</t>
  </si>
  <si>
    <t xml:space="preserve">Home textiles2026 USDm</t>
  </si>
  <si>
    <t xml:space="preserve">Mordor CAGR2026-31 %</t>
  </si>
  <si>
    <t xml:space="preserve">Sources</t>
  </si>
  <si>
    <t xml:space="preserve">Derived bed linen2025 USDm</t>
  </si>
  <si>
    <t xml:space="preserve">Derived broad online2024 USDm</t>
  </si>
  <si>
    <t xml:space="preserve">US</t>
  </si>
  <si>
    <t xml:space="preserve">M01; M07</t>
  </si>
  <si>
    <t xml:space="preserve">CA</t>
  </si>
  <si>
    <t xml:space="preserve">M02; M09</t>
  </si>
  <si>
    <t xml:space="preserve">UK</t>
  </si>
  <si>
    <t xml:space="preserve">M03; M08</t>
  </si>
  <si>
    <t xml:space="preserve">Segment</t>
  </si>
  <si>
    <t xml:space="preserve">Query bucket</t>
  </si>
  <si>
    <t xml:space="preserve">Demand/use cases (judgement)</t>
  </si>
  <si>
    <t xml:space="preserve">Materials</t>
  </si>
  <si>
    <t xml:space="preserve">Proposed specs to test</t>
  </si>
  <si>
    <t xml:space="preserve">Competition</t>
  </si>
  <si>
    <t xml:space="preserve">Differentiation hypothesis</t>
  </si>
  <si>
    <t xml:space="preserve">Manufacturing</t>
  </si>
  <si>
    <t xml:space="preserve">Recommendation</t>
  </si>
  <si>
    <t xml:space="preserve">Sheets / sheet sets</t>
  </si>
  <si>
    <t xml:space="preserve">sheets</t>
  </si>
  <si>
    <t xml:space="preserve">Replacement, first-home, guest-room and gifting use cases; exact demand unmeasured</t>
  </si>
  <si>
    <t xml:space="preserve">Cotton percale/sateen; microfiber; regenerated cellulose</t>
  </si>
  <si>
    <t xml:space="preserve">Proposed: 200-300 single-ply percale or 300-500 sateen; declare fibre percentages; fit after washing, not just cut dimensions</t>
  </si>
  <si>
    <t xml:space="preserve">High price transparency, entrenched ratings; generic cooling/organic is already common</t>
  </si>
  <si>
    <t xml:space="preserve">Differentiated cotton with measured fit and wash durability; narrow colours/sizes</t>
  </si>
  <si>
    <t xml:space="preserve">Medium: weaving/finishing, shrink allowance, consistent dye lots</t>
  </si>
  <si>
    <t xml:space="preserve">Investigate differentiated; avoid undifferentiated head-term launch</t>
  </si>
  <si>
    <t xml:space="preserve">Fitted sheets</t>
  </si>
  <si>
    <t xml:space="preserve">fitted</t>
  </si>
  <si>
    <t xml:space="preserve">Replacement-only purchases and difficult mattress depths; niche size volumes unmeasured</t>
  </si>
  <si>
    <t xml:space="preserve">Cotton, cotton/polyester, microfiber, jersey</t>
  </si>
  <si>
    <t xml:space="preserve">Proposed: explicit mattress-depth range, elastic recovery, orientation label; separate shallow/deep patterns</t>
  </si>
  <si>
    <t xml:space="preserve">Deep-pocket and orientation features already offered; feature presence alone is not a moat</t>
  </si>
  <si>
    <t xml:space="preserve">Verified post-wash fit for specific depth/size; replacement availability</t>
  </si>
  <si>
    <t xml:space="preserve">Medium: corner seam, elastic tension and shrink fit</t>
  </si>
  <si>
    <t xml:space="preserve">Investigate; willingness-to-pay unvalidated</t>
  </si>
  <si>
    <t xml:space="preserve">Pillowcases</t>
  </si>
  <si>
    <t xml:space="preserve">pillowcase</t>
  </si>
  <si>
    <t xml:space="preserve">Replacement, extra pillows, hair/skin-positioning and gifts</t>
  </si>
  <si>
    <t xml:space="preserve">Cotton, polyester satin, silk, lyocell</t>
  </si>
  <si>
    <t xml:space="preserve">State pair vs single; internal usable length; envelope/zip closure; silk momme only for actual silk</t>
  </si>
  <si>
    <t xml:space="preserve">Low AOV makes shipping and acquisition disproportionately expensive</t>
  </si>
  <si>
    <t xml:space="preserve">Add-on, replacement pair, coordinated colours; bundle to improve basket economics</t>
  </si>
  <si>
    <t xml:space="preserve">Low-medium: seam/closure finish and sizing</t>
  </si>
  <si>
    <t xml:space="preserve">Investigate as niche/bundle; weak standalone broad-PPC economics</t>
  </si>
  <si>
    <t xml:space="preserve">Duvet covers</t>
  </si>
  <si>
    <t xml:space="preserve">duvet</t>
  </si>
  <si>
    <t xml:space="preserve">Decor refresh and washable protection; country-specific naming and size</t>
  </si>
  <si>
    <t xml:space="preserve">Cotton percale/sateen, cotton blend, linen, lyocell</t>
  </si>
  <si>
    <t xml:space="preserve">Actual insert dimensions; corner/side ties, seam and zipper cycling; clarify no insert; colourfastness</t>
  </si>
  <si>
    <t xml:space="preserve">Washed-cotton linen-look and ties already widespread</t>
  </si>
  <si>
    <t xml:space="preserve">Easy assembly plus tested fit/colourfastness; UK-native dimensions</t>
  </si>
  <si>
    <t xml:space="preserve">Medium: large-panel alignment, shrinkage and closure</t>
  </si>
  <si>
    <t xml:space="preserve">Investigate US/UK differentiated and hospitality</t>
  </si>
  <si>
    <t xml:space="preserve">Comforters / duvet inserts</t>
  </si>
  <si>
    <t xml:space="preserve">comforter</t>
  </si>
  <si>
    <t xml:space="preserve">Seasonal warmth, room bundles and all-in-one convenience</t>
  </si>
  <si>
    <t xml:space="preserve">Polyester/down alternative, down/feather, cotton shell</t>
  </si>
  <si>
    <t xml:space="preserve">Fill weight/composition; UK tog where tested; baffle/box construction; washing/drying instructions</t>
  </si>
  <si>
    <t xml:space="preserve">Value bed-in-a-bag bundles set a low reference price; bulk inflates logistics</t>
  </si>
  <si>
    <t xml:space="preserve">Specific warmth/weight need backed by testing, not generic all-season claim</t>
  </si>
  <si>
    <t xml:space="preserve">High: fill uniformity, migration, compression, drying and product-rule checks</t>
  </si>
  <si>
    <t xml:space="preserve">Postpone broad launch; niche feasibility only</t>
  </si>
  <si>
    <t xml:space="preserve">Quilts / coverlets</t>
  </si>
  <si>
    <t xml:space="preserve">quilt</t>
  </si>
  <si>
    <t xml:space="preserve">Decorative layering and lightweight seasonal use</t>
  </si>
  <si>
    <t xml:space="preserve">Cotton shell/fill, blends, microfiber</t>
  </si>
  <si>
    <t xml:space="preserve">Distinguish cotton shell from fill; finished dimensions, quilting density, wash behaviour</t>
  </si>
  <si>
    <t xml:space="preserve">Pattern/style inventory fragments demand; UK quilt query can mean duvet insert</t>
  </si>
  <si>
    <t xml:space="preserve">Wash-durable lightweight layer for specific climate/use</t>
  </si>
  <si>
    <t xml:space="preserve">Medium-high: quilting capacity, stitch durability, colour and fill</t>
  </si>
  <si>
    <t xml:space="preserve">Investigate design-led narrow assortment; no inferred UK demand from query</t>
  </si>
  <si>
    <t xml:space="preserve">Mattress protectors</t>
  </si>
  <si>
    <t xml:space="preserve">protector</t>
  </si>
  <si>
    <t xml:space="preserve">Spills, hygiene and mattress preservation</t>
  </si>
  <si>
    <t xml:space="preserve">Cotton or viscose blend top, polyurethane membrane, polyester skirt</t>
  </si>
  <si>
    <t xml:space="preserve">Waterproof after repeated washes, noise, thermal comfort, fit depth; verify actual layers</t>
  </si>
  <si>
    <t xml:space="preserve">SafeRest/Utopia/PlushDeluxe/Silentnight have substantial visible trust signals</t>
  </si>
  <si>
    <t xml:space="preserve">Quiet leak-tested protector with honest composition and clear care</t>
  </si>
  <si>
    <t xml:space="preserve">High: membrane lamination, seal integrity and product classification</t>
  </si>
  <si>
    <t xml:space="preserve">Postpone commodity; differentiated only after lab validation</t>
  </si>
  <si>
    <t xml:space="preserve">Mattress toppers / pads</t>
  </si>
  <si>
    <t xml:space="preserve">topper</t>
  </si>
  <si>
    <t xml:space="preserve">Comfort retrofit and dorm/guest use</t>
  </si>
  <si>
    <t xml:space="preserve">Foam, latex, hollowfibre, down/feather; cellulose cover claims</t>
  </si>
  <si>
    <t xml:space="preserve">Separate foam thickness/density from quilted pad loft; recovery and durability tests</t>
  </si>
  <si>
    <t xml:space="preserve">Search mixes thin pads and thick foam; high volume/return risk; health claims require support</t>
  </si>
  <si>
    <t xml:space="preserve">Narrow comfort use case with measured retention and realistic imagery</t>
  </si>
  <si>
    <t xml:space="preserve">High: bulky freight, compression recovery, flammability scope and returns</t>
  </si>
  <si>
    <t xml:space="preserve">Postpone for capital-light entrant</t>
  </si>
  <si>
    <t xml:space="preserve">Blankets, throws, flannel and other</t>
  </si>
  <si>
    <t xml:space="preserve">other</t>
  </si>
  <si>
    <t xml:space="preserve">Seasonal warmth, decoration; nursery and heated products are distinct risk classes</t>
  </si>
  <si>
    <t xml:space="preserve">Cotton, wool, fleece, flannel; electric components if heated</t>
  </si>
  <si>
    <t xml:space="preserve">GSM and dimensions; lint/pilling, wash shrinkage; special child/electrical requirements</t>
  </si>
  <si>
    <t xml:space="preserve">Gift/style-driven promotion and seasonal leftovers</t>
  </si>
  <si>
    <t xml:space="preserve">Non-electrical adult-use layers; hospitality replenishment</t>
  </si>
  <si>
    <t xml:space="preserve">Medium; higher for weighted/heated/child products</t>
  </si>
  <si>
    <t xml:space="preserve">Investigate selectively; exclude regulated extensions from initial launch</t>
  </si>
  <si>
    <t xml:space="preserve">Material</t>
  </si>
  <si>
    <t xml:space="preserve">Definition</t>
  </si>
  <si>
    <t xml:space="preserve">Consumer proposition</t>
  </si>
  <si>
    <t xml:space="preserve">Proposed checks</t>
  </si>
  <si>
    <t xml:space="preserve">Risk</t>
  </si>
  <si>
    <t xml:space="preserve">Evidence</t>
  </si>
  <si>
    <t xml:space="preserve">Cotton percale</t>
  </si>
  <si>
    <t xml:space="preserve">Fibre cotton; plain weave, not a fibre called percale</t>
  </si>
  <si>
    <t xml:space="preserve">Crisp, matte, breathable positioning; wrinkles may be accepted or disliked</t>
  </si>
  <si>
    <t xml:space="preserve">Proposed 200-300 single-ply TC, documented yarn/weight; post-wash shrink and tear tests</t>
  </si>
  <si>
    <t xml:space="preserve">Avoid assuming high TC or Egyptian wording proves quality</t>
  </si>
  <si>
    <t xml:space="preserve">D01; LIVE_US_sheets; LIVE_CA_sheets</t>
  </si>
  <si>
    <t xml:space="preserve">Cotton sateen</t>
  </si>
  <si>
    <t xml:space="preserve">Cotton in a sateen weave</t>
  </si>
  <si>
    <t xml:space="preserve">Smooth, lustrous hand; warmth and snag sensitivity depend on construction</t>
  </si>
  <si>
    <t xml:space="preserve">Proposed 300-500 single-ply TC; abrasion, pilling, dimensional stability</t>
  </si>
  <si>
    <t xml:space="preserve">Not interchangeable with polyester satin</t>
  </si>
  <si>
    <t xml:space="preserve">D01; LIVE_US_sheets</t>
  </si>
  <si>
    <t xml:space="preserve">Microfiber / polyester satin</t>
  </si>
  <si>
    <t xml:space="preserve">Synthetic fibre; satin is a weave</t>
  </si>
  <si>
    <t xml:space="preserve">Affordable, soft and easy-care positioning; thermal comfort is subjective</t>
  </si>
  <si>
    <t xml:space="preserve">Specify GSM, yarn and finish; pilling/static/colourfastness testing</t>
  </si>
  <si>
    <t xml:space="preserve">Low differentiation and low selling prices challenge paid acquisition</t>
  </si>
  <si>
    <t xml:space="preserve">LIVE_US_fitted; LIVE_UK_sheets</t>
  </si>
  <si>
    <t xml:space="preserve">Cotton blends</t>
  </si>
  <si>
    <t xml:space="preserve">Percentages determine actual material</t>
  </si>
  <si>
    <t xml:space="preserve">Easy-care and laundry durability may suit hospitality</t>
  </si>
  <si>
    <t xml:space="preserve">Declare fibre percentages; measure dry time and repeated-wash serviceability</t>
  </si>
  <si>
    <t xml:space="preserve">Do not market as 100% cotton or infer equal breathability</t>
  </si>
  <si>
    <t xml:space="preserve">D07; M07; M09</t>
  </si>
  <si>
    <t xml:space="preserve">Bamboo-derived viscose/rayon</t>
  </si>
  <si>
    <t xml:space="preserve">Regenerated cellulose, not raw bamboo fibre</t>
  </si>
  <si>
    <t xml:space="preserve">Soft/drapey positioning; wet strength, shrinkage and authenticity concerns</t>
  </si>
  <si>
    <t xml:space="preserve">Correct generic name, fabric weight and construction; independent composition and wash tests</t>
  </si>
  <si>
    <t xml:space="preserve">FTC requires rayon/viscose made from bamboo wording; no unsupported natural-antibacterial or eco claim</t>
  </si>
  <si>
    <t xml:space="preserve">R02; PDP_CA_bamboo; PDP_CA_protector</t>
  </si>
  <si>
    <t xml:space="preserve">Lyocell</t>
  </si>
  <si>
    <t xml:space="preserve">Regenerated cellulose; TENCEL is a trademark not generic composition proof</t>
  </si>
  <si>
    <t xml:space="preserve">Smooth hand and moisture-management positioning</t>
  </si>
  <si>
    <t xml:space="preserve">Verify licensed branding if used; composition, process evidence, pilling/shrink tests</t>
  </si>
  <si>
    <t xml:space="preserve">Low observed search coverage is not proof of an open market</t>
  </si>
  <si>
    <t xml:space="preserve">D06; LIVE_US_lyocell; LIVE_CA_lyocell; LIVE_UK_lyocell</t>
  </si>
  <si>
    <t xml:space="preserve">Linen / flax</t>
  </si>
  <si>
    <t xml:space="preserve">Flax fibre; linen-look cotton is not linen</t>
  </si>
  <si>
    <t xml:space="preserve">Textured premium positioning, wrinkles and initial roughness tradeoffs</t>
  </si>
  <si>
    <t xml:space="preserve">Proposed 150-180 GSM for testing, not universal optimal weight; seam slippage/shrink tests</t>
  </si>
  <si>
    <t xml:space="preserve">Higher material/capital exposure; source certified chain if claimed</t>
  </si>
  <si>
    <t xml:space="preserve">D01; LIVE_US_linen</t>
  </si>
  <si>
    <t xml:space="preserve">Silk / wool / down / latex / foam</t>
  </si>
  <si>
    <t xml:space="preserve">Distinct fibres/fills and regulatory pathways</t>
  </si>
  <si>
    <t xml:space="preserve">Specialized feel, insulation or support; not one comparable category</t>
  </si>
  <si>
    <t xml:space="preserve">Verify silk momme, wool content, down fill and foam density as applicable</t>
  </si>
  <si>
    <t xml:space="preserve">Separate filled-product, flammability, allergen and health-claim diligence</t>
  </si>
  <si>
    <t xml:space="preserve">R01; R11; LIVE_US_topper</t>
  </si>
  <si>
    <t xml:space="preserve">country</t>
  </si>
  <si>
    <t xml:space="preserve">currency</t>
  </si>
  <si>
    <t xml:space="preserve">segment</t>
  </si>
  <si>
    <t xml:space="preserve">query</t>
  </si>
  <si>
    <t xml:space="preserve">position</t>
  </si>
  <si>
    <t xml:space="preserve">asin</t>
  </si>
  <si>
    <t xml:space="preserve">brand</t>
  </si>
  <si>
    <t xml:space="preserve">title</t>
  </si>
  <si>
    <t xml:space="preserve">size</t>
  </si>
  <si>
    <t xml:space="preserve">material_claim</t>
  </si>
  <si>
    <t xml:space="preserve">display_price</t>
  </si>
  <si>
    <t xml:space="preserve">rating</t>
  </si>
  <si>
    <t xml:space="preserve">ratings_approx</t>
  </si>
  <si>
    <t xml:space="preserve">sponsored_visible</t>
  </si>
  <si>
    <t xml:space="preserve">promotion_text</t>
  </si>
  <si>
    <t xml:space="preserve">query_match_screen</t>
  </si>
  <si>
    <t xml:space="preserve">bought_badge</t>
  </si>
  <si>
    <t xml:space="preserve">source</t>
  </si>
  <si>
    <t xml:space="preserve">url</t>
  </si>
  <si>
    <t xml:space="preserve">research_date</t>
  </si>
  <si>
    <t xml:space="preserve">limitation</t>
  </si>
  <si>
    <t xml:space="preserve">CAD</t>
  </si>
  <si>
    <t xml:space="preserve">bamboo</t>
  </si>
  <si>
    <t xml:space="preserve">bamboo viscose sheet set</t>
  </si>
  <si>
    <t xml:space="preserve">B0H9QD7RD5</t>
  </si>
  <si>
    <t xml:space="preserve">Sasttie</t>
  </si>
  <si>
    <t xml:space="preserve">Sasttie White Silky-Soft Bamboo Sheets Queen Size 4-Piece, 100% Rayon Made from Bamboo 300TC, Cooling Sheet for Hot Sleepers, 16" Deep Pocket, Secure Corner Straps, Head Tag, Washable &amp; Breathable</t>
  </si>
  <si>
    <t xml:space="preserve">Queen</t>
  </si>
  <si>
    <t xml:space="preserve">Regenerated cellulose or blend claim</t>
  </si>
  <si>
    <t xml:space="preserve">LIVE_CA_bamboo</t>
  </si>
  <si>
    <t xml:space="preserve">https://www.amazon.ca/dp/B0H9QD7RD5</t>
  </si>
  <si>
    <t xml:space="preserve">2026-10-26</t>
  </si>
  <si>
    <t xml:space="preserve">No fixed postal code; mixed variants; rating counts may be pooled/global and K/M rounded. No sales inference from badges.</t>
  </si>
  <si>
    <t xml:space="preserve">B0CQ2ZWGNQ</t>
  </si>
  <si>
    <t xml:space="preserve">DECOLURE</t>
  </si>
  <si>
    <t xml:space="preserve">DECOLURE 100% Organic Viscose Derived from Bamboo Sheets Queen Size 6pcs - Ultra Soft &amp; Luxuriously Cooling, 17" Deep Pocket, Double Stitching, Perfect for Hot Sleepers - Queen Bed Sheets (White)</t>
  </si>
  <si>
    <t xml:space="preserve">https://www.amazon.ca/dp/B0CQ2ZWGNQ</t>
  </si>
  <si>
    <t xml:space="preserve">B07YKCQBBL</t>
  </si>
  <si>
    <t xml:space="preserve">Bedsure</t>
  </si>
  <si>
    <t xml:space="preserve">Bedsure Sheet King Size - 4 Piece 100% Bamboo Rayon Sheet Set Dark Grey</t>
  </si>
  <si>
    <t xml:space="preserve">King</t>
  </si>
  <si>
    <t xml:space="preserve">Limited-time deal | List: $129.99 | List:</t>
  </si>
  <si>
    <t xml:space="preserve">100+ bought in past month</t>
  </si>
  <si>
    <t xml:space="preserve">https://www.amazon.ca/dp/B07YKCQBBL</t>
  </si>
  <si>
    <t xml:space="preserve">B0H4LQTR5T</t>
  </si>
  <si>
    <t xml:space="preserve">Unresolved (title insufficient)</t>
  </si>
  <si>
    <t xml:space="preserve">Queen Size Sheet Set, Viscose Bamboo Sheets 4-Piece, 100% Viscose Derived from Bamboo, Hotel Luxury Silky &amp; Cooling for Hot Sleepers, Deep Pocket Up to 17", Navy Blue</t>
  </si>
  <si>
    <t xml:space="preserve">Save 8% | Was: $87.39 | Was: | Save 5% on any 2</t>
  </si>
  <si>
    <t xml:space="preserve">https://www.amazon.ca/dp/B0H4LQTR5T</t>
  </si>
  <si>
    <t xml:space="preserve">B0C3R5NGGQ</t>
  </si>
  <si>
    <t xml:space="preserve">Cooling 100% Viscose Derived from Bamboo Sheet Set, Full, 4 Pc, White</t>
  </si>
  <si>
    <t xml:space="preserve">Full</t>
  </si>
  <si>
    <t xml:space="preserve">Save 14% | List: $69.99 | List:</t>
  </si>
  <si>
    <t xml:space="preserve">https://www.amazon.ca/dp/B0C3R5NGGQ</t>
  </si>
  <si>
    <t xml:space="preserve">B0FT7LV7PP</t>
  </si>
  <si>
    <t xml:space="preserve">Bamboo Viscose Sheet Set Queen Size, Cooling Sheets Bed Set 4pcs</t>
  </si>
  <si>
    <t xml:space="preserve">Save 5% on any 2</t>
  </si>
  <si>
    <t xml:space="preserve">https://www.amazon.ca/dp/B0FT7LV7PP</t>
  </si>
  <si>
    <t xml:space="preserve">B0CQ2XQF9N</t>
  </si>
  <si>
    <t xml:space="preserve">DECOLURE 100% Organic Viscose Derived from Bamboo Sheets King Size 6pcs - Ultra Soft &amp; Luxuriously Cooling, 17" Deep Pocket, Double Stitching, Perfect for Hot Sleepers - King Bed Sheets (White)</t>
  </si>
  <si>
    <t xml:space="preserve">50+ bought in past month</t>
  </si>
  <si>
    <t xml:space="preserve">https://www.amazon.ca/dp/B0CQ2XQF9N</t>
  </si>
  <si>
    <t xml:space="preserve">B0H4LW9WBT</t>
  </si>
  <si>
    <t xml:space="preserve">Full Size Sheet Set, Viscose Bamboo Sheets 4-Piece, 100% Viscose Derived from Bamboo, Hotel Luxury Silky &amp; Cooling for Hot Sleepers, Deep Pocket Up to 17", Grey</t>
  </si>
  <si>
    <t xml:space="preserve">Save 11% | Was: $89.99 | Was: | Save 5% on any 2</t>
  </si>
  <si>
    <t xml:space="preserve">https://www.amazon.ca/dp/B0H4LW9WBT</t>
  </si>
  <si>
    <t xml:space="preserve">B0CQ33C286</t>
  </si>
  <si>
    <t xml:space="preserve">DECOLURE 100% Organic Viscose Derived from Bamboo Sheets Queen Size 6pcs - Ultra Soft &amp; Luxuriously Cooling, 17" Deep Pocket, Double Stitching, Perfect for Hot Sleepers - Queen Bed Sheets (Charcoal)</t>
  </si>
  <si>
    <t xml:space="preserve">https://www.amazon.ca/dp/B0CQ33C286</t>
  </si>
  <si>
    <t xml:space="preserve">B0F1KK74XH</t>
  </si>
  <si>
    <t xml:space="preserve">Viviland Cooling Queen Sheets, 100% Viscose Derived Bamboo, Sky Blue</t>
  </si>
  <si>
    <t xml:space="preserve">Was: $69.99 | Was:</t>
  </si>
  <si>
    <t xml:space="preserve">https://www.amazon.ca/dp/B0F1KK74XH</t>
  </si>
  <si>
    <t xml:space="preserve">B0CGZR147P</t>
  </si>
  <si>
    <t xml:space="preserve">Andency Bamboo Cooling Beige Sheet Set, 4pcs King Sheets for Hot Sleepers</t>
  </si>
  <si>
    <t xml:space="preserve">Was: $74.99 | Was:</t>
  </si>
  <si>
    <t xml:space="preserve">https://www.amazon.ca/dp/B0CGZR147P</t>
  </si>
  <si>
    <t xml:space="preserve">B0GCZS2W4S</t>
  </si>
  <si>
    <t xml:space="preserve">Viviland Cooling Full Sheets, 100% Viscose Derived Bamboo, Coral</t>
  </si>
  <si>
    <t xml:space="preserve">Was: $61.99 | Was:</t>
  </si>
  <si>
    <t xml:space="preserve">https://www.amazon.ca/dp/B0GCZS2W4S</t>
  </si>
  <si>
    <t xml:space="preserve">B07XF1NLLW</t>
  </si>
  <si>
    <t xml:space="preserve">BAMPURE 100% Organic Bamboo Sheets King 4PC - Cooling Sheets Set</t>
  </si>
  <si>
    <t xml:space="preserve">Save 50% on 1 when you buy 2</t>
  </si>
  <si>
    <t xml:space="preserve">https://www.amazon.ca/dp/B07XF1NLLW</t>
  </si>
  <si>
    <t xml:space="preserve">B0BZPZPGDC</t>
  </si>
  <si>
    <t xml:space="preserve">DECOLURE 100% Organic Bamboo Viscose Sheets Full Size 4 pcs - Ultra Soft &amp; Luxuriously Cooling, 16" Deep Pocket, Double Stitching,Perfect for Hot Sleepers - Luxury Full Bed Sheets Set (Light Olive)</t>
  </si>
  <si>
    <t xml:space="preserve">https://www.amazon.ca/dp/B0BZPZPGDC</t>
  </si>
  <si>
    <t xml:space="preserve">B0DR99Q37Y</t>
  </si>
  <si>
    <t xml:space="preserve">Bambaw</t>
  </si>
  <si>
    <t xml:space="preserve">Bambaw 100% Viscose Derived from Bamboo Sheets Queen Size Set – 4pcs Cooling Sheet Set, Super Soft Sheets Queen Size, Luxury Bed Sheets, Deep Pocket Fits Up to 16'' Mattresses (Charcoal)</t>
  </si>
  <si>
    <t xml:space="preserve">Limited-time deal | Was: $139.95 | Was:</t>
  </si>
  <si>
    <t xml:space="preserve">https://www.amazon.ca/dp/B0DR99Q37Y</t>
  </si>
  <si>
    <t xml:space="preserve">B09PYB9C45</t>
  </si>
  <si>
    <t xml:space="preserve">ACCURATEX Bamboo Cooling Sheets for Hot Sleepers, King Size,Grey</t>
  </si>
  <si>
    <t xml:space="preserve">https://www.amazon.ca/dp/B09PYB9C45</t>
  </si>
  <si>
    <t xml:space="preserve">B08MJW1N18</t>
  </si>
  <si>
    <t xml:space="preserve">Bamboo Bay Luxury Bamboo Sheets Twin Size - 4 Piece Ultra Soft Twin Cooling Sheets for Hot Sleepers - 100% Organic Bamboo Twin Sheet Set Fits Up to 16" Deep Pocket - Eco Friendly - Twin - Light Blue</t>
  </si>
  <si>
    <t xml:space="preserve">Twin</t>
  </si>
  <si>
    <t xml:space="preserve">https://www.amazon.ca/dp/B08MJW1N18</t>
  </si>
  <si>
    <t xml:space="preserve">B0DL5NCTYF</t>
  </si>
  <si>
    <t xml:space="preserve">MR&amp;HM Queen Sheets 4 Pieces, Rayon Derived from Bamboo Blend, Dark Grey</t>
  </si>
  <si>
    <t xml:space="preserve">https://www.amazon.ca/dp/B0DL5NCTYF</t>
  </si>
  <si>
    <t xml:space="preserve">B0F2HW8MY2</t>
  </si>
  <si>
    <t xml:space="preserve">Bambaw 3pcs Set - 100% Viscose Derived from Bamboo Duvet Cover Queen Size Set, Duvet Cover Cooling for Hot Sleepers, Super Soft &amp; Breathable, OEKO-TEX® STANDARD 100 Certified, No Comforter (Sand)</t>
  </si>
  <si>
    <t xml:space="preserve">https://www.amazon.ca/dp/B0F2HW8MY2</t>
  </si>
  <si>
    <t xml:space="preserve">B0GVDDCJVT</t>
  </si>
  <si>
    <t xml:space="preserve">100% Bamboo Viscose Twin XL Size Sheets Set, 400 Thread Count, 3 Pieces</t>
  </si>
  <si>
    <t xml:space="preserve">Twin XL</t>
  </si>
  <si>
    <t xml:space="preserve">https://www.amazon.ca/dp/B0GVDDCJVT</t>
  </si>
  <si>
    <t xml:space="preserve">B0G34XJ831</t>
  </si>
  <si>
    <t xml:space="preserve">100% Bamboo Viscose Cooling Fitted Sheet Queen Olive Green and Pillowcases</t>
  </si>
  <si>
    <t xml:space="preserve">https://www.amazon.ca/dp/B0G34XJ831</t>
  </si>
  <si>
    <t xml:space="preserve">B0DJTGXZQF</t>
  </si>
  <si>
    <t xml:space="preserve">Luxury Viscose from Bamboo Bath Towel Set, Set of 6, Graphite</t>
  </si>
  <si>
    <t xml:space="preserve">Unspecified</t>
  </si>
  <si>
    <t xml:space="preserve">https://www.amazon.ca/dp/B0DJTGXZQF</t>
  </si>
  <si>
    <t xml:space="preserve">B01M16WBW1</t>
  </si>
  <si>
    <t xml:space="preserve">Queen Size 4 Piece Sheet Set - Comfy Breathable &amp; Cooling Sheets - White</t>
  </si>
  <si>
    <t xml:space="preserve">Not resolved from title</t>
  </si>
  <si>
    <t xml:space="preserve">List: $39.99 | List:</t>
  </si>
  <si>
    <t xml:space="preserve">4K+ bought in past month</t>
  </si>
  <si>
    <t xml:space="preserve">https://www.amazon.ca/dp/B01M16WBW1</t>
  </si>
  <si>
    <t xml:space="preserve">B0GTYZS5B9</t>
  </si>
  <si>
    <t xml:space="preserve">QUTOOL 100% Viscose Made from Bamboo Queen Sheet Sets, 4PC Cooling Bed Sheets with Extra Deep Pocket up to 18'', Hotel Luxury Silky Bedding for Hot Sleepers, Breathable, Light Gray</t>
  </si>
  <si>
    <t xml:space="preserve">https://www.amazon.ca/dp/B0GTYZS5B9</t>
  </si>
  <si>
    <t xml:space="preserve">B0FDB3L3Y3</t>
  </si>
  <si>
    <t xml:space="preserve">ROYALE LINENS Bamboo Viscose Queen Sheet Set - Cooling Bed Sheet Set - 1 Fitted, 1 Flat &amp; 2 Pillowcase - Fits Up to 16" - Organic Viscose Derived from Bamboo - Bedding Sheet Set (Queen, Nimbus Cloud)</t>
  </si>
  <si>
    <t xml:space="preserve">https://www.amazon.ca/dp/B0FDB3L3Y3</t>
  </si>
  <si>
    <t xml:space="preserve">B0DS21FNX6</t>
  </si>
  <si>
    <t xml:space="preserve">100% Viscose Derived from Bamboo Fitted Sheet Set 3 Piece - 2 Pillowcase 1 Fitted Sheet with 16" Deep Pocket, Hotel Luxury Silky Bedding, Ultra Soft, Cooling for Hot Sleepers(Blue Queen)</t>
  </si>
  <si>
    <t xml:space="preserve">https://www.amazon.ca/dp/B0DS21FNX6</t>
  </si>
  <si>
    <t xml:space="preserve">B0FXWFJ9C1</t>
  </si>
  <si>
    <t xml:space="preserve">100% Bamboo Rayon Cooling Sheets Twin Set Dark Gray Silky Soft Bedding</t>
  </si>
  <si>
    <t xml:space="preserve">https://www.amazon.ca/dp/B0FXWFJ9C1</t>
  </si>
  <si>
    <t xml:space="preserve">B0BYPL2QXC</t>
  </si>
  <si>
    <t xml:space="preserve">Bare Home 100% Rayon Made from Bamboo Sheet Set (Full, Grey)</t>
  </si>
  <si>
    <t xml:space="preserve">Was: $105.99 | Was:</t>
  </si>
  <si>
    <t xml:space="preserve">https://www.amazon.ca/dp/B0BYPL2QXC</t>
  </si>
  <si>
    <t xml:space="preserve">B0CGX4G67T</t>
  </si>
  <si>
    <t xml:space="preserve">HENGWEITEXT Bamboo Sheets King Bed Sheet Set,Textured 60% Viscose from Bamboo 40% Cotton Sheets Set King Size,Wrinkle Free 4 Piece Shrinkage and Fade Resistant</t>
  </si>
  <si>
    <t xml:space="preserve">https://www.amazon.ca/dp/B0CGX4G67T</t>
  </si>
  <si>
    <t xml:space="preserve">B0H3BVJ68C</t>
  </si>
  <si>
    <t xml:space="preserve">Bambaw 100% Viscose Derived from Bamboo Fitted Sheet Twin XL – Twin XL Single Fitted Sheet, Cooling, Soft &amp; Breathable, Crisp &amp; Smooth Feel, Deep Pocket Fits Up to 15" Mattresses (White)</t>
  </si>
  <si>
    <t xml:space="preserve">https://www.amazon.ca/dp/B0H3BVJ68C</t>
  </si>
  <si>
    <t xml:space="preserve">B096BM64KC</t>
  </si>
  <si>
    <t xml:space="preserve">Pure Bamboo</t>
  </si>
  <si>
    <t xml:space="preserve">PURE BAMBOO Sheets 100% Genuine Bamboo Viscose, King, Pesto</t>
  </si>
  <si>
    <t xml:space="preserve">https://www.amazon.ca/dp/B096BM64KC</t>
  </si>
  <si>
    <t xml:space="preserve">B0FCZRHF11</t>
  </si>
  <si>
    <t xml:space="preserve">100% Organically Grown Bamboo Viscose Full Sheet Set, 4Pcs, Light Blue</t>
  </si>
  <si>
    <t xml:space="preserve">https://www.amazon.ca/dp/B0FCZRHF11</t>
  </si>
  <si>
    <t xml:space="preserve">B0DZHJHSNX</t>
  </si>
  <si>
    <t xml:space="preserve">18-24 Inch Extra Deep Pocket Queen Size Sheets Set, 100% Viscose Derived from Bamboo Sheets Queen Size Bed Sheets, 4Pcs Soft Forest Green Cooling Sheets for Hot Sleepers</t>
  </si>
  <si>
    <t xml:space="preserve">https://www.amazon.ca/dp/B0DZHJHSNX</t>
  </si>
  <si>
    <t xml:space="preserve">B07V49Z6H6</t>
  </si>
  <si>
    <t xml:space="preserve">Hotel Sheets Direct</t>
  </si>
  <si>
    <t xml:space="preserve">Hotel Sheets Direct Bamboo Bed Sheet Set - 100% Viscose from Bamboo Sheet Set, Cooling, Thermoregulating, Hypoallergenic (Queen, Light Pink)</t>
  </si>
  <si>
    <t xml:space="preserve">https://www.amazon.ca/dp/B07V49Z6H6</t>
  </si>
  <si>
    <t xml:space="preserve">B0DSZMTCL2</t>
  </si>
  <si>
    <t xml:space="preserve">JSD</t>
  </si>
  <si>
    <t xml:space="preserve">JSD Dusty Pink 100% Viscose Derived from Bamboo Queen Sheet Set, Cooling Sheets for Hot Sleepers, 300TC Sateen Weave Breathable Silky, Deep Pocket with Corner Straps, Oeko-Tex Certified</t>
  </si>
  <si>
    <t xml:space="preserve">Was: $99.76 | Was:</t>
  </si>
  <si>
    <t xml:space="preserve">https://www.amazon.ca/dp/B0DSZMTCL2</t>
  </si>
  <si>
    <t xml:space="preserve">B08F3DFWJM</t>
  </si>
  <si>
    <t xml:space="preserve">Gökotta Queen Bed Sheets 4 Piece, 100% FSC® Certified Bamboo, Cooling</t>
  </si>
  <si>
    <t xml:space="preserve">You pay $129.99 with coupon</t>
  </si>
  <si>
    <t xml:space="preserve">https://www.amazon.ca/dp/B08F3DFWJM</t>
  </si>
  <si>
    <t xml:space="preserve">B0F6J9CMW4</t>
  </si>
  <si>
    <t xml:space="preserve">100% Organic Bamboo 4 Pcs Bed Sheet Set – Cooling Sheets for Hot Sleepers | Ultra Soft, Breathable | 17" Deep Pocket (Silver Mist, Queen Size 4 pcs Set)</t>
  </si>
  <si>
    <t xml:space="preserve">https://www.amazon.ca/dp/B0F6J9CMW4</t>
  </si>
  <si>
    <t xml:space="preserve">B09RJSYCKR</t>
  </si>
  <si>
    <t xml:space="preserve">Bella Coterie Luxury Bamboo Viscose Split King Sheet Set, Organically Grown</t>
  </si>
  <si>
    <t xml:space="preserve">https://www.amazon.ca/dp/B09RJSYCKR</t>
  </si>
  <si>
    <t xml:space="preserve">B0DPLJ4BN4</t>
  </si>
  <si>
    <t xml:space="preserve">BAMPURE 100% Organic Bamboo Sheets Queen 4PC - Cooling Sheets Set</t>
  </si>
  <si>
    <t xml:space="preserve">List: $89.99 | List:</t>
  </si>
  <si>
    <t xml:space="preserve">https://www.amazon.ca/dp/B0DPLJ4BN4</t>
  </si>
  <si>
    <t xml:space="preserve">B0C9LS5H2T</t>
  </si>
  <si>
    <t xml:space="preserve">DECOLURE Cooling Sheets Queen Set 4pcs - Luxurious &amp; Ultra-Soft Bamboo Viscose Microfiber Queen Size Bed Sheets - Cooling (Navy)</t>
  </si>
  <si>
    <t xml:space="preserve">Synthetic or blend; verify composition</t>
  </si>
  <si>
    <t xml:space="preserve">https://www.amazon.ca/dp/B0C9LS5H2T</t>
  </si>
  <si>
    <t xml:space="preserve">B0B8JLLT45</t>
  </si>
  <si>
    <t xml:space="preserve">DOZ Sheet Set, 100% Viscose derived from Bamboo, Organically Grown, Buttery Soft, Cooling Sheets, High GSM, Deep Pockets - 3 Piece - 2 Pillowcases 1 Fitted Sheet (Forest, Queen)</t>
  </si>
  <si>
    <t xml:space="preserve">https://www.amazon.ca/dp/B0B8JLLT45</t>
  </si>
  <si>
    <t xml:space="preserve">B0H264JWBK</t>
  </si>
  <si>
    <t xml:space="preserve">DREAMCARE 100% Rayon Bamboo Sheets California King - 4pc Cooling Sheets</t>
  </si>
  <si>
    <t xml:space="preserve">California King</t>
  </si>
  <si>
    <t xml:space="preserve">https://www.amazon.ca/dp/B0H264JWBK</t>
  </si>
  <si>
    <t xml:space="preserve">B09KXYHH13</t>
  </si>
  <si>
    <t xml:space="preserve">CAROMIO King Size Sheets Rayon Derived from Bamboo, Cooling Bed Sheets</t>
  </si>
  <si>
    <t xml:space="preserve">https://www.amazon.ca/dp/B09KXYHH13</t>
  </si>
  <si>
    <t xml:space="preserve">B0B8JHBPJ4</t>
  </si>
  <si>
    <t xml:space="preserve">DOZ by SIJO</t>
  </si>
  <si>
    <t xml:space="preserve">DOZ by SIJO 100% Organic Bamboo Sheet Set, Buttery Soft, Cooling for Hot Sleepers, Silky Breathable, Oeko-TEX, High GSM, 16" Deep Pockets - 3pc - 2 Pillowcases 1 Fitted Sheet (Dove, Queen)</t>
  </si>
  <si>
    <t xml:space="preserve">https://www.amazon.ca/dp/B0B8JHBPJ4</t>
  </si>
  <si>
    <t xml:space="preserve">B07Y8TTK9B</t>
  </si>
  <si>
    <t xml:space="preserve">Hotel Sheets Direct 4 Piece Bed Sheet Set Queen Size, 100% Viscose Derived from Bamboo Sheets Set with 2 Pillowcases, Cooling &amp; Breathable Luxury Bedding, Moisture-Wicking &amp; Silky Soft, Burgundy</t>
  </si>
  <si>
    <t xml:space="preserve">https://www.amazon.ca/dp/B07Y8TTK9B</t>
  </si>
  <si>
    <t xml:space="preserve">B0HFQY2FF3</t>
  </si>
  <si>
    <t xml:space="preserve">Bamboo Viscose Grounding Sheets, Silver Infused Cooling Breathable for Hot Sleeper</t>
  </si>
  <si>
    <t xml:space="preserve">https://www.amazon.ca/dp/B0HFQY2FF3</t>
  </si>
  <si>
    <t xml:space="preserve">B01DX29P8O</t>
  </si>
  <si>
    <t xml:space="preserve">Abripedic 100% Bamboo 600 Thread Count King Size Solid Ivory Sheet set, Super Soft &amp; Cool Bamboo Viscose Sheets</t>
  </si>
  <si>
    <t xml:space="preserve">https://www.amazon.ca/dp/B01DX29P8O</t>
  </si>
  <si>
    <t xml:space="preserve">B0D4ZPFKB3</t>
  </si>
  <si>
    <t xml:space="preserve">Aibaser Viscose from Bamboo and Cotton Bath Towels Set of 2-35x70 Inch Ultra Soft, Highly Absorbent Large Shower Towels for Bathroom, Spa &amp; Gym (Green)</t>
  </si>
  <si>
    <t xml:space="preserve">https://www.amazon.ca/dp/B0D4ZPFKB3</t>
  </si>
  <si>
    <t xml:space="preserve">comforter set</t>
  </si>
  <si>
    <t xml:space="preserve">B0DCCZRNFZ</t>
  </si>
  <si>
    <t xml:space="preserve">Comforter Double Size, 7 Piece Bed in a Bag Set with Sheets - Beige</t>
  </si>
  <si>
    <t xml:space="preserve">Double</t>
  </si>
  <si>
    <t xml:space="preserve">Save 43% | Was: $56.51 | Was:</t>
  </si>
  <si>
    <t xml:space="preserve">LIVE_CA_comforter</t>
  </si>
  <si>
    <t xml:space="preserve">https://www.amazon.ca/dp/B0DCCZRNFZ</t>
  </si>
  <si>
    <t xml:space="preserve">B0C1ZZHWC7</t>
  </si>
  <si>
    <r>
      <rPr>
        <sz val="10"/>
        <color theme="1"/>
        <rFont val="Arial"/>
        <family val="2"/>
        <charset val="1"/>
      </rPr>
      <t xml:space="preserve">All Season Queen Size Comforter Set 3 PCs, Premium 350GSM Soft Quilted Down Alternative Comforter+2 Pillow Shams with Corner Tabs-Machine Washable Dark Grey, Queen</t>
    </r>
    <r>
      <rPr>
        <sz val="10"/>
        <color theme="1"/>
        <rFont val="Linux Libertine G"/>
        <family val="2"/>
      </rPr>
      <t xml:space="preserve">（</t>
    </r>
    <r>
      <rPr>
        <sz val="10"/>
        <color theme="1"/>
        <rFont val="Arial"/>
        <family val="2"/>
        <charset val="1"/>
      </rPr>
      <t xml:space="preserve">88 * 88</t>
    </r>
    <r>
      <rPr>
        <sz val="10"/>
        <color theme="1"/>
        <rFont val="Linux Libertine G"/>
        <family val="2"/>
      </rPr>
      <t xml:space="preserve">）</t>
    </r>
  </si>
  <si>
    <t xml:space="preserve">Limited-time deal | List: $39.89 | List:</t>
  </si>
  <si>
    <t xml:space="preserve">900+ bought in past month</t>
  </si>
  <si>
    <t xml:space="preserve">https://www.amazon.ca/dp/B0C1ZZHWC7</t>
  </si>
  <si>
    <t xml:space="preserve">B0DCDMFTRX</t>
  </si>
  <si>
    <t xml:space="preserve">Comforter Queen Size, 7 Piece Bed in a Bag Set with Sheets, Pintuck - Beige</t>
  </si>
  <si>
    <t xml:space="preserve">Was: $67.99 | Was:</t>
  </si>
  <si>
    <t xml:space="preserve">https://www.amazon.ca/dp/B0DCDMFTRX</t>
  </si>
  <si>
    <t xml:space="preserve">B0C27QM69F</t>
  </si>
  <si>
    <t xml:space="preserve">HYMOKEGE Queen Comforter Set Seersucker 7 Pieces, All Season Luxury Bed in a Bag for Bedroom, Bedding Set with Comforters, Sheets, Pillowcases &amp; Shams, Dark Grey</t>
  </si>
  <si>
    <t xml:space="preserve">Limited-time deal | Was: $57.99 | Was:</t>
  </si>
  <si>
    <t xml:space="preserve">400+ bought in past month</t>
  </si>
  <si>
    <t xml:space="preserve">https://www.amazon.ca/dp/B0C27QM69F</t>
  </si>
  <si>
    <t xml:space="preserve">B0CGLP3QSF</t>
  </si>
  <si>
    <t xml:space="preserve">Bedsure Prewashed Queen Comforter Set - Ultra-Soft Bedding 3 Pieces Beige</t>
  </si>
  <si>
    <t xml:space="preserve">List: $47.99 | List:</t>
  </si>
  <si>
    <t xml:space="preserve">600+ bought in past month</t>
  </si>
  <si>
    <t xml:space="preserve">https://www.amazon.ca/dp/B0CGLP3QSF</t>
  </si>
  <si>
    <t xml:space="preserve">B0GSQJLKL5</t>
  </si>
  <si>
    <t xml:space="preserve">JOLLYVOGUE Queen Comforter Set 7 Pieces Dark Green, Cationic Dyeing Bed in a Bag Queen, Double-Tone Bedding Set with Down Alternative Comforter, Sheets, Pillowcases &amp; Shams</t>
  </si>
  <si>
    <t xml:space="preserve">Was: $53.99 | Was:</t>
  </si>
  <si>
    <t xml:space="preserve">https://www.amazon.ca/dp/B0GSQJLKL5</t>
  </si>
  <si>
    <t xml:space="preserve">B0C7K5BTZV</t>
  </si>
  <si>
    <t xml:space="preserve">Maple&amp;Stone Double Bed Comforter Set, 7 Pieces Bed in a Bag Full Black</t>
  </si>
  <si>
    <t xml:space="preserve">https://www.amazon.ca/dp/B0C7K5BTZV</t>
  </si>
  <si>
    <t xml:space="preserve">B0GJCF2LY3</t>
  </si>
  <si>
    <t xml:space="preserve">BEDELITE Fluffy Queen Comforter Set, Grey Fleece Bed Set 3 Pieces</t>
  </si>
  <si>
    <t xml:space="preserve">Limited-time deal | Was: $55.99 | Was:</t>
  </si>
  <si>
    <t xml:space="preserve">200+ bought in past month</t>
  </si>
  <si>
    <t xml:space="preserve">https://www.amazon.ca/dp/B0GJCF2LY3</t>
  </si>
  <si>
    <t xml:space="preserve">B0BLVH5YX3</t>
  </si>
  <si>
    <t xml:space="preserve">HEVUMYI 7-Piece Queen Comforter Set, Dark Gray</t>
  </si>
  <si>
    <t xml:space="preserve">500+ bought in past month</t>
  </si>
  <si>
    <t xml:space="preserve">https://www.amazon.ca/dp/B0BLVH5YX3</t>
  </si>
  <si>
    <t xml:space="preserve">B0DFPMJWXZ</t>
  </si>
  <si>
    <t xml:space="preserve">MUXHOMO 7 Pieces Queen Comforter Set, Reversible Bed in a Bag Queen Size, All Season Queen Bedding Set with Comforter, Flat Sheet, Fitted Sheet, Pillowcases &amp; Shams, Red &amp; Black</t>
  </si>
  <si>
    <t xml:space="preserve">https://www.amazon.ca/dp/B0DFPMJWXZ</t>
  </si>
  <si>
    <t xml:space="preserve">B0DKCTQ978</t>
  </si>
  <si>
    <t xml:space="preserve">Wake In Cloud</t>
  </si>
  <si>
    <t xml:space="preserve">Wake In Cloud - Floral Comforter Set, Coquette Cottagecore Aesthetic Flower Shabby Chic Pattern for Women Teen Girls, Soft Lightweight Bedding, 3 Pieces, White Blue, Full Size</t>
  </si>
  <si>
    <t xml:space="preserve">https://www.amazon.ca/dp/B0DKCTQ978</t>
  </si>
  <si>
    <t xml:space="preserve">B0CGLPC42G</t>
  </si>
  <si>
    <t xml:space="preserve">Bedsure Prewashed King Comforter Set - Ultra-Soft Bedding 3 Pieces Beige</t>
  </si>
  <si>
    <t xml:space="preserve">List: $59.99 | List:</t>
  </si>
  <si>
    <t xml:space="preserve">300+ bought in past month</t>
  </si>
  <si>
    <t xml:space="preserve">https://www.amazon.ca/dp/B0CGLPC42G</t>
  </si>
  <si>
    <t xml:space="preserve">B0CJJT1PT6</t>
  </si>
  <si>
    <t xml:space="preserve">Queen Comforter Set-7 Pieces Soft Prewashed Bed in a Bag Queen Bedding Sets</t>
  </si>
  <si>
    <t xml:space="preserve">Limited-time deal | List: $79.99 | List: | Save 5% on any 2</t>
  </si>
  <si>
    <t xml:space="preserve">https://www.amazon.ca/dp/B0CJJT1PT6</t>
  </si>
  <si>
    <t xml:space="preserve">B0CQS8N71F</t>
  </si>
  <si>
    <t xml:space="preserve">JOLLYVOGUE Queen Comforter Set 7 Pieces - Black Bed in a Bag Ultra-Soft - Goose Down Alternative - Premium 1800 Series with Comforter, Sheets, Shams &amp; Pillowcases</t>
  </si>
  <si>
    <t xml:space="preserve">https://www.amazon.ca/dp/B0CQS8N71F</t>
  </si>
  <si>
    <t xml:space="preserve">B0DD436JG2</t>
  </si>
  <si>
    <t xml:space="preserve">YIKUSH Pink Queen Comforter Set 3 Piece, Ruffled Queen Bedding Set</t>
  </si>
  <si>
    <t xml:space="preserve">https://www.amazon.ca/dp/B0DD436JG2</t>
  </si>
  <si>
    <t xml:space="preserve">B0F1KLH9LZ</t>
  </si>
  <si>
    <t xml:space="preserve">MUXHOMO Queen Comforter Set 7 Pieces, Sage Green Bed in a Bag Queen Reversible Botanical Flowers Design, Ultra Soft &amp; Breathable Bedding Sets with Comforter, Sheets, Pillowcases &amp; Shams</t>
  </si>
  <si>
    <t xml:space="preserve">https://www.amazon.ca/dp/B0F1KLH9LZ</t>
  </si>
  <si>
    <t xml:space="preserve">B0C5XQ26SM</t>
  </si>
  <si>
    <t xml:space="preserve">Andency Comforter Queen Beige, Boho Bedding Comforter Sets 3 Pieces</t>
  </si>
  <si>
    <t xml:space="preserve">Was: $49.99 | Was:</t>
  </si>
  <si>
    <t xml:space="preserve">https://www.amazon.ca/dp/B0C5XQ26SM</t>
  </si>
  <si>
    <t xml:space="preserve">B0DK6G1PY1</t>
  </si>
  <si>
    <t xml:space="preserve">PHF</t>
  </si>
  <si>
    <t xml:space="preserve">PHF Soft Waffle Comforter Set Queen Size- Comfy Breathable Waffle Weave Comforter with 2 Pillow Shams, 3 Pieces No Snagging Lightweight Bedding Set for All Season, Cream</t>
  </si>
  <si>
    <t xml:space="preserve">Was: $69.29 | Was:</t>
  </si>
  <si>
    <t xml:space="preserve">https://www.amazon.ca/dp/B0DK6G1PY1</t>
  </si>
  <si>
    <t xml:space="preserve">B0FP4Y68NM</t>
  </si>
  <si>
    <t xml:space="preserve">BEDELITE Fleece Queen Comforter Set, Soft Fluffy Bedding Set, Black</t>
  </si>
  <si>
    <t xml:space="preserve">Limited-time deal | Was: $69.99 | Was:</t>
  </si>
  <si>
    <t xml:space="preserve">https://www.amazon.ca/dp/B0FP4Y68NM</t>
  </si>
  <si>
    <t xml:space="preserve">B0DXK4H9GK</t>
  </si>
  <si>
    <t xml:space="preserve">Cozylux Queen Comforter Set Beige - 7 Pieces Vertical Quilted Bed in a Bag</t>
  </si>
  <si>
    <t xml:space="preserve">Was: $59.99 | Was: | Save 5% on any 2</t>
  </si>
  <si>
    <t xml:space="preserve">https://www.amazon.ca/dp/B0DXK4H9GK</t>
  </si>
  <si>
    <t xml:space="preserve">B0CD76QM24</t>
  </si>
  <si>
    <t xml:space="preserve">Bedsure Tufted Boho King Comforter Set - Bedroom Decor Beige 3 Pieces</t>
  </si>
  <si>
    <t xml:space="preserve">List: $84.99 | List:</t>
  </si>
  <si>
    <t xml:space="preserve">https://www.amazon.ca/dp/B0CD76QM24</t>
  </si>
  <si>
    <t xml:space="preserve">B0CMZV1P69</t>
  </si>
  <si>
    <t xml:space="preserve">Andency Comforter Queen 7 Pieces, Dark Emerald Green Boho Bed in a Bag</t>
  </si>
  <si>
    <t xml:space="preserve">https://www.amazon.ca/dp/B0CMZV1P69</t>
  </si>
  <si>
    <t xml:space="preserve">B0BPH4FVRS</t>
  </si>
  <si>
    <t xml:space="preserve">7 Pieces Bed in a Bag Floral Comforter Set Queen Flowers Bedding Set Soft Microfiber Comforter Sets with 1 Comforter 1 Flat Sheet 1 Fitted Sheet 2 Pillowshams and 2 Pillowcases</t>
  </si>
  <si>
    <t xml:space="preserve">You pay $63.01 with coupon</t>
  </si>
  <si>
    <t xml:space="preserve">https://www.amazon.ca/dp/B0BPH4FVRS</t>
  </si>
  <si>
    <t xml:space="preserve">B0DFBVHBJT</t>
  </si>
  <si>
    <t xml:space="preserve">YIKUSH Fluffy Queen Comforter Set 3 Piece, Cream White Fleece Bedding Set</t>
  </si>
  <si>
    <t xml:space="preserve">https://www.amazon.ca/dp/B0DFBVHBJT</t>
  </si>
  <si>
    <t xml:space="preserve">B0F9XTP4DM</t>
  </si>
  <si>
    <t xml:space="preserve">MUXHOMO 7 Pieces Queen Comforter Set, Soft Bed in a Bag Queen Size, All Season Bedding Set with Comforter, Flat Sheet, Fitted Sheet, Pillowcases &amp; Shams, Beige</t>
  </si>
  <si>
    <t xml:space="preserve">https://www.amazon.ca/dp/B0F9XTP4DM</t>
  </si>
  <si>
    <t xml:space="preserve">B0GRFNTZT2</t>
  </si>
  <si>
    <t xml:space="preserve">Exclusivo Mezcla Reversible Comforter Set Queen Size, Floral White</t>
  </si>
  <si>
    <t xml:space="preserve">Limited-time deal | Was: $46.99 | Was:</t>
  </si>
  <si>
    <t xml:space="preserve">https://www.amazon.ca/dp/B0GRFNTZT2</t>
  </si>
  <si>
    <t xml:space="preserve">B0GZZJVZ5P</t>
  </si>
  <si>
    <t xml:space="preserve">Bedsure Cloud Bubble Queen Comforter Set - Soft Fluffy Bedding Beige 3 Pcs</t>
  </si>
  <si>
    <t xml:space="preserve">Was: $109.99 | Was:</t>
  </si>
  <si>
    <t xml:space="preserve">https://www.amazon.ca/dp/B0GZZJVZ5P</t>
  </si>
  <si>
    <t xml:space="preserve">B0CMPW8Q9S</t>
  </si>
  <si>
    <t xml:space="preserve">Wajade Faux Fur Comforter Set Queen Size, 3 Pcs Ultra Soft Marbled Sage Green Fluffy Comforter Set Marble Print Furry Bedding Set for All Seasons, 1 Plush Comforter Set+2 Pillow Covers</t>
  </si>
  <si>
    <t xml:space="preserve">Limited-time deal | Was: $32.99 | Was: | Save 5% on any 2</t>
  </si>
  <si>
    <t xml:space="preserve">https://www.amazon.ca/dp/B0CMPW8Q9S</t>
  </si>
  <si>
    <t xml:space="preserve">B0FQ59RQGF</t>
  </si>
  <si>
    <t xml:space="preserve">Sasttie Fluffy Queen Comforter Set, 3 PC Soft Fleece Bedding, Cream White</t>
  </si>
  <si>
    <t xml:space="preserve">https://www.amazon.ca/dp/B0FQ59RQGF</t>
  </si>
  <si>
    <t xml:space="preserve">B0CNXBJG8K</t>
  </si>
  <si>
    <t xml:space="preserve">Andency Fluffy Comforter Queen, 3 Pieces Queen Comforter Bedding Set White</t>
  </si>
  <si>
    <t xml:space="preserve">https://www.amazon.ca/dp/B0CNXBJG8K</t>
  </si>
  <si>
    <t xml:space="preserve">B08JYV9D75</t>
  </si>
  <si>
    <t xml:space="preserve">Decroom Lightweight 3 Pieces Comforter Set Full Quilted Duvet Insert</t>
  </si>
  <si>
    <t xml:space="preserve">Limited-time deal | List: $55.99 | List:</t>
  </si>
  <si>
    <t xml:space="preserve">https://www.amazon.ca/dp/B08JYV9D75</t>
  </si>
  <si>
    <t xml:space="preserve">B077N1535Z</t>
  </si>
  <si>
    <t xml:space="preserve">Wake In Cloud - Floral Comforter Set, Botanical Flowers Pattern Printed, 100% Cotton Fabric with Soft Microfiber Inner Fill Beddings, 3 Pieces, Queen Size</t>
  </si>
  <si>
    <t xml:space="preserve">Save 14% | Was: $62.99 | Was:</t>
  </si>
  <si>
    <t xml:space="preserve">https://www.amazon.ca/dp/B077N1535Z</t>
  </si>
  <si>
    <t xml:space="preserve">B0C2YVBNRV</t>
  </si>
  <si>
    <t xml:space="preserve">Luxudecor Floral Comforter Set Queen Size 7 Piece, Purple Flower Bed in a Bag, Elegant Floral Comforter with Sheet Set, Soft Microfiber Bedding Set for All Season (Purple, 90/inx90/in) AB090155Q7U</t>
  </si>
  <si>
    <t xml:space="preserve">You pay $74.99 with coupon</t>
  </si>
  <si>
    <t xml:space="preserve">https://www.amazon.ca/dp/B0C2YVBNRV</t>
  </si>
  <si>
    <t xml:space="preserve">B0D19CR79M</t>
  </si>
  <si>
    <t xml:space="preserve">Comforter Double Size, 7 Piece Bed in a Bag Set with Sheets - White</t>
  </si>
  <si>
    <t xml:space="preserve">https://www.amazon.ca/dp/B0D19CR79M</t>
  </si>
  <si>
    <t xml:space="preserve">B09QLXYZKR</t>
  </si>
  <si>
    <t xml:space="preserve">All Season Queen Comforter Set 3 PCs Soft Quilted Down Alternative Comforter+2 Pillow Shams with Corner Tabs,Winter Summer Warm Fluffy,Machine Washable (Queen, Grey)</t>
  </si>
  <si>
    <t xml:space="preserve">https://www.amazon.ca/dp/B09QLXYZKR</t>
  </si>
  <si>
    <t xml:space="preserve">B0DX75YHHS</t>
  </si>
  <si>
    <t xml:space="preserve">Sasttie Queen Comforter Set, 7-Piece Bed in a Bag, Pintuck Bedding Sets for All Season, Includes Comforter, Flat Sheet, Fitted Sheet, Pillowcases and Pillowshams, Beige</t>
  </si>
  <si>
    <t xml:space="preserve">https://www.amazon.ca/dp/B0DX75YHHS</t>
  </si>
  <si>
    <t xml:space="preserve">B0H32VRS3K</t>
  </si>
  <si>
    <t xml:space="preserve">BEDELITE Faux Fur Queen Comforter Set Light Grey,Fluffy Bedding,2 Pillowcases</t>
  </si>
  <si>
    <t xml:space="preserve">Was: $59.99 | Was:</t>
  </si>
  <si>
    <t xml:space="preserve">https://www.amazon.ca/dp/B0H32VRS3K</t>
  </si>
  <si>
    <t xml:space="preserve">B07YD83845</t>
  </si>
  <si>
    <t xml:space="preserve">Wake In Cloud Floral Comforter Set, Beige, Queen</t>
  </si>
  <si>
    <t xml:space="preserve">https://www.amazon.ca/dp/B07YD83845</t>
  </si>
  <si>
    <t xml:space="preserve">B08L66HRVC</t>
  </si>
  <si>
    <t xml:space="preserve">Exclusivo Mezcla Reversible Soft Queen Comforter Set, 3 Pieces</t>
  </si>
  <si>
    <t xml:space="preserve">List: $49.99 | List:</t>
  </si>
  <si>
    <t xml:space="preserve">https://www.amazon.ca/dp/B08L66HRVC</t>
  </si>
  <si>
    <t xml:space="preserve">B0C8T7NRJC</t>
  </si>
  <si>
    <t xml:space="preserve">Bedsure Fluffy Comforter Set King - Super Soft Fleece Striped Cream White</t>
  </si>
  <si>
    <t xml:space="preserve">https://www.amazon.ca/dp/B0C8T7NRJC</t>
  </si>
  <si>
    <t xml:space="preserve">B0C27RPK94</t>
  </si>
  <si>
    <t xml:space="preserve">HYMOKEGE King Size Comforter Set Seersucker 7 Pieces, All Season Luxury Bed in a Bag for Bedroom, Bedding Set with Comforters, Sheets, Pillowcases &amp; Shams, Dark Grey</t>
  </si>
  <si>
    <t xml:space="preserve">https://www.amazon.ca/dp/B0C27RPK94</t>
  </si>
  <si>
    <t xml:space="preserve">B09ZTTYFFR</t>
  </si>
  <si>
    <t xml:space="preserve">Litanika White Queen Comforter Set, 3 Pieces Lightweight Solid Bed Set</t>
  </si>
  <si>
    <t xml:space="preserve">https://www.amazon.ca/dp/B09ZTTYFFR</t>
  </si>
  <si>
    <t xml:space="preserve">B0D94YVKN3</t>
  </si>
  <si>
    <t xml:space="preserve">Chezmoi Collection Upland 7-Piece Quilted Patchwork Comforter Set, Black/Gray/Light Gray, Queen</t>
  </si>
  <si>
    <t xml:space="preserve">https://www.amazon.ca/dp/B0D94YVKN3</t>
  </si>
  <si>
    <t xml:space="preserve">B0CXPVQ5DK</t>
  </si>
  <si>
    <t xml:space="preserve">Monbix Queen Comforter Set 7 Pieces Cationic Green Bed in a Bag</t>
  </si>
  <si>
    <t xml:space="preserve">Limited-time deal | Was: $95.99 | Was:</t>
  </si>
  <si>
    <t xml:space="preserve">https://www.amazon.ca/dp/B0CXPVQ5DK</t>
  </si>
  <si>
    <t xml:space="preserve">B08FRHT8L3</t>
  </si>
  <si>
    <t xml:space="preserve">Amazon Basics</t>
  </si>
  <si>
    <t xml:space="preserve">Amazon Basics 7-Piece Lightweight Microfiber Bed-in-a-Bag Comforter Bedding Set - Full/Queen, Gray Calvin Stripe</t>
  </si>
  <si>
    <t xml:space="preserve">https://www.amazon.ca/dp/B08FRHT8L3</t>
  </si>
  <si>
    <t xml:space="preserve">B08BZ192N9</t>
  </si>
  <si>
    <t xml:space="preserve">Andency Queen Pinch Pleat White Comforter Set 3 Piece Bedding</t>
  </si>
  <si>
    <t xml:space="preserve">https://www.amazon.ca/dp/B08BZ192N9</t>
  </si>
  <si>
    <t xml:space="preserve">B0CZHC7C1S</t>
  </si>
  <si>
    <t xml:space="preserve">Dobuyly Grey Queen Comforter Set 7 Piece Bed in a Bag, Gray Floral Printed on White Comforter Set with Sheets, Soft Microfiber Botanical Farmhouse Bedding Set for All Season</t>
  </si>
  <si>
    <t xml:space="preserve">Save 6% on any 2</t>
  </si>
  <si>
    <t xml:space="preserve">https://www.amazon.ca/dp/B0CZHC7C1S</t>
  </si>
  <si>
    <t xml:space="preserve">B0CBPRLJ8Y</t>
  </si>
  <si>
    <t xml:space="preserve">Queen Comforter Set-7 Pieces Beige Soft Bed in a Bag Queen Bedding Sets</t>
  </si>
  <si>
    <t xml:space="preserve">https://www.amazon.ca/dp/B0CBPRLJ8Y</t>
  </si>
  <si>
    <t xml:space="preserve">cotton duvet cover set</t>
  </si>
  <si>
    <t xml:space="preserve">B0C699R8B6</t>
  </si>
  <si>
    <t xml:space="preserve">LIFETOWN</t>
  </si>
  <si>
    <t xml:space="preserve">LIFETOWN 100% Washed Cotton Duvet Cover Set Linen Feel Natural Wrinkle Lightweight Comfy (Queen, White)</t>
  </si>
  <si>
    <t xml:space="preserve">Linen-look; not proven flax</t>
  </si>
  <si>
    <t xml:space="preserve">LIVE_CA_duvet</t>
  </si>
  <si>
    <t xml:space="preserve">https://www.amazon.ca/dp/B0C699R8B6</t>
  </si>
  <si>
    <t xml:space="preserve">B07FN7LNSW</t>
  </si>
  <si>
    <t xml:space="preserve">Wake In Cloud - Dusty Pink Cotton Duvet Cover Set, Queen Size, 100% Washed Cotton Plain Solid Color, Linen Like Textured, Breathable Durable Farmhouse Neutral Bedding Set, 3 Pieces</t>
  </si>
  <si>
    <t xml:space="preserve">https://www.amazon.ca/dp/B07FN7LNSW</t>
  </si>
  <si>
    <t xml:space="preserve">B0B259ZHPQ</t>
  </si>
  <si>
    <t xml:space="preserve">FANSTIVE</t>
  </si>
  <si>
    <t xml:space="preserve">FANSTIVE Olive Green Cotton Duvet Cover Set Linen Feel, Queen</t>
  </si>
  <si>
    <t xml:space="preserve">You pay $56.94 with coupon</t>
  </si>
  <si>
    <t xml:space="preserve">https://www.amazon.ca/dp/B0B259ZHPQ</t>
  </si>
  <si>
    <t xml:space="preserve">B0965LP4FH</t>
  </si>
  <si>
    <t xml:space="preserve">Queen Duvet Cover Cotton, 3 Piece Set, Organic Cotton Percale - Charcoal</t>
  </si>
  <si>
    <t xml:space="preserve">Cotton or blend claim</t>
  </si>
  <si>
    <t xml:space="preserve">Was: $63.99 | Was:</t>
  </si>
  <si>
    <t xml:space="preserve">https://www.amazon.ca/dp/B0965LP4FH</t>
  </si>
  <si>
    <t xml:space="preserve">B0C6988RX2</t>
  </si>
  <si>
    <t xml:space="preserve">LIFETOWN 100% Washed Cotton Duvet Cover Set Linen Feel Natural Wrinkle Lightweight Comfy (Queen, Sage Green)</t>
  </si>
  <si>
    <t xml:space="preserve">https://www.amazon.ca/dp/B0C6988RX2</t>
  </si>
  <si>
    <t xml:space="preserve">B07SN29DSN</t>
  </si>
  <si>
    <t xml:space="preserve">JELLYMONI</t>
  </si>
  <si>
    <t xml:space="preserve">JELLYMONI 100% Cotton Classic Striped Duvet Cover Queen Set, Grey</t>
  </si>
  <si>
    <t xml:space="preserve">List: $77.99 | List: | Save 5% on any 2</t>
  </si>
  <si>
    <t xml:space="preserve">https://www.amazon.ca/dp/B07SN29DSN</t>
  </si>
  <si>
    <t xml:space="preserve">B0C6CNVGJW</t>
  </si>
  <si>
    <t xml:space="preserve">LIFETOWN 100% Washed Cotton Duvet Cover Set Linen Feel Natural Wrinkle Lightweight Comfy (Queen, Forest Green)</t>
  </si>
  <si>
    <t xml:space="preserve">https://www.amazon.ca/dp/B0C6CNVGJW</t>
  </si>
  <si>
    <t xml:space="preserve">B0B25FW3X4</t>
  </si>
  <si>
    <t xml:space="preserve">FANSTIVE Olive Green Duvet Cover Set Washed Cotton Linen Like, King</t>
  </si>
  <si>
    <t xml:space="preserve">You pay $64.39 with coupon</t>
  </si>
  <si>
    <t xml:space="preserve">https://www.amazon.ca/dp/B0B25FW3X4</t>
  </si>
  <si>
    <t xml:space="preserve">B09YM372LR</t>
  </si>
  <si>
    <t xml:space="preserve">Bedsure Linen Duvet Cover Queen - 3Pcs Prewashed Soft Bedding Set</t>
  </si>
  <si>
    <t xml:space="preserve">Limited-time deal | List: $49.99 | List:</t>
  </si>
  <si>
    <t xml:space="preserve">800+ bought in past month</t>
  </si>
  <si>
    <t xml:space="preserve">https://www.amazon.ca/dp/B09YM372LR</t>
  </si>
  <si>
    <t xml:space="preserve">B09DVKGYMW</t>
  </si>
  <si>
    <t xml:space="preserve">Queen Duvet Cover Set with 2 Pillow Shams, Organic Cotton Percale - Mineral</t>
  </si>
  <si>
    <t xml:space="preserve">https://www.amazon.ca/dp/B09DVKGYMW</t>
  </si>
  <si>
    <t xml:space="preserve">B0CNTLDKS7</t>
  </si>
  <si>
    <t xml:space="preserve">Bedsure PureWoven 3 Pieces 100% Cotton Waffle Duvet Cover Set, Queen, White</t>
  </si>
  <si>
    <t xml:space="preserve">Limited-time deal | List: $127.99 | List:</t>
  </si>
  <si>
    <t xml:space="preserve">https://www.amazon.ca/dp/B0CNTLDKS7</t>
  </si>
  <si>
    <t xml:space="preserve">B0D4Y9TRJP</t>
  </si>
  <si>
    <t xml:space="preserve">NEXHOME PRO</t>
  </si>
  <si>
    <t xml:space="preserve">NEXHOME PRO Duvet Cover Set Queen Size Linen Look Textured 100% Washed Cotton Duvet Cover Burgundy Dark Red 3 Pieces Bedding Set with Zipper Closure,Breathable, Soft Organic Natural(No Comforter)</t>
  </si>
  <si>
    <t xml:space="preserve">https://www.amazon.ca/dp/B0D4Y9TRJP</t>
  </si>
  <si>
    <t xml:space="preserve">B01G4RNOAK</t>
  </si>
  <si>
    <t xml:space="preserve">Wake In Cloud - Floral Duvet Cover Set, 100% Soft Cotton Bedding, Birds and Flowers Botanical Pattern Printed, with Zipper Closure, 3 Pieces, Queen Size</t>
  </si>
  <si>
    <t xml:space="preserve">Save 9% | Was: $43.99 | Was:</t>
  </si>
  <si>
    <t xml:space="preserve">https://www.amazon.ca/dp/B01G4RNOAK</t>
  </si>
  <si>
    <t xml:space="preserve">B07H7ZJQRQ</t>
  </si>
  <si>
    <t xml:space="preserve">Wake In Cloud Striped Cotton Duvet Cover Set, White, King</t>
  </si>
  <si>
    <t xml:space="preserve">https://www.amazon.ca/dp/B07H7ZJQRQ</t>
  </si>
  <si>
    <t xml:space="preserve">B07DN8Z3QK</t>
  </si>
  <si>
    <t xml:space="preserve">Face Two Face Bedding Duvet Cover Set 100% Washed Cotton Duvet Cover Linen Like Textured Breathable Durable Soft Comfy(Queen, White)</t>
  </si>
  <si>
    <t xml:space="preserve">Limited-time deal | List: $53.99 | List:</t>
  </si>
  <si>
    <t xml:space="preserve">https://www.amazon.ca/dp/B07DN8Z3QK</t>
  </si>
  <si>
    <t xml:space="preserve">B078J63K9M</t>
  </si>
  <si>
    <t xml:space="preserve">Wake In Cloud - Botanical Duvet Cover Set, 100% Cotton Fabric, Floral Flower Shabby Chic Coquette Aesthetic, Soft Lightweight Dorm Bedding Set, 3 Pieces, Yellow Green, King Size</t>
  </si>
  <si>
    <t xml:space="preserve">Save 9% | Was: $46.99 | Was:</t>
  </si>
  <si>
    <t xml:space="preserve">https://www.amazon.ca/dp/B078J63K9M</t>
  </si>
  <si>
    <t xml:space="preserve">B0D1NWXNM1</t>
  </si>
  <si>
    <t xml:space="preserve">Wake In Cloud - Gingham Duvet Cover Set, 100% Washed Cotton Plaid Buffalo Check Checkered Geometric Farmhouse Bed Bedding with Zipper Closure, 3 Pieces, Green White, Queen Size</t>
  </si>
  <si>
    <t xml:space="preserve">https://www.amazon.ca/dp/B0D1NWXNM1</t>
  </si>
  <si>
    <t xml:space="preserve">B01G4RM6BS</t>
  </si>
  <si>
    <t xml:space="preserve">Wake In Cloud - Floral Duvet Cover Set, 100% Soft Cotton Bedding, Vintage Botanical Flowers Pattern Printed, with Zipper Closure, 3 Pieces, Gray Beige, King Size</t>
  </si>
  <si>
    <t xml:space="preserve">Save 7% | Was: $54.99 | Was:</t>
  </si>
  <si>
    <t xml:space="preserve">https://www.amazon.ca/dp/B01G4RM6BS</t>
  </si>
  <si>
    <t xml:space="preserve">B0CXTC5R6Y</t>
  </si>
  <si>
    <t xml:space="preserve">ECOCOTT Vintage Wash Painting Floral Duvet Cover Queen Size - 100% Natural Cotton Flower Print Pattern 1 Duvet Cover with Zipper and 2 Pillowcases, Soft and Breathable 3 Pieces Bedding Set</t>
  </si>
  <si>
    <t xml:space="preserve">Limited-time deal | Was: $59.99 | Was:</t>
  </si>
  <si>
    <t xml:space="preserve">https://www.amazon.ca/dp/B0CXTC5R6Y</t>
  </si>
  <si>
    <t xml:space="preserve">B0DZLX4F6F</t>
  </si>
  <si>
    <t xml:space="preserve">Sage Green and White Striped Duvet Cover,100% Washed Cotton Breathable and Linen Like Bedding Set(Strip-Sage Green/White,Queen Size)</t>
  </si>
  <si>
    <t xml:space="preserve">You pay $71.99 with coupon</t>
  </si>
  <si>
    <t xml:space="preserve">https://www.amazon.ca/dp/B0DZLX4F6F</t>
  </si>
  <si>
    <t xml:space="preserve">B07C9XTYYG</t>
  </si>
  <si>
    <t xml:space="preserve">Wake In Cloud - 100% Cotton Striped Duvet Cover Set, Ticking Stripe Vertical Pinstripe Farmhouse, Soft Bed Bedding with Zipper Closure, 3 Pieces, Gray White, Full Size</t>
  </si>
  <si>
    <t xml:space="preserve">https://www.amazon.ca/dp/B07C9XTYYG</t>
  </si>
  <si>
    <t xml:space="preserve">B0D8RFD6FW</t>
  </si>
  <si>
    <t xml:space="preserve">Duvet Cover Queen, 3 Piece 1000 TC 100% Egyptian Cotton Bedding Set - White</t>
  </si>
  <si>
    <t xml:space="preserve">Was: $139.99 | Was: | You pay $110.49 with coupon</t>
  </si>
  <si>
    <t xml:space="preserve">https://www.amazon.ca/dp/B0D8RFD6FW</t>
  </si>
  <si>
    <t xml:space="preserve">B0H1WD5FXP</t>
  </si>
  <si>
    <t xml:space="preserve">Bedsure Striped Duvet Cover Set Cotton-Like Bedding King Size, Black/White</t>
  </si>
  <si>
    <t xml:space="preserve">Synthetic/cotton-like claim</t>
  </si>
  <si>
    <t xml:space="preserve">https://www.amazon.ca/dp/B0H1WD5FXP</t>
  </si>
  <si>
    <t xml:space="preserve">B0G5YF427W</t>
  </si>
  <si>
    <t xml:space="preserve">DONEUS Buffalo Plaid Duvet Cover Set 100% Washed Cotton Natural Linen Like Super Soft Comfy 3 Piece Brown Blue Gingham Checkered Bedding Set with Zipper Closure (Queen 90"x90", Comforter Not Included)</t>
  </si>
  <si>
    <t xml:space="preserve">Save 15% at checkout</t>
  </si>
  <si>
    <t xml:space="preserve">https://www.amazon.ca/dp/B0G5YF427W</t>
  </si>
  <si>
    <t xml:space="preserve">B07D2GGY55</t>
  </si>
  <si>
    <t xml:space="preserve">California Design Den</t>
  </si>
  <si>
    <t xml:space="preserve">California Design Den 3-Pc Queen Cotton Duvet Cover Set, 400 Thread Count 100% Cotton Quilt Cover and Two Pillow Shams, Sateen Weave Bedding Set, Button Closure, Corner Ties (Light Grey, Queen)</t>
  </si>
  <si>
    <t xml:space="preserve">https://www.amazon.ca/dp/B07D2GGY55</t>
  </si>
  <si>
    <t xml:space="preserve">B0D8FR63YN</t>
  </si>
  <si>
    <t xml:space="preserve">MooMee</t>
  </si>
  <si>
    <t xml:space="preserve">MooMee Striped Duvet Cover Set 100% Washed Cotton Linen Like Queen</t>
  </si>
  <si>
    <t xml:space="preserve">https://www.amazon.ca/dp/B0D8FR63YN</t>
  </si>
  <si>
    <t xml:space="preserve">B0D78JL7Q4</t>
  </si>
  <si>
    <t xml:space="preserve">MooMee Duvet Cover Set 100% Washed Cotton Linen Like Queen</t>
  </si>
  <si>
    <t xml:space="preserve">https://www.amazon.ca/dp/B0D78JL7Q4</t>
  </si>
  <si>
    <t xml:space="preserve">B0GDW5M4D3</t>
  </si>
  <si>
    <t xml:space="preserve">Gingham Duvet Cover Set 100% Washed Cotton Linen Touch Comforter Cover Modern Plaid Checkered Bedding Set (Brown/White Gingham, Full)</t>
  </si>
  <si>
    <t xml:space="preserve">Linen claim; verify flax</t>
  </si>
  <si>
    <t xml:space="preserve">You pay $62.99 with coupon</t>
  </si>
  <si>
    <t xml:space="preserve">https://www.amazon.ca/dp/B0GDW5M4D3</t>
  </si>
  <si>
    <t xml:space="preserve">B0F482K29X</t>
  </si>
  <si>
    <t xml:space="preserve">Conworld 100% Cotton Duvet Cover Queen, 3 Pieces Ultra Soft Bedding Duvet Cover Sets, 1 Comforter Cover and 2 Pillowshams (Forest Tale Pink, Queen)</t>
  </si>
  <si>
    <t xml:space="preserve">https://www.amazon.ca/dp/B0F482K29X</t>
  </si>
  <si>
    <t xml:space="preserve">B096W5ST3R</t>
  </si>
  <si>
    <t xml:space="preserve">Good Sleep Bedding Queen Duvet Cover - 100% Egyptian Cotton Duvet Cover Queen, 800 TC Bedding Sets Queen, 3 Pc Queen Duvet Cover Set, Zipper Closure Queen Size Duvet Cover, White Duvet Covers Queen</t>
  </si>
  <si>
    <t xml:space="preserve">https://www.amazon.ca/dp/B096W5ST3R</t>
  </si>
  <si>
    <t xml:space="preserve">B0BZCCTG4D</t>
  </si>
  <si>
    <t xml:space="preserve">TOCOMOA Cotton Duvet Cover Set Like Linen Feel, Burnt Orange, Queen</t>
  </si>
  <si>
    <t xml:space="preserve">https://www.amazon.ca/dp/B0BZCCTG4D</t>
  </si>
  <si>
    <t xml:space="preserve">B0B8J8TNP4</t>
  </si>
  <si>
    <t xml:space="preserve">Bedsure Duvet Cover Queen Size- 3 Pcs Soft Double Brushed Bedding Set Linen</t>
  </si>
  <si>
    <t xml:space="preserve">Limited-time deal | Was: $34.99 | Was:</t>
  </si>
  <si>
    <t xml:space="preserve">https://www.amazon.ca/dp/B0B8J8TNP4</t>
  </si>
  <si>
    <t xml:space="preserve">B07CRMCW32</t>
  </si>
  <si>
    <t xml:space="preserve">Wake In Cloud Striped Cotton Duvet Cover Set, Denim Blue, Twin/Twin XL</t>
  </si>
  <si>
    <t xml:space="preserve">https://www.amazon.ca/dp/B07CRMCW32</t>
  </si>
  <si>
    <t xml:space="preserve">B07RY59C3W</t>
  </si>
  <si>
    <t xml:space="preserve">Cotton Queen Bed Sheets - 100% Organic GOTS Percale Sheet Set - White</t>
  </si>
  <si>
    <t xml:space="preserve">List: $66.99 | List: | You pay $50.99 with coupon</t>
  </si>
  <si>
    <t xml:space="preserve">1K+ bought in past month</t>
  </si>
  <si>
    <t xml:space="preserve">https://www.amazon.ca/dp/B07RY59C3W</t>
  </si>
  <si>
    <t xml:space="preserve">B08NB5S8D8</t>
  </si>
  <si>
    <t xml:space="preserve">WARMDERN Cotton Duvet Cover Set Queen Size, Grey Duvet Cover with Aztec Striped, Boho Bedding Set 3 Pcs - 1 Duvet Cover &amp; 2 Pillowcases (Grey, Queen)</t>
  </si>
  <si>
    <t xml:space="preserve">https://www.amazon.ca/dp/B08NB5S8D8</t>
  </si>
  <si>
    <t xml:space="preserve">B08FRS5PRK</t>
  </si>
  <si>
    <t xml:space="preserve">Bare Home 100% Organic Cotton Percale Duvet Cover Set (Queen, White)</t>
  </si>
  <si>
    <t xml:space="preserve">List: $128.99 | List:</t>
  </si>
  <si>
    <t xml:space="preserve">https://www.amazon.ca/dp/B08FRS5PRK</t>
  </si>
  <si>
    <t xml:space="preserve">B0BBM2K2FJ</t>
  </si>
  <si>
    <t xml:space="preserve">YuHeGuoJi Grey Floral Duvet Cover Queen 100% Cotton 3 Pcs Set</t>
  </si>
  <si>
    <t xml:space="preserve">You pay $60.79 with coupon</t>
  </si>
  <si>
    <t xml:space="preserve">https://www.amazon.ca/dp/B0BBM2K2FJ</t>
  </si>
  <si>
    <t xml:space="preserve">B0DP44KT83</t>
  </si>
  <si>
    <t xml:space="preserve">David's Home 100% Cotton Muslin Duvet Cover Set Twin Size,2 Pcs Soft Breathable &amp; Lightweight Gauze Bedding Set with 1 Pillowcase,Textured Home Decor with Button, 68"×90" Natural/Oat Milk,No Insert</t>
  </si>
  <si>
    <t xml:space="preserve">You pay $62.04 with coupon</t>
  </si>
  <si>
    <t xml:space="preserve">https://www.amazon.ca/dp/B0DP44KT83</t>
  </si>
  <si>
    <t xml:space="preserve">B0F9L5Q4L6</t>
  </si>
  <si>
    <t xml:space="preserve">Bedsure Duvet Cover Queen - 3 Pieces Floral Bedding Set Botanical Green</t>
  </si>
  <si>
    <t xml:space="preserve">https://www.amazon.ca/dp/B0F9L5Q4L6</t>
  </si>
  <si>
    <t xml:space="preserve">B0FNLD5Y5W</t>
  </si>
  <si>
    <t xml:space="preserve">ZBOOM Vintage Floral Duvet Cover Full Size Cotton Pink Grey Flower Country Rustic Bedding Set Soft Breathable Botanical Comforter Cover Gift for Women Girls</t>
  </si>
  <si>
    <t xml:space="preserve">https://www.amazon.ca/dp/B0FNLD5Y5W</t>
  </si>
  <si>
    <t xml:space="preserve">B0DX6VMYJ8</t>
  </si>
  <si>
    <t xml:space="preserve">Muslin Duvet Cover Queen Size,100% Washed Cotton Duvet Cover Set</t>
  </si>
  <si>
    <t xml:space="preserve">https://www.amazon.ca/dp/B0DX6VMYJ8</t>
  </si>
  <si>
    <t xml:space="preserve">B0DX1ZX48T</t>
  </si>
  <si>
    <t xml:space="preserve">Bedsure Duvet Cover King - 3 Pieces 100% Washed Cotton Bedding Oatmeal</t>
  </si>
  <si>
    <t xml:space="preserve">Was: $99.99 | Was:</t>
  </si>
  <si>
    <t xml:space="preserve">https://www.amazon.ca/dp/B0DX1ZX48T</t>
  </si>
  <si>
    <t xml:space="preserve">B0H1F33HZH</t>
  </si>
  <si>
    <t xml:space="preserve">Davenport 700TC 3-Piece Duvet Cover Set, 100% Cotton Sateen</t>
  </si>
  <si>
    <t xml:space="preserve">https://www.amazon.ca/dp/B0H1F33HZH</t>
  </si>
  <si>
    <t xml:space="preserve">B08YVFD73P</t>
  </si>
  <si>
    <t xml:space="preserve">Floral Duvet Cover Twin, 100% Cotton 3 pcs Twin Flower Bedding Set for Girls, Reversible Comforter Cover Ultra Soft Garden Fresh Botanical Duvet Cover, with Zipper Closure, Breathable (No Comforter)</t>
  </si>
  <si>
    <t xml:space="preserve">List: $69.99 | List:</t>
  </si>
  <si>
    <t xml:space="preserve">https://www.amazon.ca/dp/B08YVFD73P</t>
  </si>
  <si>
    <t xml:space="preserve">B0BMTDPTFS</t>
  </si>
  <si>
    <t xml:space="preserve">JELLYMONI 100% Cotton Queen Duvet Cover Set, Washed Linen-Like Texture</t>
  </si>
  <si>
    <t xml:space="preserve">https://www.amazon.ca/dp/B0BMTDPTFS</t>
  </si>
  <si>
    <t xml:space="preserve">B0CV4J3SK4</t>
  </si>
  <si>
    <t xml:space="preserve">Duvet Cover Queen Size - 3 Piece Set with Zipper Closure - Blue Stripes</t>
  </si>
  <si>
    <t xml:space="preserve">https://www.amazon.ca/dp/B0CV4J3SK4</t>
  </si>
  <si>
    <t xml:space="preserve">B0C88YMZRS</t>
  </si>
  <si>
    <t xml:space="preserve">YuHeGuoJi Black Floral Duvet Cover King 100% Cotton 3 Pcs Set 1 Garden White Plant Duvet Cover with Zipper Ties 2 Pillowcases Farmhouse Cute Flower Bedding Set Comfortable</t>
  </si>
  <si>
    <t xml:space="preserve">Was: $65.35 | Was:</t>
  </si>
  <si>
    <t xml:space="preserve">https://www.amazon.ca/dp/B0C88YMZRS</t>
  </si>
  <si>
    <t xml:space="preserve">B01MG2Y5I5</t>
  </si>
  <si>
    <t xml:space="preserve">SUSYBAO Blue Checkered Duvet Cover Queen Size 100% Washed Cotton Plaid Duvet Cover Set 3 Pieces 1 Grid Duvet Cover with Zipper Ties 2 Pillow Cases Luxury Soft Blue Checkered Bedding Set Breathable</t>
  </si>
  <si>
    <t xml:space="preserve">You pay $77.39 with coupon</t>
  </si>
  <si>
    <t xml:space="preserve">https://www.amazon.ca/dp/B01MG2Y5I5</t>
  </si>
  <si>
    <t xml:space="preserve">deep pocket fitted sheet</t>
  </si>
  <si>
    <t xml:space="preserve">B01IE7P2VW</t>
  </si>
  <si>
    <t xml:space="preserve">Queen Fitted Sheet, Ultra Soft Fits Up to 15 Inch Deep Pocket, Grey</t>
  </si>
  <si>
    <t xml:space="preserve">List: $23.99 | List:</t>
  </si>
  <si>
    <t xml:space="preserve">2K+ bought in past month</t>
  </si>
  <si>
    <t xml:space="preserve">LIVE_CA_fitted</t>
  </si>
  <si>
    <t xml:space="preserve">https://www.amazon.ca/dp/B01IE7P2VW</t>
  </si>
  <si>
    <t xml:space="preserve">B0CHFFMX81</t>
  </si>
  <si>
    <t xml:space="preserve">Extra Deep Pocket Queen Fitted Sheet, Fits 16-21 Inch Mattress, Grey</t>
  </si>
  <si>
    <t xml:space="preserve">Was: $21.99 | Was:</t>
  </si>
  <si>
    <t xml:space="preserve">https://www.amazon.ca/dp/B0CHFFMX81</t>
  </si>
  <si>
    <t xml:space="preserve">B00XK9C0KG</t>
  </si>
  <si>
    <t xml:space="preserve">Utopia Bedding</t>
  </si>
  <si>
    <t xml:space="preserve">Utopia Bedding Fitted Sheet - Soft Brushed Microfiber - Deep Pockets, Shrinkage and Fade Resistant - Easy Care - 1 Fitted Sheet Only (Full, Grey)</t>
  </si>
  <si>
    <t xml:space="preserve">List: $18.99 | List:</t>
  </si>
  <si>
    <t xml:space="preserve">700+ bought in past month</t>
  </si>
  <si>
    <t xml:space="preserve">https://www.amazon.ca/dp/B00XK9C0KG</t>
  </si>
  <si>
    <t xml:space="preserve">B07QHNC81Z</t>
  </si>
  <si>
    <t xml:space="preserve">CGK</t>
  </si>
  <si>
    <t xml:space="preserve">CGK Linens Extra Deep Queen Fitted Sheet - Fitted Sheet Only - White</t>
  </si>
  <si>
    <t xml:space="preserve">Was: $40.99 | Was:</t>
  </si>
  <si>
    <t xml:space="preserve">https://www.amazon.ca/dp/B07QHNC81Z</t>
  </si>
  <si>
    <t xml:space="preserve">B0GV2KVRFF</t>
  </si>
  <si>
    <t xml:space="preserve">Bedsure Deep Pocket Fitted Sheet King - Moisture Wicking &amp; Cooling Grey</t>
  </si>
  <si>
    <t xml:space="preserve">Save 8% | Was: $37.99 | Was:</t>
  </si>
  <si>
    <t xml:space="preserve">https://www.amazon.ca/dp/B0GV2KVRFF</t>
  </si>
  <si>
    <t xml:space="preserve">B084MFMCNY</t>
  </si>
  <si>
    <t xml:space="preserve">Utopia Bedding Queen Fitted Sheets - Bulk Pack of 2 Bottom Sheets - Soft Brushed Microfiber - Deep Pockets - Shrinkage &amp; Fade Resistant - Easy Care (Queen, Grey)</t>
  </si>
  <si>
    <t xml:space="preserve">Limited-time deal | List: $24.99 | List:</t>
  </si>
  <si>
    <t xml:space="preserve">https://www.amazon.ca/dp/B084MFMCNY</t>
  </si>
  <si>
    <t xml:space="preserve">B00XK9CYVG</t>
  </si>
  <si>
    <t xml:space="preserve">Twin Fitted Sheet, Ultra Soft Fits Up to 15 Inch Deep Pocket, Grey</t>
  </si>
  <si>
    <t xml:space="preserve">List: $20.99 | List:</t>
  </si>
  <si>
    <t xml:space="preserve">https://www.amazon.ca/dp/B00XK9CYVG</t>
  </si>
  <si>
    <t xml:space="preserve">B0CHFGWKXQ</t>
  </si>
  <si>
    <t xml:space="preserve">Extra Deep Pocket Queen Fitted Sheet, Fits 16-21 Inch Mattress, White</t>
  </si>
  <si>
    <t xml:space="preserve">Was: $20.89 | Was:</t>
  </si>
  <si>
    <t xml:space="preserve">https://www.amazon.ca/dp/B0CHFGWKXQ</t>
  </si>
  <si>
    <t xml:space="preserve">B07PKT16D9</t>
  </si>
  <si>
    <t xml:space="preserve">Queen Fitted Sheet - Single Fitted Sheet Only - 8-16" Deep Pockets - White</t>
  </si>
  <si>
    <t xml:space="preserve">https://www.amazon.ca/dp/B07PKT16D9</t>
  </si>
  <si>
    <t xml:space="preserve">B0872GW9FD</t>
  </si>
  <si>
    <t xml:space="preserve">DREAMCARE King Fitted Sheet Deep Pocket, Fitted Sheet Only - Gray</t>
  </si>
  <si>
    <t xml:space="preserve">List: $29.99 | List: | Save 15% on any 2</t>
  </si>
  <si>
    <t xml:space="preserve">https://www.amazon.ca/dp/B0872GW9FD</t>
  </si>
  <si>
    <t xml:space="preserve">B0GFFRYVRB</t>
  </si>
  <si>
    <t xml:space="preserve">Deep Pocket Queen Fitted Sheet, Extra Deep 18-24 Inch - Navy</t>
  </si>
  <si>
    <t xml:space="preserve">https://www.amazon.ca/dp/B0GFFRYVRB</t>
  </si>
  <si>
    <t xml:space="preserve">B0DQXYR9MW</t>
  </si>
  <si>
    <t xml:space="preserve">Extra Deep Pocket Full Fitted Sheet, Fits 16-21 Inch Mattress, Grey</t>
  </si>
  <si>
    <t xml:space="preserve">https://www.amazon.ca/dp/B0DQXYR9MW</t>
  </si>
  <si>
    <t xml:space="preserve">B008CMYFNQ</t>
  </si>
  <si>
    <t xml:space="preserve">Cathay Home Luxury 1 Piece Fitted Sheet, Ultra Soft, Wrinkle &amp; Fade Resistant, 14 Inch Deep Pocket, Double Brushed Feel, All Season Comfort, Easy Care Bedding (Queen Size, Gray)</t>
  </si>
  <si>
    <t xml:space="preserve">Was: $15.72 | Was:</t>
  </si>
  <si>
    <t xml:space="preserve">https://www.amazon.ca/dp/B008CMYFNQ</t>
  </si>
  <si>
    <t xml:space="preserve">B07F95LC1X</t>
  </si>
  <si>
    <t xml:space="preserve">CGK Extra Deep King Sheet Set - 6pc Cooling Sheets - Grey</t>
  </si>
  <si>
    <t xml:space="preserve">https://www.amazon.ca/dp/B07F95LC1X</t>
  </si>
  <si>
    <t xml:space="preserve">B09KCF6S9G</t>
  </si>
  <si>
    <t xml:space="preserve">Utopia Bedding Queen Fitted Sheet - Bottom Sheet - Deep Pocket - Soft Microfiber - Shrinkage and Fade Resistant - Easy Care -1 Fitted Sheet Only (Coral)</t>
  </si>
  <si>
    <t xml:space="preserve">https://www.amazon.ca/dp/B09KCF6S9G</t>
  </si>
  <si>
    <t xml:space="preserve">B096MDX5Z2</t>
  </si>
  <si>
    <t xml:space="preserve">California Design Den 100% Organic Cotton King Fitted Sheet Only, Percale, Deep Pocket King Fitted Sheet, Lightweight, Snug-Fit, Crisp, All-Around Elastic, 1 Pc (Light Grey)</t>
  </si>
  <si>
    <t xml:space="preserve">https://www.amazon.ca/dp/B096MDX5Z2</t>
  </si>
  <si>
    <t xml:space="preserve">B0F3VG4LHQ</t>
  </si>
  <si>
    <t xml:space="preserve">Queen Fitted Sheet 2 Pack, Pre-Washed Soft 14" Deep Pocket - Charcoal</t>
  </si>
  <si>
    <t xml:space="preserve">Limited-time deal | Was: $37.99 | Was:</t>
  </si>
  <si>
    <t xml:space="preserve">https://www.amazon.ca/dp/B0F3VG4LHQ</t>
  </si>
  <si>
    <t xml:space="preserve">B099NGDQ8T</t>
  </si>
  <si>
    <t xml:space="preserve">Good Sleep Bedding King Fitted Sheet - 100% Egyptian Cotton Fitted Sheet, 800 TC King Size Fitted Sheet Only, Sateen Weave Deep Pocket Upto 16", Soft, White</t>
  </si>
  <si>
    <t xml:space="preserve">You pay $44.99 with coupon</t>
  </si>
  <si>
    <t xml:space="preserve">https://www.amazon.ca/dp/B099NGDQ8T</t>
  </si>
  <si>
    <t xml:space="preserve">B0F8VLGBQ4</t>
  </si>
  <si>
    <t xml:space="preserve">Extra Deep Pocket King Fitted Sheet, Fits 16-21 Inch Mattress, Beige</t>
  </si>
  <si>
    <t xml:space="preserve">https://www.amazon.ca/dp/B0F8VLGBQ4</t>
  </si>
  <si>
    <t xml:space="preserve">B0CRHT3RF2</t>
  </si>
  <si>
    <t xml:space="preserve">Utopia Bedding Queen Fitted Sheet - Bottom Sheet - Deep Pocket - Soft Microfiber - Shrinkage and Fade Resistant-Easy Care -1 Fitted Sheet Only (Olive)</t>
  </si>
  <si>
    <t xml:space="preserve">https://www.amazon.ca/dp/B0CRHT3RF2</t>
  </si>
  <si>
    <t xml:space="preserve">B07TLP7RWT</t>
  </si>
  <si>
    <t xml:space="preserve">Bare Home Deep Pocket Fitted Sheet (Queen - 22" Pocket, Grey)</t>
  </si>
  <si>
    <t xml:space="preserve">List: $42.99 | List:</t>
  </si>
  <si>
    <t xml:space="preserve">https://www.amazon.ca/dp/B07TLP7RWT</t>
  </si>
  <si>
    <t xml:space="preserve">B0758C6GBR</t>
  </si>
  <si>
    <t xml:space="preserve">California Design Den Queen Size Fitted Sheet, 100% Cotton 400 Thread Count Sateen, Deep Pocket Queen Fitted Sheet Only, 100% Cotton Fitted Sheet Queen Size, No-Pop Off Elastic (Queen, White)</t>
  </si>
  <si>
    <t xml:space="preserve">https://www.amazon.ca/dp/B0758C6GBR</t>
  </si>
  <si>
    <t xml:space="preserve">B07NVT5FFR</t>
  </si>
  <si>
    <t xml:space="preserve">Extra Deep Queen Sheet Set - 4 Piece Breathable Cooling Sheets - Dark Grey</t>
  </si>
  <si>
    <t xml:space="preserve">https://www.amazon.ca/dp/B07NVT5FFR</t>
  </si>
  <si>
    <t xml:space="preserve">B09ZKNR7BS</t>
  </si>
  <si>
    <t xml:space="preserve">Cathay Home Full Fitted Sheet Only, 14" Deep Pocket, Blush</t>
  </si>
  <si>
    <t xml:space="preserve">https://www.amazon.ca/dp/B09ZKNR7BS</t>
  </si>
  <si>
    <t xml:space="preserve">B088GX133Y</t>
  </si>
  <si>
    <t xml:space="preserve">Queen Size Premium Cotton Fitted Sheet Only - 300 Thread Count Pure Natural Cotton Fabric - 15" Deep Pocket,Breathable,Ultra Soft &amp; Silky (Queen,White)</t>
  </si>
  <si>
    <t xml:space="preserve">https://www.amazon.ca/dp/B088GX133Y</t>
  </si>
  <si>
    <t xml:space="preserve">B00NX0XMZY</t>
  </si>
  <si>
    <t xml:space="preserve">King Sheets Set, 4 Pieces 16" Deep Pocket Hotel Luxury Bed Sheets, Grey</t>
  </si>
  <si>
    <t xml:space="preserve">https://www.amazon.ca/dp/B00NX0XMZY</t>
  </si>
  <si>
    <t xml:space="preserve">B0DJ1TPNM4</t>
  </si>
  <si>
    <t xml:space="preserve">Cathay Home Ultra Soft Flannel Plush Fur Fitted Sheet, 1 Piece, Thick &amp; Cozy Bed Sheet, Deep Pocket Fit, All Season Warmth, Wrinkle Resistant, Easy Care Bedding (Twin Size, Black)</t>
  </si>
  <si>
    <t xml:space="preserve">https://www.amazon.ca/dp/B0DJ1TPNM4</t>
  </si>
  <si>
    <t xml:space="preserve">B0FR22PY7Q</t>
  </si>
  <si>
    <t xml:space="preserve">Ashton Sheets Egyptian Cotton King Fitted Sheet Only - Luxury 1000 Thread Count Fitted King Sheet Only (1 PC, White), 22" Deep Pocket, No Pop-up Elastic, Soft Cooling Sateen Weave Bottom Sheets</t>
  </si>
  <si>
    <t xml:space="preserve">List: $55.99 | List:</t>
  </si>
  <si>
    <t xml:space="preserve">https://www.amazon.ca/dp/B0FR22PY7Q</t>
  </si>
  <si>
    <t xml:space="preserve">B095PBLXD1</t>
  </si>
  <si>
    <t xml:space="preserve">MR&amp;HM Satin Fitted Sheet Queen Size with Elastic Corner Straps, Black</t>
  </si>
  <si>
    <t xml:space="preserve">https://www.amazon.ca/dp/B095PBLXD1</t>
  </si>
  <si>
    <t xml:space="preserve">B09KCF9VJ4</t>
  </si>
  <si>
    <t xml:space="preserve">Utopia Bedding King Fitted Sheet - Bottom Sheet - Deep Pocket - Soft Microfiber - Shrinkage and Fade Resistant - Easy Care -1 Fitted Sheet Only (Coral)</t>
  </si>
  <si>
    <t xml:space="preserve">https://www.amazon.ca/dp/B09KCF9VJ4</t>
  </si>
  <si>
    <t xml:space="preserve">B08965K9KC</t>
  </si>
  <si>
    <t xml:space="preserve">Linen Home</t>
  </si>
  <si>
    <t xml:space="preserve">Linen Home 100% Cotton Percale Weave Fitted Sheet, Queen Size, White, 1 Deep Pocket Fitted Sheet, Fits Mattress Upto 16" Crisp and Cool Strong Bed Linen, 60"X80"+15"</t>
  </si>
  <si>
    <t xml:space="preserve">https://www.amazon.ca/dp/B08965K9KC</t>
  </si>
  <si>
    <t xml:space="preserve">B08966FHV6</t>
  </si>
  <si>
    <t xml:space="preserve">Linen Home 100% Cotton Percale Weave Fitted Sheet, Full Size, White, 1 Deep Pocket Fitted Sheet, Fits Mattress Upto 16" Crisp and Cool Strong Bed Linen, 54"X75"+15"</t>
  </si>
  <si>
    <t xml:space="preserve">https://www.amazon.ca/dp/B08966FHV6</t>
  </si>
  <si>
    <t xml:space="preserve">B09LH12RFS</t>
  </si>
  <si>
    <t xml:space="preserve">Mooreeke Floral Queen Sheets, Soft Breathable Microfiber Vintage Printed Bed Sheet Set, Deep Pocket Non-Slip Fitted Sheet Included, Blue Flower Pattern</t>
  </si>
  <si>
    <t xml:space="preserve">Limited-time deal | Was: $27.91 | Was:</t>
  </si>
  <si>
    <t xml:space="preserve">https://www.amazon.ca/dp/B09LH12RFS</t>
  </si>
  <si>
    <t xml:space="preserve">B08PZ97BVD</t>
  </si>
  <si>
    <t xml:space="preserve">Home Beyond &amp; HB design - Fitted Sheet, Ultra Soft Brushed Microfiber, Wrinkle Fade &amp; Shrinkage Resistant, Deep Pocket Bed Sheet (Queen, Grey)</t>
  </si>
  <si>
    <t xml:space="preserve">https://www.amazon.ca/dp/B08PZ97BVD</t>
  </si>
  <si>
    <t xml:space="preserve">B0GXZMVKS6</t>
  </si>
  <si>
    <t xml:space="preserve">Lvory White Cooling Fitted Sheet King Size Only 16" Deep Pocket</t>
  </si>
  <si>
    <t xml:space="preserve">Was: $41.00 | Was:</t>
  </si>
  <si>
    <t xml:space="preserve">https://www.amazon.ca/dp/B0GXZMVKS6</t>
  </si>
  <si>
    <t xml:space="preserve">B0CDMDM78Y</t>
  </si>
  <si>
    <t xml:space="preserve">Cathay Home Luxury Fitted Sheet with Built in Smart Storage Pocket, 1 Piece, Ultra Soft, Wrinkle Free, Deep 14 Inch Pocket with Secure Fit, All Season Comfort, Easy Care Bedding (Queen, Grey)</t>
  </si>
  <si>
    <t xml:space="preserve">https://www.amazon.ca/dp/B0CDMDM78Y</t>
  </si>
  <si>
    <t xml:space="preserve">B0C716G9P8</t>
  </si>
  <si>
    <t xml:space="preserve">JOLLYVOGUE Queen Size Bed Sheet Set - 4 Piece Bed Sheets Set with Deep Pocket - Soft Breathable &amp; Cooling - Resists Shrinkage &amp; Fading Draps Queen - Easy Care (Dark Grey)</t>
  </si>
  <si>
    <t xml:space="preserve">https://www.amazon.ca/dp/B0C716G9P8</t>
  </si>
  <si>
    <t xml:space="preserve">B0BWBSHBJM</t>
  </si>
  <si>
    <t xml:space="preserve">Bare Home Deep Pocket 22" Sheet Set 1800 Ultra-Soft (King, Grey)</t>
  </si>
  <si>
    <t xml:space="preserve">List: $75.99 | List:</t>
  </si>
  <si>
    <t xml:space="preserve">https://www.amazon.ca/dp/B0BWBSHBJM</t>
  </si>
  <si>
    <t xml:space="preserve">B09JCBTPF9</t>
  </si>
  <si>
    <t xml:space="preserve">Microfiber Cal King Fitted Sheet, Fits Up to 16" Deep Pocket - Chocolate</t>
  </si>
  <si>
    <t xml:space="preserve">https://www.amazon.ca/dp/B09JCBTPF9</t>
  </si>
  <si>
    <t xml:space="preserve">B086T1ZFCN</t>
  </si>
  <si>
    <t xml:space="preserve">DREAMCARE King Size Bed Sheets Set 4 pieces - Draps Lit King - Gray</t>
  </si>
  <si>
    <t xml:space="preserve">Save 50% on any 2</t>
  </si>
  <si>
    <t xml:space="preserve">https://www.amazon.ca/dp/B086T1ZFCN</t>
  </si>
  <si>
    <t xml:space="preserve">B0FJX7CPPS</t>
  </si>
  <si>
    <t xml:space="preserve">David's Home Velvet Fitted Sheets Set King Size Black, Extra Deep Pocket up to 18",Ultra Soft Fuzzy Luxury Plush Fleece Bottom Sheet with Side Pocket &amp; Elastic Corner Straps, Fall Winter</t>
  </si>
  <si>
    <t xml:space="preserve">Was: $52.19 | Was:</t>
  </si>
  <si>
    <t xml:space="preserve">https://www.amazon.ca/dp/B0FJX7CPPS</t>
  </si>
  <si>
    <t xml:space="preserve">B0CM315FQN</t>
  </si>
  <si>
    <t xml:space="preserve">100% Waterproof Queen Mattress Protector, Bamboo Viscose Liquid-Proof Cover</t>
  </si>
  <si>
    <t xml:space="preserve">You pay $31.73 with coupon</t>
  </si>
  <si>
    <t xml:space="preserve">https://www.amazon.ca/dp/B0CM315FQN</t>
  </si>
  <si>
    <t xml:space="preserve">B0893S3HHF</t>
  </si>
  <si>
    <t xml:space="preserve">Linen Home 100% Cotton Percale Weave Fitted Sheet, Twin Size, White, 1 Deep Pocket Fitted Sheet, Fits Mattress Upto 16" Crisp and Cool Strong Bed Linen, 39"X75"+15"</t>
  </si>
  <si>
    <t xml:space="preserve">https://www.amazon.ca/dp/B0893S3HHF</t>
  </si>
  <si>
    <t xml:space="preserve">B07LDSTJM9</t>
  </si>
  <si>
    <t xml:space="preserve">Elegant Comfort</t>
  </si>
  <si>
    <t xml:space="preserve">Elegant Comfort Premium Hotel Quality 1-Piece Fitted Sheet, Softest Quality Microfiber - Deep Pocket up to 16 inch, Wrinkle and Fade Resistant, Queen, Orange</t>
  </si>
  <si>
    <t xml:space="preserve">https://www.amazon.ca/dp/B07LDSTJM9</t>
  </si>
  <si>
    <t xml:space="preserve">B09XJGLHY7</t>
  </si>
  <si>
    <t xml:space="preserve">Elegant Comfort 1500 Thread Count Premium Hotel Quality Single Fitted Sheet has Extra Deep Pockets for High Mattress between 18" - 21" thick, Includes Smart Pockets on the side, Queen, Black</t>
  </si>
  <si>
    <t xml:space="preserve">https://www.amazon.ca/dp/B09XJGLHY7</t>
  </si>
  <si>
    <t xml:space="preserve">B0CRX64T8G</t>
  </si>
  <si>
    <t xml:space="preserve">Home Beyond &amp; HB design - Premium Fitted Sheet Full or Double Size - Super Soft Brushed Microfiber Wrinkle Resistant Hotel Quality - Deep Pocket, Grey</t>
  </si>
  <si>
    <t xml:space="preserve">https://www.amazon.ca/dp/B0CRX64T8G</t>
  </si>
  <si>
    <t xml:space="preserve">B019J3R8DA</t>
  </si>
  <si>
    <t xml:space="preserve">Bare Home King Fitted Sheet - 1800 Ultra-Soft (King, White)</t>
  </si>
  <si>
    <t xml:space="preserve">https://www.amazon.ca/dp/B019J3R8DA</t>
  </si>
  <si>
    <t xml:space="preserve">linen</t>
  </si>
  <si>
    <t xml:space="preserve">linen sheet set</t>
  </si>
  <si>
    <t xml:space="preserve">B09C3HFPX7</t>
  </si>
  <si>
    <t xml:space="preserve">Simple&amp;Opulence</t>
  </si>
  <si>
    <t xml:space="preserve">Simple&amp;Opulence 100% Linen Basic Sheet Set 4 Pieces - Flat Sheet &amp; Deep Pocket Fitted Sheet &amp; Pillowcases - Breathable Soft Flax Bed Sheet (Queen, Linen)</t>
  </si>
  <si>
    <t xml:space="preserve">Was: $162.99 | Was:</t>
  </si>
  <si>
    <t xml:space="preserve">LIVE_CA_linen</t>
  </si>
  <si>
    <t xml:space="preserve">https://www.amazon.ca/dp/B09C3HFPX7</t>
  </si>
  <si>
    <t xml:space="preserve">B089GQWRTG</t>
  </si>
  <si>
    <t xml:space="preserve">Simple&amp;Opulence French Linen Sheet Set Queen Size, 4 Pieces(1 Flat Sheet, 1 Fitted Sheet&amp;2 Pillowcases) Natural Flax Cotton Blend Bedsheets Soft Breathable Farmhouse Bedding All Seasons (White, Queen)</t>
  </si>
  <si>
    <t xml:space="preserve">Save 12% at checkout</t>
  </si>
  <si>
    <t xml:space="preserve">https://www.amazon.ca/dp/B089GQWRTG</t>
  </si>
  <si>
    <t xml:space="preserve">B0GHNHHBX5</t>
  </si>
  <si>
    <t xml:space="preserve">ATLINIA 100% Flax Linen Sheets Set King Size Natural Linen Bedding</t>
  </si>
  <si>
    <t xml:space="preserve">https://www.amazon.ca/dp/B0GHNHHBX5</t>
  </si>
  <si>
    <t xml:space="preserve">B0FN73ZR18</t>
  </si>
  <si>
    <t xml:space="preserve">TUMEI 4 Pieces 100% Stonewashed French Linen Bedding Sheets Set, 16" Deep Pocket, 1 Fitted Sheet &amp; 1 Flat Sheet &amp; 2 Pillowcases, Solid Color, Soft &amp; Comfortable (Natural Color, King Size)</t>
  </si>
  <si>
    <t xml:space="preserve">https://www.amazon.ca/dp/B0FN73ZR18</t>
  </si>
  <si>
    <t xml:space="preserve">B088BLG5DY</t>
  </si>
  <si>
    <t xml:space="preserve">Simple&amp;Opulence 100% Linen Sheet Set with Embroidery Stone Washed 4 Pieces (1 Flat Sheet &amp; 1 Fitted Sheet &amp; 2 Pillowcases) Natural French Flax Soft Breathable Bedding (King, Linen)</t>
  </si>
  <si>
    <t xml:space="preserve">Was: $194.99 | Was:</t>
  </si>
  <si>
    <t xml:space="preserve">https://www.amazon.ca/dp/B088BLG5DY</t>
  </si>
  <si>
    <t xml:space="preserve">B0GG8YMDJ5</t>
  </si>
  <si>
    <t xml:space="preserve">Talasily 100% Flax Linen Sheets Set Full Size 4Pcs Natural Linen Bedding</t>
  </si>
  <si>
    <t xml:space="preserve">https://www.amazon.ca/dp/B0GG8YMDJ5</t>
  </si>
  <si>
    <t xml:space="preserve">B0GTLM1NWZ</t>
  </si>
  <si>
    <t xml:space="preserve">Bedsure Queen Sheets Sets - PureWoven 100% GOTS Certified Organic Cotton</t>
  </si>
  <si>
    <t xml:space="preserve">Was: $129.99 | Was:</t>
  </si>
  <si>
    <t xml:space="preserve">https://www.amazon.ca/dp/B0GTLM1NWZ</t>
  </si>
  <si>
    <t xml:space="preserve">B07RZ3NVWZ</t>
  </si>
  <si>
    <t xml:space="preserve">Double Bed Sheets - 100% Organic Cotton Bed Sheets Double - White</t>
  </si>
  <si>
    <t xml:space="preserve">List: $67.99 | List:</t>
  </si>
  <si>
    <t xml:space="preserve">https://www.amazon.ca/dp/B07RZ3NVWZ</t>
  </si>
  <si>
    <t xml:space="preserve">B0CCX9413P</t>
  </si>
  <si>
    <r>
      <rPr>
        <sz val="10"/>
        <color theme="1"/>
        <rFont val="Arial"/>
        <family val="2"/>
        <charset val="1"/>
      </rPr>
      <t xml:space="preserve">Simple&amp;Opulence 100% Linen Basic Sheet Set 4 Pieces - Flat Sheet &amp; Deep Pocket Fitted Sheet &amp; Pillowcases - Breathable Soft Flax Bed Sheet</t>
    </r>
    <r>
      <rPr>
        <sz val="10"/>
        <color theme="1"/>
        <rFont val="Linux Libertine G"/>
        <family val="2"/>
      </rPr>
      <t xml:space="preserve">（</t>
    </r>
    <r>
      <rPr>
        <sz val="10"/>
        <color theme="1"/>
        <rFont val="Arial"/>
        <family val="2"/>
        <charset val="1"/>
      </rPr>
      <t xml:space="preserve">Queen,Olive Green</t>
    </r>
    <r>
      <rPr>
        <sz val="10"/>
        <color theme="1"/>
        <rFont val="Linux Libertine G"/>
        <family val="2"/>
      </rPr>
      <t xml:space="preserve">）</t>
    </r>
  </si>
  <si>
    <t xml:space="preserve">Was: $174.99 | Was:</t>
  </si>
  <si>
    <t xml:space="preserve">https://www.amazon.ca/dp/B0CCX9413P</t>
  </si>
  <si>
    <t xml:space="preserve">B06X9L8R9J</t>
  </si>
  <si>
    <t xml:space="preserve">Queen Size 4 Piece Sheet Set - Breathable &amp; Cooling Sheets - Navy Blue</t>
  </si>
  <si>
    <t xml:space="preserve">List: $64.99 | List:</t>
  </si>
  <si>
    <t xml:space="preserve">https://www.amazon.ca/dp/B06X9L8R9J</t>
  </si>
  <si>
    <t xml:space="preserve">B0DJ32KJ42</t>
  </si>
  <si>
    <t xml:space="preserve">4Pcs Organic Linen Sheets Queen Size, 100% French Linen from Normandy, Breathable Natural Linen Queen Sheet Set with 16 Inch Deep Pocket, 1 Flat Sheet, 1 Fitted Sheet, 2 Pillowcases</t>
  </si>
  <si>
    <t xml:space="preserve">https://www.amazon.ca/dp/B0DJ32KJ42</t>
  </si>
  <si>
    <t xml:space="preserve">B09B2GH9MJ</t>
  </si>
  <si>
    <t xml:space="preserve">Queen Sheets, 100% Cotton Bed Sheets, 1000 TC Egyptian Cotton, 4 Pc - Ivory</t>
  </si>
  <si>
    <t xml:space="preserve">https://www.amazon.ca/dp/B09B2GH9MJ</t>
  </si>
  <si>
    <t xml:space="preserve">B09C41GFS7</t>
  </si>
  <si>
    <t xml:space="preserve">LANE LINEN</t>
  </si>
  <si>
    <t xml:space="preserve">Lane Linen 600 TC 100% Cotton Bed Sheets Queen Set, Deep Pocket - White</t>
  </si>
  <si>
    <t xml:space="preserve">https://www.amazon.ca/dp/B09C41GFS7</t>
  </si>
  <si>
    <t xml:space="preserve">B07416ZHN9</t>
  </si>
  <si>
    <t xml:space="preserve">Linen Home 100% Cotton Percale Sheets Queen Size, White, Deep Pocket, 4 Pieces Set - 1 Flat, 1 Deep Pocket Fitted Sheet and 2 Pillowcases, Crisp Cool and Strong Bed Linen</t>
  </si>
  <si>
    <t xml:space="preserve">List: $76.44 | List:</t>
  </si>
  <si>
    <t xml:space="preserve">https://www.amazon.ca/dp/B07416ZHN9</t>
  </si>
  <si>
    <t xml:space="preserve">B0C9Y6BTR3</t>
  </si>
  <si>
    <t xml:space="preserve">Queen Bed Sheets, 1500 TC Egyptian Cotton Sheet Set, 4 Pc - White</t>
  </si>
  <si>
    <t xml:space="preserve">Save 14% | Was: $119.99 | Was:</t>
  </si>
  <si>
    <t xml:space="preserve">https://www.amazon.ca/dp/B0C9Y6BTR3</t>
  </si>
  <si>
    <t xml:space="preserve">B0H1JJ633C</t>
  </si>
  <si>
    <t xml:space="preserve">Davenport 700TC 4-Piece Sheet Set, 100% Cotton Sateen</t>
  </si>
  <si>
    <t xml:space="preserve">https://www.amazon.ca/dp/B0H1JJ633C</t>
  </si>
  <si>
    <t xml:space="preserve">B094N34QGJ</t>
  </si>
  <si>
    <t xml:space="preserve">Simple&amp;Opulence 100% French Linen Sheet Set Queen, 4 Piece Sets(1 Flat Sheet, 1 Fitted Sheet&amp;2 Pillowcases) Natural Flax Bed Sheets Soft Breathable Bedding Deep Pocket All Seasons(Queen, Sage Green)</t>
  </si>
  <si>
    <t xml:space="preserve">https://www.amazon.ca/dp/B094N34QGJ</t>
  </si>
  <si>
    <t xml:space="preserve">B09F71VJND</t>
  </si>
  <si>
    <t xml:space="preserve">100% Cotton Flannel Sheets Set - Queen Flannel Sheets, 4-Piece Bed Sheets - Lightweight Bedding, Brushed for Extra Softness, Warm and Cozy, 15" Deep Pocket (Fits Upto 17" Mattress) - Silver</t>
  </si>
  <si>
    <t xml:space="preserve">https://www.amazon.ca/dp/B09F71VJND</t>
  </si>
  <si>
    <t xml:space="preserve">B0B7GJNSX3</t>
  </si>
  <si>
    <t xml:space="preserve">Cotton Bath Towels, 24 Piece Towel Set with Large Bath Sheets - Allure</t>
  </si>
  <si>
    <t xml:space="preserve">List: $124.99 | List:</t>
  </si>
  <si>
    <t xml:space="preserve">https://www.amazon.ca/dp/B0B7GJNSX3</t>
  </si>
  <si>
    <t xml:space="preserve">B08J3W1ZD6</t>
  </si>
  <si>
    <t xml:space="preserve">100% Egyptian Cotton King Bed Sheets, 1000 TC Cooling Sheets, 4 Pc White King Size Bed Sheets Set, 16" Deep Pocket King Sheet Set, Soft King Size Sheet Set with Pillowcases, Fitted &amp; Flat Sheet</t>
  </si>
  <si>
    <t xml:space="preserve">You pay $100.29 with coupon</t>
  </si>
  <si>
    <t xml:space="preserve">https://www.amazon.ca/dp/B08J3W1ZD6</t>
  </si>
  <si>
    <t xml:space="preserve">B0FJ1XMW24</t>
  </si>
  <si>
    <t xml:space="preserve">Bedding Sheet Set 4 Pcs,100% Washed Cotton Linen Like,1 Fitted Sheet,1 Flat Sheet and 2 Pillowcases,Comfy Textured Sheet Set(Beige,King Size)</t>
  </si>
  <si>
    <t xml:space="preserve">You pay $93.49 with coupon</t>
  </si>
  <si>
    <t xml:space="preserve">https://www.amazon.ca/dp/B0FJ1XMW24</t>
  </si>
  <si>
    <t xml:space="preserve">B00J602FRG</t>
  </si>
  <si>
    <t xml:space="preserve">King Sheets Set, 4 Pieces 16" Deep Pocket Hotel Luxury Bed Sheets, King</t>
  </si>
  <si>
    <t xml:space="preserve">List: $33.99 | List:</t>
  </si>
  <si>
    <t xml:space="preserve">https://www.amazon.ca/dp/B00J602FRG</t>
  </si>
  <si>
    <t xml:space="preserve">B0779LHFMF</t>
  </si>
  <si>
    <t xml:space="preserve">Bare Home Queen Sheet Set - 1800 Ultra-Soft (Queen, Grey)</t>
  </si>
  <si>
    <t xml:space="preserve">List: $60.99 | List:</t>
  </si>
  <si>
    <t xml:space="preserve">https://www.amazon.ca/dp/B0779LHFMF</t>
  </si>
  <si>
    <t xml:space="preserve">B0F89TNJRF</t>
  </si>
  <si>
    <t xml:space="preserve">ATLINIA 100% Flax Linen Sheets Set Queen Size Green Linen Bedding</t>
  </si>
  <si>
    <t xml:space="preserve">https://www.amazon.ca/dp/B0F89TNJRF</t>
  </si>
  <si>
    <t xml:space="preserve">B073WD5KPX</t>
  </si>
  <si>
    <t xml:space="preserve">DAPU</t>
  </si>
  <si>
    <t xml:space="preserve">DAPU Pure Linen Sheets Set, 100% French Linen from Normandy, Breathable and Durable for Hot Sleepers, 4 Pcs Set - 1 Flat Sheet, 1 Fitted Sheet, 2 Pillowcases (Natural Linen, Queen)</t>
  </si>
  <si>
    <t xml:space="preserve">Save 6% at checkout</t>
  </si>
  <si>
    <t xml:space="preserve">https://www.amazon.ca/dp/B073WD5KPX</t>
  </si>
  <si>
    <t xml:space="preserve">B07QK9CTXR</t>
  </si>
  <si>
    <t xml:space="preserve">List: $119.99 | List:</t>
  </si>
  <si>
    <t xml:space="preserve">https://www.amazon.ca/dp/B07QK9CTXR</t>
  </si>
  <si>
    <t xml:space="preserve">B0GC6TXHTZ</t>
  </si>
  <si>
    <t xml:space="preserve">Bedsure Queen Bed Sheets Set - 6 Pieces Prewashed Ultra-Soft, Beige</t>
  </si>
  <si>
    <t xml:space="preserve">Save 11% | Was: $44.99 | Was:</t>
  </si>
  <si>
    <t xml:space="preserve">https://www.amazon.ca/dp/B0GC6TXHTZ</t>
  </si>
  <si>
    <t xml:space="preserve">B0HKHCM7FZ</t>
  </si>
  <si>
    <t xml:space="preserve">JOLLYVOGUE Queen Size Bed Sheet Set - 4 Piece Bed Sheets Set with Deep Pocket - Soft Breathable &amp; Cooling - Resists Shrinkage &amp; Fading Draps Queen - Easy Care (Light Tan)</t>
  </si>
  <si>
    <t xml:space="preserve">https://www.amazon.ca/dp/B0HKHCM7FZ</t>
  </si>
  <si>
    <t xml:space="preserve">B0C2YN3XT9</t>
  </si>
  <si>
    <t xml:space="preserve">MOOMEE Sheet Set 100% Washed Cotton Linen-Like Extra Deep Pocket King</t>
  </si>
  <si>
    <t xml:space="preserve">https://www.amazon.ca/dp/B0C2YN3XT9</t>
  </si>
  <si>
    <t xml:space="preserve">B0CH8CYXG6</t>
  </si>
  <si>
    <t xml:space="preserve">meadow park 100% Washed French Linen Sheet Set-King Size-Natural Linen-4 Pieces (1 Flat Sheet, 1 Fitted Sheet &amp; 2 Pillowcases), 16" Deep Pocket, Breathable,Ultra Soft and Durable</t>
  </si>
  <si>
    <t xml:space="preserve">https://www.amazon.ca/dp/B0CH8CYXG6</t>
  </si>
  <si>
    <t xml:space="preserve">B07XF1K1R3</t>
  </si>
  <si>
    <t xml:space="preserve">List: $104.99 | List: | Save 50% on 1 when you buy 2</t>
  </si>
  <si>
    <t xml:space="preserve">https://www.amazon.ca/dp/B07XF1K1R3</t>
  </si>
  <si>
    <t xml:space="preserve">B0B1G5T512</t>
  </si>
  <si>
    <t xml:space="preserve">Bare Home 100% European Linen Sheet Set (Queen, Glacier Grey)</t>
  </si>
  <si>
    <t xml:space="preserve">https://www.amazon.ca/dp/B0B1G5T512</t>
  </si>
  <si>
    <t xml:space="preserve">B0C519F95K</t>
  </si>
  <si>
    <t xml:space="preserve">Queen 6 Piece Bed Sheet Set - Breathable &amp; Cooling Sheets - Beige Stripes</t>
  </si>
  <si>
    <t xml:space="preserve">https://www.amazon.ca/dp/B0C519F95K</t>
  </si>
  <si>
    <t xml:space="preserve">B0DQWB4TWV</t>
  </si>
  <si>
    <t xml:space="preserve">Amazon Basics Brushed Microfiber Sheet Set, Extra Soft with Natural Texture, 4-Piece, Queen, Brown</t>
  </si>
  <si>
    <t xml:space="preserve">https://www.amazon.ca/dp/B0DQWB4TWV</t>
  </si>
  <si>
    <t xml:space="preserve">B06WLH7VN2</t>
  </si>
  <si>
    <t xml:space="preserve">Simple&amp;Opulence Belgian Linen Sheet Set Solid Color - 3 Pieces (1 Flat Sheet, 1 Fitted Sheet &amp; 1 Pillowcase) Natural Flax Cotton Blend Soft Breathable Farmhouse Bedding - Twin Size, Linen/Beige</t>
  </si>
  <si>
    <t xml:space="preserve">Was: $119.23 | Was:</t>
  </si>
  <si>
    <t xml:space="preserve">https://www.amazon.ca/dp/B06WLH7VN2</t>
  </si>
  <si>
    <t xml:space="preserve">B095PT2XQW</t>
  </si>
  <si>
    <t xml:space="preserve">Queen Fitted Sheet &amp; 2 Pillowcases - 100% Organic Cotton Sheets - Navy</t>
  </si>
  <si>
    <t xml:space="preserve">https://www.amazon.ca/dp/B095PT2XQW</t>
  </si>
  <si>
    <t xml:space="preserve">B0C7C64YPG</t>
  </si>
  <si>
    <t xml:space="preserve">Bedsure Sheet Queen Size - 4 Piece 100% Bamboo Rayon Sheet Set Light Beige</t>
  </si>
  <si>
    <t xml:space="preserve">Limited-time deal | Was: $89.99 | Was:</t>
  </si>
  <si>
    <t xml:space="preserve">https://www.amazon.ca/dp/B0C7C64YPG</t>
  </si>
  <si>
    <t xml:space="preserve">B0C5W7JTZX</t>
  </si>
  <si>
    <t xml:space="preserve">Linen Closet Luxury Cotton 300 Thread Count Organic Cotton 4-Piece Sheet Set, Queen, Light Gray</t>
  </si>
  <si>
    <t xml:space="preserve">https://www.amazon.ca/dp/B0C5W7JTZX</t>
  </si>
  <si>
    <t xml:space="preserve">B01N6DL4GQ</t>
  </si>
  <si>
    <t xml:space="preserve">Bare Home Super Soft Fleece Sheet Set (Queen, Grey)</t>
  </si>
  <si>
    <t xml:space="preserve">List: $104.99 | List:</t>
  </si>
  <si>
    <t xml:space="preserve">https://www.amazon.ca/dp/B01N6DL4GQ</t>
  </si>
  <si>
    <t xml:space="preserve">B096ZR58SY</t>
  </si>
  <si>
    <t xml:space="preserve">BISELINA French Linen Sheet Set Basic Style 4PCS (1 Flat Sheet &amp; 1 Fitted Sheet &amp; 2 Pillowcases) Flax Cotton Blend Solid Color Soft Breathable Bedding (Queen, Dusty Blue)</t>
  </si>
  <si>
    <t xml:space="preserve">Save 15% | Was: $119.99 | Was:</t>
  </si>
  <si>
    <t xml:space="preserve">https://www.amazon.ca/dp/B096ZR58SY</t>
  </si>
  <si>
    <t xml:space="preserve">B0GR1QQBHG</t>
  </si>
  <si>
    <t xml:space="preserve">Extra Deep Pocket King Sheet Set, 6 Piece Bed Sheets - White</t>
  </si>
  <si>
    <t xml:space="preserve">You pay $43.99 with coupon</t>
  </si>
  <si>
    <t xml:space="preserve">https://www.amazon.ca/dp/B0GR1QQBHG</t>
  </si>
  <si>
    <t xml:space="preserve">B0F23WWXNK</t>
  </si>
  <si>
    <t xml:space="preserve">LIFETOWN 100% Washed Cotton 4 Pieces Sheet Set Linen Feel Natural Wrinkle Breathable Lightweight (Queen, Mauve Brown)</t>
  </si>
  <si>
    <t xml:space="preserve">https://www.amazon.ca/dp/B0F23WWXNK</t>
  </si>
  <si>
    <t xml:space="preserve">B072R7M35K</t>
  </si>
  <si>
    <t xml:space="preserve">Laura Ashley Home - Flannel Collection - Sheet Set - 100% Cotton, Ultra-Soft Brushed Flannel, Pre-Shrunk &amp; Anti-Pill, Machine Washable Easy Care, Twin, Mulholland Plaid Grey</t>
  </si>
  <si>
    <t xml:space="preserve">https://www.amazon.ca/dp/B072R7M35K</t>
  </si>
  <si>
    <t xml:space="preserve">B0CRRXW7WP</t>
  </si>
  <si>
    <t xml:space="preserve">Double Comforter Set 7 Piece Bed in a Bag with Sheets, Pintuck - White</t>
  </si>
  <si>
    <t xml:space="preserve">https://www.amazon.ca/dp/B0CRRXW7WP</t>
  </si>
  <si>
    <t xml:space="preserve">B0GR233BW4</t>
  </si>
  <si>
    <t xml:space="preserve">Double Bed Sheets, 6 Piece Sheet Set 15" Deep Pocket - White</t>
  </si>
  <si>
    <t xml:space="preserve">Save 5% | Was: $39.99 | Was:</t>
  </si>
  <si>
    <t xml:space="preserve">https://www.amazon.ca/dp/B0GR233BW4</t>
  </si>
  <si>
    <t xml:space="preserve">B0DSP8CS1X</t>
  </si>
  <si>
    <t xml:space="preserve">Amazon Basics Organic Cotton Sheet Set with 1-Piece Pillowcase, White, Twin</t>
  </si>
  <si>
    <t xml:space="preserve">https://www.amazon.ca/dp/B0DSP8CS1X</t>
  </si>
  <si>
    <t xml:space="preserve">B06XNXBG9X</t>
  </si>
  <si>
    <t xml:space="preserve">California Design Den 400 Thread Count 100% Cotton Sheets, King Size Sheet Set, Luxury Sheets &amp; Pillowcases, Breathable Bedding for King Bed, Sateen King Bed Sheets, Deep Pockets (Light Grey)</t>
  </si>
  <si>
    <t xml:space="preserve">https://www.amazon.ca/dp/B06XNXBG9X</t>
  </si>
  <si>
    <t xml:space="preserve">lyocell</t>
  </si>
  <si>
    <t xml:space="preserve">lyocell sheet set</t>
  </si>
  <si>
    <t xml:space="preserve">B0D2H2W9MY</t>
  </si>
  <si>
    <t xml:space="preserve">100% Tencel Sheets, 18" Deep Pocket, Oat Milk, 4PC King</t>
  </si>
  <si>
    <t xml:space="preserve">Lyocell or blend claim</t>
  </si>
  <si>
    <t xml:space="preserve">LIVE_CA_lyocell</t>
  </si>
  <si>
    <t xml:space="preserve">https://www.amazon.ca/dp/B0D2H2W9MY</t>
  </si>
  <si>
    <t xml:space="preserve">B0D2H1GNY9</t>
  </si>
  <si>
    <t xml:space="preserve">100% Tencel Sheets, 18" Deep Pocket, Cool Grey, 4PC King</t>
  </si>
  <si>
    <t xml:space="preserve">https://www.amazon.ca/dp/B0D2H1GNY9</t>
  </si>
  <si>
    <t xml:space="preserve">B0CNNPY1H8</t>
  </si>
  <si>
    <t xml:space="preserve">100% Tencel Sheets, 18" Deep Pocket, Bright White, 4PC King</t>
  </si>
  <si>
    <t xml:space="preserve">You pay $100.56 with coupon</t>
  </si>
  <si>
    <t xml:space="preserve">https://www.amazon.ca/dp/B0CNNPY1H8</t>
  </si>
  <si>
    <t xml:space="preserve">B0FMK5SFPB</t>
  </si>
  <si>
    <t xml:space="preserve">Tencel Lyocell 4 Pieces Queen Sheet Set, Silky Soft, Cooling &amp; Wrinkle-Free - Oeko-TEX Certified - Deep Pocket Fits 16" Mattress, Bright White</t>
  </si>
  <si>
    <t xml:space="preserve">https://www.amazon.ca/dp/B0FMK5SFPB</t>
  </si>
  <si>
    <t xml:space="preserve">B0GFLZM3S5</t>
  </si>
  <si>
    <t xml:space="preserve">Dreamology Tencel Sheets Set Full,100% Tencel Lyocell Sheet, Super Soft</t>
  </si>
  <si>
    <t xml:space="preserve">https://www.amazon.ca/dp/B0GFLZM3S5</t>
  </si>
  <si>
    <t xml:space="preserve">B0DYDJB9V7</t>
  </si>
  <si>
    <t xml:space="preserve">Tencel Sheet Set Full Size, 100% Eucalyptus Lyocell, Breathable &amp; Cooling Sheets, Deep Pocket Up to 16 Inch, Silky Soft, Ideal for Hot Sleepers - 4PC (Full, Navy)</t>
  </si>
  <si>
    <t xml:space="preserve">Tencel Sheet Set Full Size, 100% Eucalyptus Lyocell, Breathable &amp; Cooling Sheets, Deep Pocket Up to 16 Inch, Silky Soft, Ideal for Hot Sleepers - 4PC (Full, Navy) | Was: $105.85 | Was:</t>
  </si>
  <si>
    <t xml:space="preserve">https://www.amazon.ca/dp/B0DYDJB9V7</t>
  </si>
  <si>
    <t xml:space="preserve">B0GGHW23N4</t>
  </si>
  <si>
    <t xml:space="preserve">Amélie Home 100% Tencel™ Lyocell Sheet Set, Queen, Sliver Gray</t>
  </si>
  <si>
    <t xml:space="preserve">Save 19% | Was: $123.89 | Was:</t>
  </si>
  <si>
    <t xml:space="preserve">https://www.amazon.ca/dp/B0GGHW23N4</t>
  </si>
  <si>
    <t xml:space="preserve">B0DV856S56</t>
  </si>
  <si>
    <t xml:space="preserve">Modern Threads 100% Tencel Lyocell 4-Piece Sheet Set, 400 Thread Count Luxury Bedding, White, Queen</t>
  </si>
  <si>
    <t xml:space="preserve">You pay $113.72 with coupon</t>
  </si>
  <si>
    <t xml:space="preserve">https://www.amazon.ca/dp/B0DV856S56</t>
  </si>
  <si>
    <t xml:space="preserve">B07BRT9PR7</t>
  </si>
  <si>
    <t xml:space="preserve">Linenwalas</t>
  </si>
  <si>
    <t xml:space="preserve">LINENWALAS Queen Sheet Set -100% Tencel Lyocell Silk Sheets, 4 Piece Sheets Set for Queen Size Bed, Deep Pocket, Soft Premium Cooling Eucalyptus Bed Sheets (White, Queen)</t>
  </si>
  <si>
    <t xml:space="preserve">Was: $73.49 | Was:</t>
  </si>
  <si>
    <t xml:space="preserve">https://www.amazon.ca/dp/B07BRT9PR7</t>
  </si>
  <si>
    <t xml:space="preserve">B0BXP98KDB</t>
  </si>
  <si>
    <t xml:space="preserve">Bedsure Sheet Queen Size - 4 Piece 100% Bamboo Rayon Sheet Set Simply Taupe</t>
  </si>
  <si>
    <t xml:space="preserve">Limited-time deal | Was: $84.99 | Was:</t>
  </si>
  <si>
    <t xml:space="preserve">https://www.amazon.ca/dp/B0BXP98KDB</t>
  </si>
  <si>
    <t xml:space="preserve">B0CKJ8XXTJ</t>
  </si>
  <si>
    <t xml:space="preserve">Bare Home Lyocell Tencel Sheet Set (Queen, White)</t>
  </si>
  <si>
    <t xml:space="preserve">Was: $146.99 | Was:</t>
  </si>
  <si>
    <t xml:space="preserve">https://www.amazon.ca/dp/B0CKJ8XXTJ</t>
  </si>
  <si>
    <t xml:space="preserve">B07YKCZHGK</t>
  </si>
  <si>
    <t xml:space="preserve">Bedsure Sheet Queen Size - 4 Piece 100% Bamboo Rayon Sheet Set Dark Grey</t>
  </si>
  <si>
    <t xml:space="preserve">List: $109.99 | List:</t>
  </si>
  <si>
    <t xml:space="preserve">https://www.amazon.ca/dp/B07YKCZHGK</t>
  </si>
  <si>
    <t xml:space="preserve">B0CMDB2DVP</t>
  </si>
  <si>
    <t xml:space="preserve">Eucalyptus Sheets – Cooling Tencel Sheets Twin Blend with Egyptian Cotton, Ultra-Soft Breathable Percale Weave 3-Piece Bedding Set for a Luxurious, Refreshing Sleep (White)</t>
  </si>
  <si>
    <t xml:space="preserve">https://www.amazon.ca/dp/B0CMDB2DVP</t>
  </si>
  <si>
    <t xml:space="preserve">B0GVGNDV4P</t>
  </si>
  <si>
    <t xml:space="preserve">HeimenAogo Tencel Lyocell Sheet Sets, Cooling Sheets, 100% Lyocell from Botanic Sources, Deep Pocket 16", Silky Smooth &amp; Breathable Bedding for Hot Sleepers, California King</t>
  </si>
  <si>
    <t xml:space="preserve">https://www.amazon.ca/dp/B0GVGNDV4P</t>
  </si>
  <si>
    <t xml:space="preserve">B0BPT3FN4Q</t>
  </si>
  <si>
    <t xml:space="preserve">Certified 100% Tencel Lyocell Sheets|4 Piece Set|Sateen Weave|True Carbon Zero|Gentle to Skin|Genuity Tags|Natural Sheen|Body Temp Regulation|Austrian Eucalyptus(Queen,Charcoal Gray)</t>
  </si>
  <si>
    <t xml:space="preserve">Was: $140.00 | Was:</t>
  </si>
  <si>
    <t xml:space="preserve">https://www.amazon.ca/dp/B0BPT3FN4Q</t>
  </si>
  <si>
    <t xml:space="preserve">B0GGHNNKK9</t>
  </si>
  <si>
    <t xml:space="preserve">Amélie Home 100% Tencel™ Lyocell Sheet Set, King, Dusty Blue</t>
  </si>
  <si>
    <t xml:space="preserve">https://www.amazon.ca/dp/B0GGHNNKK9</t>
  </si>
  <si>
    <t xml:space="preserve">B07XBJY2JR</t>
  </si>
  <si>
    <t xml:space="preserve">List: $109.99 | List: | Save 50% on 1 when you buy 2</t>
  </si>
  <si>
    <t xml:space="preserve">https://www.amazon.ca/dp/B07XBJY2JR</t>
  </si>
  <si>
    <t xml:space="preserve">B0CK549PNJ</t>
  </si>
  <si>
    <t xml:space="preserve">Calvin Klein - King Bed Sheets, Cotton Melange Jersey Bedding Set with Deep Pockets, Super Soft &amp; Cozy Bedding Essentials (Modern Cotton Gunmetal Grey, King)</t>
  </si>
  <si>
    <t xml:space="preserve">Save 8% | Was: $162.61 | Was:</t>
  </si>
  <si>
    <t xml:space="preserve">https://www.amazon.ca/dp/B0CK549PNJ</t>
  </si>
  <si>
    <t xml:space="preserve">B0BG2QGZW7</t>
  </si>
  <si>
    <t xml:space="preserve">Linen Home Cotton Lyocell Blend Percale Sheet Set Queen Size, Polka Beige</t>
  </si>
  <si>
    <t xml:space="preserve">https://www.amazon.ca/dp/B0BG2QGZW7</t>
  </si>
  <si>
    <t xml:space="preserve">B0DK7227PM</t>
  </si>
  <si>
    <t xml:space="preserve">Shilucheng Tencel Sheets 4 Piece, 100% Eucalyptus Lyocell Sheets Set</t>
  </si>
  <si>
    <t xml:space="preserve">https://www.amazon.ca/dp/B0DK7227PM</t>
  </si>
  <si>
    <t xml:space="preserve">B09ZDY94N3</t>
  </si>
  <si>
    <t xml:space="preserve">NON Sticky cotton 100% Eucalyptus Lyocell California King 4 Piece Sheet Set, Light Blue Solid, Deep Pocket</t>
  </si>
  <si>
    <t xml:space="preserve">Save 30% on any 2</t>
  </si>
  <si>
    <t xml:space="preserve">https://www.amazon.ca/dp/B09ZDY94N3</t>
  </si>
  <si>
    <t xml:space="preserve">B0CQ3178D7</t>
  </si>
  <si>
    <t xml:space="preserve">DECOLURE 100% Organic Viscose Derived from Bamboo Sheets King Size 6pcs - Ultra Soft &amp; Luxuriously Cooling, 17" Deep Pocket, Double Stitching, Perfect for Hot Sleepers - King Bed Sheets (Taupe)</t>
  </si>
  <si>
    <t xml:space="preserve">https://www.amazon.ca/dp/B0CQ3178D7</t>
  </si>
  <si>
    <t xml:space="preserve">B0D7LCZ6H9</t>
  </si>
  <si>
    <t xml:space="preserve">Andency Bamboo Cooling Grey Sheets Set, 4pcs Queen Sheets for Hot Sleepers</t>
  </si>
  <si>
    <t xml:space="preserve">https://www.amazon.ca/dp/B0D7LCZ6H9</t>
  </si>
  <si>
    <t xml:space="preserve">B0H4WVXHCJ</t>
  </si>
  <si>
    <t xml:space="preserve">Luxury Lyocell Grounding Sheets King 22% Silver Fiber, 74% Cooling Lyocell, 4% Silk, Quality Certified - Conductive Earth Fitted Sheet 15" Deep w/Wash Bag &amp; Wool Dryer Balls, White</t>
  </si>
  <si>
    <t xml:space="preserve">https://www.amazon.ca/dp/B0H4WVXHCJ</t>
  </si>
  <si>
    <t xml:space="preserve">B0GX5SNMQ5</t>
  </si>
  <si>
    <t xml:space="preserve">EverGrace Tencel™ Sheet Set, Breathable &amp; Cooling, Queen, Fog Gray</t>
  </si>
  <si>
    <t xml:space="preserve">https://www.amazon.ca/dp/B0GX5SNMQ5</t>
  </si>
  <si>
    <t xml:space="preserve">B09JMBK9DL</t>
  </si>
  <si>
    <t xml:space="preserve">Queen Size 4 Piece Sheet Set - Comfy Breathable &amp; Cooling Sheets - Hotel Luxury Bed Sheets for Women &amp; Men - Deep Pockets, Easy-Fit, Soft &amp; Wrinkle Free Sheets - Heathered Beige Oeko-Tex Bed Sheet Set</t>
  </si>
  <si>
    <t xml:space="preserve">https://www.amazon.ca/dp/B09JMBK9DL</t>
  </si>
  <si>
    <t xml:space="preserve">B0CXDTP6B2</t>
  </si>
  <si>
    <r>
      <rPr>
        <sz val="10"/>
        <color theme="1"/>
        <rFont val="Arial"/>
        <family val="2"/>
        <charset val="1"/>
      </rPr>
      <t xml:space="preserve">EVERGRACEHOME Tencel Sheet Set Queen Size 4 Pieces</t>
    </r>
    <r>
      <rPr>
        <sz val="10"/>
        <color theme="1"/>
        <rFont val="Linux Libertine G"/>
        <family val="2"/>
      </rPr>
      <t xml:space="preserve">，</t>
    </r>
    <r>
      <rPr>
        <sz val="10"/>
        <color theme="1"/>
        <rFont val="Arial"/>
        <family val="2"/>
        <charset val="1"/>
      </rPr>
      <t xml:space="preserve">Soft Cooling Bed Sheets for Hot Sleepers, Eucalyptus Lyocell Luxury Breathable Bedding Set, 1 Fitted Sheet, 1 Flat Sheet, 2 Shams, Pearl Blue</t>
    </r>
  </si>
  <si>
    <t xml:space="preserve">https://www.amazon.ca/dp/B0CXDTP6B2</t>
  </si>
  <si>
    <t xml:space="preserve">B09ZB9432N</t>
  </si>
  <si>
    <t xml:space="preserve">Lane Linen 600 TC 100% Cotton Bed Sheets Queen Set, Deep Pocket - Mineral</t>
  </si>
  <si>
    <t xml:space="preserve">Save 34% | Was: $84.99 | Was:</t>
  </si>
  <si>
    <t xml:space="preserve">https://www.amazon.ca/dp/B09ZB9432N</t>
  </si>
  <si>
    <t xml:space="preserve">B0DM2JC349</t>
  </si>
  <si>
    <t xml:space="preserve">California Design Den 100% Organic Cotton Bed Sheets Queen Size Set - Crisp and Breathable Percale Queen Sheets, Deep Pockets, Lightweight and Durable Bedding - Olive Green</t>
  </si>
  <si>
    <t xml:space="preserve">Limited-time deal | List: $79.99 | List:</t>
  </si>
  <si>
    <t xml:space="preserve">https://www.amazon.ca/dp/B0DM2JC349</t>
  </si>
  <si>
    <t xml:space="preserve">B0C52J1DXT</t>
  </si>
  <si>
    <t xml:space="preserve">Olive + Crate Tencel Lyocell Eucalyptus Twin XL Sheets Set</t>
  </si>
  <si>
    <t xml:space="preserve">https://www.amazon.ca/dp/B0C52J1DXT</t>
  </si>
  <si>
    <t xml:space="preserve">B07BRVL2BS</t>
  </si>
  <si>
    <t xml:space="preserve">LINENWALAS 100% Tencel Lyocell Bed Sheets Set 4PC- Softest Cooling Eucalyptus Sheets in Gift Bag (King, Ivory)</t>
  </si>
  <si>
    <t xml:space="preserve">https://www.amazon.ca/dp/B07BRVL2BS</t>
  </si>
  <si>
    <t xml:space="preserve">B0HHJ2TT6N</t>
  </si>
  <si>
    <t xml:space="preserve">Madison Park Tencel Lyocell Cotton Blend Sheet Set, Twin Size, Blue Fog</t>
  </si>
  <si>
    <t xml:space="preserve">https://www.amazon.ca/dp/B0HHJ2TT6N</t>
  </si>
  <si>
    <t xml:space="preserve">B084ZLD3BT</t>
  </si>
  <si>
    <t xml:space="preserve">Shilucheng Tencel Sheets 4 Piece, 100% Eucalyptus Lyocell Sheets Set, Cooler Than Cotton and Linen, Summer Cooling Breathable Bed Sheets for Hot Sleepers, 16 Inch Deep Pockets(Brown, King)</t>
  </si>
  <si>
    <t xml:space="preserve">https://www.amazon.ca/dp/B084ZLD3BT</t>
  </si>
  <si>
    <t xml:space="preserve">B0H1RDVPFT</t>
  </si>
  <si>
    <t xml:space="preserve">Queen Size Tencel™ Lyocell Sheet Set, 4‑Piece Eucalyptus Bedding</t>
  </si>
  <si>
    <t xml:space="preserve">https://www.amazon.ca/dp/B0H1RDVPFT</t>
  </si>
  <si>
    <t xml:space="preserve">B0C7KLPRPR</t>
  </si>
  <si>
    <t xml:space="preserve">Queen Sheet Set, 1000 TC Egyptian Cotton Bed Sheets Queen - Estate Blue</t>
  </si>
  <si>
    <t xml:space="preserve">Limited-time deal | Was: $129.99 | Was:</t>
  </si>
  <si>
    <t xml:space="preserve">https://www.amazon.ca/dp/B0C7KLPRPR</t>
  </si>
  <si>
    <t xml:space="preserve">B07QCPCHYN</t>
  </si>
  <si>
    <t xml:space="preserve">California Design Den Soft Queen Sheet Set - Soft 400 Thread Count Sateen, Natural 100% Cotton Sheets for Queen Size Bed, Deep Pockets for a Snug Fit, Durable Bedding Set - Grey</t>
  </si>
  <si>
    <t xml:space="preserve">https://www.amazon.ca/dp/B07QCPCHYN</t>
  </si>
  <si>
    <t xml:space="preserve">B0F7PD7G9F</t>
  </si>
  <si>
    <t xml:space="preserve">3-Piece Duvet Cover Set – 300TC Tencel Lyocell, Ultra Soft Cooling Bedding with 2 Pillowcases – Breathable, Sustainable, Luxury Linen (Charcoal Midnight Medallion, Queen (U.S. Standard))</t>
  </si>
  <si>
    <t xml:space="preserve">https://www.amazon.ca/dp/B0F7PD7G9F</t>
  </si>
  <si>
    <t xml:space="preserve">B08LK8Q5PZ</t>
  </si>
  <si>
    <t xml:space="preserve">Miracle Made Extra Luxe 4 Piece Sheet Set - Natural Silver 500 Thread Count - US Cultured - Ultra Breathable, Extra Soft</t>
  </si>
  <si>
    <t xml:space="preserve">https://www.amazon.ca/dp/B08LK8Q5PZ</t>
  </si>
  <si>
    <t xml:space="preserve">B0CFV6XPLD</t>
  </si>
  <si>
    <t xml:space="preserve">Simple&amp;Opulence 100% Tencel Lyocell Sheet Set Twin Deep Pocket, Pink</t>
  </si>
  <si>
    <t xml:space="preserve">https://www.amazon.ca/dp/B0CFV6XPLD</t>
  </si>
  <si>
    <t xml:space="preserve">B0FT7NXWTL</t>
  </si>
  <si>
    <t xml:space="preserve">https://www.amazon.ca/dp/B0FT7NXWTL</t>
  </si>
  <si>
    <t xml:space="preserve">B011PSQLBM</t>
  </si>
  <si>
    <t xml:space="preserve">ABRIPEDIC Tencel Sheets, 600 Thread Count Silky Soft and Naturally Pure Fabric, 100% Woven Tencel Lyocell Sheet Set, 4PC Set, Queen Size, White</t>
  </si>
  <si>
    <t xml:space="preserve">https://www.amazon.ca/dp/B011PSQLBM</t>
  </si>
  <si>
    <t xml:space="preserve">B0D29QBCYX</t>
  </si>
  <si>
    <t xml:space="preserve">SIJO</t>
  </si>
  <si>
    <t xml:space="preserve">Sijo AiryWeight Tencel Sheet Set, 100% Lyocell Derived from Eucalyptus, Buttery Soft, Architectural Digest Best Cooling Sheets Winner - 4pc - 2 Pillowcases 1 Fitted 1 Top (Sage, King)</t>
  </si>
  <si>
    <t xml:space="preserve">Save 7% at checkout</t>
  </si>
  <si>
    <t xml:space="preserve">https://www.amazon.ca/dp/B0D29QBCYX</t>
  </si>
  <si>
    <t xml:space="preserve">B0DLKYHPV5</t>
  </si>
  <si>
    <t xml:space="preserve">Linenwalas Full Size Sheets Set, 100% Tencel Lyocell Sheets Set – Cooling Bed Sheets Set, Luxuriously Soft and Silky, Deep Pocket Up to 16", Breathable, Moisture Wicking Eucalyptus Sheets (Aubergine)</t>
  </si>
  <si>
    <t xml:space="preserve">https://www.amazon.ca/dp/B0DLKYHPV5</t>
  </si>
  <si>
    <t xml:space="preserve">B0F245WBCL</t>
  </si>
  <si>
    <t xml:space="preserve">Tencel Duvet Cover Set, Full/Queen Size Cooling Duvet Cover for Hot Sleepers, 100% Eucalyptus Lyocell, 3 Pieces, 1 Zipper Closure Duvet Cover (90" x 90") and 2 Pillowcases (20" x 30") - Sand</t>
  </si>
  <si>
    <t xml:space="preserve">Was: $128.63 | Was:</t>
  </si>
  <si>
    <t xml:space="preserve">https://www.amazon.ca/dp/B0F245WBCL</t>
  </si>
  <si>
    <t xml:space="preserve">B0HCV3JB5J</t>
  </si>
  <si>
    <r>
      <rPr>
        <sz val="10"/>
        <color theme="1"/>
        <rFont val="Arial"/>
        <family val="2"/>
        <charset val="1"/>
      </rPr>
      <t xml:space="preserve">100% Bamboo Viscose &amp; Lyocell Tencel Sheets Set Queen Size</t>
    </r>
    <r>
      <rPr>
        <sz val="10"/>
        <color theme="1"/>
        <rFont val="Linux Libertine G"/>
        <family val="2"/>
      </rPr>
      <t xml:space="preserve">，</t>
    </r>
    <r>
      <rPr>
        <sz val="10"/>
        <color theme="1"/>
        <rFont val="Arial"/>
        <family val="2"/>
        <charset val="1"/>
      </rPr>
      <t xml:space="preserve">Cooling &amp; Silky Soft for Hot Sleeper, Breathable &amp; Moisture Wicking Fabric, 18" Deep Pocket with Corner Straps (Off White,Queen)</t>
    </r>
  </si>
  <si>
    <t xml:space="preserve">https://www.amazon.ca/dp/B0HCV3JB5J</t>
  </si>
  <si>
    <t xml:space="preserve">B0FQWTCGYM</t>
  </si>
  <si>
    <t xml:space="preserve">Silver Infused Bed Sheets Set, 7% Silver 3X Freshness Sleep and Odors Free for Hot Sleepers, Ultra Softer Breathable Than Silk, Cooling Sheets from Eucalyptus (Blue, CK, No Flat Sheet)</t>
  </si>
  <si>
    <t xml:space="preserve">https://www.amazon.ca/dp/B0FQWTCGYM</t>
  </si>
  <si>
    <t xml:space="preserve">cotton pillowcases</t>
  </si>
  <si>
    <t xml:space="preserve">B0C494LJGS</t>
  </si>
  <si>
    <t xml:space="preserve">Deep Dream</t>
  </si>
  <si>
    <t xml:space="preserve">Deep Dream 100% Cotton Pillow Cases Queen Size Set of 2, 600 Thread Count Cotton Queen Pillowcases, White Pillow Cases Set of 2 with Envelop Closure, 20x30 Inches</t>
  </si>
  <si>
    <t xml:space="preserve">LIVE_CA_pillowcase</t>
  </si>
  <si>
    <t xml:space="preserve">https://www.amazon.ca/dp/B0C494LJGS</t>
  </si>
  <si>
    <t xml:space="preserve">B01MUDQUN9</t>
  </si>
  <si>
    <t xml:space="preserve">Amazon Basics 400 Thread Count Cotton Pillow Cases, Standard, Set of 2, White, Pillows Not Included</t>
  </si>
  <si>
    <t xml:space="preserve">Standard</t>
  </si>
  <si>
    <t xml:space="preserve">https://www.amazon.ca/dp/B01MUDQUN9</t>
  </si>
  <si>
    <t xml:space="preserve">B0C4929WC7</t>
  </si>
  <si>
    <t xml:space="preserve">Deep Dream 100% Cotton Standard Pillow Cases Set of 2, 600 Thread Count White Pillow Cases, 20x26 Inches, Super Soft and Breathable Envelope Closure Sateen Weave Pillowcase</t>
  </si>
  <si>
    <t xml:space="preserve">https://www.amazon.ca/dp/B0C4929WC7</t>
  </si>
  <si>
    <t xml:space="preserve">B0758C9NPB</t>
  </si>
  <si>
    <t xml:space="preserve">California Design Den Standard Queen Size Pillowcase Set - 400 Thread Count, 100% Cotton Sateen, Set of 2 Pillow Covers, Breathable, Cooling, Soft for Quality Sleep - Bright White</t>
  </si>
  <si>
    <t xml:space="preserve">Limited-time deal | List: $22.99 | List:</t>
  </si>
  <si>
    <t xml:space="preserve">https://www.amazon.ca/dp/B0758C9NPB</t>
  </si>
  <si>
    <t xml:space="preserve">B0D835VC38</t>
  </si>
  <si>
    <t xml:space="preserve">ECOCOTT 2 Pack Pillowcase Standard Size with Vintage Wash Painting Floral Pillow Cases Set, 100% Cotton Standard Pillow Covers Envelope Closure (Standard, 20"x26")</t>
  </si>
  <si>
    <t xml:space="preserve">Limited-time deal | Was: $23.99 | Was:</t>
  </si>
  <si>
    <t xml:space="preserve">https://www.amazon.ca/dp/B0D835VC38</t>
  </si>
  <si>
    <t xml:space="preserve">B09D38SZNH</t>
  </si>
  <si>
    <t xml:space="preserve">500 Thread Count Standard/Queen Pillowcases - 100% Cotton Bed Navy Blue Pillow Cases Set of 2 - Soft and Breathable with Envelope Closure Pillow Cover for Sleeping</t>
  </si>
  <si>
    <t xml:space="preserve">https://www.amazon.ca/dp/B09D38SZNH</t>
  </si>
  <si>
    <t xml:space="preserve">B01J4K8BXY</t>
  </si>
  <si>
    <t xml:space="preserve">Amazon Basics 100% Cotton Zippered Hypoallergenic Pillowcases, Machine Washable, Queen, White, 31" x 21"</t>
  </si>
  <si>
    <t xml:space="preserve">https://www.amazon.ca/dp/B01J4K8BXY</t>
  </si>
  <si>
    <t xml:space="preserve">B01N6U0UR1</t>
  </si>
  <si>
    <t xml:space="preserve">Amazon Basics 400 Thread Count Cotton Pillow Cases, Standard, Set of 2, Beige, Pillows Not Included</t>
  </si>
  <si>
    <t xml:space="preserve">https://www.amazon.ca/dp/B01N6U0UR1</t>
  </si>
  <si>
    <t xml:space="preserve">B09PN38Z7L</t>
  </si>
  <si>
    <t xml:space="preserve">Warmstar Cotton Pillow Cases Standard Size Set of 2, 600 Thread Count Pillowcases 20x26 Inches, Soft Long Staple Cotton Pillowcases Breathable with Envelope Closure,White</t>
  </si>
  <si>
    <t xml:space="preserve">Limited-time deal | Was: $19.99 | Was:</t>
  </si>
  <si>
    <t xml:space="preserve">https://www.amazon.ca/dp/B09PN38Z7L</t>
  </si>
  <si>
    <t xml:space="preserve">B07RZRH662</t>
  </si>
  <si>
    <t xml:space="preserve">Utopia Bedding Queen Pillow Cases - 4 Pack - Envelope Closure - Soft Brushed Microfiber Fabric - Shrinkage and Fade Resistant Pillow Covers Queen Size 20 X 30 Inches (Queen, White)</t>
  </si>
  <si>
    <t xml:space="preserve">Was: $23.99 | Was:</t>
  </si>
  <si>
    <t xml:space="preserve">https://www.amazon.ca/dp/B07RZRH662</t>
  </si>
  <si>
    <t xml:space="preserve">B0C32RQRTD</t>
  </si>
  <si>
    <t xml:space="preserve">Premium Cotton Pillowcases - 300 Thread Count Pure Natural Cotton Fabric Hotel Quality - Soft &amp; Durable Pillowcases Queen Size 20" x 30" (Queen, Gray)</t>
  </si>
  <si>
    <t xml:space="preserve">https://www.amazon.ca/dp/B0C32RQRTD</t>
  </si>
  <si>
    <t xml:space="preserve">B0FFMQN248</t>
  </si>
  <si>
    <t xml:space="preserve">Lirex 2 Pack Pillow Cases, 100% Cotton Breathable Pillowcases Pillow Covers, 20 x 26 inch (50 x 66 cm) Standard Size, Dusty Rose</t>
  </si>
  <si>
    <t xml:space="preserve">https://www.amazon.ca/dp/B0FFMQN248</t>
  </si>
  <si>
    <t xml:space="preserve">B0F4YXSD8M</t>
  </si>
  <si>
    <t xml:space="preserve">Organic Cotton Percale Pillowcase Set Queen Size 2 Pack, Breathable White Cotton Pillow Cases with Envelope Closure, Soft Durable Pillow Covers for Queen Size Pillows, Crisp Cooling Bedding</t>
  </si>
  <si>
    <t xml:space="preserve">https://www.amazon.ca/dp/B0F4YXSD8M</t>
  </si>
  <si>
    <t xml:space="preserve">B0BQYY9J68</t>
  </si>
  <si>
    <t xml:space="preserve">California Design Den Standard Queen Size Pillowcases - 100% Cotton, Set of 2 Soft &amp; Cooling Sateen Weave Cases, for Queen and Standard Size Pillows - Bright White</t>
  </si>
  <si>
    <t xml:space="preserve">https://www.amazon.ca/dp/B0BQYY9J68</t>
  </si>
  <si>
    <t xml:space="preserve">B01MR93AXL</t>
  </si>
  <si>
    <t xml:space="preserve">Amazon Basics 400 Thread Count Pillow Cases - Standard, Dark Gray</t>
  </si>
  <si>
    <t xml:space="preserve">Was: $24.69 | Was:</t>
  </si>
  <si>
    <t xml:space="preserve">https://www.amazon.ca/dp/B01MR93AXL</t>
  </si>
  <si>
    <t xml:space="preserve">B0CYX3D2JH</t>
  </si>
  <si>
    <t xml:space="preserve">Cotton Pillow Case Set of 2, 600 Thread Count, White Queen Size Envelop Closure</t>
  </si>
  <si>
    <t xml:space="preserve">https://www.amazon.ca/dp/B0CYX3D2JH</t>
  </si>
  <si>
    <t xml:space="preserve">B0BQZ1JRS3</t>
  </si>
  <si>
    <t xml:space="preserve">California Design Den 100% Cotton Pillow Cases Standard Size Set of 2, Soft &amp; Cooling Sateen Weave Pillow Cases Queen (Light Grey)</t>
  </si>
  <si>
    <t xml:space="preserve">https://www.amazon.ca/dp/B0BQZ1JRS3</t>
  </si>
  <si>
    <t xml:space="preserve">B09TWX6JXG</t>
  </si>
  <si>
    <t xml:space="preserve">Queen Size 21 X 31” Set of 2 Premium Organic Cotton Waterproof Zippered Pillow Protector 100% Cotton, Hypoallergenic, Bed Bug Proof, Invisible Zipper, Soft &amp; Breathable Pillow Case Cover - Rest Line</t>
  </si>
  <si>
    <t xml:space="preserve">https://www.amazon.ca/dp/B09TWX6JXG</t>
  </si>
  <si>
    <t xml:space="preserve">B082H9MFCY</t>
  </si>
  <si>
    <t xml:space="preserve">Premium Cotton Pillowcases - 300 Thread Count Pure Natural Cotton Fabric Hotel Quality - Soft &amp; Durable Pillowcases Queen Size 20" x 30" - White</t>
  </si>
  <si>
    <t xml:space="preserve">https://www.amazon.ca/dp/B082H9MFCY</t>
  </si>
  <si>
    <t xml:space="preserve">B0F5BL75VS</t>
  </si>
  <si>
    <t xml:space="preserve">ROYALE LINENS 100% Organic Cotton Percale Pillowcases Set of 2 - Queen Size Percale Pillowcase - Queen Set of 2 Pillow Cover - Breathable, Cool &amp; Crisp Sage Green Pillow Cases (20"x30", Sage Green)</t>
  </si>
  <si>
    <t xml:space="preserve">https://www.amazon.ca/dp/B0F5BL75VS</t>
  </si>
  <si>
    <t xml:space="preserve">B0FHW7WKK3</t>
  </si>
  <si>
    <t xml:space="preserve">FAUNNA 100% Cotton Pillow Protectors, 600 Thread Count, Standard, 4 Pack</t>
  </si>
  <si>
    <t xml:space="preserve">https://www.amazon.ca/dp/B0FHW7WKK3</t>
  </si>
  <si>
    <t xml:space="preserve">B09SG6GHD7</t>
  </si>
  <si>
    <t xml:space="preserve">Standard Pillow Cases, 100% Egyptian Cotton Pillowcases with Hidden Zipper, 500 Thread Count, Zippered Pillow Covers,Set of 2 (20x26 Inch/51x66cm,Grey)</t>
  </si>
  <si>
    <t xml:space="preserve">https://www.amazon.ca/dp/B09SG6GHD7</t>
  </si>
  <si>
    <t xml:space="preserve">B0F32VM9CX</t>
  </si>
  <si>
    <t xml:space="preserve">Lirex Standard Pillow Cases Set of 2, 300 Thread Count 100% Cotton Pillow Covers with Zipper Closure, Breathable and Soft, Standard (20" x 26"), Grey</t>
  </si>
  <si>
    <t xml:space="preserve">https://www.amazon.ca/dp/B0F32VM9CX</t>
  </si>
  <si>
    <t xml:space="preserve">B0C32JFCJ9</t>
  </si>
  <si>
    <t xml:space="preserve">Premium Cotton Pillowcases - 300 Thread Count Pure Natural Cotton Fabric Hotel Quality - Soft &amp; Durable Pillowcases Queen Size 20" x 30" (Queen, Navy Blue)</t>
  </si>
  <si>
    <t xml:space="preserve">https://www.amazon.ca/dp/B0C32JFCJ9</t>
  </si>
  <si>
    <t xml:space="preserve">B07RT3S2PD</t>
  </si>
  <si>
    <t xml:space="preserve">FAUNNA 600TC 100% Cotton Pillow Protectors, Queen Size (20x30), 4 Pack</t>
  </si>
  <si>
    <t xml:space="preserve">https://www.amazon.ca/dp/B07RT3S2PD</t>
  </si>
  <si>
    <t xml:space="preserve">B085Q23CVW</t>
  </si>
  <si>
    <t xml:space="preserve">Leeden 100% Cotton Body Pillow Cover 21x54, Envelope Closure, White</t>
  </si>
  <si>
    <t xml:space="preserve">List: $32.99 | List:</t>
  </si>
  <si>
    <t xml:space="preserve">https://www.amazon.ca/dp/B085Q23CVW</t>
  </si>
  <si>
    <t xml:space="preserve">B09T3CZXWJ</t>
  </si>
  <si>
    <t xml:space="preserve">JELLYMONI 100% Washed Cotton Pillowcases, Standard, Button Closure</t>
  </si>
  <si>
    <t xml:space="preserve">https://www.amazon.ca/dp/B09T3CZXWJ</t>
  </si>
  <si>
    <t xml:space="preserve">B0GN9MQTBS</t>
  </si>
  <si>
    <t xml:space="preserve">Royale Linens 100% Cotton Pillow Cases Standard Size Set of 2 - Percale Pillowcase - White Pillow cases Super Soft Cooling &amp; Breathable Hotel Cotton Pillowcases, Fits Standard Pillows (20"x26", White)</t>
  </si>
  <si>
    <t xml:space="preserve">https://www.amazon.ca/dp/B0GN9MQTBS</t>
  </si>
  <si>
    <t xml:space="preserve">B0982CNXJN</t>
  </si>
  <si>
    <t xml:space="preserve">Good Sleep Bedding Pillow Case - 100% Egyptian Cotton Pillow Covers, 1000 TC Pillow Cases Queen Size 4 Pack, Comfy Pillow Cover, Sateen Weave Queen Pillow Case, Soft Pillow Cases, White Pillow Cases</t>
  </si>
  <si>
    <t xml:space="preserve">You pay $39.09 with coupon</t>
  </si>
  <si>
    <t xml:space="preserve">https://www.amazon.ca/dp/B0982CNXJN</t>
  </si>
  <si>
    <t xml:space="preserve">B07Q6RBKRN</t>
  </si>
  <si>
    <t xml:space="preserve">uxcell 2 Packs Pillow Cases Double Brushed Microfiber Pillowcases - Envelope Closure - Wrinkle, Fade, Brown Travel (14" x 20")</t>
  </si>
  <si>
    <t xml:space="preserve">Was: $13.99 | Was:</t>
  </si>
  <si>
    <t xml:space="preserve">https://www.amazon.ca/dp/B07Q6RBKRN</t>
  </si>
  <si>
    <t xml:space="preserve">B07KG3D5XH</t>
  </si>
  <si>
    <t xml:space="preserve">Pizuna</t>
  </si>
  <si>
    <t xml:space="preserve">Pizuna 100% Cotton Queen Size Pillowcases 400 Thread Count, Dark Blue</t>
  </si>
  <si>
    <t xml:space="preserve">Was: $34.99 | Was:</t>
  </si>
  <si>
    <t xml:space="preserve">https://www.amazon.ca/dp/B07KG3D5XH</t>
  </si>
  <si>
    <t xml:space="preserve">B01LYAZ8PP</t>
  </si>
  <si>
    <t xml:space="preserve">TAOSON 100% Cotton 300 Thread Count Body Pillow Cover Pillowcase Pillow Protector Cushion Cover with Zippers Only Cover No Insert (Dark Grey,21"x54")</t>
  </si>
  <si>
    <t xml:space="preserve">List: $18.95 | List:</t>
  </si>
  <si>
    <t xml:space="preserve">https://www.amazon.ca/dp/B01LYAZ8PP</t>
  </si>
  <si>
    <t xml:space="preserve">B0CT9WGJJ8</t>
  </si>
  <si>
    <t xml:space="preserve">Queen Pillow Cases Set of 4 - Ultra Soft Pillowcase Covers - Antique White</t>
  </si>
  <si>
    <t xml:space="preserve">https://www.amazon.ca/dp/B0CT9WGJJ8</t>
  </si>
  <si>
    <t xml:space="preserve">B07T8D2HY2</t>
  </si>
  <si>
    <t xml:space="preserve">SUSYBAO Colorful Sunflower Pillowcases Queen 100% Cotton Set of 2 Tropical Floral Pillow Covers Envelope Closure End Flower Pillow Encasement Premium Quality Soft Comfortable (20 x 26 inch)</t>
  </si>
  <si>
    <t xml:space="preserve">You pay $22.39 with coupon</t>
  </si>
  <si>
    <t xml:space="preserve">https://www.amazon.ca/dp/B07T8D2HY2</t>
  </si>
  <si>
    <t xml:space="preserve">B0D8J3741S</t>
  </si>
  <si>
    <t xml:space="preserve">Set of 2 Pillow Cases Standard Size, 400 Thread Count Cotton Pillow Covers Red Floral Printed, 20"x 30"</t>
  </si>
  <si>
    <t xml:space="preserve">https://www.amazon.ca/dp/B0D8J3741S</t>
  </si>
  <si>
    <t xml:space="preserve">B0H1WZ2Y5F</t>
  </si>
  <si>
    <t xml:space="preserve">Lirex King Size Pillow Cases Set of 2, 100% Cotton Sateen, 400 Thread Count, Soft Breathable for Cooling Sleep, Envelope Closure Pillow Covers, 20" X 40", White</t>
  </si>
  <si>
    <t xml:space="preserve">https://www.amazon.ca/dp/B0H1WZ2Y5F</t>
  </si>
  <si>
    <t xml:space="preserve">B0D1VMHS4R</t>
  </si>
  <si>
    <t xml:space="preserve">LYSHIN Silk Pillow Cases Standard Size with Hidden Zipper, Champagne</t>
  </si>
  <si>
    <t xml:space="preserve">https://www.amazon.ca/dp/B0D1VMHS4R</t>
  </si>
  <si>
    <t xml:space="preserve">B0B1P3KGL4</t>
  </si>
  <si>
    <t xml:space="preserve">Laura Ashley Home - Standard Pillowcase Set, Breathable Percale Cotton Bedding, Crisp &amp; Cool Home Decor (Norella Pink, 2 Piece) (USHSHC1224389)</t>
  </si>
  <si>
    <t xml:space="preserve">You pay $33.80 with coupon</t>
  </si>
  <si>
    <t xml:space="preserve">https://www.amazon.ca/dp/B0B1P3KGL4</t>
  </si>
  <si>
    <t xml:space="preserve">B0DXF24F2Y</t>
  </si>
  <si>
    <t xml:space="preserve">Bedding Pillowcases Set of 2 100% Washed Cotton Linen Like Textured Natural Wrinkle Comfy Breathable (Black, Standard)</t>
  </si>
  <si>
    <t xml:space="preserve">https://www.amazon.ca/dp/B0DXF24F2Y</t>
  </si>
  <si>
    <t xml:space="preserve">B06XWKJNJ1</t>
  </si>
  <si>
    <t xml:space="preserve">Lacoste 100% Cotton Percale 2-Piece Pillowcase Set, Standard, White</t>
  </si>
  <si>
    <t xml:space="preserve">https://www.amazon.ca/dp/B06XWKJNJ1</t>
  </si>
  <si>
    <t xml:space="preserve">B0DRYL3JN5</t>
  </si>
  <si>
    <t xml:space="preserve">Bambaw 100% Viscose Derived from Bamboo Pillowcase Queen Size – Queen Cooling Pillow Cases Set of 2, With Envelope Closure, Breathable &amp; Super Soft Pillow Cases (Ivory)</t>
  </si>
  <si>
    <t xml:space="preserve">Limited-time deal | Was: $32.95 | Was:</t>
  </si>
  <si>
    <t xml:space="preserve">https://www.amazon.ca/dp/B0DRYL3JN5</t>
  </si>
  <si>
    <t xml:space="preserve">B09ZHS2YHZ</t>
  </si>
  <si>
    <t xml:space="preserve">THREAD SPREAD</t>
  </si>
  <si>
    <t xml:space="preserve">THREAD SPREAD 100% Egyptian Cotton Pillow Cases Queen Set of 2-400 Thread Count Egyptian Queen Pillow Case Cotton (White), Silky Soft, Durable &amp; Breathable, Cooling Sateen Weave Hotel Pillowcases</t>
  </si>
  <si>
    <t xml:space="preserve">https://www.amazon.ca/dp/B09ZHS2YHZ</t>
  </si>
  <si>
    <t xml:space="preserve">B095PVTK9N</t>
  </si>
  <si>
    <t xml:space="preserve">Queen Fitted Sheet Cotton, Fitted Sheet Queen Cotton Organic, 2 Pillowcases</t>
  </si>
  <si>
    <t xml:space="preserve">https://www.amazon.ca/dp/B095PVTK9N</t>
  </si>
  <si>
    <t xml:space="preserve">B09YJ4PJ26</t>
  </si>
  <si>
    <t xml:space="preserve">Set of 2 Elegant Embroidery Pillowcases, King Size, 100% Cotton - White Good Feeling Shams, Elegant Trims, Softer and Breathable Pillow Covers, 20x36 inches</t>
  </si>
  <si>
    <t xml:space="preserve">https://www.amazon.ca/dp/B09YJ4PJ26</t>
  </si>
  <si>
    <t xml:space="preserve">B09M9JGNV7</t>
  </si>
  <si>
    <t xml:space="preserve">YuHeGuoJi Pillowcases 100% Cotton Queen Size Set of 2 Black Boho Multicolor Leaves Floral Botanical Print Decorative Bed Pillow Covers Hotel Quality Soft Lightweight Breathable (2 Packs, 20 x 26 Inch)</t>
  </si>
  <si>
    <t xml:space="preserve">You pay $25.19 with coupon</t>
  </si>
  <si>
    <t xml:space="preserve">https://www.amazon.ca/dp/B09M9JGNV7</t>
  </si>
  <si>
    <t xml:space="preserve">B0DST2X8Q7</t>
  </si>
  <si>
    <t xml:space="preserve">Mayfair Linen</t>
  </si>
  <si>
    <t xml:space="preserve">Mayfair Linen 100% Organic Cotton Percale Pillow Cases Standard/Queen Size Set of 2 - Percale Pillowcases Standard/Queen, Soft Cooling Pillow Cases for Sleeping, Cotton Pillow Covers - White</t>
  </si>
  <si>
    <t xml:space="preserve">https://www.amazon.ca/dp/B0DST2X8Q7</t>
  </si>
  <si>
    <t xml:space="preserve">B0CPPNZKMG</t>
  </si>
  <si>
    <t xml:space="preserve">SUSYBAO Blue Tropical Pillow Cases King 100% Cotton Set of 2 Hawaiian Botanical Pillowcases Envelope Closure End White Monstera Plant Pillow Protectors Soft Comfortable (20 x 36 inch)</t>
  </si>
  <si>
    <t xml:space="preserve">You pay $23.99 with coupon</t>
  </si>
  <si>
    <t xml:space="preserve">https://www.amazon.ca/dp/B0CPPNZKMG</t>
  </si>
  <si>
    <t xml:space="preserve">B0BWMRJSJ7</t>
  </si>
  <si>
    <t xml:space="preserve">Bedsure Satin Pillow Case with Zipper, Pillow Cases Queen Size Set of 2</t>
  </si>
  <si>
    <t xml:space="preserve">https://www.amazon.ca/dp/B0BWMRJSJ7</t>
  </si>
  <si>
    <t xml:space="preserve">waterproof mattress protector</t>
  </si>
  <si>
    <t xml:space="preserve">B01E02DU0U</t>
  </si>
  <si>
    <t xml:space="preserve">Bamboo Viscose Waterproof Mattress Protector Queen Size, fits 17" deep</t>
  </si>
  <si>
    <t xml:space="preserve">Limited-time deal | List: $36.99 | List:</t>
  </si>
  <si>
    <t xml:space="preserve">5K+ bought in past month</t>
  </si>
  <si>
    <t xml:space="preserve">LIVE_CA_protector</t>
  </si>
  <si>
    <t xml:space="preserve">https://www.amazon.ca/dp/B01E02DU0U</t>
  </si>
  <si>
    <t xml:space="preserve">B01E02DU0K</t>
  </si>
  <si>
    <t xml:space="preserve">Bamboo Viscose Waterproof Mattress Protector Full Size, fits 15" deep</t>
  </si>
  <si>
    <t xml:space="preserve">List: $34.99 | List:</t>
  </si>
  <si>
    <t xml:space="preserve">https://www.amazon.ca/dp/B01E02DU0K</t>
  </si>
  <si>
    <t xml:space="preserve">B0B6P372B8</t>
  </si>
  <si>
    <t xml:space="preserve">Sasttie Queen Mattress Protector Waterproof with Viscose for Bamboo, Noiseless Mattress Cover with 8"-21" Deep Pocket (60 x 80 inches)</t>
  </si>
  <si>
    <t xml:space="preserve">https://www.amazon.ca/dp/B0B6P372B8</t>
  </si>
  <si>
    <t xml:space="preserve">B00MRHA96O</t>
  </si>
  <si>
    <t xml:space="preserve">Waterproof Queen Size Mattress Protector fits upto 17" Deep Pocket</t>
  </si>
  <si>
    <t xml:space="preserve">List: $36.99 | List:</t>
  </si>
  <si>
    <t xml:space="preserve">https://www.amazon.ca/dp/B00MRHA96O</t>
  </si>
  <si>
    <t xml:space="preserve">B0DQKXZHPG</t>
  </si>
  <si>
    <t xml:space="preserve">Amazon Basics Waterproof Mattress Protector, Queen, White</t>
  </si>
  <si>
    <t xml:space="preserve">https://www.amazon.ca/dp/B0DQKXZHPG</t>
  </si>
  <si>
    <t xml:space="preserve">B0C1NNYJGB</t>
  </si>
  <si>
    <t xml:space="preserve">BEDLORE</t>
  </si>
  <si>
    <t xml:space="preserve">BEDLORE Waterproof Mattress Protector Queen with Deep Pocket 6"-18", Gray</t>
  </si>
  <si>
    <t xml:space="preserve">https://www.amazon.ca/dp/B0C1NNYJGB</t>
  </si>
  <si>
    <t xml:space="preserve">B07HC2WHS1</t>
  </si>
  <si>
    <t xml:space="preserve">PlushDeluxe</t>
  </si>
  <si>
    <t xml:space="preserve">PlushDeluxe Bamboo Mattress Protector Waterproof, Hypoallergenic &amp; Ultra Soft Breathable Bed Mattress Cover for Comfort &amp; Protection (Queen)</t>
  </si>
  <si>
    <t xml:space="preserve">https://www.amazon.ca/dp/B07HC2WHS1</t>
  </si>
  <si>
    <t xml:space="preserve">B08BC6G157</t>
  </si>
  <si>
    <t xml:space="preserve">Waterproof Mattress Protector Twin Size, Single Mattress Protector</t>
  </si>
  <si>
    <t xml:space="preserve">https://www.amazon.ca/dp/B08BC6G157</t>
  </si>
  <si>
    <t xml:space="preserve">B01E02DU6E</t>
  </si>
  <si>
    <t xml:space="preserve">Bamboo Viscose Waterproof Mattress Protector Twin Size, fits 15" deep</t>
  </si>
  <si>
    <t xml:space="preserve">Limited-time deal | List: $26.99 | List:</t>
  </si>
  <si>
    <t xml:space="preserve">https://www.amazon.ca/dp/B01E02DU6E</t>
  </si>
  <si>
    <t xml:space="preserve">B0CM2Y2B5L</t>
  </si>
  <si>
    <t xml:space="preserve">100% Waterproof Twin Mattress Protector, Bamboo Viscose Liquid-Proof Cover</t>
  </si>
  <si>
    <t xml:space="preserve">You pay $28.07 with coupon</t>
  </si>
  <si>
    <t xml:space="preserve">https://www.amazon.ca/dp/B0CM2Y2B5L</t>
  </si>
  <si>
    <t xml:space="preserve">B00NESCOY0</t>
  </si>
  <si>
    <t xml:space="preserve">Queen Mattress Pad, Quilted Mattress Protector Topper fits 16" Deep Pocket</t>
  </si>
  <si>
    <t xml:space="preserve">Was: $29.99 | Was:</t>
  </si>
  <si>
    <t xml:space="preserve">https://www.amazon.ca/dp/B00NESCOY0</t>
  </si>
  <si>
    <t xml:space="preserve">B07PK8KS6Z</t>
  </si>
  <si>
    <t xml:space="preserve">Queen Size Mattress Protector Cooling Waterproof Mattress Pad Cover,Bamboo Terry Top Breathable Fitted Sheet Style Deep Pocket-Noiseless,Vinyl,PVC Free Mattress Protector Queen for Pets Kids Adults</t>
  </si>
  <si>
    <t xml:space="preserve">List: $38.99 | List: | Save 5% on any 2</t>
  </si>
  <si>
    <t xml:space="preserve">https://www.amazon.ca/dp/B07PK8KS6Z</t>
  </si>
  <si>
    <t xml:space="preserve">B0C9MK32CZ</t>
  </si>
  <si>
    <t xml:space="preserve">BEDLORE Waterproof Queen Mattress Protector, Deep Pocket 6"-18"Inches, Gray</t>
  </si>
  <si>
    <t xml:space="preserve">https://www.amazon.ca/dp/B0C9MK32CZ</t>
  </si>
  <si>
    <t xml:space="preserve">B0CFL5JBG1</t>
  </si>
  <si>
    <t xml:space="preserve">Waterproof Queen Mattress Protector, with 6-15" inch deep Pocket White</t>
  </si>
  <si>
    <t xml:space="preserve">Was: $39.59 | Was:</t>
  </si>
  <si>
    <t xml:space="preserve">https://www.amazon.ca/dp/B0CFL5JBG1</t>
  </si>
  <si>
    <t xml:space="preserve">B08CD9DLMQ</t>
  </si>
  <si>
    <t xml:space="preserve">Waterproof Cooling Mattress Protector Queen Size, 3D Air Fabric</t>
  </si>
  <si>
    <t xml:space="preserve">https://www.amazon.ca/dp/B08CD9DLMQ</t>
  </si>
  <si>
    <t xml:space="preserve">B0BYYYCXB6</t>
  </si>
  <si>
    <t xml:space="preserve">Waterproof Mattress Protector Queen, Fitted Sheet Style Mattress Cover</t>
  </si>
  <si>
    <t xml:space="preserve">https://www.amazon.ca/dp/B0BYYYCXB6</t>
  </si>
  <si>
    <t xml:space="preserve">B08ZKQ4NVB</t>
  </si>
  <si>
    <t xml:space="preserve">Full Mattress Protector,Double Mattress Protector,Waterproof Mattress Protector,Mattress Noiseless,Soft Breathable Terry for Pets Kids Adults 54" x 75"</t>
  </si>
  <si>
    <t xml:space="preserve">https://www.amazon.ca/dp/B08ZKQ4NVB</t>
  </si>
  <si>
    <t xml:space="preserve">B0BLS9G8S4</t>
  </si>
  <si>
    <t xml:space="preserve">HYMOKEGE Quilted Mattress Protector Queen Size, 100% Waterproof Mattress Cover for Queen Size Bed, Breathable &amp; Noiseless Bed Pad Cover with 5"-21" Deep Pocket</t>
  </si>
  <si>
    <t xml:space="preserve">https://www.amazon.ca/dp/B0BLS9G8S4</t>
  </si>
  <si>
    <t xml:space="preserve">B08GKQX9HR</t>
  </si>
  <si>
    <t xml:space="preserve">Waterproof Queen Mattress Protector, Mattress Pad fits Upto 16" Deep Pocket</t>
  </si>
  <si>
    <t xml:space="preserve">Was: $29.49 | Was:</t>
  </si>
  <si>
    <t xml:space="preserve">https://www.amazon.ca/dp/B08GKQX9HR</t>
  </si>
  <si>
    <t xml:space="preserve">B07TWMLSVM</t>
  </si>
  <si>
    <t xml:space="preserve">Utopia Bedding Queen Mattress Protector Zippered 2 Pack, 100% Waterproof</t>
  </si>
  <si>
    <t xml:space="preserve">https://www.amazon.ca/dp/B07TWMLSVM</t>
  </si>
  <si>
    <t xml:space="preserve">B0CJ4TW2BC</t>
  </si>
  <si>
    <t xml:space="preserve">Queen Size Mattress Protector, 100%Waterproof Bamboo Viscose Mattress Cover</t>
  </si>
  <si>
    <t xml:space="preserve">https://www.amazon.ca/dp/B0CJ4TW2BC</t>
  </si>
  <si>
    <t xml:space="preserve">B07W673P7C</t>
  </si>
  <si>
    <t xml:space="preserve">4 Pack Waterproof Reusable Heavy Absorbency Incontinence Bed Pads 34"x52"</t>
  </si>
  <si>
    <t xml:space="preserve">Limited-time deal | Was: $44.99 | Was:</t>
  </si>
  <si>
    <t xml:space="preserve">https://www.amazon.ca/dp/B07W673P7C</t>
  </si>
  <si>
    <t xml:space="preserve">B0F5H3VR7Q</t>
  </si>
  <si>
    <t xml:space="preserve">MUXHOMO Waterproof Queen Mattress Protector, Breathable &amp; Noiseless Mattress Cover Queen Size Bed with 8"-21" Deep Pocket, Cooling 3D Air Fabric Bed Pad Cover Washable for Home, Dark Grey</t>
  </si>
  <si>
    <t xml:space="preserve">https://www.amazon.ca/dp/B0F5H3VR7Q</t>
  </si>
  <si>
    <t xml:space="preserve">B07Z4L9FV2</t>
  </si>
  <si>
    <t xml:space="preserve">RestLine Premium Bamboo Waterproof Mattress Protector - Queen</t>
  </si>
  <si>
    <t xml:space="preserve">https://www.amazon.ca/dp/B07Z4L9FV2</t>
  </si>
  <si>
    <t xml:space="preserve">B0CBQ5LSQY</t>
  </si>
  <si>
    <t xml:space="preserve">MUXHOMO Premium 100% Waterproof Queen Size Mattress Protector, Breathable Mattress Cover Queen Size Bed, Cooling 3D Air Fabric Bed Pad Cover, Deep Pocket 8"-21"</t>
  </si>
  <si>
    <t xml:space="preserve">https://www.amazon.ca/dp/B0CBQ5LSQY</t>
  </si>
  <si>
    <t xml:space="preserve">B0CYBRVCMQ</t>
  </si>
  <si>
    <t xml:space="preserve">Upvilla Queen Mattress Protector Waterproof - Machine Washable, Noiseless Bed Mattress Pad Cover with Deep Pocket for 8 to 21 Inch Mattresses</t>
  </si>
  <si>
    <t xml:space="preserve">https://www.amazon.ca/dp/B0CYBRVCMQ</t>
  </si>
  <si>
    <t xml:space="preserve">B00B1ZRLLY</t>
  </si>
  <si>
    <t xml:space="preserve">Lucid</t>
  </si>
  <si>
    <t xml:space="preserve">LUCID Encasement Mattress Protector - Completely Surrounds Mattress for Waterproof, Allergen Proof, Bed Bug Proof Protection -15 Year Warranty - Queen size , White</t>
  </si>
  <si>
    <t xml:space="preserve">https://www.amazon.ca/dp/B00B1ZRLLY</t>
  </si>
  <si>
    <t xml:space="preserve">B0D1C8V3P7</t>
  </si>
  <si>
    <t xml:space="preserve">Mattress Protector Full Size 2 Pack, Waterproof Mattress Protector Mattress Cover Pad, Fitted 15" Deep Pocket Bed Cover for Kids Pets Adults, Smooth Breathable Soft Noiseless, 54"x 75"</t>
  </si>
  <si>
    <t xml:space="preserve">https://www.amazon.ca/dp/B0D1C8V3P7</t>
  </si>
  <si>
    <t xml:space="preserve">B088FL6LZY</t>
  </si>
  <si>
    <t xml:space="preserve">Waterproof Mattress Protector Twin/Single, Smooth Top Mattress Cover</t>
  </si>
  <si>
    <t xml:space="preserve">Was: $19.99 | Was:</t>
  </si>
  <si>
    <t xml:space="preserve">https://www.amazon.ca/dp/B088FL6LZY</t>
  </si>
  <si>
    <t xml:space="preserve">B0C1NM42PN</t>
  </si>
  <si>
    <t xml:space="preserve">BEDLORE Waterproof Mattress Protector Queen with Deep Pocket 6"-18", White</t>
  </si>
  <si>
    <t xml:space="preserve">https://www.amazon.ca/dp/B0C1NM42PN</t>
  </si>
  <si>
    <t xml:space="preserve">B0GQT8DSLT</t>
  </si>
  <si>
    <t xml:space="preserve">Queen Waterproof Mattress Protector, Breathable Cooling Bed Cover</t>
  </si>
  <si>
    <t xml:space="preserve">You pay $34.55 with coupon</t>
  </si>
  <si>
    <t xml:space="preserve">https://www.amazon.ca/dp/B0GQT8DSLT</t>
  </si>
  <si>
    <t xml:space="preserve">B0GVL4387L</t>
  </si>
  <si>
    <t xml:space="preserve">Beddora Bamboo Mattress Protector – 100% Waterproof TPU, Cooling Breathable Viscose from Bamboo, Noiseless Fitted Style, Deep Pocket Fits 18–21" (1, Full)</t>
  </si>
  <si>
    <t xml:space="preserve">https://www.amazon.ca/dp/B0GVL4387L</t>
  </si>
  <si>
    <t xml:space="preserve">B01KBKHORA</t>
  </si>
  <si>
    <t xml:space="preserve">AmazonBasics Hypoallergenic Waterproof Fitted Mattress Protector Cover - Twin, 38"X75"+14”</t>
  </si>
  <si>
    <t xml:space="preserve">https://www.amazon.ca/dp/B01KBKHORA</t>
  </si>
  <si>
    <t xml:space="preserve">B071VHCJ3B</t>
  </si>
  <si>
    <t xml:space="preserve">Bedecor Waterproof Mattress Protector Queen Size, Bed Protection Cover</t>
  </si>
  <si>
    <t xml:space="preserve">You pay $32.39 with coupon</t>
  </si>
  <si>
    <t xml:space="preserve">https://www.amazon.ca/dp/B071VHCJ3B</t>
  </si>
  <si>
    <t xml:space="preserve">B0FTBPWVG7</t>
  </si>
  <si>
    <t xml:space="preserve">Waterproof Queen Size Mattress Protector fits Upto 17" Deep Pocket</t>
  </si>
  <si>
    <t xml:space="preserve">https://www.amazon.ca/dp/B0FTBPWVG7</t>
  </si>
  <si>
    <t xml:space="preserve">B0H6YJJ296</t>
  </si>
  <si>
    <t xml:space="preserve">Beddora Waterproof Queen Size Mattress Protector, Deep Pocket Fits Upto 17"</t>
  </si>
  <si>
    <t xml:space="preserve">You pay $27.99 with coupon</t>
  </si>
  <si>
    <t xml:space="preserve">https://www.amazon.ca/dp/B0H6YJJ296</t>
  </si>
  <si>
    <t xml:space="preserve">B0FKGV4N5K</t>
  </si>
  <si>
    <t xml:space="preserve">4 Pack 34"x36" Washable Underpads - Heavy Absorbency Waterproof Reusable Bed Protector for Adults, Elderly &amp; Pets - Incontinence Protection for Bed, Sofa, Furniture</t>
  </si>
  <si>
    <t xml:space="preserve">https://www.amazon.ca/dp/B0FKGV4N5K</t>
  </si>
  <si>
    <t xml:space="preserve">B08CV9MXF6</t>
  </si>
  <si>
    <t xml:space="preserve">Waterproof Mattress Encasement Full (54" x 75"),Zippered Mattress Protector</t>
  </si>
  <si>
    <t xml:space="preserve">https://www.amazon.ca/dp/B08CV9MXF6</t>
  </si>
  <si>
    <t xml:space="preserve">B000VPMZWU</t>
  </si>
  <si>
    <t xml:space="preserve">DMI Waterproof Mattress Protector and Mattress Cover, Encased Zippered Fit, Queen</t>
  </si>
  <si>
    <t xml:space="preserve">https://www.amazon.ca/dp/B000VPMZWU</t>
  </si>
  <si>
    <t xml:space="preserve">B07Q58R9CB</t>
  </si>
  <si>
    <t xml:space="preserve">Home Beyond &amp; HB design - Premium Knit Mattress Protector, Waterproof Hypoallergenic Deep Pocket Fitted Mattress Cover, Vinyl Free, Queen</t>
  </si>
  <si>
    <t xml:space="preserve">https://www.amazon.ca/dp/B07Q58R9CB</t>
  </si>
  <si>
    <t xml:space="preserve">B08SY6N9TL</t>
  </si>
  <si>
    <t xml:space="preserve">IMPROVIA® Washable Underpads, Heavy Absorbency Reusable Incontinence Pads for Kids, Adults, Elderly, and Pets, Waterproof Protection Floor (Green, 34"x36" (Pack of 4))</t>
  </si>
  <si>
    <t xml:space="preserve">https://www.amazon.ca/dp/B08SY6N9TL</t>
  </si>
  <si>
    <t xml:space="preserve">B091DGZ8VV</t>
  </si>
  <si>
    <t xml:space="preserve">Rest Line - Premium Organic Waterproof Mattress Protector - King</t>
  </si>
  <si>
    <t xml:space="preserve">https://www.amazon.ca/dp/B091DGZ8VV</t>
  </si>
  <si>
    <t xml:space="preserve">B0C3VM5SJY</t>
  </si>
  <si>
    <t xml:space="preserve">Hygge Sheets®️ Incontinence Bed Pads for Adults &amp; Kids</t>
  </si>
  <si>
    <t xml:space="preserve">https://www.amazon.ca/dp/B0C3VM5SJY</t>
  </si>
  <si>
    <t xml:space="preserve">B003E3Z45Q</t>
  </si>
  <si>
    <t xml:space="preserve">Levinsohn Fresh Ideas Vinyl Fitted Mattress Protectors, Twin</t>
  </si>
  <si>
    <t xml:space="preserve">https://www.amazon.ca/dp/B003E3Z45Q</t>
  </si>
  <si>
    <t xml:space="preserve">B0FS3J3QGP</t>
  </si>
  <si>
    <t xml:space="preserve">MGB Waterproof Mattress Protector, Breathable Terry Top Mattress Cover Fitted Sheet Style (Twin)</t>
  </si>
  <si>
    <t xml:space="preserve">https://www.amazon.ca/dp/B0FS3J3QGP</t>
  </si>
  <si>
    <t xml:space="preserve">B07FP17TV3</t>
  </si>
  <si>
    <t xml:space="preserve">Utopia Bedding Waterproof Crib Mattress Protector, 2 Pack, 28x52 Inches</t>
  </si>
  <si>
    <t xml:space="preserve">https://www.amazon.ca/dp/B07FP17TV3</t>
  </si>
  <si>
    <t xml:space="preserve">B01JIV5YES</t>
  </si>
  <si>
    <t xml:space="preserve">Utopia Bedding Premium Waterproof Bed Bug Mattress Cover, Queen Zippered Mattress Protector, 12 Inches Deep, Dust Mite Proof 6-Sided Mattress Encasement for Bed</t>
  </si>
  <si>
    <t xml:space="preserve">https://www.amazon.ca/dp/B01JIV5YES</t>
  </si>
  <si>
    <t xml:space="preserve">cotton quilt</t>
  </si>
  <si>
    <t xml:space="preserve">B0DWFLGY8G</t>
  </si>
  <si>
    <t xml:space="preserve">Joyreap</t>
  </si>
  <si>
    <t xml:space="preserve">Joyreap Floral Cotton Quilt Set, Pink Aqua Flowers Grid Patchwork Design for Spring, 3 Pieces Queen Size Quilt Bedding Set, Soft n Cozy Bedspread Bed Cover for All Season- 90x90 inches</t>
  </si>
  <si>
    <t xml:space="preserve">Save 6% | Was: $69.99 | Was:</t>
  </si>
  <si>
    <t xml:space="preserve">LIVE_CA_quilt</t>
  </si>
  <si>
    <t xml:space="preserve">https://www.amazon.ca/dp/B0DWFLGY8G</t>
  </si>
  <si>
    <t xml:space="preserve">B0D1R7D8LV</t>
  </si>
  <si>
    <t xml:space="preserve">Joyreap 2 Pieces Cotton Quilt Set for Girls, Twin Size Pink Floral Design, Cozy Lightweight Quilt Bedspread Bed Cover for All Season, 1 Quilt and 1 Pillow Sham- 68x86 inches</t>
  </si>
  <si>
    <t xml:space="preserve">Save 7% | Was: $59.99 | Was:</t>
  </si>
  <si>
    <t xml:space="preserve">https://www.amazon.ca/dp/B0D1R7D8LV</t>
  </si>
  <si>
    <t xml:space="preserve">B0FWBBXNP7</t>
  </si>
  <si>
    <t xml:space="preserve">Joyreap 2 Pieces Twin Size Floral Cotton Quilt Set for Girls, Colorful Flowers Grids Patchwork Design, Cozy Lightweight Cotton Quilt Bedspread Bed Cover for All Season- 68x88 inches</t>
  </si>
  <si>
    <t xml:space="preserve">https://www.amazon.ca/dp/B0FWBBXNP7</t>
  </si>
  <si>
    <t xml:space="preserve">B0H5VDQY62</t>
  </si>
  <si>
    <t xml:space="preserve">Amélie Home 100% Stonewashed Cotton Quilt Set Queen Size, Dusty Blue</t>
  </si>
  <si>
    <t xml:space="preserve">https://www.amazon.ca/dp/B0H5VDQY62</t>
  </si>
  <si>
    <t xml:space="preserve">B0G649LDNP</t>
  </si>
  <si>
    <t xml:space="preserve">Boho Throw Blanket King Size 90”x98”,100% Cotton Woven for Bed Couch Sofa</t>
  </si>
  <si>
    <t xml:space="preserve">Limited-time deal | Was: $64.99 | Was:</t>
  </si>
  <si>
    <t xml:space="preserve">https://www.amazon.ca/dp/B0G649LDNP</t>
  </si>
  <si>
    <t xml:space="preserve">B0GQ94WKJ2</t>
  </si>
  <si>
    <t xml:space="preserve">DOWN HOME 100% Cotton Sateen Quilt Set | Silky Soft &amp; Breathable | Elegant Medallion Damask Pattern | Lightweight Cotton Fill | All-Season Bedding | Queen Size 3-Piece Set, Apricot Pink, 86"X90"</t>
  </si>
  <si>
    <t xml:space="preserve">You pay $107.99 with coupon</t>
  </si>
  <si>
    <t xml:space="preserve">https://www.amazon.ca/dp/B0GQ94WKJ2</t>
  </si>
  <si>
    <t xml:space="preserve">B0CK213DV2</t>
  </si>
  <si>
    <t xml:space="preserve">ENASAL Cotton Bedspread Quilt Sets Reversible Bedding Coverlet Sets Comforter, Patchwork Vintage Floral Paisley Farmhouse Pastoral Turquoise Bedspread, Queen Size</t>
  </si>
  <si>
    <t xml:space="preserve">https://www.amazon.ca/dp/B0CK213DV2</t>
  </si>
  <si>
    <t xml:space="preserve">B0GX6LYTBF</t>
  </si>
  <si>
    <t xml:space="preserve">Amélie Home 100% Cotton Quilt Set Cross Stitch Queen, Olive Green</t>
  </si>
  <si>
    <t xml:space="preserve">https://www.amazon.ca/dp/B0GX6LYTBF</t>
  </si>
  <si>
    <t xml:space="preserve">B0GX69G5FT</t>
  </si>
  <si>
    <t xml:space="preserve">Amélie Home 100% Cotton Quilt Set Colored Cross Stitch Queen, Cream White</t>
  </si>
  <si>
    <t xml:space="preserve">https://www.amazon.ca/dp/B0GX69G5FT</t>
  </si>
  <si>
    <t xml:space="preserve">B0B6H37JLL</t>
  </si>
  <si>
    <t xml:space="preserve">Exclusivo Mezcla 3-Piece Soft Quilt King Size Bedding Set, White</t>
  </si>
  <si>
    <t xml:space="preserve">https://www.amazon.ca/dp/B0B6H37JLL</t>
  </si>
  <si>
    <t xml:space="preserve">B0GX69KNXS</t>
  </si>
  <si>
    <t xml:space="preserve">Amélie Home 100% Cotton Quilt Set Cross Stitch Queen, Charcoal Gray</t>
  </si>
  <si>
    <t xml:space="preserve">https://www.amazon.ca/dp/B0GX69KNXS</t>
  </si>
  <si>
    <t xml:space="preserve">B0FNM6J1FQ</t>
  </si>
  <si>
    <t xml:space="preserve">EVERGRACEHOME 100% Cotton Modern Lines Quilt Set King Size, Birch</t>
  </si>
  <si>
    <t xml:space="preserve">Was: $188.82 | Was:</t>
  </si>
  <si>
    <t xml:space="preserve">https://www.amazon.ca/dp/B0FNM6J1FQ</t>
  </si>
  <si>
    <t xml:space="preserve">B0CNXJBDSG</t>
  </si>
  <si>
    <t xml:space="preserve">Exclusivo Mezcla 3 Piece Quilts Queen Size Bedding Set, Beige Cream</t>
  </si>
  <si>
    <t xml:space="preserve">Was: $39.99 | Was:</t>
  </si>
  <si>
    <t xml:space="preserve">https://www.amazon.ca/dp/B0CNXJBDSG</t>
  </si>
  <si>
    <t xml:space="preserve">B0C745FJ8G</t>
  </si>
  <si>
    <t xml:space="preserve">VISIMISI Cotton Bedspread Quilt Sets Reversible Bedding Coverlet Sets,3 Pieces Vintage Floral Patchwork Paisley Green Rustic Bedspread, Queen Size</t>
  </si>
  <si>
    <t xml:space="preserve">https://www.amazon.ca/dp/B0C745FJ8G</t>
  </si>
  <si>
    <t xml:space="preserve">B0DH1WW4BD</t>
  </si>
  <si>
    <t xml:space="preserve">WDCOZY 100% Cotton Queen Size Quilt Set - Dusty Blue Pre-Washed Soft Lightweight Modern Bedspread, Farmhouse Country Rustic Coverlet, Textured Like Linen, Shabby Chic Gauze Bedding, 3 Pieces</t>
  </si>
  <si>
    <t xml:space="preserve">https://www.amazon.ca/dp/B0DH1WW4BD</t>
  </si>
  <si>
    <t xml:space="preserve">B0CQNRT9L5</t>
  </si>
  <si>
    <t xml:space="preserve">100% Cotton Boho Quilt Set Queen Vibrant Bohemian Paisley Coverlet</t>
  </si>
  <si>
    <t xml:space="preserve">https://www.amazon.ca/dp/B0CQNRT9L5</t>
  </si>
  <si>
    <t xml:space="preserve">B0BKZXXWXX</t>
  </si>
  <si>
    <t xml:space="preserve">EMME Muslin Cotton Blanket Adults, Beige, Queen (90" X 90")</t>
  </si>
  <si>
    <t xml:space="preserve">Limited-time deal | Was: $64.99 | Was: | Save 10% on any 2</t>
  </si>
  <si>
    <t xml:space="preserve">https://www.amazon.ca/dp/B0BKZXXWXX</t>
  </si>
  <si>
    <t xml:space="preserve">B003G2ZVSA</t>
  </si>
  <si>
    <t xml:space="preserve">Greenland Home Blooming Prairie Twin Quilt Set</t>
  </si>
  <si>
    <t xml:space="preserve">https://www.amazon.ca/dp/B003G2ZVSA</t>
  </si>
  <si>
    <t xml:space="preserve">B09MRZTB3Z</t>
  </si>
  <si>
    <t xml:space="preserve">Utopia Bedding 100% Cotton Waffle Blanket Queen Size White, 90x90 Inch</t>
  </si>
  <si>
    <t xml:space="preserve">https://www.amazon.ca/dp/B09MRZTB3Z</t>
  </si>
  <si>
    <t xml:space="preserve">B0F3WS5NSS</t>
  </si>
  <si>
    <t xml:space="preserve">WDCOZY 100% Cotton Queen Size Quilt Set - Olive Green Pre-Washed Soft Lightweight Modern Bedspread, Farmhouse Country Rustic Coverlet, Textured Like Linen, Shabby Chic Gauze Bedding, 3 Pieces</t>
  </si>
  <si>
    <t xml:space="preserve">https://www.amazon.ca/dp/B0F3WS5NSS</t>
  </si>
  <si>
    <t xml:space="preserve">B0DRVCQLCP</t>
  </si>
  <si>
    <t xml:space="preserve">WARMDERN Linen Cotton Quilts Set King Size, 100% Cotton Khaki Quilt Bedspreads with Box Stitched, 3 Pieces Soft Lightweight Bedspreads Coverlet with 2 Pillow Shams for All Season, Khaki, 106x96 inches</t>
  </si>
  <si>
    <t xml:space="preserve">Was: $127.99 | Was:</t>
  </si>
  <si>
    <t xml:space="preserve">https://www.amazon.ca/dp/B0DRVCQLCP</t>
  </si>
  <si>
    <t xml:space="preserve">B0CM6DC5YL</t>
  </si>
  <si>
    <t xml:space="preserve">Wistown Cotton Queen Bedspread Quilt Bedding Set, Grey</t>
  </si>
  <si>
    <t xml:space="preserve">https://www.amazon.ca/dp/B0CM6DC5YL</t>
  </si>
  <si>
    <t xml:space="preserve">B0D6JB3WZ4</t>
  </si>
  <si>
    <t xml:space="preserve">Stone Cottage - Twin Quilt Set, Reversible Cotton Bedding with Matching Shams, Lightweight Home Decor (Willow Way Green, Twin)</t>
  </si>
  <si>
    <t xml:space="preserve">You pay $92.06 with coupon</t>
  </si>
  <si>
    <t xml:space="preserve">https://www.amazon.ca/dp/B0D6JB3WZ4</t>
  </si>
  <si>
    <t xml:space="preserve">B0GCJRZYKH</t>
  </si>
  <si>
    <t xml:space="preserve">BEDISELY Cotton Quilts Queen Size, 3 Pieces Boho Queen Quilt (90 x98 inch)</t>
  </si>
  <si>
    <t xml:space="preserve">https://www.amazon.ca/dp/B0GCJRZYKH</t>
  </si>
  <si>
    <t xml:space="preserve">B0FSRG3C6N</t>
  </si>
  <si>
    <t xml:space="preserve">DOWN HOME Queen Quilt Bedding Set with Shams, Vintage Washed Soft Quilted Blanket Thin Comforter Lightweight Bedspread Coverlet Bed Cover, Brushed Microfiber Stripe Stitching, Mud Brown, 86"x90"</t>
  </si>
  <si>
    <t xml:space="preserve">https://www.amazon.ca/dp/B0FSRG3C6N</t>
  </si>
  <si>
    <t xml:space="preserve">B0DNNX7M7R</t>
  </si>
  <si>
    <t xml:space="preserve">Comforter Queen Size Luxury Down Duvet Insert Ultra Soft - 100% Cotton, Synthetic Down Bedding Medium Warmth for All Seasons Queen Comforter with Corner Tabs - White</t>
  </si>
  <si>
    <t xml:space="preserve">https://www.amazon.ca/dp/B0DNNX7M7R</t>
  </si>
  <si>
    <t xml:space="preserve">B0GQ991LS1</t>
  </si>
  <si>
    <t xml:space="preserve">DOWN HOME 100% Cotton Sateen Quilt Set | Silky Soft &amp; Breathable | Elegant Medallion Damask Pattern | Lightweight Cotton Fill | All-Season Bedding | Queen Size 3-Piece Set, Peony Beige, 86"X90"</t>
  </si>
  <si>
    <t xml:space="preserve">https://www.amazon.ca/dp/B0GQ991LS1</t>
  </si>
  <si>
    <t xml:space="preserve">B06XHHWQ7W</t>
  </si>
  <si>
    <t xml:space="preserve">Laura Ashley - Queen Quilt Set, Cotton Reversible Bedding with Matching Shams, Home Decor for All Seasons (Amberley Blue, Queen)</t>
  </si>
  <si>
    <t xml:space="preserve">https://www.amazon.ca/dp/B06XHHWQ7W</t>
  </si>
  <si>
    <t xml:space="preserve">B01JPECQBM</t>
  </si>
  <si>
    <t xml:space="preserve">Utopia Bedding Duvet Insert, Comforters Queen Size 88 x 88 Inches, White</t>
  </si>
  <si>
    <t xml:space="preserve">Limited-time deal | List: $37.99 | List:</t>
  </si>
  <si>
    <t xml:space="preserve">https://www.amazon.ca/dp/B01JPECQBM</t>
  </si>
  <si>
    <t xml:space="preserve">B08NY22Y6P</t>
  </si>
  <si>
    <t xml:space="preserve">Chezmoi Collection Addy 3-Piece Navy Blue White Gray Taupe Plaid Patchwork Quilt Set - Pre-Washed Cotton Coverlet - Lightweight Reversible Bedspread, Queen Size</t>
  </si>
  <si>
    <t xml:space="preserve">https://www.amazon.ca/dp/B08NY22Y6P</t>
  </si>
  <si>
    <t xml:space="preserve">B09WVN5RYT</t>
  </si>
  <si>
    <t xml:space="preserve">HORIMOTE HOME 100% Cotton Quilt Set King Size, White Pre-Washed 3-Piece Bedspread Coverlet Set, Cozy Lightweight Stitching Decorative Bedding Cover with 2 Shams in Geometric Pattern for All Season</t>
  </si>
  <si>
    <t xml:space="preserve">https://www.amazon.ca/dp/B09WVN5RYT</t>
  </si>
  <si>
    <t xml:space="preserve">B00DPER1OQ</t>
  </si>
  <si>
    <t xml:space="preserve">Greenland Home Oxford 100% Cotton Quilted Throw, 50x60-inch, Taupe</t>
  </si>
  <si>
    <t xml:space="preserve">Was: $86.97 | Was:</t>
  </si>
  <si>
    <t xml:space="preserve">https://www.amazon.ca/dp/B00DPER1OQ</t>
  </si>
  <si>
    <t xml:space="preserve">B003G2ZWDE</t>
  </si>
  <si>
    <t xml:space="preserve">Greenland Home Antique Rose 100% Cotton Quilt Set, 2-Piece Twin/XL, Ecru</t>
  </si>
  <si>
    <t xml:space="preserve">https://www.amazon.ca/dp/B003G2ZWDE</t>
  </si>
  <si>
    <t xml:space="preserve">B0DCGB7GG7</t>
  </si>
  <si>
    <t xml:space="preserve">Cotton Bedspread Quilt Bedding Sets 3 Pieces Reversible Soft Coverlet Sets Comforters Luxury Paisley Floral Patchwork Brown Bedspread, Queen Size</t>
  </si>
  <si>
    <t xml:space="preserve">You pay $104.36 with coupon</t>
  </si>
  <si>
    <t xml:space="preserve">https://www.amazon.ca/dp/B0DCGB7GG7</t>
  </si>
  <si>
    <t xml:space="preserve">B0GQSSNMTK</t>
  </si>
  <si>
    <t xml:space="preserve">PHF Cotton Muslin Comforter Set Twin, Natural, 68"x90"</t>
  </si>
  <si>
    <t xml:space="preserve">https://www.amazon.ca/dp/B0GQSSNMTK</t>
  </si>
  <si>
    <t xml:space="preserve">B08LDD8HBW</t>
  </si>
  <si>
    <t xml:space="preserve">Love's cabin</t>
  </si>
  <si>
    <t xml:space="preserve">Love's cabin Quilts for Queen Bed Blue Bedspreads - Soft Bed Summer Quilt Lightweight Microfiber Bedspread- Modern Style Coin Pattern Coverlet for All Season - 3 Piece (1 Quilt, 2 Pillow Shams)</t>
  </si>
  <si>
    <t xml:space="preserve">List: $60.99 | List: | Save 10% at checkout</t>
  </si>
  <si>
    <t xml:space="preserve">https://www.amazon.ca/dp/B08LDD8HBW</t>
  </si>
  <si>
    <t xml:space="preserve">B0CQT8V1T5</t>
  </si>
  <si>
    <t xml:space="preserve">King Size Quilt-Lightweight Bedspreads Olive Green King Quilt Bedding Set</t>
  </si>
  <si>
    <t xml:space="preserve">List: $84.99 | List: | Save 5% on any 2</t>
  </si>
  <si>
    <t xml:space="preserve">https://www.amazon.ca/dp/B0CQT8V1T5</t>
  </si>
  <si>
    <t xml:space="preserve">B0F8HC3CJD</t>
  </si>
  <si>
    <t xml:space="preserve">Natural Cotton Quilt Batting for Quilting, 90 X 108 Inch</t>
  </si>
  <si>
    <t xml:space="preserve">https://www.amazon.ca/dp/B0F8HC3CJD</t>
  </si>
  <si>
    <t xml:space="preserve">B092ST9Y42</t>
  </si>
  <si>
    <t xml:space="preserve">Joyreap 2-Piece Cotton Quilt Set Twin, Cute Dinosaur Reversible Design for Kids Boys n Girls, Breathable Skin-friendly Quilt Bedspread Bed Cover for All Season, 1 Quilt and 1 Pillow Sham- 68x86 inches</t>
  </si>
  <si>
    <t xml:space="preserve">Save 23% | Was: $59.99 | Was:</t>
  </si>
  <si>
    <t xml:space="preserve">https://www.amazon.ca/dp/B092ST9Y42</t>
  </si>
  <si>
    <t xml:space="preserve">B0GYP43TJV</t>
  </si>
  <si>
    <t xml:space="preserve">EMME Brezpure 9 Layer Muslin Cotton Blanket Adults Coverlet, Queen, Beige</t>
  </si>
  <si>
    <t xml:space="preserve">Save 10% on any 2</t>
  </si>
  <si>
    <t xml:space="preserve">https://www.amazon.ca/dp/B0GYP43TJV</t>
  </si>
  <si>
    <t xml:space="preserve">B07W6K5ZST</t>
  </si>
  <si>
    <t xml:space="preserve">Laura Ashley Home - Twin Quilt Set, Reversible Cotton Bedding with Matching Sham, Pre-Washed Home Decor for Added Softness (Paisley Patchwork Blue, Twin)</t>
  </si>
  <si>
    <t xml:space="preserve">https://www.amazon.ca/dp/B07W6K5ZST</t>
  </si>
  <si>
    <t xml:space="preserve">B0DK93ZPJH</t>
  </si>
  <si>
    <t xml:space="preserve">Palassio - Queen Quilt Set - 100% Cotton Beige Bedspread with 2 Pillow Shams, Lightweight and Soft Texture, Shabby Chic Style, Neutral Quilted Comforter for All Season, 3 Piece Set</t>
  </si>
  <si>
    <t xml:space="preserve">https://www.amazon.ca/dp/B0DK93ZPJH</t>
  </si>
  <si>
    <t xml:space="preserve">B0D6RJFDT3</t>
  </si>
  <si>
    <t xml:space="preserve">ENASAL Cotton Bedspread Quilt Bedding Sets Reversible Coverlet Sets Comforters Rustic Floral White Blue Patchwork Pattern Bedspread for All Season, Queen Size</t>
  </si>
  <si>
    <t xml:space="preserve">https://www.amazon.ca/dp/B0D6RJFDT3</t>
  </si>
  <si>
    <t xml:space="preserve">B0D7CFD3W1</t>
  </si>
  <si>
    <t xml:space="preserve">Quilt Queen Size, Beige/Off White Vintage Floral Design Quilt Set</t>
  </si>
  <si>
    <t xml:space="preserve">https://www.amazon.ca/dp/B0D7CFD3W1</t>
  </si>
  <si>
    <t xml:space="preserve">B00DPER1KU</t>
  </si>
  <si>
    <t xml:space="preserve">Greenland Home Oxford Traditional 100% Cotton Quilt Set, 2-Piece Twin/Twin XL, Taupe</t>
  </si>
  <si>
    <t xml:space="preserve">https://www.amazon.ca/dp/B00DPER1KU</t>
  </si>
  <si>
    <t xml:space="preserve">B07L8Y1RNX</t>
  </si>
  <si>
    <t xml:space="preserve">Nautica - Queen Quilt Set, All Season Cotton Bedding with Matching Shams, Lightweight &amp; Reversible (Jettison Grey, Queen)</t>
  </si>
  <si>
    <t xml:space="preserve">https://www.amazon.ca/dp/B07L8Y1RNX</t>
  </si>
  <si>
    <t xml:space="preserve">B01H1S73HG</t>
  </si>
  <si>
    <t xml:space="preserve">Greenland Home Durango Quilted Cotton Throw</t>
  </si>
  <si>
    <t xml:space="preserve">https://www.amazon.ca/dp/B01H1S73HG</t>
  </si>
  <si>
    <t xml:space="preserve">B0CCJJNRR6</t>
  </si>
  <si>
    <t xml:space="preserve">Lulu moon Muslin Baby Blanket - Cotton Quilt Blankets for Toddlers - Reversible Nursery Crib Blanket for Baby Boys and Girls 47"x47"(Sage)</t>
  </si>
  <si>
    <t xml:space="preserve">Save 5% on 1 when you buy 2</t>
  </si>
  <si>
    <t xml:space="preserve">https://www.amazon.ca/dp/B0CCJJNRR6</t>
  </si>
  <si>
    <t xml:space="preserve">cotton sheet set</t>
  </si>
  <si>
    <t xml:space="preserve">B0DST3PF14</t>
  </si>
  <si>
    <t xml:space="preserve">THREAD SPREAD Organic Cotton Sheets Queen - 4 PC Percale Organic Cotton Queen Sheet Set, Breathable Percale Weave Sheet Set, Cooling &amp; Crisp Bedsheets for Hot Sleepers, 16" Deep Pocket Sheets - White</t>
  </si>
  <si>
    <t xml:space="preserve">List: $48.99 | List:</t>
  </si>
  <si>
    <t xml:space="preserve">LIVE_CA_sheets</t>
  </si>
  <si>
    <t xml:space="preserve">https://www.amazon.ca/dp/B0DST3PF14</t>
  </si>
  <si>
    <t xml:space="preserve">B09G61NRLY</t>
  </si>
  <si>
    <t xml:space="preserve">Queen Bed Sheet Set - 100% Organic Cotton, GOTS Percale - Black</t>
  </si>
  <si>
    <t xml:space="preserve">Was: $66.65 | Was:</t>
  </si>
  <si>
    <t xml:space="preserve">https://www.amazon.ca/dp/B09G61NRLY</t>
  </si>
  <si>
    <t xml:space="preserve">B0D7PQFTX3</t>
  </si>
  <si>
    <t xml:space="preserve">Mayfair Linen 100% Egyptian Cotton Sheets Full Size - 600 Thread Count Full Size Egyptian Cotton Sheets Set (4 PC, Light Blue), Soft Cooling Hotel Luxury Sateen Weave Bedsheets, Fits Mattress upto 18"</t>
  </si>
  <si>
    <t xml:space="preserve">https://www.amazon.ca/dp/B0D7PQFTX3</t>
  </si>
  <si>
    <t xml:space="preserve">B09QYGBBDV</t>
  </si>
  <si>
    <t xml:space="preserve">California Design Den Soft 100% Cotton Sheets, Double Size Sheet Sets, 400 Thread Count Sateen Bedding, Deep Pocket Sheets, Cooling Sheets, Double Size Sheets, Breathable Bed Set (Antique White)</t>
  </si>
  <si>
    <t xml:space="preserve">https://www.amazon.ca/dp/B09QYGBBDV</t>
  </si>
  <si>
    <t xml:space="preserve">B06XRH9K2S</t>
  </si>
  <si>
    <t xml:space="preserve">California Design Den 100% Cotton Bed Sheets King Size Set - 400 Thread Count Sateen, Deep Pocket King Sheet Set, King Sheets, Cooling King Size Sheets Set, Softer Than Egyptian Cotton Sheets (White)</t>
  </si>
  <si>
    <t xml:space="preserve">List: $106.39 | List:</t>
  </si>
  <si>
    <t xml:space="preserve">https://www.amazon.ca/dp/B06XRH9K2S</t>
  </si>
  <si>
    <t xml:space="preserve">B0DSN6Y9NX</t>
  </si>
  <si>
    <t xml:space="preserve">Amazon Basics Organic Cotton Sheet Set with 2-Pieces Pillowcase, White, Full</t>
  </si>
  <si>
    <t xml:space="preserve">https://www.amazon.ca/dp/B0DSN6Y9NX</t>
  </si>
  <si>
    <t xml:space="preserve">B07QGW1CWL</t>
  </si>
  <si>
    <t xml:space="preserve">California Design Den 400 Thread Count 100% Cotton Sheets, King Size Sheet Set, Luxury Sheets &amp; Pillowcases, Breathable Bedding for King Bed, Soft Sateen, King Bed Sheets with Deep Pockets (Grey)</t>
  </si>
  <si>
    <t xml:space="preserve">https://www.amazon.ca/dp/B07QGW1CWL</t>
  </si>
  <si>
    <t xml:space="preserve">B0GTLTZQ1C</t>
  </si>
  <si>
    <t xml:space="preserve">Bedsure King Sheets Set - PureWoven 100% GOTS Certified Organic Cotton</t>
  </si>
  <si>
    <t xml:space="preserve">Was: $159.99 | Was:</t>
  </si>
  <si>
    <t xml:space="preserve">https://www.amazon.ca/dp/B0GTLTZQ1C</t>
  </si>
  <si>
    <t xml:space="preserve">B09C41YS63</t>
  </si>
  <si>
    <t xml:space="preserve">Double Bed Sheets, 600 TC 100% Cotton Sheet Set, Deep Pocket - White</t>
  </si>
  <si>
    <t xml:space="preserve">Save 38% | Was: $75.99 | Was:</t>
  </si>
  <si>
    <t xml:space="preserve">https://www.amazon.ca/dp/B09C41YS63</t>
  </si>
  <si>
    <t xml:space="preserve">B083X763MQ</t>
  </si>
  <si>
    <t xml:space="preserve">Eddie Bauer</t>
  </si>
  <si>
    <t xml:space="preserve">Eddie Bauer - Full Sheet Set, Warm Breathable Cotton Flannel Bedding with Deep Pockets, Brushed for Extra Softness, Cozy Home Decor, Oeko-Tex Certified (Birch Forest, Full)</t>
  </si>
  <si>
    <t xml:space="preserve">https://www.amazon.ca/dp/B083X763MQ</t>
  </si>
  <si>
    <t xml:space="preserve">B0BZMZ2XGQ</t>
  </si>
  <si>
    <t xml:space="preserve">Lane Linen 100% Cotton Full/Double Size Sheet Set – 450 Thread Count Soft &amp; Breathable Sateen Bed Sheets with Deep Pockets – 4-Piece Bedding Set – Ivory</t>
  </si>
  <si>
    <t xml:space="preserve">Full/Double</t>
  </si>
  <si>
    <t xml:space="preserve">Save 27% | Was: $54.99 | Was:</t>
  </si>
  <si>
    <t xml:space="preserve">https://www.amazon.ca/dp/B0BZMZ2XGQ</t>
  </si>
  <si>
    <t xml:space="preserve">B0DSPBXYMG</t>
  </si>
  <si>
    <t xml:space="preserve">Amazon Basics Organic Cotton Sheet Set with 2-Pieces Pillowcase, Navy Blue, Full</t>
  </si>
  <si>
    <t xml:space="preserve">https://www.amazon.ca/dp/B0DSPBXYMG</t>
  </si>
  <si>
    <t xml:space="preserve">B09X1P1L9F</t>
  </si>
  <si>
    <t xml:space="preserve">California Design Den 100% Cotton Sheets for Queen Size Bed Sheets with Deep Pocket, Queen Sheet Set with Sateen Weave, Cooling Sheets (White)</t>
  </si>
  <si>
    <t xml:space="preserve">https://www.amazon.ca/dp/B09X1P1L9F</t>
  </si>
  <si>
    <t xml:space="preserve">B07Z8TGYYL</t>
  </si>
  <si>
    <t xml:space="preserve">Wake In Cloud - Floral Sheet Set, 100% Cotton Bedding, Botanical Flowers Pattern Printed (4pcs, Queen Size)</t>
  </si>
  <si>
    <t xml:space="preserve">https://www.amazon.ca/dp/B07Z8TGYYL</t>
  </si>
  <si>
    <t xml:space="preserve">B0DD7DF3SG</t>
  </si>
  <si>
    <t xml:space="preserve">Mooreeke Cozy Vintage Microfiber Printed Queen Sheet Set - Soft Breathable Percale Cotton Floral Bed Sheets with Deep Pocket - Non-Slip Fitted Design - Gradient Grey Small Flowers Pattern</t>
  </si>
  <si>
    <t xml:space="preserve">Limited-time deal | Was: $35.14 | Was:</t>
  </si>
  <si>
    <t xml:space="preserve">https://www.amazon.ca/dp/B0DD7DF3SG</t>
  </si>
  <si>
    <t xml:space="preserve">B01BTBS8LG</t>
  </si>
  <si>
    <t xml:space="preserve">Amazon Basics Heather Cotton Jersey Bed Sheet Set - King, Oatmeal</t>
  </si>
  <si>
    <t xml:space="preserve">https://www.amazon.ca/dp/B01BTBS8LG</t>
  </si>
  <si>
    <t xml:space="preserve">B07RY5C88H</t>
  </si>
  <si>
    <t xml:space="preserve">Cotton Bed Sheets Queen - 100% Organic GOTS Percale, 4 Piece - Silver</t>
  </si>
  <si>
    <t xml:space="preserve">Was: $65.99 | Was:</t>
  </si>
  <si>
    <t xml:space="preserve">https://www.amazon.ca/dp/B07RY5C88H</t>
  </si>
  <si>
    <t xml:space="preserve">B08KWMC6W5</t>
  </si>
  <si>
    <t xml:space="preserve">100% Egyptian Cotton Sheets, 1000 TC Bedsheet, 4 Pc Light Gray California King Bed Sheets Set, 16" Deep Pocket Cal King Sheet Set, Soft Cooling Sheets with 2 Pillowcases, 1 Fitted Sheet &amp; 1 Flat Sheet</t>
  </si>
  <si>
    <t xml:space="preserve">You pay $101.14 with coupon</t>
  </si>
  <si>
    <t xml:space="preserve">https://www.amazon.ca/dp/B08KWMC6W5</t>
  </si>
  <si>
    <t xml:space="preserve">B07417DDJB</t>
  </si>
  <si>
    <t xml:space="preserve">Linen Home 100% Cotton Percale Sheets Twin Size, White, Deep Pocket, 3 Pieces Set - 1 Flat, 1 Deep Pocket Fitted Sheet and 1 Pillowcase, Crisp Cool and Strong Bed Linen</t>
  </si>
  <si>
    <t xml:space="preserve">https://www.amazon.ca/dp/B07417DDJB</t>
  </si>
  <si>
    <t xml:space="preserve">B0CRL7WB6Y</t>
  </si>
  <si>
    <t xml:space="preserve">Luxury 1000 Thread Count Full Bed Sheet Set - Deep Pocket, Egyptian Cotton Blend, Sateen Weave, Hotel Quality Sheets - (Linen)</t>
  </si>
  <si>
    <t xml:space="preserve">https://www.amazon.ca/dp/B0CRL7WB6Y</t>
  </si>
  <si>
    <t xml:space="preserve">B08KWPH3M7</t>
  </si>
  <si>
    <t xml:space="preserve">100% Egyptian Cotton Bed Sheets Queen, 1000 TC Cooling Sheets, 4 Pc Light Gray Queen Bed Sheets Set, 16" Deep Pocket Queen Sheet Set, Bedsheets Queen Size Set with 2 Pillowcases, Fitted &amp; Flat Sheet</t>
  </si>
  <si>
    <t xml:space="preserve">You pay $91.79 with coupon</t>
  </si>
  <si>
    <t xml:space="preserve">https://www.amazon.ca/dp/B08KWPH3M7</t>
  </si>
  <si>
    <t xml:space="preserve">B0BXSK8MYS</t>
  </si>
  <si>
    <t xml:space="preserve">100% Cotton Flannel Sheets Set - Flannel Sheets Full, 4-Piece Flannel Bed Sheets - Lightweight Bedding, Brushed for Extra Softness,Warm, Breathable, 16" Deep Pocket - Red Checks</t>
  </si>
  <si>
    <t xml:space="preserve">https://www.amazon.ca/dp/B0BXSK8MYS</t>
  </si>
  <si>
    <t xml:space="preserve">B00Q7OAD64</t>
  </si>
  <si>
    <t xml:space="preserve">Amazon Basics Lightweight Super Soft, Wrinkle-Free Easy Care Microfiber 4 Piece Bed Sheet Set with 14-Inch Deep Pockets, Full, Spa Blue, Solid</t>
  </si>
  <si>
    <t xml:space="preserve">https://www.amazon.ca/dp/B00Q7OAD64</t>
  </si>
  <si>
    <t xml:space="preserve">B0DST32BG8</t>
  </si>
  <si>
    <t xml:space="preserve">THREAD SPREAD Organic Cotton Percale Sheets Full - 4 PC Organic Full Size Set Cotton, Percale Weave Sheet Set, Breathable, Cooling &amp; Crisp Bedsheets for Hot Sleepers, 16" Deep Pocket Sheets - White</t>
  </si>
  <si>
    <t xml:space="preserve">List: $46.99 | List:</t>
  </si>
  <si>
    <t xml:space="preserve">https://www.amazon.ca/dp/B0DST32BG8</t>
  </si>
  <si>
    <t xml:space="preserve">B00NX0WXQI</t>
  </si>
  <si>
    <t xml:space="preserve">Queen Sheets Set, 4 Pieces 16" Deep Pocket Hotel Luxury Bed Sheets, Grey</t>
  </si>
  <si>
    <t xml:space="preserve">3K+ bought in past month</t>
  </si>
  <si>
    <t xml:space="preserve">https://www.amazon.ca/dp/B00NX0WXQI</t>
  </si>
  <si>
    <t xml:space="preserve">B07417M881</t>
  </si>
  <si>
    <t xml:space="preserve">Linen Home 100% Cotton Percale Sheets Full Size, White, Deep Pocket, 4 Pieces Set - 1 Flat, 1 Deep Pocket Fitted Sheet and 2 Pillowcases, Crisp Cool and Strong Bed Linen</t>
  </si>
  <si>
    <t xml:space="preserve">https://www.amazon.ca/dp/B07417M881</t>
  </si>
  <si>
    <t xml:space="preserve">B09B2HXT9K</t>
  </si>
  <si>
    <t xml:space="preserve">King Size Bed Sheets, 1000 TC Egyptian Cotton Sheets King, 4 Pc - White</t>
  </si>
  <si>
    <t xml:space="preserve">Limited-time deal | List: $131.99 | List: | You pay $93.49 with coupon</t>
  </si>
  <si>
    <t xml:space="preserve">https://www.amazon.ca/dp/B09B2HXT9K</t>
  </si>
  <si>
    <t xml:space="preserve">B076V6QBWX</t>
  </si>
  <si>
    <t xml:space="preserve">Comfort Spaces 100% Cotton Sheet Set Breathable, Lightweight, Soft with 14" Elastic Pocket Fits up to 16" Mattress, All Season Cozy Bedding, Matching Pillow Case, Full Paisley Multi 4 Piece</t>
  </si>
  <si>
    <t xml:space="preserve">https://www.amazon.ca/dp/B076V6QBWX</t>
  </si>
  <si>
    <t xml:space="preserve">B0D1CGL8FJ</t>
  </si>
  <si>
    <t xml:space="preserve">100% Cotton Full Sheet Set - 4 Piece Cotton Sheets Full Size Bed Set, Soft, Smooth, Durable, Easy Care, 16" Deep Pocket Checkered Green Sheets - 1 Flat, 1 Fitted, 2 Pillowcases</t>
  </si>
  <si>
    <t xml:space="preserve">https://www.amazon.ca/dp/B0D1CGL8FJ</t>
  </si>
  <si>
    <t xml:space="preserve">B0DNYPMHVQ</t>
  </si>
  <si>
    <t xml:space="preserve">Amazon Basics 100% Organic Cotton Kids' Sheet Set with Pillowcase, Full, Navy Stripe</t>
  </si>
  <si>
    <t xml:space="preserve">https://www.amazon.ca/dp/B0DNYPMHVQ</t>
  </si>
  <si>
    <t xml:space="preserve">B076V682Y8</t>
  </si>
  <si>
    <t xml:space="preserve">Comfort Spaces 100% Cotton Sheets Twin, Breathable, Naturally Cool Cotton Sheets, Soft Cotton Bed Sheets with 14" Elastic Pocket Fits up to 16" Mattress, All Seasons Sheet Set, Diamond Blue 3 Piece</t>
  </si>
  <si>
    <t xml:space="preserve">https://www.amazon.ca/dp/B076V682Y8</t>
  </si>
  <si>
    <t xml:space="preserve">B07P8R1ZPS</t>
  </si>
  <si>
    <t xml:space="preserve">Nautica - Twin XL Sheets, Cotton Percale Bedding Set, Crisp &amp; Cool, Dorm Room Essentials (Captains Navy, Twin XL)</t>
  </si>
  <si>
    <t xml:space="preserve">You pay $62.55 with coupon</t>
  </si>
  <si>
    <t xml:space="preserve">https://www.amazon.ca/dp/B07P8R1ZPS</t>
  </si>
  <si>
    <t xml:space="preserve">B08HH4DDRP</t>
  </si>
  <si>
    <t xml:space="preserve">Jersey Knit Sheets 4 Piece, Cotton T-Shirt Feel, Queen, Heather Light Grey</t>
  </si>
  <si>
    <t xml:space="preserve">https://www.amazon.ca/dp/B08HH4DDRP</t>
  </si>
  <si>
    <t xml:space="preserve">B075F8TCF2</t>
  </si>
  <si>
    <t xml:space="preserve">California Design Den Queen Size Sheet Set, 600 Thread Count 100% Cotton Luxury Extra Deep Pocket Queen Sheets Cotton Sateen, Hotel-Quality Queen Sheet Set - Bright White</t>
  </si>
  <si>
    <t xml:space="preserve">https://www.amazon.ca/dp/B075F8TCF2</t>
  </si>
  <si>
    <t xml:space="preserve">B0B9MSTHJC</t>
  </si>
  <si>
    <t xml:space="preserve">Premium Bedding Sets- 400 Thread Count- Soft Sateen 100% Cotton - Twin XL 4Piece sheet sets- 4 Pc Bedding for Kids, Dorms &amp; Adults, Deep Pocket, Easy Fit, Twin XL Sheets (Bright White Sheets)</t>
  </si>
  <si>
    <t xml:space="preserve">https://www.amazon.ca/dp/B0B9MSTHJC</t>
  </si>
  <si>
    <t xml:space="preserve">B08ZM7TT87</t>
  </si>
  <si>
    <t xml:space="preserve">RUVANTI 100% Cotton Percale Sheets Queen Size, Sweet Pea</t>
  </si>
  <si>
    <t xml:space="preserve">List: $72.99 | List:</t>
  </si>
  <si>
    <t xml:space="preserve">https://www.amazon.ca/dp/B08ZM7TT87</t>
  </si>
  <si>
    <t xml:space="preserve">B07ZH4BWFS</t>
  </si>
  <si>
    <t xml:space="preserve">4 Piece Premium Sheet Set Cotton Full, 100% Egyptian Cotton, 400 Thread Count, 15 Inch Deep Pocket of Cotton Sheets, White Solid</t>
  </si>
  <si>
    <t xml:space="preserve">https://www.amazon.ca/dp/B07ZH4BWFS</t>
  </si>
  <si>
    <t xml:space="preserve">B0C714Q5XY</t>
  </si>
  <si>
    <t xml:space="preserve">JOLLYVOGUE Queen Size Bed Sheet Set - 4 Piece Bed Sheets Set with Deep Pocket - Soft Breathable &amp; Cooling - Resists Shrinkage &amp; Fading Draps Queen - Easy Care (Lavender)</t>
  </si>
  <si>
    <t xml:space="preserve">https://www.amazon.ca/dp/B0C714Q5XY</t>
  </si>
  <si>
    <t xml:space="preserve">B07F97N85W</t>
  </si>
  <si>
    <t xml:space="preserve">CGK Extra Deep Queen Sheet Set - 6pc Cooling Sheets - Navy Blue</t>
  </si>
  <si>
    <t xml:space="preserve">List: $74.99 | List:</t>
  </si>
  <si>
    <t xml:space="preserve">https://www.amazon.ca/dp/B07F97N85W</t>
  </si>
  <si>
    <t xml:space="preserve">B0CV91WFHF</t>
  </si>
  <si>
    <t xml:space="preserve">Bare Home Full Flannel Sheet Set 100% Cotton (Full, Cream)</t>
  </si>
  <si>
    <t xml:space="preserve">List: $97.99 | List:</t>
  </si>
  <si>
    <t xml:space="preserve">https://www.amazon.ca/dp/B0CV91WFHF</t>
  </si>
  <si>
    <t xml:space="preserve">B0CRL5W8SF</t>
  </si>
  <si>
    <t xml:space="preserve">Casa Platino</t>
  </si>
  <si>
    <t xml:space="preserve">Casa Platino 1000 Thread Count Full Bed Sheet Set - Deep Pocket, Egyptian Cotton Blend, Sateen Weave, Hotel Quality Sheets - (Silver)</t>
  </si>
  <si>
    <t xml:space="preserve">https://www.amazon.ca/dp/B0CRL5W8SF</t>
  </si>
  <si>
    <t xml:space="preserve">B0DVC6VLT5</t>
  </si>
  <si>
    <t xml:space="preserve">EnvioHome Full Size Bed Sheets Set 4 Piece - Soft 100% Cotton Sheets Double, Fade Resistant, Breathable &amp; Cooling Full Sheet Set, Deep Pocket Snug Fit Elastic Double Bed Sheets - Sweet Ditsy Floral</t>
  </si>
  <si>
    <t xml:space="preserve">https://www.amazon.ca/dp/B0DVC6VLT5</t>
  </si>
  <si>
    <t xml:space="preserve">B0FLQDQYNZ</t>
  </si>
  <si>
    <t xml:space="preserve">EnvioHome 100% Cotton Jersey Knit Queen Sheet Set - 4 Piece, Ultra Soft T-Shirt Feel, All Season, Breathable Queen Sheets, Snug Fit (Deep: 15") - Blush</t>
  </si>
  <si>
    <t xml:space="preserve">https://www.amazon.ca/dp/B0FLQDQYNZ</t>
  </si>
  <si>
    <t xml:space="preserve">B01CF2Z09G</t>
  </si>
  <si>
    <t xml:space="preserve">King 6 Piece Bed Sheet Set - Comfy, Breathable &amp; Cooling Sheets - Brown</t>
  </si>
  <si>
    <t xml:space="preserve">List: $79.99 | List:</t>
  </si>
  <si>
    <t xml:space="preserve">https://www.amazon.ca/dp/B01CF2Z09G</t>
  </si>
  <si>
    <t xml:space="preserve">B0H5QJFST9</t>
  </si>
  <si>
    <t xml:space="preserve">100% Cotton Full Flannel Sheet Set Double Brushed Navy Bed Sheets Set</t>
  </si>
  <si>
    <t xml:space="preserve">https://www.amazon.ca/dp/B0H5QJFST9</t>
  </si>
  <si>
    <t xml:space="preserve">B0BXQNH9JB</t>
  </si>
  <si>
    <t xml:space="preserve">100% Natural Cotton Bed Sheets Set Queen, 4 Piece 200 Thread Count – Sateen Weave, Deep Pocket with Elastic All Around, Breathable &amp; Cooling – Pink</t>
  </si>
  <si>
    <t xml:space="preserve">https://www.amazon.ca/dp/B0BXQNH9JB</t>
  </si>
  <si>
    <t xml:space="preserve">B0GBW74MX4</t>
  </si>
  <si>
    <t xml:space="preserve">400 Thread Count 3 Pieces Cotton Bed Sheets Set100% Cotton Sateen Weave (Beige, Queen Fitted Sheet Set)</t>
  </si>
  <si>
    <t xml:space="preserve">You pay $29.99 with coupon</t>
  </si>
  <si>
    <t xml:space="preserve">https://www.amazon.ca/dp/B0GBW74MX4</t>
  </si>
  <si>
    <t xml:space="preserve">B084X6YHGR</t>
  </si>
  <si>
    <t xml:space="preserve">California Design Den Queen Sheet Set - Soft 100% Organic Cotton Sheets with Deep Pockets, Crisp Percale, Breathable and Durable Bedding Set - White</t>
  </si>
  <si>
    <t xml:space="preserve">https://www.amazon.ca/dp/B084X6YHGR</t>
  </si>
  <si>
    <t xml:space="preserve">B0CY9P4Q5Z</t>
  </si>
  <si>
    <t xml:space="preserve">Laura Ashley - Sheet Set, Breathable Percale Cotton Bedding, 200 Thread Count, Deep Pocket, Chic Home Decor (Lynda Pink, Twin)</t>
  </si>
  <si>
    <t xml:space="preserve">https://www.amazon.ca/dp/B0CY9P4Q5Z</t>
  </si>
  <si>
    <t xml:space="preserve">B017UWSC7I</t>
  </si>
  <si>
    <t xml:space="preserve">Bare Home Twin XL Flannel Sheet Set 100% Cotton (Twin XL, Grey)</t>
  </si>
  <si>
    <t xml:space="preserve">List: $91.99 | List:</t>
  </si>
  <si>
    <t xml:space="preserve">https://www.amazon.ca/dp/B017UWSC7I</t>
  </si>
  <si>
    <t xml:space="preserve">B09B2GKL4G</t>
  </si>
  <si>
    <t xml:space="preserve">Queen Bed Sheets, 1000 TC Egyptian Cotton Sheets Queen Size, 4 Pc - White</t>
  </si>
  <si>
    <t xml:space="preserve">List: $121.99 | List:</t>
  </si>
  <si>
    <t xml:space="preserve">https://www.amazon.ca/dp/B09B2GKL4G</t>
  </si>
  <si>
    <t xml:space="preserve">B098LBQ2GD</t>
  </si>
  <si>
    <t xml:space="preserve">JSD Green Floral Printed Sheet Set Queen, 4 Piece Soft Brushed Microfiber Sheets Deep Pocket</t>
  </si>
  <si>
    <t xml:space="preserve">https://www.amazon.ca/dp/B098LBQ2GD</t>
  </si>
  <si>
    <t xml:space="preserve">mattress topper</t>
  </si>
  <si>
    <t xml:space="preserve">B07D5DN269</t>
  </si>
  <si>
    <t xml:space="preserve">Niagara Sleep Solution</t>
  </si>
  <si>
    <t xml:space="preserve">Bamboo Mattress Topper Queen Size - Thick Cooling Breathable Pillow Top Mattress Pad for Back Pain Relief - Deep Pocket Topper Fits 8-20 Inches (60x80 Inches, Green)</t>
  </si>
  <si>
    <t xml:space="preserve">LIVE_CA_topper</t>
  </si>
  <si>
    <t xml:space="preserve">https://www.amazon.ca/dp/B07D5DN269</t>
  </si>
  <si>
    <t xml:space="preserve">B0FSDKVTQP</t>
  </si>
  <si>
    <t xml:space="preserve">Anluoer Mattress Topper Queen for Back Pain, Memory Foam Pillow Top Mattress Topper Queen, 5X Support Extra Thick Breathable Mattress Pad with 8-21" Deep Pocket, 60x80 Inches, White</t>
  </si>
  <si>
    <t xml:space="preserve">Limited-time deal | Was: $49.99 | Was:</t>
  </si>
  <si>
    <t xml:space="preserve">https://www.amazon.ca/dp/B0FSDKVTQP</t>
  </si>
  <si>
    <t xml:space="preserve">B0DR37XNWV</t>
  </si>
  <si>
    <r>
      <rPr>
        <sz val="10"/>
        <color theme="1"/>
        <rFont val="Arial"/>
        <family val="2"/>
        <charset val="1"/>
      </rPr>
      <t xml:space="preserve">Premium Dual Layer 3 Inch Memory Foam Mattress Topper, 2 Inch Gel Memory Foam and 1 Inch Pillow Top Mattress Pad Cover for Back Pain, Soft Comfort Support</t>
    </r>
    <r>
      <rPr>
        <sz val="10"/>
        <color theme="1"/>
        <rFont val="Linux Libertine G"/>
        <family val="2"/>
      </rPr>
      <t xml:space="preserve">（</t>
    </r>
    <r>
      <rPr>
        <sz val="10"/>
        <color theme="1"/>
        <rFont val="Arial"/>
        <family val="2"/>
        <charset val="1"/>
      </rPr>
      <t xml:space="preserve">Queen Size 60" x 80"</t>
    </r>
    <r>
      <rPr>
        <sz val="10"/>
        <color theme="1"/>
        <rFont val="Linux Libertine G"/>
        <family val="2"/>
      </rPr>
      <t xml:space="preserve">）</t>
    </r>
  </si>
  <si>
    <t xml:space="preserve">Limited-time deal | Was: $109.99 | Was:</t>
  </si>
  <si>
    <t xml:space="preserve">https://www.amazon.ca/dp/B0DR37XNWV</t>
  </si>
  <si>
    <t xml:space="preserve">B0C78C6MHR</t>
  </si>
  <si>
    <t xml:space="preserve">Bamboo Mattress Topper King Size - Thick Cooling Breathable Pillow Top Mattress Pad for Back Pain Relief - Deep Pocket Topper Fits 8-20 Inches (78x80 Inches, White)</t>
  </si>
  <si>
    <t xml:space="preserve">https://www.amazon.ca/dp/B0C78C6MHR</t>
  </si>
  <si>
    <t xml:space="preserve">B0G3GN3NDH</t>
  </si>
  <si>
    <t xml:space="preserve">Premium Mattress Topper Queen Size,4 Inch Dual Layer (2" Gel Memory Foam + 2" Plush Pillow Top) Comfort Support, Thick Mattress Pad Cover for Back Pain (60x80 inch)</t>
  </si>
  <si>
    <t xml:space="preserve">Limited-time deal | List: $119.73 | List:</t>
  </si>
  <si>
    <t xml:space="preserve">https://www.amazon.ca/dp/B0G3GN3NDH</t>
  </si>
  <si>
    <t xml:space="preserve">B0C78DBJLJ</t>
  </si>
  <si>
    <t xml:space="preserve">Bamboo Mattress Topper Queen Size - Thick Cooling Breathable Pillow Top Mattress Pad for Back Pain Relief - Deep Pocket Topper Fits 8-20 Inches (60x80 Inches, White)</t>
  </si>
  <si>
    <t xml:space="preserve">https://www.amazon.ca/dp/B0C78DBJLJ</t>
  </si>
  <si>
    <t xml:space="preserve">B0CG5XSJK6</t>
  </si>
  <si>
    <t xml:space="preserve">Queen Size Mattress Pad Pillow Top Mattress Cover with Down Alternative Fill- Breathable Mattress Topper Deep Pocket Fits Mattress 8-21 Inches Soft Mattress Protector (60 x 80 Inch, White)</t>
  </si>
  <si>
    <t xml:space="preserve">Limited-time deal | Was: $42.93 | Was:</t>
  </si>
  <si>
    <t xml:space="preserve">https://www.amazon.ca/dp/B0CG5XSJK6</t>
  </si>
  <si>
    <t xml:space="preserve">B0GGV4C945</t>
  </si>
  <si>
    <t xml:space="preserve">BEDELITE Dual Layer Queen Size Memory Foam Mattress Topper</t>
  </si>
  <si>
    <t xml:space="preserve">https://www.amazon.ca/dp/B0GGV4C945</t>
  </si>
  <si>
    <t xml:space="preserve">B0DHGSY96Y</t>
  </si>
  <si>
    <t xml:space="preserve">SakuraHome Queen Size Mattress Topper,Extra Thick Pillow Top Mattress Pad</t>
  </si>
  <si>
    <t xml:space="preserve">https://www.amazon.ca/dp/B0DHGSY96Y</t>
  </si>
  <si>
    <t xml:space="preserve">B0DB7T13VM</t>
  </si>
  <si>
    <t xml:space="preserve">CHOPINMOON Queen Mattress Topper, Cooling Thick Pillow Top Mattress Pad</t>
  </si>
  <si>
    <t xml:space="preserve">https://www.amazon.ca/dp/B0DB7T13VM</t>
  </si>
  <si>
    <t xml:space="preserve">B0GWKMK9FH</t>
  </si>
  <si>
    <r>
      <rPr>
        <sz val="10"/>
        <color theme="1"/>
        <rFont val="Arial"/>
        <family val="2"/>
        <charset val="1"/>
      </rPr>
      <t xml:space="preserve">Luxury Hotel Sellected Down-Like Fiber Mattress Topper for All-Season, 3 Inch Mattress Topper, Ultra Fluffy and Long-Lasting, Durable</t>
    </r>
    <r>
      <rPr>
        <sz val="10"/>
        <color theme="1"/>
        <rFont val="Linux Libertine G"/>
        <family val="2"/>
      </rPr>
      <t xml:space="preserve">， </t>
    </r>
    <r>
      <rPr>
        <sz val="10"/>
        <color theme="1"/>
        <rFont val="Arial"/>
        <family val="2"/>
        <charset val="1"/>
      </rPr>
      <t xml:space="preserve">4 Elastic Bands</t>
    </r>
  </si>
  <si>
    <t xml:space="preserve">https://www.amazon.ca/dp/B0GWKMK9FH</t>
  </si>
  <si>
    <t xml:space="preserve">B0F6LGDH96</t>
  </si>
  <si>
    <t xml:space="preserve">BEDLORE Queen Mattress Topper Viscose Derived from Bamboo, Thick Pillow Top Mattress Pad with Stretchable Pockets for 6-18 inches Mattress, Soft Mattress Topper</t>
  </si>
  <si>
    <t xml:space="preserve">https://www.amazon.ca/dp/B0F6LGDH96</t>
  </si>
  <si>
    <t xml:space="preserve">B0GC9ND6V4</t>
  </si>
  <si>
    <t xml:space="preserve">BaliChun Mattress Topper Queen Size Extra Thick Mattress Pad 400TC Cotton Top Cooling Soft Breathable Pillow Top Mattress Cover 8-21" Deep Pocket Fitted Mattress Protector (60x80 Inches, White)</t>
  </si>
  <si>
    <t xml:space="preserve">You pay $65.90 with coupon</t>
  </si>
  <si>
    <t xml:space="preserve">https://www.amazon.ca/dp/B0GC9ND6V4</t>
  </si>
  <si>
    <t xml:space="preserve">B0HDJPPDBH</t>
  </si>
  <si>
    <t xml:space="preserve">Mattress Topper Queen Size,Bamboo-Viscose Mattress Topper,Deep Pocket</t>
  </si>
  <si>
    <t xml:space="preserve">You pay $48.99 with coupon</t>
  </si>
  <si>
    <t xml:space="preserve">https://www.amazon.ca/dp/B0HDJPPDBH</t>
  </si>
  <si>
    <t xml:space="preserve">B0DJSSNNMX</t>
  </si>
  <si>
    <r>
      <rPr>
        <sz val="10"/>
        <color theme="1"/>
        <rFont val="Arial"/>
        <family val="2"/>
        <charset val="1"/>
      </rPr>
      <t xml:space="preserve">Premium Bamboo Queen Size Mattress Topper for Back Pain, 1200 GSM Quilted Fitted Extra Thick Mattress Pad for Bed,Pillow Top Mattress Cover with Deep Pocket Up to 21 Inches</t>
    </r>
    <r>
      <rPr>
        <sz val="10"/>
        <color theme="1"/>
        <rFont val="Linux Libertine G"/>
        <family val="2"/>
      </rPr>
      <t xml:space="preserve">（</t>
    </r>
    <r>
      <rPr>
        <sz val="10"/>
        <color theme="1"/>
        <rFont val="Arial"/>
        <family val="2"/>
        <charset val="1"/>
      </rPr>
      <t xml:space="preserve">60 * 80inch</t>
    </r>
    <r>
      <rPr>
        <sz val="10"/>
        <color theme="1"/>
        <rFont val="Linux Libertine G"/>
        <family val="2"/>
      </rPr>
      <t xml:space="preserve">）</t>
    </r>
  </si>
  <si>
    <t xml:space="preserve">https://www.amazon.ca/dp/B0DJSSNNMX</t>
  </si>
  <si>
    <t xml:space="preserve">B0CWLPPVJM</t>
  </si>
  <si>
    <t xml:space="preserve">Cloud-Like Queen Mattress Topper - 100% Cotton Top Mattress Pad for Back Pain Relief - Breathable &amp; Naturally Cooling for Hot Sleepers - Machine Washable</t>
  </si>
  <si>
    <t xml:space="preserve">https://www.amazon.ca/dp/B0CWLPPVJM</t>
  </si>
  <si>
    <t xml:space="preserve">B0HHRDLXRP</t>
  </si>
  <si>
    <t xml:space="preserve">WhatsBedding 5 Inch Memory Foam Mattress Topper (Queen, 60x80),Deep Pocket</t>
  </si>
  <si>
    <t xml:space="preserve">You pay $85.99 with coupon</t>
  </si>
  <si>
    <t xml:space="preserve">https://www.amazon.ca/dp/B0HHRDLXRP</t>
  </si>
  <si>
    <t xml:space="preserve">B0B9H7QHXQ</t>
  </si>
  <si>
    <t xml:space="preserve">YUGYVOB Mattress Topper Queen, Foam Queen Mattress Topper, Cooling Gel Infused Bed Topper, 7 Zone Egg Crate Foam, CertiPUR-US Certified, 2 Inch</t>
  </si>
  <si>
    <t xml:space="preserve">https://www.amazon.ca/dp/B0B9H7QHXQ</t>
  </si>
  <si>
    <t xml:space="preserve">B0CCP1FNCG</t>
  </si>
  <si>
    <t xml:space="preserve">MEROUS Mattress Topper Extra Thick Ultra Soft&amp;Breathable(Cream,Queen)</t>
  </si>
  <si>
    <t xml:space="preserve">https://www.amazon.ca/dp/B0CCP1FNCG</t>
  </si>
  <si>
    <t xml:space="preserve">B0HC6SSVBN</t>
  </si>
  <si>
    <t xml:space="preserve">WhatsBedding 4 Inch Memory Foam Mattress Topper Queen for Back Pain Relief, Filled with Breathable Gel Memory Foam, Fluffy Comfort Supportive Pillow Top Mattress Topper, 80x60x4in</t>
  </si>
  <si>
    <t xml:space="preserve">You pay $84.99 with coupon</t>
  </si>
  <si>
    <t xml:space="preserve">https://www.amazon.ca/dp/B0HC6SSVBN</t>
  </si>
  <si>
    <t xml:space="preserve">B0DNXZKRL5</t>
  </si>
  <si>
    <t xml:space="preserve">SakuraHome 2 Inch Memory Foam Mattress Topper, Soft Gel Infused Mattress Pad, Bed Topper, CertiPUR-US Certified, Queen Size</t>
  </si>
  <si>
    <t xml:space="preserve">https://www.amazon.ca/dp/B0DNXZKRL5</t>
  </si>
  <si>
    <t xml:space="preserve">B0GWK6RPMX</t>
  </si>
  <si>
    <t xml:space="preserve">Mattress Topper Queen Size 3 Inches, Bamboo-Viscose Fabric,Deep Pocket</t>
  </si>
  <si>
    <t xml:space="preserve">Save 10% at checkout</t>
  </si>
  <si>
    <t xml:space="preserve">https://www.amazon.ca/dp/B0GWK6RPMX</t>
  </si>
  <si>
    <t xml:space="preserve">B0FGW8VL92</t>
  </si>
  <si>
    <t xml:space="preserve">2 Inch Gel Memory Foam Mattress Topper Ventilated Soft Pressure Relieve Mattress Pad, Breathable Bed Topper, CertiPUR-US Certified, Twin Size</t>
  </si>
  <si>
    <t xml:space="preserve">https://www.amazon.ca/dp/B0FGW8VL92</t>
  </si>
  <si>
    <t xml:space="preserve">B09DCSGK84</t>
  </si>
  <si>
    <t xml:space="preserve">SINWEEK 2 Inch Twin Size Gel Memory Foam Mattress Topper</t>
  </si>
  <si>
    <t xml:space="preserve">Was: $52.99 | Was:</t>
  </si>
  <si>
    <t xml:space="preserve">https://www.amazon.ca/dp/B09DCSGK84</t>
  </si>
  <si>
    <t xml:space="preserve">B0F6TBB3BN</t>
  </si>
  <si>
    <t xml:space="preserve">Favorland Mattress Topper Queen Size - Cooling Extra Thick Breathable Viscose Made from Bamboo Mattress pad - Soft Quilted Fitted Mattress Cover with 900 GSM Down Alternative Fill (8-21”Deep Pocket)</t>
  </si>
  <si>
    <t xml:space="preserve">Was: $48.44 | Was:</t>
  </si>
  <si>
    <t xml:space="preserve">https://www.amazon.ca/dp/B0F6TBB3BN</t>
  </si>
  <si>
    <t xml:space="preserve">B07MY2VQC9</t>
  </si>
  <si>
    <t xml:space="preserve">LINENSPA</t>
  </si>
  <si>
    <t xml:space="preserve">Linenspa 3 Inch Memory Foam Mattress Topper, Gel Infused Full Mattress Topper, CertiPUR-US Certified</t>
  </si>
  <si>
    <t xml:space="preserve">List: $112.42 | List:</t>
  </si>
  <si>
    <t xml:space="preserve">https://www.amazon.ca/dp/B07MY2VQC9</t>
  </si>
  <si>
    <t xml:space="preserve">B0H416B68B</t>
  </si>
  <si>
    <t xml:space="preserve">Queen Size Memory Foam Mattress Topper for Pressure Relief</t>
  </si>
  <si>
    <t xml:space="preserve">Was: $132.79 | Was:</t>
  </si>
  <si>
    <t xml:space="preserve">https://www.amazon.ca/dp/B0H416B68B</t>
  </si>
  <si>
    <t xml:space="preserve">B0DR35V498</t>
  </si>
  <si>
    <r>
      <rPr>
        <sz val="10"/>
        <color theme="1"/>
        <rFont val="Arial"/>
        <family val="2"/>
        <charset val="1"/>
      </rPr>
      <t xml:space="preserve">Premium Dual Layer 3 Inch Memory Foam Mattress Topper, 2 Inch Gel Memory Foam and 1 Inch Pillow Top Mattress Pad Cover for Back Pain, Comfort Support</t>
    </r>
    <r>
      <rPr>
        <sz val="10"/>
        <color theme="1"/>
        <rFont val="Linux Libertine G"/>
        <family val="2"/>
      </rPr>
      <t xml:space="preserve">（</t>
    </r>
    <r>
      <rPr>
        <sz val="10"/>
        <color theme="1"/>
        <rFont val="Arial"/>
        <family val="2"/>
        <charset val="1"/>
      </rPr>
      <t xml:space="preserve">Full/Double Size 54" x 75"</t>
    </r>
    <r>
      <rPr>
        <sz val="10"/>
        <color theme="1"/>
        <rFont val="Linux Libertine G"/>
        <family val="2"/>
      </rPr>
      <t xml:space="preserve">）</t>
    </r>
  </si>
  <si>
    <t xml:space="preserve">Limited-time deal | Was: $107.99 | Was:</t>
  </si>
  <si>
    <t xml:space="preserve">https://www.amazon.ca/dp/B0DR35V498</t>
  </si>
  <si>
    <t xml:space="preserve">B06XBV6FTY</t>
  </si>
  <si>
    <t xml:space="preserve">Utopia Bedding Queen Mattress Pad, Quilted Fitted Premium Mattress Protector, Deep Pocket Mattress Cover Stretches up to 16 Inches, Fluffy Pillow Top Mattress Topper (60x80 Inches, White)</t>
  </si>
  <si>
    <t xml:space="preserve">https://www.amazon.ca/dp/B06XBV6FTY</t>
  </si>
  <si>
    <t xml:space="preserve">B0F1YGYZTP</t>
  </si>
  <si>
    <t xml:space="preserve">SunStyle Home Mattress Topper Queen Memory Foam for Back Pain, Rayon Derived from Bamboo Pillow Top Mattress Topper,Thick Mattress Pad with 8-21" Deep Pocket, 60x80 Inches, White</t>
  </si>
  <si>
    <t xml:space="preserve">Limited-time deal | Was: $58.99 | Was:</t>
  </si>
  <si>
    <t xml:space="preserve">https://www.amazon.ca/dp/B0F1YGYZTP</t>
  </si>
  <si>
    <t xml:space="preserve">B0H98Z1TK8</t>
  </si>
  <si>
    <t xml:space="preserve">WhatsBedding 5 Inch Memory Foam Mattress Topper with Deep Pocket, Queen</t>
  </si>
  <si>
    <t xml:space="preserve">You pay $89.99 with coupon</t>
  </si>
  <si>
    <t xml:space="preserve">https://www.amazon.ca/dp/B0H98Z1TK8</t>
  </si>
  <si>
    <t xml:space="preserve">B0H4R1234Q</t>
  </si>
  <si>
    <t xml:space="preserve">2 Inch Egg Crate Memory Foam Mattress Topper, Ventilated Soft Pressure Relieve Mattress Pad for Back Pain Relief, CertiPUR-US Certified, Twin Size</t>
  </si>
  <si>
    <t xml:space="preserve">Was: $46.55 | Was:</t>
  </si>
  <si>
    <t xml:space="preserve">https://www.amazon.ca/dp/B0H4R1234Q</t>
  </si>
  <si>
    <t xml:space="preserve">B07WFHMD2V</t>
  </si>
  <si>
    <t xml:space="preserve">Dormeo Premium Queen Breathable Mattress Topper - Octaspring</t>
  </si>
  <si>
    <t xml:space="preserve">https://www.amazon.ca/dp/B07WFHMD2V</t>
  </si>
  <si>
    <t xml:space="preserve">B07G9FPV3R</t>
  </si>
  <si>
    <t xml:space="preserve">EASELAND</t>
  </si>
  <si>
    <t xml:space="preserve">EASELAND Queen Mattress Pad, Extra Thick Cooling Pillow Top Mattress Topper</t>
  </si>
  <si>
    <t xml:space="preserve">https://www.amazon.ca/dp/B07G9FPV3R</t>
  </si>
  <si>
    <t xml:space="preserve">B0FT3CRXHD</t>
  </si>
  <si>
    <t xml:space="preserve">Dual Layer Memory Foam Mattress Topper, Queen Mattress Pad, 4 Inch</t>
  </si>
  <si>
    <t xml:space="preserve">Limited-time deal | Was: $139.98 | Was:</t>
  </si>
  <si>
    <t xml:space="preserve">https://www.amazon.ca/dp/B0FT3CRXHD</t>
  </si>
  <si>
    <t xml:space="preserve">B0HD6RHPJK</t>
  </si>
  <si>
    <t xml:space="preserve">BEDELITE 3 Inch Egg Crate Memory Foam Mattress Topper Queen Size</t>
  </si>
  <si>
    <t xml:space="preserve">List: $151.98 | List:</t>
  </si>
  <si>
    <t xml:space="preserve">https://www.amazon.ca/dp/B0HD6RHPJK</t>
  </si>
  <si>
    <t xml:space="preserve">B0GZNZ7F5G</t>
  </si>
  <si>
    <t xml:space="preserve">WhatsBedding 5 Inch Memory Foam Mattress Topper Queen Size for Back Pain Relief, with Cooling Breathable Bamboo Viscose Air Layer</t>
  </si>
  <si>
    <t xml:space="preserve">https://www.amazon.ca/dp/B0GZNZ7F5G</t>
  </si>
  <si>
    <t xml:space="preserve">B0F6KKLL2C</t>
  </si>
  <si>
    <t xml:space="preserve">Queen Mattress Topper, 4.5 Inch Memory Foam Mattress Topper for Back Pain &amp; Pressure Relief - 2.5" Cooling Memory Foam Soft and Supportive + 2" Pillow Top Mattress Pad Cover, with 8-21" Deep Pocket</t>
  </si>
  <si>
    <t xml:space="preserve">https://www.amazon.ca/dp/B0F6KKLL2C</t>
  </si>
  <si>
    <t xml:space="preserve">B0GHKD6LN4</t>
  </si>
  <si>
    <t xml:space="preserve">Queen Mattress Topper Viscose Derived from Bamboo,1000 GSM Extra Thick Pillow Top Mattress Pad,Deep Pocket Fits Mattress 8"-21",Soft Breathable Mattress Cover for Back Pain Relief Green</t>
  </si>
  <si>
    <t xml:space="preserve">https://www.amazon.ca/dp/B0GHKD6LN4</t>
  </si>
  <si>
    <t xml:space="preserve">B0DFWB5WRQ</t>
  </si>
  <si>
    <r>
      <rPr>
        <sz val="10"/>
        <color theme="1"/>
        <rFont val="Arial"/>
        <family val="2"/>
        <charset val="1"/>
      </rPr>
      <t xml:space="preserve">4 Inch Dual Layer Memory Foam Mattress Topper Queen Size </t>
    </r>
    <r>
      <rPr>
        <sz val="10"/>
        <color theme="1"/>
        <rFont val="Linux Libertine G"/>
        <family val="2"/>
      </rPr>
      <t xml:space="preserve">，</t>
    </r>
    <r>
      <rPr>
        <sz val="10"/>
        <color theme="1"/>
        <rFont val="Arial"/>
        <family val="2"/>
        <charset val="1"/>
      </rPr>
      <t xml:space="preserve">2 Inch Cooling Gel Memory Foam Plus 2 Inch Fluffy Pillow Top Mattress Pad Cover for Back Pain with 8-21 Inch Deep Pocket</t>
    </r>
  </si>
  <si>
    <t xml:space="preserve">https://www.amazon.ca/dp/B0DFWB5WRQ</t>
  </si>
  <si>
    <t xml:space="preserve">B0DMSFGVH7</t>
  </si>
  <si>
    <t xml:space="preserve">SINWEEK 2 Inch Egg Crate Memory Foam Mattress Topper Twin Size, Soft Mattress Pad for Back Pain Relief, Bed Topper, CertiPUR-US Certified, Blue</t>
  </si>
  <si>
    <t xml:space="preserve">https://www.amazon.ca/dp/B0DMSFGVH7</t>
  </si>
  <si>
    <t xml:space="preserve">B08BNC8V2Q</t>
  </si>
  <si>
    <t xml:space="preserve">LUCID 3 Inch Gel Memory Foam Plush - Cooling Targeted Convoluted Comfort Zones Mattress Topper, Queen</t>
  </si>
  <si>
    <t xml:space="preserve">https://www.amazon.ca/dp/B08BNC8V2Q</t>
  </si>
  <si>
    <t xml:space="preserve">B0H7MVWQNX</t>
  </si>
  <si>
    <t xml:space="preserve">4 Inch Queen Memory Foam Mattress Topper, Dual Layer Cooling Bamboo Viscose</t>
  </si>
  <si>
    <t xml:space="preserve">List: $149.99 | List: | Save 5% on any 2</t>
  </si>
  <si>
    <t xml:space="preserve">https://www.amazon.ca/dp/B0H7MVWQNX</t>
  </si>
  <si>
    <t xml:space="preserve">B0FMX2LZ41</t>
  </si>
  <si>
    <t xml:space="preserve">ACCURATEX Ultra Soft Mattress Topper Queen Size 2 Inches 60x80</t>
  </si>
  <si>
    <t xml:space="preserve">https://www.amazon.ca/dp/B0FMX2LZ41</t>
  </si>
  <si>
    <t xml:space="preserve">B0GFSXXPKD</t>
  </si>
  <si>
    <t xml:space="preserve">2 Inch Gel Memory Foam Mattress Topper 5 Zone Soft Pressure Relieve Mattress Pad, Breathable Bed Topper, CertiPUR-US Certified, Twin Size</t>
  </si>
  <si>
    <t xml:space="preserve">https://www.amazon.ca/dp/B0GFSXXPKD</t>
  </si>
  <si>
    <t xml:space="preserve">B0HCW1BCP9</t>
  </si>
  <si>
    <t xml:space="preserve">4 Inch Memory Foam Mattress Topper King for Back Pain Relief, Extra Soft Pillow Top Mattress Topper, 2000GSM Fluffy Shredded Memory Foam Filled</t>
  </si>
  <si>
    <t xml:space="preserve">You pay $99.99 with coupon</t>
  </si>
  <si>
    <t xml:space="preserve">https://www.amazon.ca/dp/B0HCW1BCP9</t>
  </si>
  <si>
    <t xml:space="preserve">GBP</t>
  </si>
  <si>
    <t xml:space="preserve">B0DN1DDRHR</t>
  </si>
  <si>
    <t xml:space="preserve">Love's cabin 100% Rayon Derived from Bamboo, Queen Sheets, 4 Pieces, Grey</t>
  </si>
  <si>
    <t xml:space="preserve">LIVE_UK_bamboo</t>
  </si>
  <si>
    <t xml:space="preserve">https://www.amazon.co.uk/dp/B0DN1DDRHR</t>
  </si>
  <si>
    <t xml:space="preserve">Overseas destination retained; not domestic rank or market share. Mixed variants. Rating counts may be pooled/global; K/M rounded. Price before conditional coupons; no exact delivery quote.</t>
  </si>
  <si>
    <t xml:space="preserve">B0DN1H5PQ6</t>
  </si>
  <si>
    <t xml:space="preserve">Love's Cabin Cooling Bed Linen Set for Queen Size, 100% Bamboo Rayon, Breathable, Soft, Deep Pocket up to 16", Luxury Silky Hotel-Style Bed Sheets, White</t>
  </si>
  <si>
    <t xml:space="preserve">Was: £40.67 | Was:</t>
  </si>
  <si>
    <t xml:space="preserve">https://www.amazon.co.uk/dp/B0DN1H5PQ6</t>
  </si>
  <si>
    <t xml:space="preserve">B0F4KS65MQ</t>
  </si>
  <si>
    <t xml:space="preserve">LONAVA 100% Viscose Derived from Bamboo King Sheet Set Sky Blue, 4 Pieces Soft Cooling Bedding with Deep Pocket UP to 16", Silky Smooth, Organic &amp; Breathable, Breathable Bed Sheets</t>
  </si>
  <si>
    <t xml:space="preserve">https://www.amazon.co.uk/dp/B0F4KS65MQ</t>
  </si>
  <si>
    <t xml:space="preserve">B08L85BQYX</t>
  </si>
  <si>
    <t xml:space="preserve">Bella Coterie Luxury Bamboo Viscose Cal King Sheet Set</t>
  </si>
  <si>
    <t xml:space="preserve">https://www.amazon.co.uk/dp/B08L85BQYX</t>
  </si>
  <si>
    <t xml:space="preserve">B0DJV1K332</t>
  </si>
  <si>
    <t xml:space="preserve">Cariloha Aloha Soft Bamboo Viscose Sheet Set - Natural - Queen</t>
  </si>
  <si>
    <t xml:space="preserve">https://www.amazon.co.uk/dp/B0DJV1K332</t>
  </si>
  <si>
    <t xml:space="preserve">B0DNG144MT</t>
  </si>
  <si>
    <t xml:space="preserve">Panda London Bamboo Complete Bedding Set - Eco-Friendly, Hypoallergenic, Full Set for Comfort, UK Double, Pure White</t>
  </si>
  <si>
    <t xml:space="preserve">https://www.amazon.co.uk/dp/B0DNG144MT</t>
  </si>
  <si>
    <t xml:space="preserve">B0DN1DVKH5</t>
  </si>
  <si>
    <t xml:space="preserve">Love's cabin Cooling Sheet Set Large Bed, 100% Rayon Derived from Bamboo, Breathable, Soft, Up to 40.6 cm Deep Pocket, Luxury Silky Bed Sheets, Beige</t>
  </si>
  <si>
    <t xml:space="preserve">https://www.amazon.co.uk/dp/B0DN1DVKH5</t>
  </si>
  <si>
    <t xml:space="preserve">B0CZVWYZC1</t>
  </si>
  <si>
    <t xml:space="preserve">Bella Coterie Luxury Bamboo Viscose Full Size Sheet Set</t>
  </si>
  <si>
    <t xml:space="preserve">https://www.amazon.co.uk/dp/B0CZVWYZC1</t>
  </si>
  <si>
    <t xml:space="preserve">B0DJTRBD6F</t>
  </si>
  <si>
    <t xml:space="preserve">Cariloha Aloha Soft Bamboo Viscose Sheet Set - White - Twin</t>
  </si>
  <si>
    <t xml:space="preserve">https://www.amazon.co.uk/dp/B0DJTRBD6F</t>
  </si>
  <si>
    <t xml:space="preserve">B0CZR6NPB8</t>
  </si>
  <si>
    <t xml:space="preserve">4 PCS 100% Organic Bamboo Viscose Sheets Set | 400 TC Premium Sateen Weave | Soft, Cooling and Breathable - 17" Fitted Sheet, Flat Sheet and 2 Pillowcase (Silver, King)</t>
  </si>
  <si>
    <t xml:space="preserve">https://www.amazon.co.uk/dp/B0CZR6NPB8</t>
  </si>
  <si>
    <t xml:space="preserve">B0CQ211XX4</t>
  </si>
  <si>
    <t xml:space="preserve">PHF Cooling Sheets Set Twin Size, Rayon Derived from Bamboo &amp; Polyester, Breathable &amp; Wrinkle Free Silky Soft Bedding Sheets, Wider Elastic Band, 16" Deep Pocket Bedding Set &amp; Pillowcase, Sage Green</t>
  </si>
  <si>
    <t xml:space="preserve">https://www.amazon.co.uk/dp/B0CQ211XX4</t>
  </si>
  <si>
    <t xml:space="preserve">B0GVDQXR4N</t>
  </si>
  <si>
    <t xml:space="preserve">100% Bamboo Viscose Twin Size Sheets Set, 400 Thread Count, 3 Pieces</t>
  </si>
  <si>
    <t xml:space="preserve">https://www.amazon.co.uk/dp/B0GVDQXR4N</t>
  </si>
  <si>
    <t xml:space="preserve">B0B59138FW</t>
  </si>
  <si>
    <t xml:space="preserve">Threadmill Rayon Bamboo Queen Sheet Set - Viscose Bamboo Sheets for Queen Size Bed, 4 Piece Dark Grey - Silky Soft, Cool, Lightweight, Breathable - 16 Inch Deep Pocket - Moisture Wicking &amp; Cooling</t>
  </si>
  <si>
    <t xml:space="preserve">https://www.amazon.co.uk/dp/B0B59138FW</t>
  </si>
  <si>
    <t xml:space="preserve">B0CL1RYQ1V</t>
  </si>
  <si>
    <t xml:space="preserve">PHF Bamboo Queen Bedsheet - Wider Elastic Band Cooling Sheets Made with Rayon Derived from Bamboo - 16 Inch Deep Pockets - 6 PC Luxury Soft Breathable Bedding Sheets for Hot Sleeper, Light Taupe</t>
  </si>
  <si>
    <t xml:space="preserve">https://www.amazon.co.uk/dp/B0CL1RYQ1V</t>
  </si>
  <si>
    <t xml:space="preserve">B0FD9XHTJJ</t>
  </si>
  <si>
    <t xml:space="preserve">JSD 100% Viscose Derived from Bamboo Sheet Set Full, Olive Green Cooling Sheets for Hot Sleepers, Soft Silky Breathable Bed Sheets Deep Pocket</t>
  </si>
  <si>
    <t xml:space="preserve">https://www.amazon.co.uk/dp/B0FD9XHTJJ</t>
  </si>
  <si>
    <t xml:space="preserve">B0BX9H7SJ7</t>
  </si>
  <si>
    <t xml:space="preserve">ILAVANDE Sage King Size Sheets Set 6 Piece,Super Soft 1800 Series Microfiber Bed Sheets King Set-Wrinkle &amp; Fade Resistant-14“ Deep Pockets Sheets for King Size Bed(King,Sage Green)</t>
  </si>
  <si>
    <t xml:space="preserve">https://www.amazon.co.uk/dp/B0BX9H7SJ7</t>
  </si>
  <si>
    <t xml:space="preserve">B08TB9TBWZ</t>
  </si>
  <si>
    <t xml:space="preserve">Viscose Sheet Set - Queen Size,100% Rayon Made from Bamboo,4 Piece Set with Deep Pockets up to 18 Inches - Luxuriously Soft, Cooling, and Silky Sateen Weave - Gray (Queen)</t>
  </si>
  <si>
    <t xml:space="preserve">https://www.amazon.co.uk/dp/B08TB9TBWZ</t>
  </si>
  <si>
    <t xml:space="preserve">B0CH7PHV99</t>
  </si>
  <si>
    <t xml:space="preserve">Luxury Bamboo Market | King Size Bed Sheet Set | 100% Viscose Made from Bamboo | Organically Grown | Ultra Soft | Cooling Sheets for Hot Sleepers | 17" Deep Pocket [Midnight Blue]</t>
  </si>
  <si>
    <t xml:space="preserve">https://www.amazon.co.uk/dp/B0CH7PHV99</t>
  </si>
  <si>
    <t xml:space="preserve">B0F29F1JM5</t>
  </si>
  <si>
    <t xml:space="preserve">SONORO KATE</t>
  </si>
  <si>
    <t xml:space="preserve">SONORO KATE 100% Viscose Derived from Bamboo_Sheets Queen Size, Ultra Breathable &amp; Cooling Bed Sheets for Hot Sleepers, Hotel Luxury Silky Bedding Sheets, 16" Deep Pocket - 4PC (Dark Grey,Queen)</t>
  </si>
  <si>
    <t xml:space="preserve">https://www.amazon.co.uk/dp/B0F29F1JM5</t>
  </si>
  <si>
    <t xml:space="preserve">B087N637G4</t>
  </si>
  <si>
    <t xml:space="preserve">YnM Bamboo Bed Sheet Set, 400TC Fabric with 2 Pillowcases and Flat Sheet, Deep Pocket Fit 19'', Cooling and Silky-Soft Feel, Sweat Wicking, 4 Piece (Full, Bamboo White)</t>
  </si>
  <si>
    <t xml:space="preserve">https://www.amazon.co.uk/dp/B087N637G4</t>
  </si>
  <si>
    <t xml:space="preserve">B0FNQ4JJX7</t>
  </si>
  <si>
    <t xml:space="preserve">MURT White King Size Sheets Set Viscose from Bamboo Bed Sheets</t>
  </si>
  <si>
    <t xml:space="preserve">https://www.amazon.co.uk/dp/B0FNQ4JJX7</t>
  </si>
  <si>
    <t xml:space="preserve">B01DL7JI3S</t>
  </si>
  <si>
    <t xml:space="preserve">Royal Hotel Bedding King Coral Bamboo Bed Sheets 100% Bamboo Viscose Sheet Set</t>
  </si>
  <si>
    <t xml:space="preserve">https://www.amazon.co.uk/dp/B01DL7JI3S</t>
  </si>
  <si>
    <t xml:space="preserve">B0CDVSSMZ5</t>
  </si>
  <si>
    <t xml:space="preserve">Bamboo Viscose Flat Sheets Only, 400 Thread Count Sateen Weave King Size Flat Sheet Only, Luxury Soft Cooling for Hot Sleepers, Silky Breathable (White, King)</t>
  </si>
  <si>
    <t xml:space="preserve">https://www.amazon.co.uk/dp/B0CDVSSMZ5</t>
  </si>
  <si>
    <t xml:space="preserve">B0CHWDJXQY</t>
  </si>
  <si>
    <t xml:space="preserve">ROYALE LINENS Bamboo Viscose Twin Sheet Set - Cooling Bed Sheet Set - 1 Fitted, 1 Flat &amp; Pillowcase - Fits Up to 16" - Organic Viscose Derived from Bamboo - Bedding Sheet &amp; Pillowcase (Twin, Grey)</t>
  </si>
  <si>
    <t xml:space="preserve">https://www.amazon.co.uk/dp/B0CHWDJXQY</t>
  </si>
  <si>
    <t xml:space="preserve">B0CQ2ZWSN7</t>
  </si>
  <si>
    <t xml:space="preserve">DECOLURE 100% Viscose Derived from Bamboo Sheets Queen Size 6pcs - Ultra Soft &amp; Luxuriously Cooling, 17" Deep Pocket, Double Stitching, Perfect for Hot Sleepers - Queen Bed Sheets (Burgundy)</t>
  </si>
  <si>
    <t xml:space="preserve">https://www.amazon.co.uk/dp/B0CQ2ZWSN7</t>
  </si>
  <si>
    <t xml:space="preserve">B08BHW3Y3T</t>
  </si>
  <si>
    <t xml:space="preserve">Bamboo Bay 6 Piece King Size Sheet Set, 100% Viscose Made from Bamboo, Breathable, Ultra Soft Cooling Bed Sheets for Hot Sleepers, Beddings with Deep Pockets Fit 16" Mattress, Dark Grey</t>
  </si>
  <si>
    <t xml:space="preserve">https://www.amazon.co.uk/dp/B08BHW3Y3T</t>
  </si>
  <si>
    <t xml:space="preserve">B00KQIA49I</t>
  </si>
  <si>
    <t xml:space="preserve">Cariloha Classic Bamboo Viscose Sheet Set - Beach Linen - Queen</t>
  </si>
  <si>
    <t xml:space="preserve">https://www.amazon.co.uk/dp/B00KQIA49I</t>
  </si>
  <si>
    <t xml:space="preserve">B0HHS3KLN6</t>
  </si>
  <si>
    <t xml:space="preserve">Real 100% Viscose Derived from Bamboo Sheets Set Queen Size, Cooling &amp; Silky Soft for Hot Sleeper, Luxury with Breathable &amp; Moisture Wicking Fabric, 18" Deep Pocket with Corner Straps (Sea Glass, Q)</t>
  </si>
  <si>
    <t xml:space="preserve">https://www.amazon.co.uk/dp/B0HHS3KLN6</t>
  </si>
  <si>
    <t xml:space="preserve">B00XX0MZB6</t>
  </si>
  <si>
    <t xml:space="preserve">Royal Hotel Full Viscose from Bamboo Cotton Blend Sheets Set, Charcoal</t>
  </si>
  <si>
    <t xml:space="preserve">https://www.amazon.co.uk/dp/B00XX0MZB6</t>
  </si>
  <si>
    <t xml:space="preserve">B08M9BVQKF</t>
  </si>
  <si>
    <t xml:space="preserve">Bamboo Bay 4 Piece King Size Sheet Set, 100% Viscose Made from Bamboo, Breathable, Ultra Soft Cooling Bed Sheets for Hot Sleepers, Beddings with Deep Pockets Fit 16" Mattress, Sand Beige</t>
  </si>
  <si>
    <t xml:space="preserve">https://www.amazon.co.uk/dp/B08M9BVQKF</t>
  </si>
  <si>
    <t xml:space="preserve">B0CHN4CJMM</t>
  </si>
  <si>
    <t xml:space="preserve">Kickoff Viscose Bamboo Fitted Sheet Queen Size, 100% Organic Cooling Sheets Fitted ONLY Viscose Bamboo Sheets Queen Size Bed Sheet for Hot Sleepers, Extra Deep Pocket, 4 Corner Strap (Q, Snow White)</t>
  </si>
  <si>
    <t xml:space="preserve">https://www.amazon.co.uk/dp/B0CHN4CJMM</t>
  </si>
  <si>
    <t xml:space="preserve">B08MVX21KG</t>
  </si>
  <si>
    <t xml:space="preserve">Bamboo Bay 6 Piece California King Size Sheet Set, 100% Viscose Made from Bamboo, Breathable, Ultra Soft Cooling Bed Sheets for Hot Sleepers, Beddings with Deep Pockets Fit 16" Mattress, Sand Beige</t>
  </si>
  <si>
    <t xml:space="preserve">https://www.amazon.co.uk/dp/B08MVX21KG</t>
  </si>
  <si>
    <t xml:space="preserve">B01BN4L3CU</t>
  </si>
  <si>
    <t xml:space="preserve">Royal Hotel Cal King Viscose from Bamboo &amp; Cotton Sheets Set, Periwinkle</t>
  </si>
  <si>
    <t xml:space="preserve">https://www.amazon.co.uk/dp/B01BN4L3CU</t>
  </si>
  <si>
    <t xml:space="preserve">B0DZ1MJBGK</t>
  </si>
  <si>
    <t xml:space="preserve">EVERLY Queen Sheets Set,Luxuriously 400 Thread Count Organic Viscose Derived from Bamboo Bed Sheet,Cooling Sheets for Queen Size 4 Piece Deep Pockets Bedding Sheets &amp;Pillowcases-Aqua</t>
  </si>
  <si>
    <t xml:space="preserve">https://www.amazon.co.uk/dp/B0DZ1MJBGK</t>
  </si>
  <si>
    <t xml:space="preserve">B0F7XXS7KZ</t>
  </si>
  <si>
    <t xml:space="preserve">Shilucheng 100% Viscose Derived from Bamboo_ Sheets Set</t>
  </si>
  <si>
    <t xml:space="preserve">https://www.amazon.co.uk/dp/B0F7XXS7KZ</t>
  </si>
  <si>
    <t xml:space="preserve">B0DJLRKJQQ</t>
  </si>
  <si>
    <t xml:space="preserve">EVERLY Twin Sheets Set,Luxuriously 400 Thread Count Organic Viscose Derived from Bamboo Bed Sheet,Cooling Sheets for Twin Size 3 Piece Deep Pockets Bedding Sheets &amp;Pillowcases-Black</t>
  </si>
  <si>
    <t xml:space="preserve">https://www.amazon.co.uk/dp/B0DJLRKJQQ</t>
  </si>
  <si>
    <t xml:space="preserve">DECOLURE 100% Viscose Derived from Bamboo Sheets Queen Size | 6 Pc Bed Set</t>
  </si>
  <si>
    <t xml:space="preserve">https://www.amazon.co.uk/dp/B0CQ2ZWGNQ</t>
  </si>
  <si>
    <t xml:space="preserve">B0G84T4WBZ</t>
  </si>
  <si>
    <t xml:space="preserve">Kickoff Viscose Bamboo Sheets King Size 4-pc 100% Organic Bamboo Viscose Bed Cooling Sheets King Size Set Cool Bedding for hot Sleepers Sheet Set - Gift Ready Packaging (Sand, K)</t>
  </si>
  <si>
    <t xml:space="preserve">https://www.amazon.co.uk/dp/B0G84T4WBZ</t>
  </si>
  <si>
    <t xml:space="preserve">B07YSTZRS4</t>
  </si>
  <si>
    <t xml:space="preserve">Tafts Queen Size Bedding Set, Pure 100% Bamboo Viscose Luxuriously Soft Silky, Cooling Linen, Double Stitching, Grey-Grey</t>
  </si>
  <si>
    <t xml:space="preserve">https://www.amazon.co.uk/dp/B07YSTZRS4</t>
  </si>
  <si>
    <t xml:space="preserve">B0GK282TSG</t>
  </si>
  <si>
    <t xml:space="preserve">TWK Genuine 100% Viscose Derived from Bamboo Sheets Set,Cooling Sheet Set (4-Piece), Moisture-Wicking, 18" Deep Pocket Fitted Sheet (Sand, King)</t>
  </si>
  <si>
    <t xml:space="preserve">https://www.amazon.co.uk/dp/B0GK282TSG</t>
  </si>
  <si>
    <t xml:space="preserve">B0DN1MFZGG</t>
  </si>
  <si>
    <t xml:space="preserve">Royal Hotel Full 100% Viscose from Bamboo Sheets Set, Ivory</t>
  </si>
  <si>
    <t xml:space="preserve">https://www.amazon.co.uk/dp/B0DN1MFZGG</t>
  </si>
  <si>
    <t xml:space="preserve">B0G847WBM3</t>
  </si>
  <si>
    <t xml:space="preserve">Kickoff Viscose Bamboo Sheets King Size 4-pc 100% Organic Bamboo Viscose Bed Cooling Sheets King Size Set Cool Bedding for hot Sleepers Sheet Set - Gift Ready Packaging (Dark Blue, K)</t>
  </si>
  <si>
    <t xml:space="preserve">https://www.amazon.co.uk/dp/B0G847WBM3</t>
  </si>
  <si>
    <t xml:space="preserve">B07LGDHDWX</t>
  </si>
  <si>
    <t xml:space="preserve">Zipper Pillow Cases - 100% Viscose Bamboo Pillowcase 2-Pack Zip Up Cooling Zippered Pillow Cases Standard Size, Protector Cover</t>
  </si>
  <si>
    <t xml:space="preserve">https://www.amazon.co.uk/dp/B07LGDHDWX</t>
  </si>
  <si>
    <t xml:space="preserve">B078VNZCHT</t>
  </si>
  <si>
    <t xml:space="preserve">Royal Tradition Bamboo Viscose Sheet Set King Size Plain Dyed Super Soft Fresh 4 Piece</t>
  </si>
  <si>
    <t xml:space="preserve">https://www.amazon.co.uk/dp/B078VNZCHT</t>
  </si>
  <si>
    <t xml:space="preserve">B0DDTWSK28</t>
  </si>
  <si>
    <t xml:space="preserve">SLEEP SANCTUARY 100% Viscose Derived from Bamboo Sheets Full Size, 6 Pc Set</t>
  </si>
  <si>
    <t xml:space="preserve">https://www.amazon.co.uk/dp/B0DDTWSK28</t>
  </si>
  <si>
    <t xml:space="preserve">B0CF2MND41</t>
  </si>
  <si>
    <t xml:space="preserve">100% Viscose from Bamboo Sheets King Size, Cooling Sheets for Hot Sleepers, King Size Viscose from Bamboo Sheets Set, Cooling Sheets King, King Size Bed Sheets Set Cooling, Luxury Sheets (Gray)</t>
  </si>
  <si>
    <t xml:space="preserve">https://www.amazon.co.uk/dp/B0CF2MND41</t>
  </si>
  <si>
    <t xml:space="preserve">B0CRHZ1CK3</t>
  </si>
  <si>
    <t xml:space="preserve">DECOLURE 100% Viscose Derived from Bamboo Sheets Queen Size | 4 Pc Bed Set</t>
  </si>
  <si>
    <t xml:space="preserve">https://www.amazon.co.uk/dp/B0CRHZ1CK3</t>
  </si>
  <si>
    <t xml:space="preserve">B09ZVQLMCM</t>
  </si>
  <si>
    <t xml:space="preserve">Cozy Earth Luxury 100% Viscose Bamboo Bed Sheet Set</t>
  </si>
  <si>
    <t xml:space="preserve">https://www.amazon.co.uk/dp/B09ZVQLMCM</t>
  </si>
  <si>
    <t xml:space="preserve">B07CCQCW3S</t>
  </si>
  <si>
    <t xml:space="preserve">GC GAVENO CAVAILIA</t>
  </si>
  <si>
    <t xml:space="preserve">GC GAVENO CAVAILIA Damask Bedding,3 pcs, Double Bed Set - Flower Duvet Cover - Comforter Covers With Pillow Cases - Black</t>
  </si>
  <si>
    <t xml:space="preserve">RRP: £14.09 | RRP: | Save 5% on any 4 qualifying items</t>
  </si>
  <si>
    <t xml:space="preserve">LIVE_UK_comforter</t>
  </si>
  <si>
    <t xml:space="preserve">https://www.amazon.co.uk/dp/B07CCQCW3S</t>
  </si>
  <si>
    <t xml:space="preserve">B095M99LXJ</t>
  </si>
  <si>
    <t xml:space="preserve">PRIME LINENS</t>
  </si>
  <si>
    <t xml:space="preserve">PRIME LINENS 3 Piece Inspiration Quilted Bedspread Embossed Pattern Comforter Bedding Set Bed Throw with Pillow Case (Beige, King 3 Piece)</t>
  </si>
  <si>
    <t xml:space="preserve">https://www.amazon.co.uk/dp/B095M99LXJ</t>
  </si>
  <si>
    <t xml:space="preserve">B00NWPV6Q2</t>
  </si>
  <si>
    <t xml:space="preserve">Utopia Bedding Duvet Cover Queen Size - 3 Piece with Zipper Closure - 1 Comforter Cover 90X90 Inches &amp; 2 Pillow Shams 20X26 Inches (White) Comforter Not Included</t>
  </si>
  <si>
    <t xml:space="preserve">Save 5% on any 4 qualifying items</t>
  </si>
  <si>
    <t xml:space="preserve">https://www.amazon.co.uk/dp/B00NWPV6Q2</t>
  </si>
  <si>
    <t xml:space="preserve">B0DCKH6VV7</t>
  </si>
  <si>
    <t xml:space="preserve">Nestl Queen Comforter Set 7 Piece - Reversible Comforters Queen Size Grey, Bed in a Bag Queen All Season, Queen Size Comforter Sets Bedding with Flat Sheet and Fitted Sheet, Pillowcases and Shams</t>
  </si>
  <si>
    <t xml:space="preserve">Was: £51.70 | Was:</t>
  </si>
  <si>
    <t xml:space="preserve">https://www.amazon.co.uk/dp/B0DCKH6VV7</t>
  </si>
  <si>
    <t xml:space="preserve">B09XBNHQQZ</t>
  </si>
  <si>
    <t xml:space="preserve">Maple&amp;Stone Queen Size Comforter Set 7 Pieces Bed in a Bag - Down Alternative Bed Set with Sheets, Pillowcases &amp; Shams, Soft Reversible Duvet Insert for Queen Bed, Dark Grey &amp; Light Grey</t>
  </si>
  <si>
    <t xml:space="preserve">https://www.amazon.co.uk/dp/B09XBNHQQZ</t>
  </si>
  <si>
    <t xml:space="preserve">B099DK7RYY</t>
  </si>
  <si>
    <t xml:space="preserve">Comfort Spaces Juliette Luxe Comforter Set Velvet Lush with Soft Brushed Microfiber Reverse, All Season Cozy Velvet Bedding Sets, Fluffy Comforter Bed Set, Matching Sham, Grey Twin/Twin XL 2 Piece</t>
  </si>
  <si>
    <t xml:space="preserve">https://www.amazon.co.uk/dp/B099DK7RYY</t>
  </si>
  <si>
    <t xml:space="preserve">B0854JMK3W</t>
  </si>
  <si>
    <t xml:space="preserve">Utopia</t>
  </si>
  <si>
    <t xml:space="preserve">Utopia Queen Size Bedding Set - 1 Duvet Cover with 2 Pillow Shams - 3 Pieces Comforter Cover with Zipper Closure - Ultra Soft Brushed Microfiber, 90 X 90 Inches (Black)</t>
  </si>
  <si>
    <t xml:space="preserve">Was: £17.98 | Was: | Save 5% on any 4 qualifying items</t>
  </si>
  <si>
    <t xml:space="preserve">https://www.amazon.co.uk/dp/B0854JMK3W</t>
  </si>
  <si>
    <t xml:space="preserve">B0B5LDJ7CF</t>
  </si>
  <si>
    <t xml:space="preserve">WDCOZY White Queen Size Quilt Bedding Sets with Pillow Shams, Lightweight Soft Bedspread Coverlet, Quilted Blanket Thin Comforter Bed Cover, All Season Summer Spring, 3 Pieces, 90x90 inches</t>
  </si>
  <si>
    <t xml:space="preserve">https://www.amazon.co.uk/dp/B0B5LDJ7CF</t>
  </si>
  <si>
    <t xml:space="preserve">B0FQVH5YN3</t>
  </si>
  <si>
    <t xml:space="preserve">BQC 3-Piece Quilted Bedspread Set, Diamond Pattern Comforter with Pillow Shams, Lightweight All-Season Bedding (Mink, King)</t>
  </si>
  <si>
    <t xml:space="preserve">https://www.amazon.co.uk/dp/B0FQVH5YN3</t>
  </si>
  <si>
    <t xml:space="preserve">B0794QP2C4</t>
  </si>
  <si>
    <t xml:space="preserve">GC GAVENO CAVAILIA Checked Bedding Double Bed Set - Hypoallergenic Reversible Duvet Cover With Pillowcases - Comforter Cover Duvet Sets (200x200 cm) - Grey</t>
  </si>
  <si>
    <t xml:space="preserve">https://www.amazon.co.uk/dp/B0794QP2C4</t>
  </si>
  <si>
    <t xml:space="preserve">B0794QSTDB</t>
  </si>
  <si>
    <t xml:space="preserve">Gaveno Cavailia Luxury URBAN OMBRE Bed Set with Duvet Cover and Pillow Case, Polyester-Cotton, Grey, Double,11149378</t>
  </si>
  <si>
    <t xml:space="preserve">RRP: £14.49 | RRP: | Save 5% on any 4 qualifying items</t>
  </si>
  <si>
    <t xml:space="preserve">https://www.amazon.co.uk/dp/B0794QSTDB</t>
  </si>
  <si>
    <t xml:space="preserve">B0BXL2H1LD</t>
  </si>
  <si>
    <t xml:space="preserve">YIRDDEO Pink Full Size Comforter Set 3Pcs, Boho Blush Full Comforter Set Farmhouse Full Size Bedding Set, Vertical Tufted Full Bed Set, Lightweight Neutral Full Bedroom Set (1 Comforter 2 Pillowcase)</t>
  </si>
  <si>
    <t xml:space="preserve">https://www.amazon.co.uk/dp/B0BXL2H1LD</t>
  </si>
  <si>
    <t xml:space="preserve">B074JF3R3X</t>
  </si>
  <si>
    <t xml:space="preserve">GC GAVENO CAVAILIA Tropical Leaf Bedding and Linen Set, Reversible Duvet Cover King Size, Ultra Soft Comforter Set</t>
  </si>
  <si>
    <t xml:space="preserve">RRP: £16.69 | RRP: | Save 5% on any 4 qualifying items</t>
  </si>
  <si>
    <t xml:space="preserve">https://www.amazon.co.uk/dp/B074JF3R3X</t>
  </si>
  <si>
    <t xml:space="preserve">B086QPF5VZ</t>
  </si>
  <si>
    <t xml:space="preserve">Basic Beyond Queen Comforter Set - Navy Blue Comforter Set Queen Size, Reversible Bed Comforter Queen Set for All Seasons, Navy/Grey, 1 Comforter (88"x92") and 2 Pillow Shams (20"x26"+2")</t>
  </si>
  <si>
    <t xml:space="preserve">https://www.amazon.co.uk/dp/B086QPF5VZ</t>
  </si>
  <si>
    <t xml:space="preserve">B0D2P5ZZHF</t>
  </si>
  <si>
    <t xml:space="preserve">GC GAVENO CAVAILIA Duvet Cover Double with Pillowcases | Breathable Polycotton Comforter Cover with Pillowcases | Reversible Double Bedding Set (200x200 cm) | Washable Bed Set | Charcoal</t>
  </si>
  <si>
    <t xml:space="preserve">https://www.amazon.co.uk/dp/B0D2P5ZZHF</t>
  </si>
  <si>
    <t xml:space="preserve">B09NY92QSL</t>
  </si>
  <si>
    <t xml:space="preserve">Utopia Bedding Double Duvet Cover Set – 3 Piece Microfiber Bedding Set – Includes 1 Duvet Cover with hidden zipper &amp; 2 Pillowcases with envelop closure (Grey)</t>
  </si>
  <si>
    <t xml:space="preserve">https://www.amazon.co.uk/dp/B09NY92QSL</t>
  </si>
  <si>
    <t xml:space="preserve">B09964YLLX</t>
  </si>
  <si>
    <t xml:space="preserve">PRIME LINENS Luxury Quilted Patchwork Bedspread Bed Throw 3 Piece Bedding Set Includes Comforter &amp; 2 Pillow Shams Floral Design Coverlet Embroidered (Meadow, King)</t>
  </si>
  <si>
    <t xml:space="preserve">https://www.amazon.co.uk/dp/B09964YLLX</t>
  </si>
  <si>
    <t xml:space="preserve">B09DGSZSWK</t>
  </si>
  <si>
    <t xml:space="preserve">Pamposh Double Duvet Set Premium Brushed Microfibre Luxury Bedding Set</t>
  </si>
  <si>
    <t xml:space="preserve">https://www.amazon.co.uk/dp/B09DGSZSWK</t>
  </si>
  <si>
    <t xml:space="preserve">B0CRDMHBVZ</t>
  </si>
  <si>
    <t xml:space="preserve">ROSGONIA King Size Comforter Set Ivory, 3pcs (1 Boho Comforter &amp; 2 Pillowcases) All Season Bedding Soft Lightweight Bedspread Cozy Blanket Quilt</t>
  </si>
  <si>
    <t xml:space="preserve">https://www.amazon.co.uk/dp/B0CRDMHBVZ</t>
  </si>
  <si>
    <t xml:space="preserve">B0FDH63KQ2</t>
  </si>
  <si>
    <t xml:space="preserve">Rohi Anti-Allergy Double Duvet 10.5 Tog with 2 Deluxe Pillows – Midweight – Luxurious Comfort All Season Duvet – Soft &amp; Breathable Corvin Quilt</t>
  </si>
  <si>
    <t xml:space="preserve">https://www.amazon.co.uk/dp/B0FDH63KQ2</t>
  </si>
  <si>
    <t xml:space="preserve">B0DGY2C8K2</t>
  </si>
  <si>
    <t xml:space="preserve">GC GAVENO CAVAILIA Double Bedding Duvet Set - Breathable Geometric Duvet Covers With Pillowcases - Microfiber Soft Quilt Cover Double (200x200 cm) - Washable</t>
  </si>
  <si>
    <t xml:space="preserve">https://www.amazon.co.uk/dp/B0DGY2C8K2</t>
  </si>
  <si>
    <t xml:space="preserve">B0D9QKTPCK</t>
  </si>
  <si>
    <t xml:space="preserve">GC GAVENO CAVAILIA Floral Bedding Double Bed Set (200x200 cm), Reversible Leaf Duvet Cover With Pillowcases, Breathable Bed Covers Double Bed, Lavender</t>
  </si>
  <si>
    <t xml:space="preserve">https://www.amazon.co.uk/dp/B0D9QKTPCK</t>
  </si>
  <si>
    <t xml:space="preserve">B0794P1XWR</t>
  </si>
  <si>
    <t xml:space="preserve">Gaveno Cavailia Luxury URBAN OMBRE Bed Set with Duvet Cover and Pillow Case, Polyester-Cotton, Teal, Single, 11149484</t>
  </si>
  <si>
    <t xml:space="preserve">Single</t>
  </si>
  <si>
    <t xml:space="preserve">https://www.amazon.co.uk/dp/B0794P1XWR</t>
  </si>
  <si>
    <t xml:space="preserve">B09NQYJWXP</t>
  </si>
  <si>
    <t xml:space="preserve">Double Duvet -Printed Comforter Bedspreads, Coverlets &amp; Sets, 2 Pillowcases Warm and Anti Allergy All Season Coverless Duvet, Throws For Bed. (Double (200x200cm), Grey)</t>
  </si>
  <si>
    <t xml:space="preserve">https://www.amazon.co.uk/dp/B09NQYJWXP</t>
  </si>
  <si>
    <t xml:space="preserve">B0DJ6WWZP2</t>
  </si>
  <si>
    <t xml:space="preserve">WDCOZY Beige King Size Quilt Bedding Sets with 2 Pillow Shams, Neutral Lightweight Soft Bedspread Coverlet, Quilted Blanket Thin Comforter Bed Cover for All Season, 3 Pieces, 104x90 inches</t>
  </si>
  <si>
    <t xml:space="preserve">https://www.amazon.co.uk/dp/B0DJ6WWZP2</t>
  </si>
  <si>
    <t xml:space="preserve">B0DQ97X7VJ</t>
  </si>
  <si>
    <t xml:space="preserve">Z&amp;A Bedding White Pintuck Duvet Covers Super King - Soft Brushed Microfiber Quilt Cover With Pillow Cases - Breathable &amp; Washable Comforter - Easy Care Set</t>
  </si>
  <si>
    <t xml:space="preserve">Super King</t>
  </si>
  <si>
    <t xml:space="preserve">https://www.amazon.co.uk/dp/B0DQ97X7VJ</t>
  </si>
  <si>
    <t xml:space="preserve">B0CLS1R9KN</t>
  </si>
  <si>
    <t xml:space="preserve">Quataly Full Comforter Set Seersucker Lightweight Bed Set for All Season</t>
  </si>
  <si>
    <t xml:space="preserve">https://www.amazon.co.uk/dp/B0CLS1R9KN</t>
  </si>
  <si>
    <t xml:space="preserve">B074JFCR27</t>
  </si>
  <si>
    <t xml:space="preserve">GC GAVENO CAVAILIA Tropical Leaf Duvet Cover Single, Soft &amp; Cosy Bedding Set, Poly Cotton Reversible Comforter Set, Multi</t>
  </si>
  <si>
    <t xml:space="preserve">https://www.amazon.co.uk/dp/B074JFCR27</t>
  </si>
  <si>
    <t xml:space="preserve">B07BP99HN6</t>
  </si>
  <si>
    <t xml:space="preserve">GC GAVENO CAVAILIA Damask Bedding Double Bed Set - Flower Duvet Cover - Comforter Covers With Pillow Cases - Purple, 3 pieces</t>
  </si>
  <si>
    <t xml:space="preserve">https://www.amazon.co.uk/dp/B07BP99HN6</t>
  </si>
  <si>
    <t xml:space="preserve">B0B4G73QVJ</t>
  </si>
  <si>
    <t xml:space="preserve">GC GAVENO CAVAILIA Floral Duvet Cover, Reversible Quilt Bedding Double Bed Set, Cosy Comforter Covers, Blush Pink (705888)</t>
  </si>
  <si>
    <t xml:space="preserve">https://www.amazon.co.uk/dp/B0B4G73QVJ</t>
  </si>
  <si>
    <t xml:space="preserve">B07FDXJHWK</t>
  </si>
  <si>
    <t xml:space="preserve">Adam Home 4PCS Complete Reversible (Red Black, Double)</t>
  </si>
  <si>
    <t xml:space="preserve">https://www.amazon.co.uk/dp/B07FDXJHWK</t>
  </si>
  <si>
    <t xml:space="preserve">B0C5C35B6Q</t>
  </si>
  <si>
    <t xml:space="preserve">WDCOZY Sage Green Quilt King Size Bedding Sets with Pillow Shams, Lightweight Soft Bedspread Coverlet, Quilted Blanket Thin Comforter Bed Cover, All Season Spring Summer, 3 Pieces, 104x90 inches</t>
  </si>
  <si>
    <t xml:space="preserve">Was: £48.02 | Was:</t>
  </si>
  <si>
    <t xml:space="preserve">https://www.amazon.co.uk/dp/B0C5C35B6Q</t>
  </si>
  <si>
    <t xml:space="preserve">B08PHH95JT</t>
  </si>
  <si>
    <t xml:space="preserve">https://www.amazon.co.uk/dp/B08PHH95JT</t>
  </si>
  <si>
    <t xml:space="preserve">B0H5X6B215</t>
  </si>
  <si>
    <t xml:space="preserve">furn. Ghoul Gardens Duvet Cover Set (Multicolour - King)</t>
  </si>
  <si>
    <t xml:space="preserve">RRP: £30.00 | RRP: | Save 5% on any 4 qualifying items</t>
  </si>
  <si>
    <t xml:space="preserve">https://www.amazon.co.uk/dp/B0H5X6B215</t>
  </si>
  <si>
    <t xml:space="preserve">B0CJTJKN4D</t>
  </si>
  <si>
    <t xml:space="preserve">Yellow Floral Comforter Set King Size 7 Pieces Reversible Bed in a Bag with Sheets Set for All Season, Soft Microfiber Complete Bedding Set King (104"x90")</t>
  </si>
  <si>
    <t xml:space="preserve">https://www.amazon.co.uk/dp/B0CJTJKN4D</t>
  </si>
  <si>
    <t xml:space="preserve">B0DPVNKRHF</t>
  </si>
  <si>
    <t xml:space="preserve">Q&amp;H Double Duvet Cover Set Pillow Pair Cases - Soft Polyester Microfiber Breathable &amp; Washable Comforter Sets - Ultra Soft Comfy Quilt Cover Pintuck Design(White, Double 200x200cm)</t>
  </si>
  <si>
    <t xml:space="preserve">https://www.amazon.co.uk/dp/B0DPVNKRHF</t>
  </si>
  <si>
    <t xml:space="preserve">B01IVVBS7I</t>
  </si>
  <si>
    <t xml:space="preserve">Amazon Basics Single Duvet Cover Set with Pillowcase, 85 gsm Microfibre, Navy Blue</t>
  </si>
  <si>
    <t xml:space="preserve">Was: £8.75 | Was:</t>
  </si>
  <si>
    <t xml:space="preserve">https://www.amazon.co.uk/dp/B01IVVBS7I</t>
  </si>
  <si>
    <t xml:space="preserve">B08VGJK7P9</t>
  </si>
  <si>
    <t xml:space="preserve">GC GAVENO CAVAILIA Blossom Bedding Set - Flower Comforter Cover - Botanical Bed linen - Super King Bed Set - Duck Egg</t>
  </si>
  <si>
    <t xml:space="preserve">https://www.amazon.co.uk/dp/B08VGJK7P9</t>
  </si>
  <si>
    <t xml:space="preserve">B073RJR1XT</t>
  </si>
  <si>
    <t xml:space="preserve">Sweet Home Collection 5 Piece Comforter Set Bag Solid Color All Season Soft Down Alternative Blanket &amp; Luxurious Microfiber Bed Sheets, Navy, Twin</t>
  </si>
  <si>
    <t xml:space="preserve">https://www.amazon.co.uk/dp/B073RJR1XT</t>
  </si>
  <si>
    <t xml:space="preserve">B0FKTHD5TS</t>
  </si>
  <si>
    <t xml:space="preserve">furn. Kinfolk Duvet Cover Set (Denim Blue - King)</t>
  </si>
  <si>
    <t xml:space="preserve">https://www.amazon.co.uk/dp/B0FKTHD5TS</t>
  </si>
  <si>
    <t xml:space="preserve">B0G6CZGQNR</t>
  </si>
  <si>
    <t xml:space="preserve">Utopia Bedding 3 Pc Queen Comforter Set, Printed Comforter, Cottage Stripe</t>
  </si>
  <si>
    <t xml:space="preserve">https://www.amazon.co.uk/dp/B0G6CZGQNR</t>
  </si>
  <si>
    <t xml:space="preserve">B0H7K2NBCN</t>
  </si>
  <si>
    <t xml:space="preserve">Catherine Lansfield Bow Embroidery Double Duvet Cover Set Cream/Black</t>
  </si>
  <si>
    <t xml:space="preserve">https://www.amazon.co.uk/dp/B0H7K2NBCN</t>
  </si>
  <si>
    <t xml:space="preserve">B0G1MTNQXP</t>
  </si>
  <si>
    <t xml:space="preserve">Z&amp;A Bedding Double Seersucker Duvet Cover Grey - Breathable &amp; Washable Comforter with Pillowcases - Luxury Soft Brushed Microfiber Quilt Cover - Easy Care Comforter Set</t>
  </si>
  <si>
    <t xml:space="preserve">https://www.amazon.co.uk/dp/B0G1MTNQXP</t>
  </si>
  <si>
    <t xml:space="preserve">B0DMWJPCZG</t>
  </si>
  <si>
    <t xml:space="preserve">furn. Wylder Birdie Stripe Duvet Cover Set (Pink/Green - King)</t>
  </si>
  <si>
    <t xml:space="preserve">RRP: £57.00 | RRP:</t>
  </si>
  <si>
    <t xml:space="preserve">https://www.amazon.co.uk/dp/B0DMWJPCZG</t>
  </si>
  <si>
    <t xml:space="preserve">B0D9NXM4QC</t>
  </si>
  <si>
    <t xml:space="preserve">GC GAVENO CAVAILIA Polycotton Duvet Cover Bedding Double Bed Set, Reversible Soft Comforter Cover (200x200 cm), Quilt Cover Double, Navy Blue</t>
  </si>
  <si>
    <t xml:space="preserve">https://www.amazon.co.uk/dp/B0D9NXM4QC</t>
  </si>
  <si>
    <t xml:space="preserve">B0CWRW48CM</t>
  </si>
  <si>
    <t xml:space="preserve">PRIME LINENS 3 Piece Infinix Duvet Cover Set – Soft Jacquard Velvet – Bedding Quilt Cover Set with Pillow Cases Hypoallergenic Machine Washable (Mink, King)</t>
  </si>
  <si>
    <t xml:space="preserve">https://www.amazon.co.uk/dp/B0CWRW48CM</t>
  </si>
  <si>
    <t xml:space="preserve">B0DHN5LNB8</t>
  </si>
  <si>
    <t xml:space="preserve">Travan Luxury Velvet Quilt Set Queen Size, Lightweight Velvet Comforter Set, Soft Warm Queen Quilt Bedding Set, Oversized Bedspread Coverlet with 2 Shams for All Season, Golden Camel</t>
  </si>
  <si>
    <t xml:space="preserve">https://www.amazon.co.uk/dp/B0DHN5LNB8</t>
  </si>
  <si>
    <t xml:space="preserve">B06WVHTTY9</t>
  </si>
  <si>
    <t xml:space="preserve">Hollowfibre 7.5 Tog Double Duvet Bed Quilt &amp; Jumbo Pillow Set – Soft Polyproplane Cover – Lightweight Luxury Duvet with Anti Allergy Protection – Ideal for Summer Comforter (Double, 7.5 Tog)</t>
  </si>
  <si>
    <t xml:space="preserve">https://www.amazon.co.uk/dp/B06WVHTTY9</t>
  </si>
  <si>
    <t xml:space="preserve">B00J4RM850</t>
  </si>
  <si>
    <t xml:space="preserve">Sapphire Collection</t>
  </si>
  <si>
    <t xml:space="preserve">Sapphire Collection Luxury 100% Egyptian Cotton Duvet Quilt Cover &amp; Pillowcase Bedding Set (White, Single)</t>
  </si>
  <si>
    <t xml:space="preserve">LIVE_UK_duvet</t>
  </si>
  <si>
    <t xml:space="preserve">https://www.amazon.co.uk/dp/B00J4RM850</t>
  </si>
  <si>
    <t xml:space="preserve">B09X7FH1MR</t>
  </si>
  <si>
    <t xml:space="preserve">Yard</t>
  </si>
  <si>
    <t xml:space="preserve">Yard Hebden 100% Cotton Stripe Duvet Cover Set (Eucalyptus, Double)</t>
  </si>
  <si>
    <t xml:space="preserve">RRP: £38.00 | RRP:</t>
  </si>
  <si>
    <t xml:space="preserve">https://www.amazon.co.uk/dp/B09X7FH1MR</t>
  </si>
  <si>
    <t xml:space="preserve">B0724ZYG25</t>
  </si>
  <si>
    <t xml:space="preserve">LUXURY EGYPTIAN COTTON 200 COUNT BEDDING SETS DUVET COVER SET (QUILT COVER WITH PILLOW CASES (Double, Grey)</t>
  </si>
  <si>
    <t xml:space="preserve">https://www.amazon.co.uk/dp/B0724ZYG25</t>
  </si>
  <si>
    <t xml:space="preserve">B09X7DWRQD</t>
  </si>
  <si>
    <t xml:space="preserve">Yard Hebden 100% Cotton Stripe Duvet Cover Set (Eucalyptus, King)</t>
  </si>
  <si>
    <t xml:space="preserve">RRP: £46.00 | RRP:</t>
  </si>
  <si>
    <t xml:space="preserve">https://www.amazon.co.uk/dp/B09X7DWRQD</t>
  </si>
  <si>
    <t xml:space="preserve">B085CTT2B1</t>
  </si>
  <si>
    <t xml:space="preserve">Yard Hebden 100% Cotton Stripe Duvet Cover Set (Natural, Double)</t>
  </si>
  <si>
    <t xml:space="preserve">https://www.amazon.co.uk/dp/B085CTT2B1</t>
  </si>
  <si>
    <t xml:space="preserve">B013G18WZE</t>
  </si>
  <si>
    <t xml:space="preserve">Dreams &amp; Drapes</t>
  </si>
  <si>
    <t xml:space="preserve">Dreams &amp; Drapes Connolly Check-Brushed Cotton Duvet Cover Set, Charcoal, 3pcs, Double</t>
  </si>
  <si>
    <t xml:space="preserve">https://www.amazon.co.uk/dp/B013G18WZE</t>
  </si>
  <si>
    <t xml:space="preserve">B0173PVIM8</t>
  </si>
  <si>
    <t xml:space="preserve">Rapport Home Brushed Cotton Duvet Cover Set - Double Terracotta, 200x200cm</t>
  </si>
  <si>
    <t xml:space="preserve">https://www.amazon.co.uk/dp/B0173PVIM8</t>
  </si>
  <si>
    <t xml:space="preserve">B01JACUMTM</t>
  </si>
  <si>
    <t xml:space="preserve">Sapphire Collection 100% Egyptian Cotton 300 Thread Count Duvet Cover With Pillow Case Bedding Set (Single, Grey)</t>
  </si>
  <si>
    <t xml:space="preserve">https://www.amazon.co.uk/dp/B01JACUMTM</t>
  </si>
  <si>
    <t xml:space="preserve">B08S6WDDH7</t>
  </si>
  <si>
    <t xml:space="preserve">Catherine Lansfield Meadowsweet Floral Reversible King Duvet Cover Set with Pillowcases Green</t>
  </si>
  <si>
    <t xml:space="preserve">RRP: £28.00 | RRP:</t>
  </si>
  <si>
    <t xml:space="preserve">https://www.amazon.co.uk/dp/B08S6WDDH7</t>
  </si>
  <si>
    <t xml:space="preserve">B0H6NNN84S</t>
  </si>
  <si>
    <t xml:space="preserve">Mastex Printed Duvet Cover – 100% Egyptian Cotton – Ultra Soft Assorted Design Quilt Cover – Hotel Quality Duvet Set – Premium Bedding Sets - All UK Sizes</t>
  </si>
  <si>
    <t xml:space="preserve">https://www.amazon.co.uk/dp/B0H6NNN84S</t>
  </si>
  <si>
    <t xml:space="preserve">B0CH8T7TQV</t>
  </si>
  <si>
    <t xml:space="preserve">Catherine Lansfield Brushed Cotton Stripe Reversible Double Duvet Cover Set with Pillowcases Natural</t>
  </si>
  <si>
    <t xml:space="preserve">Was: £28.21 | Was:</t>
  </si>
  <si>
    <t xml:space="preserve">https://www.amazon.co.uk/dp/B0CH8T7TQV</t>
  </si>
  <si>
    <t xml:space="preserve">B0173PVJBI</t>
  </si>
  <si>
    <t xml:space="preserve">Rapport Home Brushed Cotton Duvet Cover Set, 100% Cotton - King Terracotta</t>
  </si>
  <si>
    <t xml:space="preserve">RRP: £27.13 | RRP:</t>
  </si>
  <si>
    <t xml:space="preserve">https://www.amazon.co.uk/dp/B0173PVJBI</t>
  </si>
  <si>
    <t xml:space="preserve">B07B32YVHM</t>
  </si>
  <si>
    <t xml:space="preserve">Fusion Duvet Cover and Pillow Case, 52% Polyester / 48% Cotton, Grey, Single</t>
  </si>
  <si>
    <t xml:space="preserve">Was: £10.99 | Was: | Save 5% on any 4 qualifying items</t>
  </si>
  <si>
    <t xml:space="preserve">https://www.amazon.co.uk/dp/B07B32YVHM</t>
  </si>
  <si>
    <t xml:space="preserve">B0DSPR81GT</t>
  </si>
  <si>
    <t xml:space="preserve">Amazon Basics 2-Piece Organic Cotton Single Duvet Cover Set, Soft Bedding, 135 x 200 cm &amp; 1 Pillowcase 50 x 80 cm, White</t>
  </si>
  <si>
    <t xml:space="preserve">https://www.amazon.co.uk/dp/B0DSPR81GT</t>
  </si>
  <si>
    <t xml:space="preserve">B08FMNWCK5</t>
  </si>
  <si>
    <t xml:space="preserve">Dreams &amp; Drapes Connolly-100% Brushed Duvet Cover Set, Cotton, Red,1 pack, Double</t>
  </si>
  <si>
    <t xml:space="preserve">Was: £28.03 | Was:</t>
  </si>
  <si>
    <t xml:space="preserve">https://www.amazon.co.uk/dp/B08FMNWCK5</t>
  </si>
  <si>
    <t xml:space="preserve">B08HZF95PJ</t>
  </si>
  <si>
    <t xml:space="preserve">Appletree Cassia-Relaxed Cotton Duvet Cover Set, 100%, Khaki,3 pieces, Double</t>
  </si>
  <si>
    <t xml:space="preserve">https://www.amazon.co.uk/dp/B08HZF95PJ</t>
  </si>
  <si>
    <t xml:space="preserve">B07C9V1MGG</t>
  </si>
  <si>
    <t xml:space="preserve">GC GAVENO CAVAILIA Geometric Check Duvet Cover Set King Size, Reversible Bedding Set with Matching Pillowcases, Soft Easy Care Bed Set, Grey</t>
  </si>
  <si>
    <t xml:space="preserve">RRP: £17.99 | RRP: | Save 5% on any 4 qualifying items</t>
  </si>
  <si>
    <t xml:space="preserve">https://www.amazon.co.uk/dp/B07C9V1MGG</t>
  </si>
  <si>
    <t xml:space="preserve">B0794SN5R6</t>
  </si>
  <si>
    <t xml:space="preserve">Gaveno Cavailia Luxury URBAN OMBRE Bed Set with Duvet Cover and Pillow Case, Polyester-Cotton, Purple, Double,11149453</t>
  </si>
  <si>
    <t xml:space="preserve">https://www.amazon.co.uk/dp/B0794SN5R6</t>
  </si>
  <si>
    <t xml:space="preserve">B0D3VBJS6C</t>
  </si>
  <si>
    <t xml:space="preserve">Catherine Lansfield Kelso Check Reversible Double Duvet Cover Set with Pillowcase Natural</t>
  </si>
  <si>
    <t xml:space="preserve">RRP: £23.00 | RRP:</t>
  </si>
  <si>
    <t xml:space="preserve">https://www.amazon.co.uk/dp/B0D3VBJS6C</t>
  </si>
  <si>
    <t xml:space="preserve">B0FCXXGNZD</t>
  </si>
  <si>
    <t xml:space="preserve">furn. Mystic Berry Duvet Cover Set (Green - King)</t>
  </si>
  <si>
    <t xml:space="preserve">https://www.amazon.co.uk/dp/B0FCXXGNZD</t>
  </si>
  <si>
    <t xml:space="preserve">B07BPD1561</t>
  </si>
  <si>
    <t xml:space="preserve">Gaveno Cavailia Luxurious Empire Damask Bed Set with Duvet Cover and Pillow Cases, Polyester-Cotton, Black, King, 11152743</t>
  </si>
  <si>
    <t xml:space="preserve">https://www.amazon.co.uk/dp/B07BPD1561</t>
  </si>
  <si>
    <t xml:space="preserve">B074WK3JKP</t>
  </si>
  <si>
    <t xml:space="preserve">Silentnight</t>
  </si>
  <si>
    <t xml:space="preserve">Silentnight Safe Nights Cot Bed Duvet Set - Breathable 100% Cotton Jersey - Super Soft Kind to Skin - Duvet Cover &amp; Pillowcase for Toodler Child Junior Quilt - 150x120cm - Hypoallergenic, Grey Stars</t>
  </si>
  <si>
    <t xml:space="preserve">RRP: £22.00 | RRP:</t>
  </si>
  <si>
    <t xml:space="preserve">https://www.amazon.co.uk/dp/B074WK3JKP</t>
  </si>
  <si>
    <t xml:space="preserve">B0CG67667B</t>
  </si>
  <si>
    <t xml:space="preserve">Catherine Lansfield Brushed Cotton Stripe Reversible King Duvet Cover Set with Pillowcases Green</t>
  </si>
  <si>
    <t xml:space="preserve">RRP: £35.00 | RRP:</t>
  </si>
  <si>
    <t xml:space="preserve">https://www.amazon.co.uk/dp/B0CG67667B</t>
  </si>
  <si>
    <t xml:space="preserve">B08D3SH6HG</t>
  </si>
  <si>
    <t xml:space="preserve">Gaveno Cavailia Contemporary Gingham Style Duvet Cover Quilt Bed Set With Pillow Case, Reversible, Poly Cotton, Denim Check Grey, Double Size Bedding</t>
  </si>
  <si>
    <t xml:space="preserve">https://www.amazon.co.uk/dp/B08D3SH6HG</t>
  </si>
  <si>
    <t xml:space="preserve">B0GLGSSBL3</t>
  </si>
  <si>
    <t xml:space="preserve">Catherine Lansfield Banded Stripe Reversible Double Duvet Cover Set with Pillowcases Natural</t>
  </si>
  <si>
    <t xml:space="preserve">https://www.amazon.co.uk/dp/B0GLGSSBL3</t>
  </si>
  <si>
    <t xml:space="preserve">B0F5WYQ95B</t>
  </si>
  <si>
    <t xml:space="preserve">Silentnight Pure Cotton Duvet Set - Luxurious Cool Soft Touch 200 Thread Count - Button Fastening - Breathable 100% Cotton Quilt Cover + Pillowcase Bed Set - Machine Washable, Sage Green, Single</t>
  </si>
  <si>
    <t xml:space="preserve">https://www.amazon.co.uk/dp/B0F5WYQ95B</t>
  </si>
  <si>
    <t xml:space="preserve">B0794W4J8G</t>
  </si>
  <si>
    <t xml:space="preserve">GC GAVENO CAVAILIA Luxury King Size Duvet Cover Sets - Reversible Geometric Bedding &amp; Linen (230x220 cm) - Breathable Soft Quilt Cover - Poly Cotton Bed Covers - Blue</t>
  </si>
  <si>
    <t xml:space="preserve">https://www.amazon.co.uk/dp/B0794W4J8G</t>
  </si>
  <si>
    <t xml:space="preserve">B0B4G63H2Q</t>
  </si>
  <si>
    <t xml:space="preserve">GC GAVENO CAVAILIA Reversible Floral Duvet Cover Sets Double, Breathable Comforter Bed Cover With Pillow Caeses, Blush Pink (705918)</t>
  </si>
  <si>
    <t xml:space="preserve">Was: £16.99 | Was: | Save 5% on any 4 qualifying items</t>
  </si>
  <si>
    <t xml:space="preserve">https://www.amazon.co.uk/dp/B0B4G63H2Q</t>
  </si>
  <si>
    <t xml:space="preserve">B07V1H7CSQ</t>
  </si>
  <si>
    <t xml:space="preserve">Bianca Check and Stripe Cotton Reversible Single Duvet Cover Set with Pillowcase Pink</t>
  </si>
  <si>
    <t xml:space="preserve">RRP: £22.00 | RRP: | Save 5% on any 4 qualifying items</t>
  </si>
  <si>
    <t xml:space="preserve">https://www.amazon.co.uk/dp/B07V1H7CSQ</t>
  </si>
  <si>
    <t xml:space="preserve">B07D5GJ6GP</t>
  </si>
  <si>
    <t xml:space="preserve">Dreams &amp; Drapes Colville Check-100 Percent Brushed Duvet Cover Set, 100 Percent Cotton, Plum, King Bed</t>
  </si>
  <si>
    <t xml:space="preserve">RRP: £38.88 | RRP:</t>
  </si>
  <si>
    <t xml:space="preserve">https://www.amazon.co.uk/dp/B07D5GJ6GP</t>
  </si>
  <si>
    <t xml:space="preserve">B07MVR7BSH</t>
  </si>
  <si>
    <t xml:space="preserve">Sleepdown Premium Hotel Quality 100% Cotton Satin Stripe Duvet Cover Set with Pillowcases Quilt Bedding Soft Easy Care Luxury Bed Linen - Grey - Double (200cm x 200cm)</t>
  </si>
  <si>
    <t xml:space="preserve">https://www.amazon.co.uk/dp/B07MVR7BSH</t>
  </si>
  <si>
    <t xml:space="preserve">B0FCYH3NSG</t>
  </si>
  <si>
    <t xml:space="preserve">furn. Wylder Birdie Stripe Duvet Cover Set (Burgundy/Blossom - King)</t>
  </si>
  <si>
    <t xml:space="preserve">https://www.amazon.co.uk/dp/B0FCYH3NSG</t>
  </si>
  <si>
    <t xml:space="preserve">B0BXFN9TSC</t>
  </si>
  <si>
    <t xml:space="preserve">Catherine Lansfield Bedding Textured Banded Stripe Double Duvet Cover Set with Pillowcases Blue</t>
  </si>
  <si>
    <t xml:space="preserve">https://www.amazon.co.uk/dp/B0BXFN9TSC</t>
  </si>
  <si>
    <t xml:space="preserve">B0H5X8JZ96</t>
  </si>
  <si>
    <t xml:space="preserve">Catherine Lansfield Brushed Cotton Herringbone Double Duvet Cover Set Chocolate</t>
  </si>
  <si>
    <t xml:space="preserve">https://www.amazon.co.uk/dp/B0H5X8JZ96</t>
  </si>
  <si>
    <t xml:space="preserve">B0FGJXRWPL</t>
  </si>
  <si>
    <t xml:space="preserve">Catherine Lansfield Brushed Cotton Grasmere Floral Reversible Double Duvet Cover Set with Pillowcases Green</t>
  </si>
  <si>
    <t xml:space="preserve">https://www.amazon.co.uk/dp/B0FGJXRWPL</t>
  </si>
  <si>
    <t xml:space="preserve">B0794P43NN</t>
  </si>
  <si>
    <t xml:space="preserve">Gaveno Cavailia Luxury BIRDIE BLOSSOM Bed Set with Duvet Cover and Pillow Case, Polyester-Cotton, Natural, Single</t>
  </si>
  <si>
    <t xml:space="preserve">https://www.amazon.co.uk/dp/B0794P43NN</t>
  </si>
  <si>
    <t xml:space="preserve">B0731QNC1V</t>
  </si>
  <si>
    <t xml:space="preserve">Rapport Home Tartan Check Duvet Cover &amp; 2 Pillowcases Set, Double Blue</t>
  </si>
  <si>
    <t xml:space="preserve">RRP: £23.79 | RRP: | Save 5% on any 4 qualifying items</t>
  </si>
  <si>
    <t xml:space="preserve">https://www.amazon.co.uk/dp/B0731QNC1V</t>
  </si>
  <si>
    <t xml:space="preserve">B07BTJQS4H</t>
  </si>
  <si>
    <t xml:space="preserve">Gaveno Cavailia Luxurious HUDSON Bed Set with Duvet Cover and Pillow Cases, Polyester-Cotton, Natural, King</t>
  </si>
  <si>
    <t xml:space="preserve">https://www.amazon.co.uk/dp/B07BTJQS4H</t>
  </si>
  <si>
    <t xml:space="preserve">B0F8W1X1MW</t>
  </si>
  <si>
    <t xml:space="preserve">furn. Skandi Woodland Duvet Cover Set (Thyme Green - Super King)</t>
  </si>
  <si>
    <t xml:space="preserve">RRP: £50.00 | RRP:</t>
  </si>
  <si>
    <t xml:space="preserve">https://www.amazon.co.uk/dp/B0F8W1X1MW</t>
  </si>
  <si>
    <t xml:space="preserve">B0FPGKRTBX</t>
  </si>
  <si>
    <t xml:space="preserve">Silentnight Brushed Cotton Duvet Set - Soft Velvety Touch 100% Cotton - Cosy Warmth Feel Breathable Lightly Brushed Hypoallergenic - Button Fastening Duvet Cover + Pillowcase Bed Set, Burgundy, Double</t>
  </si>
  <si>
    <t xml:space="preserve">https://www.amazon.co.uk/dp/B0FPGKRTBX</t>
  </si>
  <si>
    <t xml:space="preserve">B08HZFF876</t>
  </si>
  <si>
    <t xml:space="preserve">Appletree Duvet Cover Set Single – Pink Dot Design – 100% Cotton Bedding – White with Pink Dots – Includes 1 Duvet Cover (135x200cm) &amp; 1 Pillowcase (50x75cm)</t>
  </si>
  <si>
    <t xml:space="preserve">https://www.amazon.co.uk/dp/B08HZFF876</t>
  </si>
  <si>
    <t xml:space="preserve">B0CH3SHRHQ</t>
  </si>
  <si>
    <t xml:space="preserve">Catherine Lansfield Brushed Cotton Melrose Tweed Check Reversible King Duvet Cover Set with Pillowcases Blue</t>
  </si>
  <si>
    <t xml:space="preserve">https://www.amazon.co.uk/dp/B0CH3SHRHQ</t>
  </si>
  <si>
    <t xml:space="preserve">B087944NKB</t>
  </si>
  <si>
    <t xml:space="preserve">GC GAVENO CAVAILIA Floral Patchwork Duvet Cover Quilt Bed Set With Pillow Case, Reversible, Poly Cotton, Ellis Multi, 3 pieces, King Size Bedding, 544364</t>
  </si>
  <si>
    <t xml:space="preserve">RRP: £15.99 | RRP: | Save 5% on any 4 qualifying items</t>
  </si>
  <si>
    <t xml:space="preserve">https://www.amazon.co.uk/dp/B087944NKB</t>
  </si>
  <si>
    <t xml:space="preserve">B0B5Q2S56P</t>
  </si>
  <si>
    <t xml:space="preserve">Catherine Lansfield Enchanted Twilight Reversible Double Duvet Cover Set with Pillowcases Forest Green</t>
  </si>
  <si>
    <t xml:space="preserve">RRP: £23.00 | RRP: | Save 5% on any 4 qualifying items</t>
  </si>
  <si>
    <t xml:space="preserve">https://www.amazon.co.uk/dp/B0B5Q2S56P</t>
  </si>
  <si>
    <t xml:space="preserve">B07PGK5MCS</t>
  </si>
  <si>
    <t xml:space="preserve">GC GAVENO CAVAILIA Striped Duvet Cover Double, Reversible Printed Bedding Sets, Breathable Bed Covers, Natural</t>
  </si>
  <si>
    <t xml:space="preserve">https://www.amazon.co.uk/dp/B07PGK5MCS</t>
  </si>
  <si>
    <t xml:space="preserve">B0GK1QGFLT</t>
  </si>
  <si>
    <t xml:space="preserve">Catherine Lansfield Epping Textured Stripe Reversible Double Duvet Cover Set with Pillowcases Blue</t>
  </si>
  <si>
    <t xml:space="preserve">Was: £22.00 | Was:</t>
  </si>
  <si>
    <t xml:space="preserve">https://www.amazon.co.uk/dp/B0GK1QGFLT</t>
  </si>
  <si>
    <t xml:space="preserve">B0GVF4VPFV</t>
  </si>
  <si>
    <t xml:space="preserve">Yard Barton Gingham Check Duvet Cover Set (Chocolate, King)</t>
  </si>
  <si>
    <t xml:space="preserve">https://www.amazon.co.uk/dp/B0GVF4VPFV</t>
  </si>
  <si>
    <t xml:space="preserve">Utopia Bedding Queen Deep Pocket Fitted Sheet – Extra Deep Pocket – Fits up to 21 Inch Mattress – Hotel Luxury – Soft, Breathable and Comfy – Shrinkage and Fade Resistant – Easy Care – (White)</t>
  </si>
  <si>
    <t xml:space="preserve">Was: £12.56 | Was:</t>
  </si>
  <si>
    <t xml:space="preserve">LIVE_UK_fitted</t>
  </si>
  <si>
    <t xml:space="preserve">https://www.amazon.co.uk/dp/B0CHFGWKXQ</t>
  </si>
  <si>
    <t xml:space="preserve">Utopia Bedding Queen Fitted Sheet - Extra Deep Pocket - 21 Inch Deep Pocket - Soft Microfiber -Shrinkage and Fade Resistant-Easy Care -1 Fitted Sheet Only (Grey)</t>
  </si>
  <si>
    <t xml:space="preserve">https://www.amazon.co.uk/dp/B0CHFFMX81</t>
  </si>
  <si>
    <t xml:space="preserve">Utopia Bedding Fitted Sheet (Queen, Grey) - Deep Pocket Brushed Velvety Microfiber, Breathable, Extra Soft &amp; Comfortable - Wrinkle, Fade, Stain &amp; Abrasion Resistant</t>
  </si>
  <si>
    <t xml:space="preserve">https://www.amazon.co.uk/dp/B01IE7P2VW</t>
  </si>
  <si>
    <t xml:space="preserve">B0D9LPK18D</t>
  </si>
  <si>
    <t xml:space="preserve">Sonive King Size Fitted Sheets, 30 cm Extra Deep Pocket White OEKO-TEX</t>
  </si>
  <si>
    <t xml:space="preserve">https://www.amazon.co.uk/dp/B0D9LPK18D</t>
  </si>
  <si>
    <t xml:space="preserve">B01E6XAZFG</t>
  </si>
  <si>
    <t xml:space="preserve">Amazon Basics King Fitted Sheet, Microfibre, 150 x 200 cm, White, 30 cm Deep Pocket</t>
  </si>
  <si>
    <t xml:space="preserve">https://www.amazon.co.uk/dp/B01E6XAZFG</t>
  </si>
  <si>
    <t xml:space="preserve">B0FGDJXY15</t>
  </si>
  <si>
    <t xml:space="preserve">Sonive King Size Fitted Sheet, Deep Pocket 30cm Soft Brushed Microfiber</t>
  </si>
  <si>
    <t xml:space="preserve">https://www.amazon.co.uk/dp/B0FGDJXY15</t>
  </si>
  <si>
    <t xml:space="preserve">B01E6XAT4S</t>
  </si>
  <si>
    <t xml:space="preserve">Amazon Basics Super King Fitted Sheet, Microfibre, 180 x 200 cm, White, 30 cm Deep Pocket</t>
  </si>
  <si>
    <t xml:space="preserve">https://www.amazon.co.uk/dp/B01E6XAT4S</t>
  </si>
  <si>
    <t xml:space="preserve">B00Q4TMOCS</t>
  </si>
  <si>
    <t xml:space="preserve">Amazon Basics Super King Fitted Sheet, Dark Grey Microfibre, 30 cm Deep Pocket</t>
  </si>
  <si>
    <t xml:space="preserve">https://www.amazon.co.uk/dp/B00Q4TMOCS</t>
  </si>
  <si>
    <t xml:space="preserve">B09R3NYK49</t>
  </si>
  <si>
    <t xml:space="preserve">Brown King Fitted Sheet - Deep Pocket 14 inch (35 cm) - Easy Care Soft Brushed Microfibre Fabric Bed Sheets- Shrinkage and Fade Resistant. (King (150x200cm), Brown)</t>
  </si>
  <si>
    <t xml:space="preserve">https://www.amazon.co.uk/dp/B09R3NYK49</t>
  </si>
  <si>
    <t xml:space="preserve">B083Q2KF3G</t>
  </si>
  <si>
    <t xml:space="preserve">Extra Deep Pocket Fitted Sheet - Queen Size, Deep Pockets for Thick Mattress, Non Slip - Grey</t>
  </si>
  <si>
    <t xml:space="preserve">https://www.amazon.co.uk/dp/B083Q2KF3G</t>
  </si>
  <si>
    <t xml:space="preserve">B01N6OBPE0</t>
  </si>
  <si>
    <t xml:space="preserve">16"(40cm) Extra Deep Fitted Sheet Double Size Gray 100% Cotton 200 Thread Count Fitted Sheet (Double, Grey)</t>
  </si>
  <si>
    <t xml:space="preserve">https://www.amazon.co.uk/dp/B01N6OBPE0</t>
  </si>
  <si>
    <t xml:space="preserve">B083PQTB45</t>
  </si>
  <si>
    <t xml:space="preserve">King Fitted Sheet Deep Pocket – Extra Deep Pocket Fitted Sheet King Size 17” - 21” Inch + Fitted Bed Sheets Only - King Size Fitted Sheets with Deep Pockets for Pillow Top Mattress - King Fitted White</t>
  </si>
  <si>
    <t xml:space="preserve">https://www.amazon.co.uk/dp/B083PQTB45</t>
  </si>
  <si>
    <t xml:space="preserve">B09KS3713C</t>
  </si>
  <si>
    <t xml:space="preserve">Linens World Egyptian Cotton Fitted Sheet Double (137x190cm), 30cm Deep Pocket, 200 Thread Count, Soft Breathable Bed Sheet, Anti-Wrinkle, Easy Care Bottom Sheet (White)</t>
  </si>
  <si>
    <t xml:space="preserve">https://www.amazon.co.uk/dp/B09KS3713C</t>
  </si>
  <si>
    <t xml:space="preserve">B01FG45TSC</t>
  </si>
  <si>
    <t xml:space="preserve">Family Bedding Deep Pocket Fitted Sheet, 100% Jersey Cotton, Cream, Single</t>
  </si>
  <si>
    <t xml:space="preserve">https://www.amazon.co.uk/dp/B01FG45TSC</t>
  </si>
  <si>
    <t xml:space="preserve">B01CIWTB4S</t>
  </si>
  <si>
    <t xml:space="preserve">Family Bedding Deep Pocket Fitted Sheet, 100% Jersey Cotton, Cream, King</t>
  </si>
  <si>
    <t xml:space="preserve">https://www.amazon.co.uk/dp/B01CIWTB4S</t>
  </si>
  <si>
    <t xml:space="preserve">B09KW64HPJ</t>
  </si>
  <si>
    <t xml:space="preserve">Extra Deep Pocket Fitted Sheet - Single Fitted Sheet Only - Extra Deep Pockets Double King Size Sheets (Gray, King)</t>
  </si>
  <si>
    <t xml:space="preserve">https://www.amazon.co.uk/dp/B09KW64HPJ</t>
  </si>
  <si>
    <t xml:space="preserve">B07QNV6K89</t>
  </si>
  <si>
    <t xml:space="preserve">Olivia Rocco Teddy Fleece Extra Deep Fitted Sheet Cosy Warm Fluffy Fitted Bed Sheets, Double Grey</t>
  </si>
  <si>
    <t xml:space="preserve">https://www.amazon.co.uk/dp/B07QNV6K89</t>
  </si>
  <si>
    <t xml:space="preserve">B0DS21STFS</t>
  </si>
  <si>
    <t xml:space="preserve">Amazon Basics Deluxe Super Soft 400 Thread Count 100% Cotton Sateen Wrinkle-Free Fitted Sheet, Deep Pocket 12 inch (30 cm), 140 x 200 cm, Dark Grey</t>
  </si>
  <si>
    <t xml:space="preserve">https://www.amazon.co.uk/dp/B0DS21STFS</t>
  </si>
  <si>
    <t xml:space="preserve">B0DZTJD3NZ</t>
  </si>
  <si>
    <t xml:space="preserve">GC GAVENO CAVAILIA Microfiber Fitted Sheet Double - Plain Bed Sheets - Deep Pocket 10 inch (25cm) - Shrinkage, Wrinkle Resistant Bottom Sheet, Dark Green to Mattress (137x193 cm) - Machine Washable</t>
  </si>
  <si>
    <t xml:space="preserve">https://www.amazon.co.uk/dp/B0DZTJD3NZ</t>
  </si>
  <si>
    <t xml:space="preserve">B09VF21LPX</t>
  </si>
  <si>
    <t xml:space="preserve">Pamposh Single Fitted Sheet Extra Deep Pocket 40 cm (16 inches) Durable Elastic Bed Sheets - Premium Brushed Microfibre Fitted Sheet Single Bed - Ultrasoft Hypoallergenic Fade Resistant</t>
  </si>
  <si>
    <t xml:space="preserve">https://www.amazon.co.uk/dp/B09VF21LPX</t>
  </si>
  <si>
    <t xml:space="preserve">B07VKCWHVQ</t>
  </si>
  <si>
    <t xml:space="preserve">Nestl Extra Deep Pocket Sheets - Fits Mattress 18-24 Inches Deep, Extra Deep Pocket King Size Sheets Sets, 4 Piece King Size Sheets, King Sheets Deep Pocket, Blue Haven Sheets</t>
  </si>
  <si>
    <t xml:space="preserve">https://www.amazon.co.uk/dp/B07VKCWHVQ</t>
  </si>
  <si>
    <t xml:space="preserve">B0G9B97JH8</t>
  </si>
  <si>
    <t xml:space="preserve">40cm Extra Deep Pocket Microfiber Luxury Fitted Sheet for Single, Small Double, Double, King &amp; Super King Bed | Soft, Breathable, Easy Iron, Fade Resistant, Hotel Quality Bedsheets in 13 Colours</t>
  </si>
  <si>
    <t xml:space="preserve">https://www.amazon.co.uk/dp/B0G9B97JH8</t>
  </si>
  <si>
    <t xml:space="preserve">B09XJJ24ZL</t>
  </si>
  <si>
    <t xml:space="preserve">Elegant Comfort 1500 Premium Hotel Quality 18-21 Inches Deep - Extra Deep Pocket Single Fitted Sheet for High Mattress, Luxury and Softest, Smart Pocket - Wrinkle Free, King, Silver</t>
  </si>
  <si>
    <t xml:space="preserve">https://www.amazon.co.uk/dp/B09XJJ24ZL</t>
  </si>
  <si>
    <t xml:space="preserve">B0C61TR8KK</t>
  </si>
  <si>
    <t xml:space="preserve">Prime Linens Extra Deep 30Cm Plain Fitted Sheet, Elastic Pocket Breathable Soft Polyester Cotton Bed sheet Machine Washable Fade Resistant (Burgundy, Double)</t>
  </si>
  <si>
    <t xml:space="preserve">https://www.amazon.co.uk/dp/B0C61TR8KK</t>
  </si>
  <si>
    <t xml:space="preserve">B09NQCL54G</t>
  </si>
  <si>
    <t xml:space="preserve">Extra Deep Bedding 100% Extra deep Fitted Sheets 16" 40CM Egyptian Cotton 200TC 15 Colours Single Double King Super King (King, Navy)</t>
  </si>
  <si>
    <t xml:space="preserve">https://www.amazon.co.uk/dp/B09NQCL54G</t>
  </si>
  <si>
    <t xml:space="preserve">B01FR5GYNY</t>
  </si>
  <si>
    <t xml:space="preserve">Family Bedding Deep Pocket Fitted Sheet, 100% Jersey Cotton, Grey, Super King</t>
  </si>
  <si>
    <t xml:space="preserve">https://www.amazon.co.uk/dp/B01FR5GYNY</t>
  </si>
  <si>
    <t xml:space="preserve">B078LXLMN1</t>
  </si>
  <si>
    <t xml:space="preserve">Sapphire Collection 800 Thread Count Pure Egyptian Cotton Super Soft Hotel Quality 28 CM/11 Inch Deep Fitted Bed Sheet, (White, King)</t>
  </si>
  <si>
    <t xml:space="preserve">https://www.amazon.co.uk/dp/B078LXLMN1</t>
  </si>
  <si>
    <t xml:space="preserve">B083PW4MFP</t>
  </si>
  <si>
    <t xml:space="preserve">King Fitted Sheet Deep Pocket – Extra Deep Pocket Fitted Sheet King Size 17” - 21” Inch + Fitted Bed Sheets Only - King Size Fitted Sheets with Deep Pockets for Pillow Top Mattress - Fitted Light Gray</t>
  </si>
  <si>
    <t xml:space="preserve">https://www.amazon.co.uk/dp/B083PW4MFP</t>
  </si>
  <si>
    <t xml:space="preserve">B0FGJTNL26</t>
  </si>
  <si>
    <t xml:space="preserve">PRIME LINENS Extra Deep Fitted Sheet 40 CM Brushed Microfiber Wrinkle &amp; Fade Resistant Bottom Sheet Soft Durable Bed Sheets (Aubergine, Double)</t>
  </si>
  <si>
    <t xml:space="preserve">https://www.amazon.co.uk/dp/B0FGJTNL26</t>
  </si>
  <si>
    <t xml:space="preserve">B01MT1G4RZ</t>
  </si>
  <si>
    <t xml:space="preserve">Sapphire collection 200 Thread Count 100% Egyptian Cotton Fitted Sheet (Double, Grey)</t>
  </si>
  <si>
    <t xml:space="preserve">https://www.amazon.co.uk/dp/B01MT1G4RZ</t>
  </si>
  <si>
    <t xml:space="preserve">B0DJDV9ZFC</t>
  </si>
  <si>
    <t xml:space="preserve">Elegant Comfort 1500 Premium Quality Fitted Sheet Ultra Soft 18-24 Inch Extra Deep Pocket - Single Fitted Sheet for High Mattress - Wrinkle Free with Smart Storage Pockets, California King, White</t>
  </si>
  <si>
    <t xml:space="preserve">https://www.amazon.co.uk/dp/B0DJDV9ZFC</t>
  </si>
  <si>
    <t xml:space="preserve">B00XK9CO16</t>
  </si>
  <si>
    <t xml:space="preserve">Utopia Bedding Queen Fitted Sheet - Bottom Sheet - Deep Pocket - Soft Microfiber -Shrinkage and Fade Resistant-Easy Care -1 Fitted Sheet Only (White)</t>
  </si>
  <si>
    <t xml:space="preserve">https://www.amazon.co.uk/dp/B00XK9CO16</t>
  </si>
  <si>
    <t xml:space="preserve">B0F6NKBZ4H</t>
  </si>
  <si>
    <t xml:space="preserve">ACRALI HOME Single Fitted Sheet - Sage Green Bottom Sheet for Single Bed with 40cm Extra Deep Fit Pocket- Hotel Quality Soft Microfiber Bedsheet - Breathable Shrinkage and Fade Resistant</t>
  </si>
  <si>
    <t xml:space="preserve">https://www.amazon.co.uk/dp/B0F6NKBZ4H</t>
  </si>
  <si>
    <t xml:space="preserve">B0DF6Q75GY</t>
  </si>
  <si>
    <t xml:space="preserve">Double Fitted Sheet 135x190cm, 30cm Deep, Soft Microfibre</t>
  </si>
  <si>
    <t xml:space="preserve">https://www.amazon.co.uk/dp/B0DF6Q75GY</t>
  </si>
  <si>
    <t xml:space="preserve">B0GHV7LW4T</t>
  </si>
  <si>
    <t xml:space="preserve">BEDELITE Single Fitted Sheet, Dark Green, 90x190cm</t>
  </si>
  <si>
    <t xml:space="preserve">https://www.amazon.co.uk/dp/B0GHV7LW4T</t>
  </si>
  <si>
    <t xml:space="preserve">B01JAI4KEY</t>
  </si>
  <si>
    <t xml:space="preserve">Sapphire collection 300 Thread Count 100% Egyptian Cotton Double Fitted Sheet Bedsheet (Double, White)</t>
  </si>
  <si>
    <t xml:space="preserve">https://www.amazon.co.uk/dp/B01JAI4KEY</t>
  </si>
  <si>
    <t xml:space="preserve">B08TBW9DMB</t>
  </si>
  <si>
    <t xml:space="preserve">Good Nite Single Fitted Sheet 90×190 cm, 25cm Deep Pocket, White</t>
  </si>
  <si>
    <t xml:space="preserve">https://www.amazon.co.uk/dp/B08TBW9DMB</t>
  </si>
  <si>
    <t xml:space="preserve">B094CPFBNN</t>
  </si>
  <si>
    <t xml:space="preserve">Amago - Fitted Sheet, 50 cm Pocket, 100 Percent Cotton, 160 x 200 cm - White</t>
  </si>
  <si>
    <t xml:space="preserve">https://www.amazon.co.uk/dp/B094CPFBNN</t>
  </si>
  <si>
    <t xml:space="preserve">B095RR777V</t>
  </si>
  <si>
    <t xml:space="preserve">Good Nite Single Fitted Sheet 90×190 cm, 35cm Deep Pocket, White</t>
  </si>
  <si>
    <t xml:space="preserve">https://www.amazon.co.uk/dp/B095RR777V</t>
  </si>
  <si>
    <t xml:space="preserve">B0FR44N2BL</t>
  </si>
  <si>
    <t xml:space="preserve">Acrali Home Silver Egyptian Cotton Small Double Fitted Sheet 122x190 cm - 200 Thread Count, Deep Pocket - Ultra Soft Hotel Quality, Breathable &amp; Hypoallergenic Bottom Bed Sheet</t>
  </si>
  <si>
    <t xml:space="preserve">https://www.amazon.co.uk/dp/B0FR44N2BL</t>
  </si>
  <si>
    <t xml:space="preserve">B01N6OBPTF</t>
  </si>
  <si>
    <t xml:space="preserve">16"(40cm) Extra Deep Fitted Sheet King Size White 100% Cotton 200 Thread Count Fitted Sheet (King, White)</t>
  </si>
  <si>
    <t xml:space="preserve">https://www.amazon.co.uk/dp/B01N6OBPTF</t>
  </si>
  <si>
    <t xml:space="preserve">B07HHGRPQ4</t>
  </si>
  <si>
    <t xml:space="preserve">"GC GAVENO CAVAILIA Double Fitted Sheet | 25cm Deep Polycotton Bed Sheet | Soft, Durable &amp; Wrinkle Resistant Easy Care Plain Dyed Bedding | White Deep Mattress Bottom Sheet - 135 x 190 cm"</t>
  </si>
  <si>
    <t xml:space="preserve">https://www.amazon.co.uk/dp/B07HHGRPQ4</t>
  </si>
  <si>
    <t xml:space="preserve">B0G4XCLXNF</t>
  </si>
  <si>
    <t xml:space="preserve">Catherine Lansfield Brushed Cotton King Extra Deep Fitted Sheet White</t>
  </si>
  <si>
    <t xml:space="preserve">RRP: £24.00 | RRP: | Save 5% on any 4 qualifying items</t>
  </si>
  <si>
    <t xml:space="preserve">https://www.amazon.co.uk/dp/B0G4XCLXNF</t>
  </si>
  <si>
    <t xml:space="preserve">B0DSW8MSXQ</t>
  </si>
  <si>
    <t xml:space="preserve">Rohi 40cm Double Fitted Sheet 1 Pack Plum Microfibre Extra Deep Fit</t>
  </si>
  <si>
    <t xml:space="preserve">https://www.amazon.co.uk/dp/B0DSW8MSXQ</t>
  </si>
  <si>
    <t xml:space="preserve">B08RBDYGLY</t>
  </si>
  <si>
    <t xml:space="preserve">Percale Extra Deep 16inch/40CM Fitted Sheet - Easycare Non iron and Anti Wrinkle Easy Iron Deep Fitted Sheet (Navy, King)</t>
  </si>
  <si>
    <t xml:space="preserve">https://www.amazon.co.uk/dp/B08RBDYGLY</t>
  </si>
  <si>
    <t xml:space="preserve">B0H4HX8648</t>
  </si>
  <si>
    <t xml:space="preserve">Q&amp;H - Double Bedding Fitted Sheet Brown - Brushed Microfibre 30cm Deep Pocket Elasticated Fit - Easy Care Soft &amp; Breathable - Washable Fade &amp; Shrink Resistant Mattress Sheet</t>
  </si>
  <si>
    <t xml:space="preserve">https://www.amazon.co.uk/dp/B0H4HX8648</t>
  </si>
  <si>
    <t xml:space="preserve">B09WRHV3GZ</t>
  </si>
  <si>
    <t xml:space="preserve">King Size Fitted Sheets Sky Blue - Deep Pocket 25cm (10inch) - Microfiber</t>
  </si>
  <si>
    <t xml:space="preserve">https://www.amazon.co.uk/dp/B09WRHV3GZ</t>
  </si>
  <si>
    <t xml:space="preserve">B078LQRS4V</t>
  </si>
  <si>
    <t xml:space="preserve">Sapphire Collection 800 Thread Count Pure Egyptian Cotton Super Soft Hotel Quality 40CM/16 Inch Deep Fitted Bed Sheet (Double Fitted Sheet)</t>
  </si>
  <si>
    <t xml:space="preserve">https://www.amazon.co.uk/dp/B078LQRS4V</t>
  </si>
  <si>
    <t xml:space="preserve">B0C8THY237</t>
  </si>
  <si>
    <t xml:space="preserve">BESTOUCH</t>
  </si>
  <si>
    <t xml:space="preserve">BESTOUCH Sheet Set 100% Washed Cotton Linen Feel Super Soft Comfortable Chic Lightweight 4 Pcs Home Bedding Set Solid Olive Green Queen</t>
  </si>
  <si>
    <t xml:space="preserve">LIVE_UK_linen</t>
  </si>
  <si>
    <t xml:space="preserve">https://www.amazon.co.uk/dp/B0C8THY237</t>
  </si>
  <si>
    <t xml:space="preserve">B0CG8KDPYJ</t>
  </si>
  <si>
    <t xml:space="preserve">LBRO2M LBR02M 100% Linen Sheet Set King Size,Bed Sheets 4 Piece Sets,Solid Color Natural Flax Cotton Blend Soft Breathable Bedding,16 inches Deep Pocket,All Season (Linen)</t>
  </si>
  <si>
    <t xml:space="preserve">https://www.amazon.co.uk/dp/B0CG8KDPYJ</t>
  </si>
  <si>
    <t xml:space="preserve">B0CG8QQJTS</t>
  </si>
  <si>
    <t xml:space="preserve">LBR02M 100% Linen Sheet Set Queen Size, Bed Sheets 4 Piece Sets, Solid Color Natural Flax Bed Sheets Soft Breathable Bedding,16" Deep Pocket,All Season (Queen, Linen)</t>
  </si>
  <si>
    <t xml:space="preserve">https://www.amazon.co.uk/dp/B0CG8QQJTS</t>
  </si>
  <si>
    <t xml:space="preserve">B0887RSZY7</t>
  </si>
  <si>
    <t xml:space="preserve">DAPU Pure Linen Sheets Set 100% French Natural Linen European Flax (Queen, Off White, Flat, Fitted and 2 Pillowcases)</t>
  </si>
  <si>
    <t xml:space="preserve">https://www.amazon.co.uk/dp/B0887RSZY7</t>
  </si>
  <si>
    <t xml:space="preserve">B0BX9F1VS5</t>
  </si>
  <si>
    <t xml:space="preserve">ILAVANDE Queen Sheets Set 6 Piece,Hotel Luxury Super Soft 1800 Series Microfiber Queen Bed Sheets Set-Wrinkle Free &amp; Breathable-14 Deep Pocket Sheets for Queen Size Bed(Queen,Sage Green)</t>
  </si>
  <si>
    <t xml:space="preserve">https://www.amazon.co.uk/dp/B0BX9F1VS5</t>
  </si>
  <si>
    <t xml:space="preserve">B09DZ5D271</t>
  </si>
  <si>
    <t xml:space="preserve">HOMES-LINEN Flannelette 100% Brushed Cotton Sheet Set Fitted Sheet Flat Sheet &amp; Pillow Cases (Cream, King)</t>
  </si>
  <si>
    <t xml:space="preserve">https://www.amazon.co.uk/dp/B09DZ5D271</t>
  </si>
  <si>
    <t xml:space="preserve">B01CQNN7F8</t>
  </si>
  <si>
    <t xml:space="preserve">Mayfair Linen Hotel Collection Egyptian Cotton 500 Thread Count 4 Piece Sheet Set Queen White</t>
  </si>
  <si>
    <t xml:space="preserve">https://www.amazon.co.uk/dp/B01CQNN7F8</t>
  </si>
  <si>
    <t xml:space="preserve">B0DDPVP527</t>
  </si>
  <si>
    <t xml:space="preserve">EVERLY Linen Sheets Set Full Size,100% French Stonewash Pure Linen Sheets Set,4Pieces (1Flat Sheet,1Fitted Sheet,2Pillowcase) Suitable for Hot Sleepers,Deep Pocket Natural Bedding Set-Chocolate</t>
  </si>
  <si>
    <t xml:space="preserve">https://www.amazon.co.uk/dp/B0DDPVP527</t>
  </si>
  <si>
    <t xml:space="preserve">B0767B5PGY</t>
  </si>
  <si>
    <t xml:space="preserve">Linen Market 4 Piece Sheet Set Patterned, Queen, Soft Floral Light Blue</t>
  </si>
  <si>
    <t xml:space="preserve">https://www.amazon.co.uk/dp/B0767B5PGY</t>
  </si>
  <si>
    <t xml:space="preserve">B0CGJGRFW9</t>
  </si>
  <si>
    <t xml:space="preserve">Utopia Bedding Queen Sheet Set - Brushed Microfiber Soft Bed Sheets - Luxury Bedding With Fitted Sheet, Flat Sheet &amp; 2 Pillow Cases - Deep Pocket (White)</t>
  </si>
  <si>
    <t xml:space="preserve">Was: £15.09 | Was: | Save 5% on any 4 qualifying items</t>
  </si>
  <si>
    <t xml:space="preserve">https://www.amazon.co.uk/dp/B0CGJGRFW9</t>
  </si>
  <si>
    <t xml:space="preserve">B0CJC85HL6</t>
  </si>
  <si>
    <t xml:space="preserve">SONORO KATE 100% French Pure Linen Sheets, Breathable and Durable Line King Size Sheets, Anti-Tear Line Bed Sheets, Machine Washable, 16 Inch Deep Pocket - 4 Piece (Natural Linen, King)</t>
  </si>
  <si>
    <t xml:space="preserve">https://www.amazon.co.uk/dp/B0CJC85HL6</t>
  </si>
  <si>
    <t xml:space="preserve">B07678R3S8</t>
  </si>
  <si>
    <t xml:space="preserve">Linen Market 4 Piece Full Bedding Sheet Set (Pink Floral) - Sleep Better Than Ever with These Ultra-Soft &amp; Cooling Bed Sheets for Your Full Size Bed - Deep Pocket Fits 16" Mattress</t>
  </si>
  <si>
    <t xml:space="preserve">https://www.amazon.co.uk/dp/B07678R3S8</t>
  </si>
  <si>
    <t xml:space="preserve">B0CW5RTMXW</t>
  </si>
  <si>
    <t xml:space="preserve">TEXAS LINEN CO.</t>
  </si>
  <si>
    <t xml:space="preserve">Texas Linen CO. 100% Organic Cotton Percale Sheets King Size - 4 PC White Organic Sheets King Set, Soft, Crisp &amp; Cooling, Fully Elasticized 16" Deep Pocket Hotel Bedsheet Set - Gots Certified</t>
  </si>
  <si>
    <t xml:space="preserve">https://www.amazon.co.uk/dp/B0CW5RTMXW</t>
  </si>
  <si>
    <t xml:space="preserve">B073P1FN3R</t>
  </si>
  <si>
    <t xml:space="preserve">Threadmill Home Linen Queen Sheets - 100% Natural Cotton 600 Thread Count, 4 Piece Sateen Weave Hotel White Bed Set, Smooth ELS Combed Cotton, Solid Bedsheets with Elasticized Deep Pocket</t>
  </si>
  <si>
    <t xml:space="preserve">https://www.amazon.co.uk/dp/B073P1FN3R</t>
  </si>
  <si>
    <t xml:space="preserve">B07238WW4N</t>
  </si>
  <si>
    <t xml:space="preserve">London LINENS Extra Thick 3 Piece Set Massage Table Sheets Set - 100% Natural Cotton Flannel - Includes Massage Table Cover, Massage Fitted Sheet, and Massage Face Rest Cover (Natural)</t>
  </si>
  <si>
    <t xml:space="preserve">https://www.amazon.co.uk/dp/B07238WW4N</t>
  </si>
  <si>
    <t xml:space="preserve">B09DZSDMBZ</t>
  </si>
  <si>
    <t xml:space="preserve">HOMES-LINEN Flannelette 100% Brushed Cotton Sheet Set Fitted Sheet Flat Sheet &amp; Pillow Cases (Pink, King)</t>
  </si>
  <si>
    <t xml:space="preserve">https://www.amazon.co.uk/dp/B09DZSDMBZ</t>
  </si>
  <si>
    <t xml:space="preserve">B09DZ48TCY</t>
  </si>
  <si>
    <t xml:space="preserve">HOMES-LINEN Flannelette 100% Brushed Cotton Sheet Set Fitted Sheet Flat Sheet &amp; Pillow Cases (Lilac, Double)</t>
  </si>
  <si>
    <t xml:space="preserve">https://www.amazon.co.uk/dp/B09DZ48TCY</t>
  </si>
  <si>
    <t xml:space="preserve">B0748MT9ZB</t>
  </si>
  <si>
    <t xml:space="preserve">Rapport Home Brushed Cotton Sheet Set, Candy Stripe, 100% Cotton, Double</t>
  </si>
  <si>
    <t xml:space="preserve">https://www.amazon.co.uk/dp/B0748MT9ZB</t>
  </si>
  <si>
    <t xml:space="preserve">B0B5L32M85</t>
  </si>
  <si>
    <t xml:space="preserve">TEXAS LINEN CO. 100% Egyptian Cotton Sheets - 600 Thread Count 4 PC King Size Sheet Set, Soft, Cooling, High Thread Count Sateen Weave, Extra Long Staple Luxury Bedding, 16" Deep Pocket - Ivory</t>
  </si>
  <si>
    <t xml:space="preserve">https://www.amazon.co.uk/dp/B0B5L32M85</t>
  </si>
  <si>
    <t xml:space="preserve">B0C5W72XPZ</t>
  </si>
  <si>
    <t xml:space="preserve">Linen Closet Luxury Cotton 300 Thread Count Organic Cotton 4-Piece Bedding Sheet Set, Full, Fresh Ivory</t>
  </si>
  <si>
    <t xml:space="preserve">https://www.amazon.co.uk/dp/B0C5W72XPZ</t>
  </si>
  <si>
    <t xml:space="preserve">B076F8MXPR</t>
  </si>
  <si>
    <t xml:space="preserve">Threadmill Home Linen 1000 Thread Count 100% Certified American Grown Supima ELS Cotton Sheets, 4-Piece Queen Bed Sheets Set, Super Luxury Smooth Sateen Bedding, White</t>
  </si>
  <si>
    <t xml:space="preserve">https://www.amazon.co.uk/dp/B076F8MXPR</t>
  </si>
  <si>
    <t xml:space="preserve">B07678R57N</t>
  </si>
  <si>
    <t xml:space="preserve">Linen Market 4 Piece Queen Sheets Set (Blossoms Blue) - Sleep Better Than Ever with These Ultra-Soft &amp; Cooling Bed Sheets for Your Queen Size Bed - Oeko-TEX Certified Deep Pocket Fits 16" Mattress</t>
  </si>
  <si>
    <t xml:space="preserve">Was: £28.75 | Was:</t>
  </si>
  <si>
    <t xml:space="preserve">https://www.amazon.co.uk/dp/B07678R57N</t>
  </si>
  <si>
    <t xml:space="preserve">B072DS2C9S</t>
  </si>
  <si>
    <t xml:space="preserve">LUXURY EGYPTIAN COTTON 200 COUNT BEDDING SETS DUVET COVER SET (QUILT COVER WITH PILLOW CASES (Double, Black)</t>
  </si>
  <si>
    <t xml:space="preserve">https://www.amazon.co.uk/dp/B072DS2C9S</t>
  </si>
  <si>
    <t xml:space="preserve">B0DQ963WYG</t>
  </si>
  <si>
    <t xml:space="preserve">Yard Hebden 100% Cotton Stripe Duvet Cover Set (Olive, Super King)</t>
  </si>
  <si>
    <t xml:space="preserve">https://www.amazon.co.uk/dp/B0DQ963WYG</t>
  </si>
  <si>
    <t xml:space="preserve">B0FLY6LMD8</t>
  </si>
  <si>
    <t xml:space="preserve">Rapport Home Flannelette King Size Sheet Set - Meadow Floral Brushed Cotton 4 Piece Bed Sheet Set</t>
  </si>
  <si>
    <t xml:space="preserve">https://www.amazon.co.uk/dp/B0FLY6LMD8</t>
  </si>
  <si>
    <t xml:space="preserve">B0DCL5M8MH</t>
  </si>
  <si>
    <t xml:space="preserve">Nestl Extra Deep Pocket Sheets - Fits Mattress 18-24 Inches Deep, Extra Deep Pocket King Size Sheets Sets, 4 Piece King Size Sheets, King Sheets Deep Pocket, Linen Sheets</t>
  </si>
  <si>
    <t xml:space="preserve">https://www.amazon.co.uk/dp/B0DCL5M8MH</t>
  </si>
  <si>
    <t xml:space="preserve">B0CFVYCXWV</t>
  </si>
  <si>
    <t xml:space="preserve">HOMES-LINEN Olivia Flannelette Sheet Set Include Fitted Sheet Flat Sheet And Pillowcase Floral Thermal 100% Brushed Cotton (Double, Pink)</t>
  </si>
  <si>
    <t xml:space="preserve">https://www.amazon.co.uk/dp/B0CFVYCXWV</t>
  </si>
  <si>
    <t xml:space="preserve">B06XYH5B9H</t>
  </si>
  <si>
    <t xml:space="preserve">Sweet Home Collection Queen 6 Piece 1500 Supreme Collection Fine Brushed Microfiber Deep Pocket Queen Sheet Set Bedding - 2 Extra Pillow Cases, Classic Stripe Gray</t>
  </si>
  <si>
    <t xml:space="preserve">https://www.amazon.co.uk/dp/B06XYH5B9H</t>
  </si>
  <si>
    <t xml:space="preserve">B073CY3BLN</t>
  </si>
  <si>
    <t xml:space="preserve">Threadmill Home Linen Certified 100% Egyptian Cotton King Size 4 Piece Solid Bed Set, 400 Thread Count Sateen Weave, Comfortable Hotel White Sheets with Elasticized Deep Pocket</t>
  </si>
  <si>
    <t xml:space="preserve">Was: £91.39 | Was:</t>
  </si>
  <si>
    <t xml:space="preserve">https://www.amazon.co.uk/dp/B073CY3BLN</t>
  </si>
  <si>
    <t xml:space="preserve">B00AV4OGIC</t>
  </si>
  <si>
    <t xml:space="preserve">Elegant Comfort Luxury Soft 1500 Premier Egyptian 4-Piece Premium Hotel Quality Wrinkle Resistant Coziest Bedding Set, All Around Elastic Fitted Sheet, Deep Pocket up to 16inch, King, White</t>
  </si>
  <si>
    <t xml:space="preserve">https://www.amazon.co.uk/dp/B00AV4OGIC</t>
  </si>
  <si>
    <t xml:space="preserve">B018UG4VVO</t>
  </si>
  <si>
    <t xml:space="preserve">Rohi Double Fitted Sheet with Pillowcases, 25cm Deep, Bed Sheet, Teal</t>
  </si>
  <si>
    <t xml:space="preserve">https://www.amazon.co.uk/dp/B018UG4VVO</t>
  </si>
  <si>
    <t xml:space="preserve">B09DT8PPPJ</t>
  </si>
  <si>
    <t xml:space="preserve">Utopia Bedding Queen Bed Sheets Set - 4 Piece Bedding - Brushed Microfiber - Shrinkage and Fade Resistant - Easy Care (Queen, White)</t>
  </si>
  <si>
    <t xml:space="preserve">https://www.amazon.co.uk/dp/B09DT8PPPJ</t>
  </si>
  <si>
    <t xml:space="preserve">B0CGDH9K3K</t>
  </si>
  <si>
    <t xml:space="preserve">MOOMEE Bedding Sheet Set 100% Washed Cotton Linen Like Textured Breathable Durable Soft Comfy (Cocoa Brown, Queen)</t>
  </si>
  <si>
    <t xml:space="preserve">https://www.amazon.co.uk/dp/B0CGDH9K3K</t>
  </si>
  <si>
    <t xml:space="preserve">B0CSB4XNYV</t>
  </si>
  <si>
    <t xml:space="preserve">HOMES-LINEN Tartan Checked Sheet Set 100% Brushed Cotton Flannelette Fitted Sheet Flat Sheet &amp; Pillowcases Set (Green, Double)</t>
  </si>
  <si>
    <t xml:space="preserve">https://www.amazon.co.uk/dp/B0CSB4XNYV</t>
  </si>
  <si>
    <t xml:space="preserve">B0C5WFZS5P</t>
  </si>
  <si>
    <t xml:space="preserve">Linen Closet Luxury Cotton 1200 Thread Count Hotel Luxury 4-Piece Sheet Set, Queen, Beige</t>
  </si>
  <si>
    <t xml:space="preserve">https://www.amazon.co.uk/dp/B0C5WFZS5P</t>
  </si>
  <si>
    <t xml:space="preserve">B01A65OAR2</t>
  </si>
  <si>
    <t xml:space="preserve">Queen Size Bed Sheets - Breathable Luxury Sheets with Full Elastic &amp; Secure Corner Straps Built In - 1800 Supreme Collection Extra Soft Deep Pocket Bedding Set, Sheet Set, Queen, Silver</t>
  </si>
  <si>
    <t xml:space="preserve">https://www.amazon.co.uk/dp/B01A65OAR2</t>
  </si>
  <si>
    <t xml:space="preserve">B0C3MSQNGP</t>
  </si>
  <si>
    <t xml:space="preserve">CHILIMILII 100% Brushed Cotton 4 Piece Flannel Sheet Set,Flat Sheet, Fitted Sheet with 2 Pillowcases, Brushed For Extra Softness, Warm,Easy Care Thermal Flannelette Sheet set (Mustard, Double)</t>
  </si>
  <si>
    <t xml:space="preserve">https://www.amazon.co.uk/dp/B0C3MSQNGP</t>
  </si>
  <si>
    <t xml:space="preserve">B0CFWCBJWH</t>
  </si>
  <si>
    <t xml:space="preserve">HOMES-LINEN Rosebud Printed Flannelette Thermal Sheet Brushed Cotton Bed Sheet Set (Single, Pink)</t>
  </si>
  <si>
    <t xml:space="preserve">https://www.amazon.co.uk/dp/B0CFWCBJWH</t>
  </si>
  <si>
    <t xml:space="preserve">B08PHX4S82</t>
  </si>
  <si>
    <t xml:space="preserve">Amour Calin 3 Piece Bed Sheet Set - Easy Care Soft Brushed Microfibre Fabric -1 Fitted Sheet, with Pair of Pillowcases - Shrinkage and Fade Resistant - 12 inches Deep Fitted (Navy, Single)</t>
  </si>
  <si>
    <t xml:space="preserve">https://www.amazon.co.uk/dp/B08PHX4S82</t>
  </si>
  <si>
    <t xml:space="preserve">B0H71DB5M5</t>
  </si>
  <si>
    <t xml:space="preserve">Linens World King Size Duvet Cover Set 4 Piece – OEKO-TEX Certified Ultra Soft Brushed Microfiber Bedding Set with 26cm Deep Fitted Sheet &amp; 2 Pillowcases, Button Closure, (Cream, 230 x 220 cm)</t>
  </si>
  <si>
    <t xml:space="preserve">https://www.amazon.co.uk/dp/B0H71DB5M5</t>
  </si>
  <si>
    <t xml:space="preserve">B0CH7C5V67</t>
  </si>
  <si>
    <t xml:space="preserve">Tommy Bahama - King Sheets, Washed Percale Cotton Bedding Set, Soft &amp; Breathable Bedroom Decor with Deep Pockets (Raffia Linen Beige, King)</t>
  </si>
  <si>
    <t xml:space="preserve">https://www.amazon.co.uk/dp/B0CH7C5V67</t>
  </si>
  <si>
    <t xml:space="preserve">B07Q69PM93</t>
  </si>
  <si>
    <t xml:space="preserve">California King Sheet Sets - Breathable Luxury Sheets with Full Elastic &amp; Secure Corner Straps Built In - 1800 Supreme Collection Bedding, Sheet Set, California King, Buffalo Check Burgundy</t>
  </si>
  <si>
    <t xml:space="preserve">https://www.amazon.co.uk/dp/B07Q69PM93</t>
  </si>
  <si>
    <t xml:space="preserve">B0DKP9XCFT</t>
  </si>
  <si>
    <t xml:space="preserve">Papa Jones Rose Bud Floral Luxury Thermal 100% Brushed Cotton Flannelette Sheet Set (Pink, Double)</t>
  </si>
  <si>
    <t xml:space="preserve">https://www.amazon.co.uk/dp/B0DKP9XCFT</t>
  </si>
  <si>
    <t xml:space="preserve">B0CK4MSW4V</t>
  </si>
  <si>
    <t xml:space="preserve">PRIME LINENS Duvet Cover Set 4 Pcs Brushed Microfibre Quilt Cover Bedding Set With Pillow Cases and Extra Fitted Sheet Included (Jasmine Teal, Double)</t>
  </si>
  <si>
    <t xml:space="preserve">https://www.amazon.co.uk/dp/B0CK4MSW4V</t>
  </si>
  <si>
    <t xml:space="preserve">B09B7S6Q1Z</t>
  </si>
  <si>
    <t xml:space="preserve">Catherine Lansfield Meadowsweet Floral Reversible Single Duvet Cover Set with Pillowcase Grey Pink</t>
  </si>
  <si>
    <t xml:space="preserve">RRP: £17.00 | RRP: | Save 5% on any 4 qualifying items</t>
  </si>
  <si>
    <t xml:space="preserve">https://www.amazon.co.uk/dp/B09B7S6Q1Z</t>
  </si>
  <si>
    <t xml:space="preserve">B0F9YW12PJ</t>
  </si>
  <si>
    <t xml:space="preserve">100% Tencel Lyocell Cooling Sheet Set, 4Pc, White, Full</t>
  </si>
  <si>
    <t xml:space="preserve">LIVE_UK_lyocell</t>
  </si>
  <si>
    <t xml:space="preserve">https://www.amazon.co.uk/dp/B0F9YW12PJ</t>
  </si>
  <si>
    <t xml:space="preserve">B09NY7NLQ3</t>
  </si>
  <si>
    <t xml:space="preserve">Cooling Eucalyptus Sheets - Tencel Sheets Full - Made from Tencel &amp; Egyptian Cotton -Skin-friendly, Temperature Regulating, Vegan Silk Alternative, Breathable, Crisp, and Matte Percale Weave</t>
  </si>
  <si>
    <t xml:space="preserve">https://www.amazon.co.uk/dp/B09NY7NLQ3</t>
  </si>
  <si>
    <t xml:space="preserve">B0GFLZK8RP</t>
  </si>
  <si>
    <t xml:space="preserve">Dreamology Full Tencel Sheets,100% Tencel Lyocell Sheet,Eucalyptus Sheet</t>
  </si>
  <si>
    <t xml:space="preserve">https://www.amazon.co.uk/dp/B0GFLZK8RP</t>
  </si>
  <si>
    <t xml:space="preserve">B0GVH4D3MM</t>
  </si>
  <si>
    <t xml:space="preserve">HeimenAogo Tencel Lyocell Sheet Sets, Cooling Sheets, 100% Lyocell from Botanic Sources, Deep Pocket 16", Silky Smooth &amp; Breathable, Temperature Regulating Hotel Bedding for Hot Sleepers, Full</t>
  </si>
  <si>
    <t xml:space="preserve">https://www.amazon.co.uk/dp/B0GVH4D3MM</t>
  </si>
  <si>
    <t xml:space="preserve">B0GFLQBC63</t>
  </si>
  <si>
    <t xml:space="preserve">Dreamology Tencel Bed Sheet Set 4 Pieces 100% Tencel Lyocell Soft Peach Non Slip Cooling for Hot Sleepers Tencel Flat Sheet with 15 Inch Deep Pockets King Sheet Set 4</t>
  </si>
  <si>
    <t xml:space="preserve">https://www.amazon.co.uk/dp/B0GFLQBC63</t>
  </si>
  <si>
    <t xml:space="preserve">B0D8ZSZZV2</t>
  </si>
  <si>
    <t xml:space="preserve">Silvery Silver Infused Bed Sheets Set - Award-Winning Self-Cooling Fabric with Self-Cleaning Silvery Technology™ for Hygienic Sleep - Luxurious Silky Soft Comfort (Gray, Full)</t>
  </si>
  <si>
    <t xml:space="preserve">https://www.amazon.co.uk/dp/B0D8ZSZZV2</t>
  </si>
  <si>
    <t xml:space="preserve">B0F2W8X2SL</t>
  </si>
  <si>
    <t xml:space="preserve">100% Tencel Sheets, 18" Deep Pocket, Crown Blue, 4PC Queen | Cooling with Elastic Corner Straps, Perfect for Sensitive Skin &amp; Hot Sleepers, Softer than Cotton, Eucalyptus Tencel Lyocell</t>
  </si>
  <si>
    <t xml:space="preserve">https://www.amazon.co.uk/dp/B0F2W8X2SL</t>
  </si>
  <si>
    <t xml:space="preserve">B0GFLW4VRZ</t>
  </si>
  <si>
    <t xml:space="preserve">Dreamology Tencel Sheets Cal King,100% Tencel Lyocell Sheets</t>
  </si>
  <si>
    <t xml:space="preserve">https://www.amazon.co.uk/dp/B0GFLW4VRZ</t>
  </si>
  <si>
    <t xml:space="preserve">B0FN713X4Z</t>
  </si>
  <si>
    <t xml:space="preserve">CASILVA Eucalyptus Sheets, Softer Than Silk Fibers, King Sheet Set</t>
  </si>
  <si>
    <t xml:space="preserve">https://www.amazon.co.uk/dp/B0FN713X4Z</t>
  </si>
  <si>
    <t xml:space="preserve">B0HBXG8YK1</t>
  </si>
  <si>
    <t xml:space="preserve">100% Real Bamboo Viscose &amp; Lyocell Tencel Sheets Set King Size | Breathable &amp; Cooling for Hot Sleeper | Luxury Silky Soft Fabric | 18" Deep Pocket with Corner Straps (White, King)</t>
  </si>
  <si>
    <t xml:space="preserve">https://www.amazon.co.uk/dp/B0HBXG8YK1</t>
  </si>
  <si>
    <t xml:space="preserve">B0DV8K7KNM</t>
  </si>
  <si>
    <t xml:space="preserve">Modern Threads 100% Tencel Lyocell 4-Piece Sheet Set, 400 Thread Count Luxury Bedding, White, King</t>
  </si>
  <si>
    <t xml:space="preserve">https://www.amazon.co.uk/dp/B0DV8K7KNM</t>
  </si>
  <si>
    <t xml:space="preserve">B0FM1XFPJ4</t>
  </si>
  <si>
    <t xml:space="preserve">Calvin Klein - Queen Size Sheets Set, Lightweight Sheets Made from a Naturally Soft Cotton Blend - Bed Sheets with Matching Pillowcases &amp; Fitted Sheet (Modern Cotton Brown)</t>
  </si>
  <si>
    <t xml:space="preserve">https://www.amazon.co.uk/dp/B0FM1XFPJ4</t>
  </si>
  <si>
    <t xml:space="preserve">B0D312S11W</t>
  </si>
  <si>
    <t xml:space="preserve">Shilucheng Tencel Sheets 4 Piece, 100% Eucalyptus Lyocell Sheets Set, Cooler Than Cotton and Linen, Summer Cooling Breathable Bed Sheets for Hot Sleepers, 16 Inch Deep Pockets (Grey, Queen)</t>
  </si>
  <si>
    <t xml:space="preserve">https://www.amazon.co.uk/dp/B0D312S11W</t>
  </si>
  <si>
    <t xml:space="preserve">B0BPT4PYZL</t>
  </si>
  <si>
    <t xml:space="preserve">Certified 100% Tencel Lyocell Sheets|4 piece set|Sateen Weave|True Carbon Zero|Gentle to skin|Genuity tags included|Natural sheen|Body temp regulation|Austrian Eucalyptus(Queen,Navy Blue)</t>
  </si>
  <si>
    <t xml:space="preserve">https://www.amazon.co.uk/dp/B0BPT4PYZL</t>
  </si>
  <si>
    <t xml:space="preserve">B0FM1Y7G2C</t>
  </si>
  <si>
    <t xml:space="preserve">Calvin Klein - Queen Size Sheets Set, Naturally Soft Cotton-Blend Melange Jersey Bedding - Bed Sheets with Matching Pillowcases &amp; Fitted Sheet (Modern Cotton Pink)</t>
  </si>
  <si>
    <t xml:space="preserve">https://www.amazon.co.uk/dp/B0FM1Y7G2C</t>
  </si>
  <si>
    <t xml:space="preserve">B0HJ5Q19KM</t>
  </si>
  <si>
    <t xml:space="preserve">Luxury Organic Tencel &amp; Viscose from Bamboo Cooling Sheet Set,Silky Soft Lyocell Sheets with Deep Pocket, Hypoallergenic &amp; Breathable Bedding with Pillowcases (Charcoal, King)</t>
  </si>
  <si>
    <t xml:space="preserve">https://www.amazon.co.uk/dp/B0HJ5Q19KM</t>
  </si>
  <si>
    <t xml:space="preserve">B0BPT46W1X</t>
  </si>
  <si>
    <t xml:space="preserve">Certified 100% Tencel Eucalyptus Lyocell Sheets|4 Piece Set|Sateen Weave|True Carbon Zero|Gentle to Skin|Genuity Tags Included|Natural Sheen|Body Temp Regulation (King,Charcoal Gray)</t>
  </si>
  <si>
    <t xml:space="preserve">https://www.amazon.co.uk/dp/B0BPT46W1X</t>
  </si>
  <si>
    <t xml:space="preserve">B0H28HTCPY</t>
  </si>
  <si>
    <t xml:space="preserve">100% Bamboo Viscose &amp; Tencel Lyocell Full Size Sheet Set for RV Camper| Cooling &amp; Breathable Bedsheets for Hot Sleepers |Luxury Silky Soft | 18" Deep Pocket with Corner Straps (01-White, Full)</t>
  </si>
  <si>
    <t xml:space="preserve">https://www.amazon.co.uk/dp/B0H28HTCPY</t>
  </si>
  <si>
    <t xml:space="preserve">B0D31239G6</t>
  </si>
  <si>
    <t xml:space="preserve">Shilucheng Tencel Sheets 4 Piece, 100% Eucalyptus Lyocell Sheets Set, Cooler Than Cotton and Linen, Summer Cooling Breathable Bed Sheets for Hot Sleepers, 16 Inch Deep Pockets (Dark Grey, Queen)</t>
  </si>
  <si>
    <t xml:space="preserve">https://www.amazon.co.uk/dp/B0D31239G6</t>
  </si>
  <si>
    <t xml:space="preserve">B084RMYZ6N</t>
  </si>
  <si>
    <t xml:space="preserve">Stylinen 100% Organic Eucalyptus Bed Sheets King Size 4 Piece Set, Tencel Lyocell, Silky Soft &amp; Smooth, Breathable, 16 Inch Deep Pockets, 1 Fitted, 1 Flat, 2 Pillowcases (King, White)</t>
  </si>
  <si>
    <t xml:space="preserve">https://www.amazon.co.uk/dp/B084RMYZ6N</t>
  </si>
  <si>
    <t xml:space="preserve">B0D314839K</t>
  </si>
  <si>
    <t xml:space="preserve">https://www.amazon.co.uk/dp/B0D314839K</t>
  </si>
  <si>
    <t xml:space="preserve">B0FMK3NKP6</t>
  </si>
  <si>
    <t xml:space="preserve">Tencel Lyocell 4 Pieces King Sheet Set, Silky Soft, Cooling &amp; Wrinkle-Free - Oeko-TEX Certified - Deep Pocket Fits 16" Mattress, Bright White</t>
  </si>
  <si>
    <t xml:space="preserve">https://www.amazon.co.uk/dp/B0FMK3NKP6</t>
  </si>
  <si>
    <t xml:space="preserve">B0HHJBWZ7T</t>
  </si>
  <si>
    <t xml:space="preserve">Madison Park Tencel Lyocell Cotton Blend Sheet Set, Full Size, Dusty Blue</t>
  </si>
  <si>
    <t xml:space="preserve">https://www.amazon.co.uk/dp/B0HHJBWZ7T</t>
  </si>
  <si>
    <t xml:space="preserve">B0CG285MLH</t>
  </si>
  <si>
    <t xml:space="preserve">Miracle Made® Newly Improved Extra Luxe Cool IT™ True Grip ® Fitted Bed Sheets –Sage Green,King– 4 Piece Silver Infused, 300-Thread-Count Fabric (Stone, Cali King)</t>
  </si>
  <si>
    <t xml:space="preserve">Cali King</t>
  </si>
  <si>
    <t xml:space="preserve">https://www.amazon.co.uk/dp/B0CG285MLH</t>
  </si>
  <si>
    <t xml:space="preserve">B0HLZ3MC5X</t>
  </si>
  <si>
    <t xml:space="preserve">100% Real Bamboo Viscose &amp; Lyocell Tencel Sheets Set King Size | Breathable &amp; Cooling for Hot Sleeper | Luxury Silky Soft Fabric | 18" Deep Pocket with Corner Straps (Natural White, King)</t>
  </si>
  <si>
    <t xml:space="preserve">https://www.amazon.co.uk/dp/B0HLZ3MC5X</t>
  </si>
  <si>
    <t xml:space="preserve">B079NRFHVR</t>
  </si>
  <si>
    <t xml:space="preserve">Royal Hotel Queen Tencel Lyocell Sheet Set, 600 Thread Count, Sea, 4-Piece</t>
  </si>
  <si>
    <t xml:space="preserve">https://www.amazon.co.uk/dp/B079NRFHVR</t>
  </si>
  <si>
    <t xml:space="preserve">B0HF89SNLP</t>
  </si>
  <si>
    <t xml:space="preserve">Luxury Organic Tencel &amp; Viscose from Bamboo Cooling Sheet Set,Silky Soft Lyocell Sheets with Deep Pocket, Hypoallergenic &amp; Breathable Bedding with Pillowcases (Mineral, Full)</t>
  </si>
  <si>
    <t xml:space="preserve">https://www.amazon.co.uk/dp/B0HF89SNLP</t>
  </si>
  <si>
    <t xml:space="preserve">B0DK722ML4</t>
  </si>
  <si>
    <t xml:space="preserve">Shilucheng Tencel Sheets 4 Piece, 100% Eucalyptus Lyocell Sheets Set, Cooler Than Cotton and Linen, Summer Cooling Breathable Bed Sheets for Hot Sleepers, 16 Inch Deep Pockets (French Blue, Queen)</t>
  </si>
  <si>
    <t xml:space="preserve">https://www.amazon.co.uk/dp/B0DK722ML4</t>
  </si>
  <si>
    <t xml:space="preserve">B0FY6QHS7T</t>
  </si>
  <si>
    <t xml:space="preserve">Olive + Crate Tencel Lyocell Eucalyptus Twin Sheets Set</t>
  </si>
  <si>
    <t xml:space="preserve">https://www.amazon.co.uk/dp/B0FY6QHS7T</t>
  </si>
  <si>
    <t xml:space="preserve">B0D313T243</t>
  </si>
  <si>
    <t xml:space="preserve">https://www.amazon.co.uk/dp/B0D313T243</t>
  </si>
  <si>
    <t xml:space="preserve">B0F1YBF31P</t>
  </si>
  <si>
    <t xml:space="preserve">LBRO2M 100% Tencel Sheet Set Lyocell Cooling Sheets for Hot Sleeper Queen Size 4 Piece Silky Soft and Smooth Breathable Sheets,16 Inches Deep Pocket Bedding Set Wrinkle Resistant (Queen Dark Gray)</t>
  </si>
  <si>
    <t xml:space="preserve">https://www.amazon.co.uk/dp/B0F1YBF31P</t>
  </si>
  <si>
    <t xml:space="preserve">B0BPT4PF98</t>
  </si>
  <si>
    <t xml:space="preserve">Certified 100% Tencel Lyocell Sheets|4 Piece Set|Sateen Weave|True Carbon Zero|Gentle to Skin|Genuity Tags|Natural Sheen|Body Temp Regulation|Austrian Eucalyptus(Twin XL,Charcoal Gray)</t>
  </si>
  <si>
    <t xml:space="preserve">https://www.amazon.co.uk/dp/B0BPT4PF98</t>
  </si>
  <si>
    <t xml:space="preserve">B0BPT2L84Q</t>
  </si>
  <si>
    <t xml:space="preserve">Certified 100% Tencel Lyocell Sheets|4 Piece Set|Sateen Weave|True Carbon Zero|Gentle to Skin|Genuity Tags Included|Body Temperature Regulation|Natural Sheen|Austrian Eucalyptus(Twin,White)</t>
  </si>
  <si>
    <t xml:space="preserve">https://www.amazon.co.uk/dp/B0BPT2L84Q</t>
  </si>
  <si>
    <t xml:space="preserve">https://www.amazon.co.uk/dp/B0HCV3JB5J</t>
  </si>
  <si>
    <t xml:space="preserve">B0FKMH5DSL</t>
  </si>
  <si>
    <r>
      <rPr>
        <sz val="10"/>
        <color theme="1"/>
        <rFont val="Arial"/>
        <family val="2"/>
        <charset val="1"/>
      </rPr>
      <t xml:space="preserve">LIANLAM Luxury 100% Organic Tencel Cooling Sheets King Size, Expertly Crafted from Austrian Eucalyptus, Silky Soft Lyocell Sheets with 6"-18" Deep Pocket, Hypoallergenic Bed Sheet Set</t>
    </r>
    <r>
      <rPr>
        <sz val="10"/>
        <color theme="1"/>
        <rFont val="Linux Libertine G"/>
        <family val="2"/>
      </rPr>
      <t xml:space="preserve">（</t>
    </r>
    <r>
      <rPr>
        <sz val="10"/>
        <color theme="1"/>
        <rFont val="Arial"/>
        <family val="2"/>
        <charset val="1"/>
      </rPr>
      <t xml:space="preserve">King, White</t>
    </r>
  </si>
  <si>
    <t xml:space="preserve">https://www.amazon.co.uk/dp/B0FKMH5DSL</t>
  </si>
  <si>
    <t xml:space="preserve">B0HCV5H9K2</t>
  </si>
  <si>
    <t xml:space="preserve">100% Bamboo Viscose &amp; Tencel Lyocell Queen Size Sheet Set| Cooling &amp; Breathable Bedsheets for Hot Sleepers |Luxury Silky Soft | 18" Deep Pocket with Corner Straps(Cloud, Queen)</t>
  </si>
  <si>
    <t xml:space="preserve">https://www.amazon.co.uk/dp/B0HCV5H9K2</t>
  </si>
  <si>
    <t xml:space="preserve">B0BPT39ZF2</t>
  </si>
  <si>
    <t xml:space="preserve">Certified 100% Tencel Lyocell Sheets|4 Piece Set|Sateen Weave|True Carbon Zero|Gentle to Skin|Genuity Tags Included|Natural Sheen|Body Temp Regulation|Austrian Eucalyptus(Full,Light Gray)</t>
  </si>
  <si>
    <t xml:space="preserve">https://www.amazon.co.uk/dp/B0BPT39ZF2</t>
  </si>
  <si>
    <t xml:space="preserve">B0DCZLFHJS</t>
  </si>
  <si>
    <t xml:space="preserve">100% Tencel Lyocell Sheet Set King Size 15 Inch Deep Pocket Breathable Eucalyptus Bedding for Hot Sleepers</t>
  </si>
  <si>
    <t xml:space="preserve">https://www.amazon.co.uk/dp/B0DCZLFHJS</t>
  </si>
  <si>
    <t xml:space="preserve">B09WQL1X8Z</t>
  </si>
  <si>
    <t xml:space="preserve">100% Eucalyptus Tencel Lyocell Sheet Set, Silky Soft &amp; Smooth Cooling Sheets for All-Season, Sustainably Made, Moisture-Wicking, Hypoallergenic - Cal King, White</t>
  </si>
  <si>
    <t xml:space="preserve">https://www.amazon.co.uk/dp/B09WQL1X8Z</t>
  </si>
  <si>
    <t xml:space="preserve">B0DC2T1K5P</t>
  </si>
  <si>
    <t xml:space="preserve">Linen Closet 500 Threadcount Tencel Lyocell 4-Piece Sheet Set, King, White</t>
  </si>
  <si>
    <t xml:space="preserve">https://www.amazon.co.uk/dp/B0DC2T1K5P</t>
  </si>
  <si>
    <t xml:space="preserve">B0DYY5NFB5</t>
  </si>
  <si>
    <t xml:space="preserve">Calvin Klein - Queen Size Sheets Set, Naturally Soft Cotton-Blend Melange Jersey Bedding - Bed Sheets with Matching Pillowcases &amp; Fitted Sheet (Modern Cotton Aqua)</t>
  </si>
  <si>
    <t xml:space="preserve">https://www.amazon.co.uk/dp/B0DYY5NFB5</t>
  </si>
  <si>
    <t xml:space="preserve">B0C3MS3LY2</t>
  </si>
  <si>
    <t xml:space="preserve">CHILIMILII 100% Brushed Cotton 4 Piece Flannel Sheet Set,Flat Sheet, Fitted Sheet with 2 Pillowcases, Brushed For Extra Softness, Warm,Easy Care Thermal Flannelette Sheet set (Cream, Double)</t>
  </si>
  <si>
    <t xml:space="preserve">https://www.amazon.co.uk/dp/B0C3MS3LY2</t>
  </si>
  <si>
    <t xml:space="preserve">B07VSLJDF8</t>
  </si>
  <si>
    <t xml:space="preserve">Royal Hotel ABRIPEDIC Tencel Sheets, Silky Soft and Naturally Pure Fabric, 100% Woven Tencel Lyocell Sheet Set, 4PC Set, Full Size, Sea</t>
  </si>
  <si>
    <t xml:space="preserve">https://www.amazon.co.uk/dp/B07VSLJDF8</t>
  </si>
  <si>
    <t xml:space="preserve">B0BPT3P3G3</t>
  </si>
  <si>
    <t xml:space="preserve">Certified 100% Tencel Eucalyptus Lyocell Sheets|4 Piece Set|Sateen Weave|True Carbon Zero|Gentle to Skin|Genuity Tags Included|Natural Sheen|Body Temp Regulation (Full,Light Blue)</t>
  </si>
  <si>
    <t xml:space="preserve">https://www.amazon.co.uk/dp/B0BPT3P3G3</t>
  </si>
  <si>
    <t xml:space="preserve">B0FFG1BMYP</t>
  </si>
  <si>
    <t xml:space="preserve">Shilucheng Tencel Sheets 4 Piece, 100% Eucalyptus Lyocell Sheets Set, Cooler Than Cotton and Linen, Summer Cooling Breathable Bed Sheets for Hot Sleepers, 16 Inch Deep Pockets (French Blue, King)</t>
  </si>
  <si>
    <t xml:space="preserve">https://www.amazon.co.uk/dp/B0FFG1BMYP</t>
  </si>
  <si>
    <t xml:space="preserve">B0HJ7ZRJ7K</t>
  </si>
  <si>
    <t xml:space="preserve">100% Bamboo Viscose &amp; Tencel Lyocell Queen Size Sheet Set| Cooling &amp; Breathable Bedsheets for Hot Sleepers |Luxury Silky Soft | 18" Deep Pocket with Corner Straps(Mineral, Queen)</t>
  </si>
  <si>
    <t xml:space="preserve">https://www.amazon.co.uk/dp/B0HJ7ZRJ7K</t>
  </si>
  <si>
    <t xml:space="preserve">B01JACUN8W</t>
  </si>
  <si>
    <t xml:space="preserve">Sapphire Collection 100% Egyptian Cotton 300 Thread Count (Pair of Pillowcase, Grey)</t>
  </si>
  <si>
    <t xml:space="preserve">LIVE_UK_pillowcase</t>
  </si>
  <si>
    <t xml:space="preserve">https://www.amazon.co.uk/dp/B01JACUN8W</t>
  </si>
  <si>
    <t xml:space="preserve">B0GKG7GWXM</t>
  </si>
  <si>
    <t xml:space="preserve">White Pillow Cases 4 Pack - 100% Brushed Microfibre Pillowcases</t>
  </si>
  <si>
    <t xml:space="preserve">https://www.amazon.co.uk/dp/B0GKG7GWXM</t>
  </si>
  <si>
    <t xml:space="preserve">B01JAI4KJ4</t>
  </si>
  <si>
    <t xml:space="preserve">Sapphire collection 300 Thread Count 100% Egyptian Cotton (Pair of Pillowcase, Grey)</t>
  </si>
  <si>
    <t xml:space="preserve">https://www.amazon.co.uk/dp/B01JAI4KJ4</t>
  </si>
  <si>
    <t xml:space="preserve">B0BNGGJKBB</t>
  </si>
  <si>
    <t xml:space="preserve">4 Pack Cotton Pillowcases Standard Size (50x75 cm), Silver grey</t>
  </si>
  <si>
    <t xml:space="preserve">https://www.amazon.co.uk/dp/B0BNGGJKBB</t>
  </si>
  <si>
    <t xml:space="preserve">B07TDRSZNY</t>
  </si>
  <si>
    <t xml:space="preserve">AmigoZone New 4 Pack Pillowcases Housewife Plain Cover Polycotton Percale Bedroom Pillowcases (White, Housewife Pillow Cases 4 Pack)</t>
  </si>
  <si>
    <t xml:space="preserve">https://www.amazon.co.uk/dp/B07TDRSZNY</t>
  </si>
  <si>
    <t xml:space="preserve">B0BS72Q98S</t>
  </si>
  <si>
    <t xml:space="preserve">Linens World Pillow Cases 4 pack - Egyptian Cotton 200 Thread Count Pillow Cases/Pillow Protectors, Hotel Quality Fabric &amp; Wrinkle free pillows Cover Pack of 4 (Standard 50x75 cm, White)</t>
  </si>
  <si>
    <t xml:space="preserve">https://www.amazon.co.uk/dp/B0BS72Q98S</t>
  </si>
  <si>
    <t xml:space="preserve">B09B68FS2W</t>
  </si>
  <si>
    <t xml:space="preserve">Sapphire Collection 800 Thread Count Pure Egyptian Cotton Super Soft Hotel Quality White Pair Of Housewife Pillowcases (white)</t>
  </si>
  <si>
    <t xml:space="preserve">https://www.amazon.co.uk/dp/B09B68FS2W</t>
  </si>
  <si>
    <t xml:space="preserve">B01JACUSQ4</t>
  </si>
  <si>
    <t xml:space="preserve">Sapphire Collection 100% Egyptian Cotton 300 Thread Count (Pair of Pillowcase, Mocha)</t>
  </si>
  <si>
    <t xml:space="preserve">https://www.amazon.co.uk/dp/B01JACUSQ4</t>
  </si>
  <si>
    <t xml:space="preserve">B0DQ9BMWY3</t>
  </si>
  <si>
    <t xml:space="preserve">Yard Hebden Pillowcase Pair (Olive)</t>
  </si>
  <si>
    <t xml:space="preserve">https://www.amazon.co.uk/dp/B0DQ9BMWY3</t>
  </si>
  <si>
    <t xml:space="preserve">B0CRVRJNTM</t>
  </si>
  <si>
    <t xml:space="preserve">Catherine Lansfield Easy Iron Percale Standard Pillowcase Pair Sage Green</t>
  </si>
  <si>
    <t xml:space="preserve">https://www.amazon.co.uk/dp/B0CRVRJNTM</t>
  </si>
  <si>
    <t xml:space="preserve">B0FYTFXB4R</t>
  </si>
  <si>
    <t xml:space="preserve">AmigoZone Egyptian Cotton 200 Thread Count Pillow Pair (Grey, 4 PACK)</t>
  </si>
  <si>
    <t xml:space="preserve">https://www.amazon.co.uk/dp/B0FYTFXB4R</t>
  </si>
  <si>
    <t xml:space="preserve">B0B67KTKYY</t>
  </si>
  <si>
    <t xml:space="preserve">Catherine Lansfield Easy Iron Percale Standard Pillowcase Pair Blue</t>
  </si>
  <si>
    <t xml:space="preserve">https://www.amazon.co.uk/dp/B0B67KTKYY</t>
  </si>
  <si>
    <t xml:space="preserve">B078LZ5X1T</t>
  </si>
  <si>
    <t xml:space="preserve">Sapphire collection 800 Thread Count Pure Egyptian Cotton Super Soft Hotel Quality White Oxford Pair Of Pillowcase</t>
  </si>
  <si>
    <t xml:space="preserve">https://www.amazon.co.uk/dp/B078LZ5X1T</t>
  </si>
  <si>
    <t xml:space="preserve">B0B5NDH15M</t>
  </si>
  <si>
    <t xml:space="preserve">GC GAVENO CAVAILIA Housewife Pillowcases 2 Pack, Breathable Standard Pillow Cases, Plain Pillow Covers With Envelop Closure, White, 74X48 Cm, 708643</t>
  </si>
  <si>
    <t xml:space="preserve">https://www.amazon.co.uk/dp/B0B5NDH15M</t>
  </si>
  <si>
    <t xml:space="preserve">B082QN2HYS</t>
  </si>
  <si>
    <t xml:space="preserve">Sapphire Collection Egyptian Cotton 500 TC Hotel White Pair Of pillowcases 100% Egyptian Cotton (White, Pair of Oxford Style)</t>
  </si>
  <si>
    <t xml:space="preserve">https://www.amazon.co.uk/dp/B082QN2HYS</t>
  </si>
  <si>
    <t xml:space="preserve">B0BPSSBW3G</t>
  </si>
  <si>
    <t xml:space="preserve">STOF - Pillowcase - Size 50 x 70 cm - 100% Oeko-Tex certified cotton - Excellent quality - White - Eden model - Bed linen for home - Soft and comfortable - Unisex - Unisex</t>
  </si>
  <si>
    <t xml:space="preserve">https://www.amazon.co.uk/dp/B0BPSSBW3G</t>
  </si>
  <si>
    <t xml:space="preserve">B06X3V5R4J</t>
  </si>
  <si>
    <t xml:space="preserve">Amazon Basics Deluxe Standard Pillow Case, 100% Cotton Sateen 400 Thread Count, Super Soft, 50 x 80 cm (Pack of 2), White,Pillows Not Included</t>
  </si>
  <si>
    <t xml:space="preserve">https://www.amazon.co.uk/dp/B06X3V5R4J</t>
  </si>
  <si>
    <t xml:space="preserve">B086RYB61T</t>
  </si>
  <si>
    <t xml:space="preserve">AmigoZone New 100% Brushed Cotton Flannelette 2 x Pillow Cases Housewife Plain Cover Bedroom Pair Pack (Grey)</t>
  </si>
  <si>
    <t xml:space="preserve">https://www.amazon.co.uk/dp/B086RYB61T</t>
  </si>
  <si>
    <t xml:space="preserve">B0DQ99P8J7</t>
  </si>
  <si>
    <t xml:space="preserve">Yard Hebden Pillowcase Pair (Mole)</t>
  </si>
  <si>
    <t xml:space="preserve">https://www.amazon.co.uk/dp/B0DQ99P8J7</t>
  </si>
  <si>
    <t xml:space="preserve">B015IX8IYI</t>
  </si>
  <si>
    <t xml:space="preserve">Amazon Basics 100% Cotton Soft Pillowcases with Zip, Standard Size 50 x 80 cm (Pack of 4), White</t>
  </si>
  <si>
    <t xml:space="preserve">https://www.amazon.co.uk/dp/B015IX8IYI</t>
  </si>
  <si>
    <t xml:space="preserve">B075JJNFBK</t>
  </si>
  <si>
    <t xml:space="preserve">100% Egyptian Cotton Pillowcase pair House Wife Pillowcase pair 2 pack (White, Pillowcase Pair)</t>
  </si>
  <si>
    <t xml:space="preserve">https://www.amazon.co.uk/dp/B075JJNFBK</t>
  </si>
  <si>
    <t xml:space="preserve">B075ZXJ89W</t>
  </si>
  <si>
    <t xml:space="preserve">600TC LUXURY WHITE OXFORD PAIR OF PILLOW CASES EGYPTIAN COTTON LUXURY HOTEL QUALITY</t>
  </si>
  <si>
    <t xml:space="preserve">https://www.amazon.co.uk/dp/B075ZXJ89W</t>
  </si>
  <si>
    <t xml:space="preserve">B09G5T2ZFZ</t>
  </si>
  <si>
    <t xml:space="preserve">AmigoZone 2 Pack 100% Egyptian Cotton 400 Thread Count Pillowcases (White, 2pc Housewife Pillowcases)</t>
  </si>
  <si>
    <t xml:space="preserve">https://www.amazon.co.uk/dp/B09G5T2ZFZ</t>
  </si>
  <si>
    <t xml:space="preserve">B0D67BBGX5</t>
  </si>
  <si>
    <t xml:space="preserve">Bianca 200 Thread Count Cotton Percale Oxford Pillowcase Pair Sage Green</t>
  </si>
  <si>
    <t xml:space="preserve">https://www.amazon.co.uk/dp/B0D67BBGX5</t>
  </si>
  <si>
    <t xml:space="preserve">B0DQQ3ZLNP</t>
  </si>
  <si>
    <t xml:space="preserve">Appletree - Natural Pillow Cases 2 Pack - Housewife Pillow Style - Natural Pillowcases (48 x 76cm) - Soft &amp; Luxury 100% Cotton - 2 Pieces</t>
  </si>
  <si>
    <t xml:space="preserve">https://www.amazon.co.uk/dp/B0DQQ3ZLNP</t>
  </si>
  <si>
    <t xml:space="preserve">B08LR2R345</t>
  </si>
  <si>
    <t xml:space="preserve">AmigoZone New 2 x Pillow Cases Housewife Plain Cover Polycotton Bedroom Luxury Pair Pack (Silver)</t>
  </si>
  <si>
    <t xml:space="preserve">https://www.amazon.co.uk/dp/B08LR2R345</t>
  </si>
  <si>
    <t xml:space="preserve">B0C3RX4S57</t>
  </si>
  <si>
    <t xml:space="preserve">Super Soft Brushed Cotton Flannel Pair of pillowcases-Super Warm Flannelette Pillow Case/Covers-Thermal/Flannel Pillowcases pair in 7 colors-Warm &amp; Cosy Pillowcases 75x50cm (Grey)</t>
  </si>
  <si>
    <t xml:space="preserve">https://www.amazon.co.uk/dp/B0C3RX4S57</t>
  </si>
  <si>
    <t xml:space="preserve">B014VHB222</t>
  </si>
  <si>
    <t xml:space="preserve">NIYS Luxury Bedding Finest 100% Egyptian Cotton Pillowcase Pair (White)</t>
  </si>
  <si>
    <t xml:space="preserve">https://www.amazon.co.uk/dp/B014VHB222</t>
  </si>
  <si>
    <t xml:space="preserve">B074QWW239</t>
  </si>
  <si>
    <t xml:space="preserve">Amazon Basics Microfibre Pillowcases, 50 x 80 cm, Pack of 2, Black</t>
  </si>
  <si>
    <t xml:space="preserve">https://www.amazon.co.uk/dp/B074QWW239</t>
  </si>
  <si>
    <t xml:space="preserve">B08SLJQB63</t>
  </si>
  <si>
    <t xml:space="preserve">HOMES-LINEN Flannelette Thermal Pair Of Pillow Cases 100% Brushed Cotton (Latte)</t>
  </si>
  <si>
    <t xml:space="preserve">https://www.amazon.co.uk/dp/B08SLJQB63</t>
  </si>
  <si>
    <t xml:space="preserve">B0BV6LYXZT</t>
  </si>
  <si>
    <t xml:space="preserve">GC GAVENO CAVAILIA Microfiber Pillow Cases 2 Pack - Plain Dyed Housewife Pillowcases - Charcoal - (74x48 cm)</t>
  </si>
  <si>
    <t xml:space="preserve">https://www.amazon.co.uk/dp/B0BV6LYXZT</t>
  </si>
  <si>
    <t xml:space="preserve">B09N7HBCYY</t>
  </si>
  <si>
    <t xml:space="preserve">4 Pack Egyptian Cotton Pillow Cases - 250 Thread Count, Premium Hotel Quality, Soft &amp; Breathable, Envelope Closure Pillowcases - Standard Size (50x75 cm), White</t>
  </si>
  <si>
    <t xml:space="preserve">https://www.amazon.co.uk/dp/B09N7HBCYY</t>
  </si>
  <si>
    <t xml:space="preserve">B0876B4CGD</t>
  </si>
  <si>
    <t xml:space="preserve">Mastex Printed Pillowcase Set | 100% Egyptian Cotton - (Pillow Pair - Ebony) - Pack of 2 Pillow Cover 50CM x 75CM Approx.</t>
  </si>
  <si>
    <t xml:space="preserve">https://www.amazon.co.uk/dp/B0876B4CGD</t>
  </si>
  <si>
    <t xml:space="preserve">B0CJCCQHQK</t>
  </si>
  <si>
    <t xml:space="preserve">Catherine Lansfield Brushed Cotton Standard Pillowcase Pair White</t>
  </si>
  <si>
    <t xml:space="preserve">https://www.amazon.co.uk/dp/B0CJCCQHQK</t>
  </si>
  <si>
    <t xml:space="preserve">B07FYVKYJ9</t>
  </si>
  <si>
    <t xml:space="preserve">100% Cotton 300 Thread Count Satin Stripe Luxury V- Shaped White Pillowcases Only</t>
  </si>
  <si>
    <t xml:space="preserve">https://www.amazon.co.uk/dp/B07FYVKYJ9</t>
  </si>
  <si>
    <t xml:space="preserve">B0CJC3XN74</t>
  </si>
  <si>
    <t xml:space="preserve">ACRALI HOME Zipped Quilted Pillow Protectors 4 Pack - Standard Size 50x75cm</t>
  </si>
  <si>
    <t xml:space="preserve">https://www.amazon.co.uk/dp/B0CJC3XN74</t>
  </si>
  <si>
    <t xml:space="preserve">B0D67BHKZW</t>
  </si>
  <si>
    <t xml:space="preserve">Bianca 200 Thread Count Cotton Percale Standard Pillowcase Pair Blue</t>
  </si>
  <si>
    <t xml:space="preserve">https://www.amazon.co.uk/dp/B0D67BHKZW</t>
  </si>
  <si>
    <t xml:space="preserve">B09QT58DC2</t>
  </si>
  <si>
    <t xml:space="preserve">Sleepdown Pillow cases 100% Pure Cotton Pack of Two Oxford Luxury Soft Cosy Pillow Cover Set - Grey - 48x74x5 cm</t>
  </si>
  <si>
    <t xml:space="preserve">https://www.amazon.co.uk/dp/B09QT58DC2</t>
  </si>
  <si>
    <t xml:space="preserve">B08ZJLS11Q</t>
  </si>
  <si>
    <t xml:space="preserve">Bianca 200 Thread Count Cotton Percale Standard Pillowcase Pair Blush</t>
  </si>
  <si>
    <t xml:space="preserve">https://www.amazon.co.uk/dp/B08ZJLS11Q</t>
  </si>
  <si>
    <t xml:space="preserve">B0982CQ53N</t>
  </si>
  <si>
    <t xml:space="preserve">Good Sleep Bedding 1000 Thread Count 100% Egyptian Pillow Cases, Long-Staple 100% Cotton, Sateen Weave 2 Piece Queen/Standard White</t>
  </si>
  <si>
    <t xml:space="preserve">https://www.amazon.co.uk/dp/B0982CQ53N</t>
  </si>
  <si>
    <t xml:space="preserve">B09BVZCKP3</t>
  </si>
  <si>
    <t xml:space="preserve">Pillow Cases - Pack of 2 Plain Cover Polycotton Luxury Pillowcases - Shrinkage and Fade Resistant (Navy Blue)</t>
  </si>
  <si>
    <t xml:space="preserve">https://www.amazon.co.uk/dp/B09BVZCKP3</t>
  </si>
  <si>
    <t xml:space="preserve">B07QX72BBQ</t>
  </si>
  <si>
    <t xml:space="preserve">Arlinens Plain dyed polycotton Housewife pair of pillowcases, Available in 20 (Red)</t>
  </si>
  <si>
    <t xml:space="preserve">https://www.amazon.co.uk/dp/B07QX72BBQ</t>
  </si>
  <si>
    <t xml:space="preserve">B0DNJYK2W5</t>
  </si>
  <si>
    <t xml:space="preserve">Catherine Lansfield Brushed Cotton Standard Pillow case Pair with envelope closure Green</t>
  </si>
  <si>
    <t xml:space="preserve">https://www.amazon.co.uk/dp/B0DNJYK2W5</t>
  </si>
  <si>
    <t xml:space="preserve">B00LCU0FB6</t>
  </si>
  <si>
    <t xml:space="preserve">Arlinens Plain Dyed PolyCotton Housewife Pillow Cases Pair Pack 16 Colours (Sage Green)</t>
  </si>
  <si>
    <t xml:space="preserve">https://www.amazon.co.uk/dp/B00LCU0FB6</t>
  </si>
  <si>
    <t xml:space="preserve">B01N90ZB9K</t>
  </si>
  <si>
    <t xml:space="preserve">Sapphire Collection 2 x Luxury Pair of Housewife Pillow Cases Non Iron Percale Bedroom Bedding Pillow Cover (Plum)</t>
  </si>
  <si>
    <t xml:space="preserve">https://www.amazon.co.uk/dp/B01N90ZB9K</t>
  </si>
  <si>
    <t xml:space="preserve">B084Q8X4ZN</t>
  </si>
  <si>
    <t xml:space="preserve">Jasmine Silk 100% Pure Mulberry Silk 19 Momme Charmeuse Silk Pillowcase With Cotton underside for Hair and Skin 1pc 50 x 75 cm Hypoallergenic Envelope Closure (White)</t>
  </si>
  <si>
    <t xml:space="preserve">https://www.amazon.co.uk/dp/B084Q8X4ZN</t>
  </si>
  <si>
    <t xml:space="preserve">B0756Z596L</t>
  </si>
  <si>
    <t xml:space="preserve">Sourcingmap Egyptian Cotton Pillowcases 2 Pack, Black 50cm x 75cm</t>
  </si>
  <si>
    <t xml:space="preserve">https://www.amazon.co.uk/dp/B0756Z596L</t>
  </si>
  <si>
    <t xml:space="preserve">B0FQ2J17K1</t>
  </si>
  <si>
    <t xml:space="preserve">Pamposh 400 Thread Count 100% Egyptian Cotton Pillow Cases 4 Pack Breathable Ultrasoft Grey Pillow Covers</t>
  </si>
  <si>
    <t xml:space="preserve">https://www.amazon.co.uk/dp/B0FQ2J17K1</t>
  </si>
  <si>
    <t xml:space="preserve">B08FRKXJ9R</t>
  </si>
  <si>
    <t xml:space="preserve">Silentnight Waterproof Mattress Protector, Double Bed, 1 Pack</t>
  </si>
  <si>
    <t xml:space="preserve">RRP: £26.99 | RRP:</t>
  </si>
  <si>
    <t xml:space="preserve">LIVE_UK_protector</t>
  </si>
  <si>
    <t xml:space="preserve">https://www.amazon.co.uk/dp/B08FRKXJ9R</t>
  </si>
  <si>
    <t xml:space="preserve">B0D26JFSB5</t>
  </si>
  <si>
    <t xml:space="preserve">Acrali Home 100% Waterproof Mattress Protector Double Bed With Extra Deep 40 CM Skirt, Premium Terry Towel Cotton, Anti Allergy Double Mattress Protector - Washable &amp; Nonslip Mattress Cover</t>
  </si>
  <si>
    <t xml:space="preserve">https://www.amazon.co.uk/dp/B0D26JFSB5</t>
  </si>
  <si>
    <t xml:space="preserve">B0DHD3LQLN</t>
  </si>
  <si>
    <t xml:space="preserve">Oliver Bedding Quilted Double Mattress Protector (137x191 cm), Waterproof Mattresses Protector Double Bed, Fits Mattress up to 30cm Deep, Breathable Bed Mattresses Cover, White</t>
  </si>
  <si>
    <t xml:space="preserve">https://www.amazon.co.uk/dp/B0DHD3LQLN</t>
  </si>
  <si>
    <t xml:space="preserve">B08FRFKTSN</t>
  </si>
  <si>
    <t xml:space="preserve">Silentnight Waterproof Mattress Protector, King Bed, 1 Pack</t>
  </si>
  <si>
    <t xml:space="preserve">https://www.amazon.co.uk/dp/B08FRFKTSN</t>
  </si>
  <si>
    <t xml:space="preserve">B0DHD5BDV9</t>
  </si>
  <si>
    <t xml:space="preserve">Waterproof Mattress Protector King Size – Quilted King Mattress Protectors Fits Mattresses up to 30cm Deep, Breathable Super King Topper-White</t>
  </si>
  <si>
    <t xml:space="preserve">https://www.amazon.co.uk/dp/B0DHD5BDV9</t>
  </si>
  <si>
    <t xml:space="preserve">B0D278Q9V7</t>
  </si>
  <si>
    <t xml:space="preserve">Acrali Home 100% Waterproof Mattress Protector King Size Bed Fitted Extra Deep 40cm Skirt, Premium Terry Cotton, Hypoallergenic King Size Mattress Protector 150x200cm - Washable, Nonslip Cover Sheet</t>
  </si>
  <si>
    <t xml:space="preserve">https://www.amazon.co.uk/dp/B0D278Q9V7</t>
  </si>
  <si>
    <t xml:space="preserve">B08FRH3NFR</t>
  </si>
  <si>
    <t xml:space="preserve">Silentnight Waterproof Mattress Protector, Single Bed, 1 Pack</t>
  </si>
  <si>
    <t xml:space="preserve">https://www.amazon.co.uk/dp/B08FRH3NFR</t>
  </si>
  <si>
    <t xml:space="preserve">B0DQKXVMX4</t>
  </si>
  <si>
    <t xml:space="preserve">Amazon Basics Waterproof Mattress Protector, 45 cm Extra Deep Stretch Skirt, Washable Double Bed Fitted Mattress Cover, 135 x 190 x 45 cm, White</t>
  </si>
  <si>
    <t xml:space="preserve">https://www.amazon.co.uk/dp/B0DQKXVMX4</t>
  </si>
  <si>
    <t xml:space="preserve">B00CLSPGVM</t>
  </si>
  <si>
    <t xml:space="preserve">Silentnight Safe Nights Cot Bed Waterproof Mattress Protector 140 x 70 cm - Quilted Toddler Bed Protector Pad Anti-Allergy Soft Touch Breathable Comfortable - Machine Washable - 140 x 70cm</t>
  </si>
  <si>
    <t xml:space="preserve">RRP: £11.99 | RRP: | Save £1.50 at checkout</t>
  </si>
  <si>
    <t xml:space="preserve">https://www.amazon.co.uk/dp/B00CLSPGVM</t>
  </si>
  <si>
    <t xml:space="preserve">B0B5L22F67</t>
  </si>
  <si>
    <t xml:space="preserve">Mattress Protector Double Bed Waterproof Quilted Mattress Cover (135x190cm)</t>
  </si>
  <si>
    <t xml:space="preserve">https://www.amazon.co.uk/dp/B0B5L22F67</t>
  </si>
  <si>
    <t xml:space="preserve">B01DZN0ERC</t>
  </si>
  <si>
    <t xml:space="preserve">HIGH LIVING Waterproof Mattress Protector Cotton Terry Towel Aloe Vera treated Extra Deep Cover Anti Allergy and Breathable (Double 137x190)</t>
  </si>
  <si>
    <t xml:space="preserve">RRP: £12.95 | RRP: | Save 5% on any 4 qualifying items</t>
  </si>
  <si>
    <t xml:space="preserve">https://www.amazon.co.uk/dp/B01DZN0ERC</t>
  </si>
  <si>
    <t xml:space="preserve">B0BLWBN338</t>
  </si>
  <si>
    <t xml:space="preserve">Sunshine Comforts Waterproof Mattress Protector Double (137cmX193cm), Premium Quilted Soft Mattress Protector Double Bed, Ultimate Comfort &amp; Protection Double Mattress Protector, Hypoallergenic, White</t>
  </si>
  <si>
    <t xml:space="preserve">https://www.amazon.co.uk/dp/B0BLWBN338</t>
  </si>
  <si>
    <t xml:space="preserve">B01K3EHCNU</t>
  </si>
  <si>
    <t xml:space="preserve">AmigoZone Extra Deep Waterproof Terry Towel Mattress Protector Topper Cover Non Noisey Fitted Sheet Mattress Protector - Double</t>
  </si>
  <si>
    <t xml:space="preserve">https://www.amazon.co.uk/dp/B01K3EHCNU</t>
  </si>
  <si>
    <t xml:space="preserve">B0F4KW2PZ4</t>
  </si>
  <si>
    <t xml:space="preserve">BQC 100% Quilted Waterproof Mattress Protector White King 153 x 202 cm - Extra Deep 35 cm Stretch Skirt Microfiber Fitted Mattress Protector - Hotel Quality Hypoallergenic Bedding Cover For Bedroom</t>
  </si>
  <si>
    <t xml:space="preserve">https://www.amazon.co.uk/dp/B0F4KW2PZ4</t>
  </si>
  <si>
    <t xml:space="preserve">B0DVD42246</t>
  </si>
  <si>
    <t xml:space="preserve">Waterproof Mattress Protector - Quilted, 180x200cm + 30cm Deep (6"x 6.6") (Super King)</t>
  </si>
  <si>
    <t xml:space="preserve">https://www.amazon.co.uk/dp/B0DVD42246</t>
  </si>
  <si>
    <t xml:space="preserve">B01L012MMG</t>
  </si>
  <si>
    <t xml:space="preserve">Family Bedding Terry Cotton 100 Percent Waterproof Single Bed Mattress Protector, 90 cm x 200 cm</t>
  </si>
  <si>
    <t xml:space="preserve">https://www.amazon.co.uk/dp/B01L012MMG</t>
  </si>
  <si>
    <t xml:space="preserve">B0C3RGRCBB</t>
  </si>
  <si>
    <t xml:space="preserve">Double Heavy Duty PVC Plastic Waterproof Fitted Mattress Bed Protector Cover</t>
  </si>
  <si>
    <t xml:space="preserve">https://www.amazon.co.uk/dp/B0C3RGRCBB</t>
  </si>
  <si>
    <t xml:space="preserve">B0GJV5V3LL</t>
  </si>
  <si>
    <t xml:space="preserve">Silentnight Terry Towelling Waterproof Mattress Protector - Supersoft 100% Cotton - Breathable &amp; Absorbent Rustle-Free Deep Fitted Skirt - Bed Protection - Hypoallergenic &amp; Machine Washable, Single</t>
  </si>
  <si>
    <t xml:space="preserve">https://www.amazon.co.uk/dp/B0GJV5V3LL</t>
  </si>
  <si>
    <t xml:space="preserve">B0CHMTYBCC</t>
  </si>
  <si>
    <t xml:space="preserve">Dreamzie - Mattress protector 80 x 160 cm - Waterproof and resistant - Mattress protector 80 x 160 cm - Optimal protection and breathable</t>
  </si>
  <si>
    <t xml:space="preserve">https://www.amazon.co.uk/dp/B0CHMTYBCC</t>
  </si>
  <si>
    <t xml:space="preserve">B08MBL7SQL</t>
  </si>
  <si>
    <t xml:space="preserve">The House of Emily Incontinence Mattress Protector Fully Enclosed Zipped 6 Sided Protection 100% Waterproof Wipe Clean Anti Bed Bug Anti Bacterial (King)</t>
  </si>
  <si>
    <t xml:space="preserve">https://www.amazon.co.uk/dp/B08MBL7SQL</t>
  </si>
  <si>
    <t xml:space="preserve">B0152HSA8O</t>
  </si>
  <si>
    <t xml:space="preserve">Terry Waterproof Mattress Protector Non crinky Single Extra Deep Anti Allergy Anti Dust Mite Anti Bacterial (36x75x13)</t>
  </si>
  <si>
    <t xml:space="preserve">https://www.amazon.co.uk/dp/B0152HSA8O</t>
  </si>
  <si>
    <t xml:space="preserve">B0DQKY8GYL</t>
  </si>
  <si>
    <t xml:space="preserve">Amazon Basics Zippered Mattress Encasement Cover - Waterproof &amp; Bed Bug Proof Mattress Protector, Single Bed, 90 x 190 x 30 cm, White</t>
  </si>
  <si>
    <t xml:space="preserve">https://www.amazon.co.uk/dp/B0DQKY8GYL</t>
  </si>
  <si>
    <t xml:space="preserve">B06Y5RHZHR</t>
  </si>
  <si>
    <t xml:space="preserve">Pikolin - Quilted Fibre Mattress Protector – Waterproof, white Cama 90-90 x 190/200 cm white</t>
  </si>
  <si>
    <t xml:space="preserve">https://www.amazon.co.uk/dp/B06Y5RHZHR</t>
  </si>
  <si>
    <t xml:space="preserve">B0C6QPPZS2</t>
  </si>
  <si>
    <t xml:space="preserve">Waterproof Terry Towelling Mattress Protector King - Anti Allergic &amp; Hypoallergenic Terry Mattress Cover 25cm Deep - Machine Washable (200 x 150 x 30 Cm), White</t>
  </si>
  <si>
    <t xml:space="preserve">https://www.amazon.co.uk/dp/B0C6QPPZS2</t>
  </si>
  <si>
    <t xml:space="preserve">B0GQ6JTL9N</t>
  </si>
  <si>
    <t xml:space="preserve">Waterproof Mattress Protector - Breathable &amp; Noiseless Mattress Cover - Fits Single, Double, King &amp; Super King Size Bed - Soft &amp; Hypoallergenic (Double (135 × 190 cm), 40 CM Extra Deep Fit)</t>
  </si>
  <si>
    <t xml:space="preserve">https://www.amazon.co.uk/dp/B0GQ6JTL9N</t>
  </si>
  <si>
    <t xml:space="preserve">B008645BP6</t>
  </si>
  <si>
    <t xml:space="preserve">Washable Bed Protector/Pad with Tucks - Pack of 2</t>
  </si>
  <si>
    <t xml:space="preserve">https://www.amazon.co.uk/dp/B008645BP6</t>
  </si>
  <si>
    <t xml:space="preserve">B06ZZ789XV</t>
  </si>
  <si>
    <t xml:space="preserve">Waterproof Quilted Microfibre Mattress Protectors Water Resistent, Non Allergenic Fully Fitted -Double</t>
  </si>
  <si>
    <t xml:space="preserve">https://www.amazon.co.uk/dp/B06ZZ789XV</t>
  </si>
  <si>
    <t xml:space="preserve">B0DS6D18FC</t>
  </si>
  <si>
    <t xml:space="preserve">Sunshine Comforts Waterproof Mattress Encasement 4FT Small Double Bed (120x190x30cm), Premium Zippered Mattress Protector, Bed Bug &amp; Dust Mite Proof, Hypoallergenic &amp; Washable Mattress Cover, White</t>
  </si>
  <si>
    <t xml:space="preserve">https://www.amazon.co.uk/dp/B0DS6D18FC</t>
  </si>
  <si>
    <t xml:space="preserve">B09X5YYP5Y</t>
  </si>
  <si>
    <t xml:space="preserve">Silentnight Healthy Growth Waterproof Mattress Protector - Deep 30cm Quiet Waterproof Mattress Pad with Fitted Skirt and Soft Touch Cover - Hypoallergenic, Single, White</t>
  </si>
  <si>
    <t xml:space="preserve">https://www.amazon.co.uk/dp/B09X5YYP5Y</t>
  </si>
  <si>
    <t xml:space="preserve">B0B4WW1WLF</t>
  </si>
  <si>
    <t xml:space="preserve">Utopia Bedding Waterproof Mattress Protector Twin Size, Premium Terry Mattress Cover 200 GSM, Breathable, Fitted Style with Stretchable Pockets (Grey)</t>
  </si>
  <si>
    <t xml:space="preserve">https://www.amazon.co.uk/dp/B0B4WW1WLF</t>
  </si>
  <si>
    <t xml:space="preserve">B076HBJS5K</t>
  </si>
  <si>
    <t xml:space="preserve">Silentnight Supersoft Waterproof Mattress Protector – Luxury Quilted Quiet Bed Mattress Pad Cover with Extra Deep Fitted Skirt and Waterproof Protection – Single, White</t>
  </si>
  <si>
    <t xml:space="preserve">https://www.amazon.co.uk/dp/B076HBJS5K</t>
  </si>
  <si>
    <t xml:space="preserve">B08D7SS4J7</t>
  </si>
  <si>
    <t xml:space="preserve">Poly-Cotton Quilted Mattress Protector Microfiber Fitted 30cm Deep Skirt Soft Touch for Extra Comfort Non Noisy Hotel Quality Anti-Allergy &amp; Breathable (Bunk Bed (76 × 190 cm))</t>
  </si>
  <si>
    <t xml:space="preserve">https://www.amazon.co.uk/dp/B08D7SS4J7</t>
  </si>
  <si>
    <t xml:space="preserve">B07DWG91BJ</t>
  </si>
  <si>
    <t xml:space="preserve">Dudu N Girlie Quilted Waterproof Cot Mattress Protector 120x60 cm - Quilted Fabric Hypoallergenic and Noiseless Fitted Sheet Cover - 100% Waterproof Mattress Protector Cot Mattress Topper.</t>
  </si>
  <si>
    <t xml:space="preserve">RRP: £9.97 | RRP:</t>
  </si>
  <si>
    <t xml:space="preserve">https://www.amazon.co.uk/dp/B07DWG91BJ</t>
  </si>
  <si>
    <t xml:space="preserve">B0BSLJRD42</t>
  </si>
  <si>
    <t xml:space="preserve">Prime Linens Terry Towel Mattress Protector Waterproof Dust Mite Proof Mattress Pad Cover with Extra Deep 35Cm Fitted Skirt Soft Anti Allergic (White, Single)</t>
  </si>
  <si>
    <t xml:space="preserve">https://www.amazon.co.uk/dp/B0BSLJRD42</t>
  </si>
  <si>
    <t xml:space="preserve">B00MW50FKG</t>
  </si>
  <si>
    <t xml:space="preserve">LINENSPA Premium Mattress Protector - White - Queen Size - Breathable Polyester - Fitted Style - Waterproof Design - Machine Washable &amp; Dryer Safe - Mattress Protector for Kids, Teens, and Adults</t>
  </si>
  <si>
    <t xml:space="preserve">https://www.amazon.co.uk/dp/B00MW50FKG</t>
  </si>
  <si>
    <t xml:space="preserve">B0FPRM8K98</t>
  </si>
  <si>
    <t xml:space="preserve">Oliver Bedding Double Size Waterproof Mattress Protector (191x137 cm), Terry Towel Fitted Cover, Breathable, Deep Fit up to 30cm, Anti-Allergy &amp; Bed Bug Protection</t>
  </si>
  <si>
    <t xml:space="preserve">https://www.amazon.co.uk/dp/B0FPRM8K98</t>
  </si>
  <si>
    <t xml:space="preserve">B01N774ZJ3</t>
  </si>
  <si>
    <t xml:space="preserve">King Waterproof Anti Allergy Bamboo Mattress Protector 152x200x35cm -40 cm Extra Deep Super Soft Noiseless Breathable Absorbent</t>
  </si>
  <si>
    <t xml:space="preserve">https://www.amazon.co.uk/dp/B01N774ZJ3</t>
  </si>
  <si>
    <t xml:space="preserve">B0B1WMVJMJ</t>
  </si>
  <si>
    <t xml:space="preserve">Super Soft Quilted Mattress Protector 4ft Double, Anti Allergy Fitted Mattress Cover, White</t>
  </si>
  <si>
    <t xml:space="preserve">https://www.amazon.co.uk/dp/B0B1WMVJMJ</t>
  </si>
  <si>
    <t xml:space="preserve">B07BFH1G3D</t>
  </si>
  <si>
    <t xml:space="preserve">Dudu N Girlie Next2Me Terry Cotton 100 Percent Waterproof Crib Mattress Protector, 51 cm x 85 cm,White</t>
  </si>
  <si>
    <t xml:space="preserve">https://www.amazon.co.uk/dp/B07BFH1G3D</t>
  </si>
  <si>
    <t xml:space="preserve">B07PT4CG1X</t>
  </si>
  <si>
    <t xml:space="preserve">Dreamzie Mattress Protector Waterproof with 4 Elastic Corners - Made in EU - OEKO-TEX® Certified- For Mattress 80 x 160 cm</t>
  </si>
  <si>
    <t xml:space="preserve">https://www.amazon.co.uk/dp/B07PT4CG1X</t>
  </si>
  <si>
    <t xml:space="preserve">B06XHX2C76</t>
  </si>
  <si>
    <t xml:space="preserve">Dudu N Girlie Waterproof Cot Mattress Protector, Non Noisy Toddler Bed Sheets 120 x 60 Fitted Breathable Terry Towel Deep Mattress Protector Topper Cover. White</t>
  </si>
  <si>
    <t xml:space="preserve">https://www.amazon.co.uk/dp/B06XHX2C76</t>
  </si>
  <si>
    <t xml:space="preserve">B01LW1ZOI3</t>
  </si>
  <si>
    <t xml:space="preserve">Dudu N Girlie Cot Bed Mattress Protector Waterproof 140 x 70 -Toddler Bed Mattress Protector- Mattress Cover for Baby Breathable and Non Noisy Anti bacterial and Fully Fitted. White</t>
  </si>
  <si>
    <t xml:space="preserve">https://www.amazon.co.uk/dp/B01LW1ZOI3</t>
  </si>
  <si>
    <t xml:space="preserve">B0D9LM6KG3</t>
  </si>
  <si>
    <t xml:space="preserve">Sonive Thin Double Mattress Topper, Waterproof Double Mattress Protector</t>
  </si>
  <si>
    <t xml:space="preserve">https://www.amazon.co.uk/dp/B0D9LM6KG3</t>
  </si>
  <si>
    <t xml:space="preserve">B0HCVLMXLS</t>
  </si>
  <si>
    <t xml:space="preserve">Quilted Waterproof Mattress Protector Double 30cm Extra Deep Fitted Soft Microfiber Hotel Quality Breathable Anti Allergy Mattress Cover for Comfortable Sleep (137x190cm, White)</t>
  </si>
  <si>
    <t xml:space="preserve">https://www.amazon.co.uk/dp/B0HCVLMXLS</t>
  </si>
  <si>
    <t xml:space="preserve">B0DHY7MV6X</t>
  </si>
  <si>
    <t xml:space="preserve">Panda Bamboo Mattress Protector - White, UK Double | Waterproof, Ultra-Thin &amp; Durable Cover Pad | Light &amp; Breathable | Hypoallergenic &amp; Anti-Bacterial | Soft on Skin | Bedding Essential | No Noise</t>
  </si>
  <si>
    <t xml:space="preserve">https://www.amazon.co.uk/dp/B0DHY7MV6X</t>
  </si>
  <si>
    <t xml:space="preserve">B0DNQT2SQC</t>
  </si>
  <si>
    <t xml:space="preserve">Acrali Home Quilted Deep Fitted Waterproof Small Double Mattress Protector</t>
  </si>
  <si>
    <t xml:space="preserve">https://www.amazon.co.uk/dp/B0DNQT2SQC</t>
  </si>
  <si>
    <t xml:space="preserve">B0FXHH421K</t>
  </si>
  <si>
    <t xml:space="preserve">eMKay® Double Waterproof Mattress Protector Cover | 190 x 152cm Fitted Bed Sheet with Elastic Edges | Anti-Bacterial &amp; Anti-Fungal Vinyl PVC Plastic Cover | Machine Washable</t>
  </si>
  <si>
    <t xml:space="preserve">https://www.amazon.co.uk/dp/B0FXHH421K</t>
  </si>
  <si>
    <t xml:space="preserve">B0FHRPBZGR</t>
  </si>
  <si>
    <t xml:space="preserve">Silentnight Complete Encasement Waterproof Mattress Protector - 30cm Deep Zip Protection Against Allergens &amp; Spillages For a Fresh Hygienic Bed - Quiet Rustle Free - Hypoallergenic &amp; Washable, Double</t>
  </si>
  <si>
    <t xml:space="preserve">https://www.amazon.co.uk/dp/B0FHRPBZGR</t>
  </si>
  <si>
    <t xml:space="preserve">B08LTNXN26</t>
  </si>
  <si>
    <t xml:space="preserve">Littens</t>
  </si>
  <si>
    <t xml:space="preserve">100% Luxury Fine Cotton 16.5 Tog Extra Warm Cosy Double Bed Size Soft Hollowfibre Heavy Winter Duvet Quilt UK Made (200cm x 200cm) In Zipper Bag By Littens</t>
  </si>
  <si>
    <t xml:space="preserve">LIVE_UK_quilt</t>
  </si>
  <si>
    <t xml:space="preserve">https://www.amazon.co.uk/dp/B08LTNXN26</t>
  </si>
  <si>
    <t xml:space="preserve">B0H2MTWJ38</t>
  </si>
  <si>
    <t xml:space="preserve">Silentnight Dream Supreme 10.5 Tog Double Duvet - Cloud-Like Comfort for All Year Round - Generous Filled for Sink-In Relax Feel - Soft Touch Hypoallergenic Covers - Machine Washable, Double Quilt</t>
  </si>
  <si>
    <t xml:space="preserve">https://www.amazon.co.uk/dp/B0H2MTWJ38</t>
  </si>
  <si>
    <t xml:space="preserve">B0B3MNSXDC</t>
  </si>
  <si>
    <t xml:space="preserve">Double Duvet 10.5 Tog | Suitable for All-Year Round Duvet Double | Made in UK Quilt | Anti-Allergy, Breathable &amp; Hollowfibre Filling Duvets (Double, 200x200cm)</t>
  </si>
  <si>
    <t xml:space="preserve">https://www.amazon.co.uk/dp/B0B3MNSXDC</t>
  </si>
  <si>
    <t xml:space="preserve">B08HJ2ZMX1</t>
  </si>
  <si>
    <t xml:space="preserve">13.5 Tog Double Duvet - Super Soft Hollowfibre Winter Warm Anti-Allergy Cotton Blended Quilt</t>
  </si>
  <si>
    <t xml:space="preserve">https://www.amazon.co.uk/dp/B08HJ2ZMX1</t>
  </si>
  <si>
    <t xml:space="preserve">B00JL9I6FC</t>
  </si>
  <si>
    <t xml:space="preserve">Rohi Low-Priced 10.5 Tog Double Duvet/Quilt - Poly-Cotton All Season - Hollow-Fibre Anti-Allergy Duvet - White</t>
  </si>
  <si>
    <t xml:space="preserve">https://www.amazon.co.uk/dp/B00JL9I6FC</t>
  </si>
  <si>
    <t xml:space="preserve">B08LTQSMDX</t>
  </si>
  <si>
    <t xml:space="preserve">100% Luxury Fine Cotton 16.5 Tog Extra Warm Cosy Single Bed Size Soft Hollowfibre Heavy Winter Duvet Quilt UK Made (135cm x 200cm) In Zipper Bag By Littens</t>
  </si>
  <si>
    <t xml:space="preserve">https://www.amazon.co.uk/dp/B08LTQSMDX</t>
  </si>
  <si>
    <t xml:space="preserve">B0DB2P2S2K</t>
  </si>
  <si>
    <t xml:space="preserve">Adam Home Single Duvet 10.5 Tog All Season Comforter, Lightweight Skin Friendly Quilt, Down Alternative Ultra-Soft Plush Breathable Duvet Single</t>
  </si>
  <si>
    <t xml:space="preserve">https://www.amazon.co.uk/dp/B0DB2P2S2K</t>
  </si>
  <si>
    <t xml:space="preserve">B07FRW5QRP</t>
  </si>
  <si>
    <t xml:space="preserve">Luxurious Hollowfibre Anti-Allergy Duvet/Quilt-Superior soft touch Pure poly-cotton casing, Hypoallergenic, Lightweight Duvet (13.5 Tog, Double)</t>
  </si>
  <si>
    <t xml:space="preserve">https://www.amazon.co.uk/dp/B07FRW5QRP</t>
  </si>
  <si>
    <t xml:space="preserve">B071153ZMV</t>
  </si>
  <si>
    <t xml:space="preserve">Amazon Basics Reversible Microfibre Coverless Duvet, Machine Washable Bedding Quilt, Diamond Stitching, 135 x 200 cm, Navy Blue/Sky Blue, for Single Bed</t>
  </si>
  <si>
    <t xml:space="preserve">https://www.amazon.co.uk/dp/B071153ZMV</t>
  </si>
  <si>
    <t xml:space="preserve">B0GWMPZQCK</t>
  </si>
  <si>
    <t xml:space="preserve">Littens 4.5 Tog Double Bed Luxury Cotton Duvet Quilt, Ultra Light, Hollowfibre, Energy Efficient, Soft Touch, Breathable, Spring &amp; Summer Made In UK (200cm x 200cm)</t>
  </si>
  <si>
    <t xml:space="preserve">https://www.amazon.co.uk/dp/B0GWMPZQCK</t>
  </si>
  <si>
    <t xml:space="preserve">B0DFYFJSVQ</t>
  </si>
  <si>
    <t xml:space="preserve">100% Cotton Blanket Large 50"x 70", 6 Layers Muslin Blankets, Cooling and Soft Throw Blanket for Couch, Breathable Quilt Bedspread, Gauze Bedding for Adults, Oatmeal, Beige Linen</t>
  </si>
  <si>
    <t xml:space="preserve">https://www.amazon.co.uk/dp/B0DFYFJSVQ</t>
  </si>
  <si>
    <t xml:space="preserve">B003U3QT2C</t>
  </si>
  <si>
    <t xml:space="preserve">Greenland Home Blooming Prairie Quilted Patchwork Throw</t>
  </si>
  <si>
    <t xml:space="preserve">https://www.amazon.co.uk/dp/B003U3QT2C</t>
  </si>
  <si>
    <t xml:space="preserve">B08RXH994R</t>
  </si>
  <si>
    <t xml:space="preserve">Estationeryhouse Indian Vintage Kantha Quilt Handmade Throw Reversible Blanket Bedspread Cotton Fabric BOHEMIAN quilt (1)</t>
  </si>
  <si>
    <t xml:space="preserve">https://www.amazon.co.uk/dp/B08RXH994R</t>
  </si>
  <si>
    <t xml:space="preserve">B0BVHYVBB3</t>
  </si>
  <si>
    <t xml:space="preserve">Vintage Kantha Quilts Handmade Old Saree Made gudari Boho Bedding Throw Blanket Bedspread Rally</t>
  </si>
  <si>
    <t xml:space="preserve">https://www.amazon.co.uk/dp/B0BVHYVBB3</t>
  </si>
  <si>
    <t xml:space="preserve">B08YNXVJWH</t>
  </si>
  <si>
    <t xml:space="preserve">Estationeryhouse Indian Vintage patchwork Kantha Quilt Handmade Throw Reversible Blanket Bedspread Cotton Fabric BOHEMIAN quilt (85x55 inch)</t>
  </si>
  <si>
    <t xml:space="preserve">https://www.amazon.co.uk/dp/B08YNXVJWH</t>
  </si>
  <si>
    <t xml:space="preserve">B003UCBHES</t>
  </si>
  <si>
    <t xml:space="preserve">Greenland Home Antique Chic Quilted Patchwork Throw, 50" x 60", Multicolor</t>
  </si>
  <si>
    <t xml:space="preserve">Was: £36.86 | Was:</t>
  </si>
  <si>
    <t xml:space="preserve">https://www.amazon.co.uk/dp/B003UCBHES</t>
  </si>
  <si>
    <t xml:space="preserve">B00J4RM86Y</t>
  </si>
  <si>
    <t xml:space="preserve">Sapphire Collection Luxury 100% Egyptian Cotton Duvet Quilt Cover &amp; Pillowcase Bedding Set (Black, Double)</t>
  </si>
  <si>
    <t xml:space="preserve">https://www.amazon.co.uk/dp/B00J4RM86Y</t>
  </si>
  <si>
    <t xml:space="preserve">B071DKQ4H9</t>
  </si>
  <si>
    <t xml:space="preserve">LUXURY EGYPTIAN COTTON 200 COUNT BEDDING SETS DUVET COVER SET (QUILT COVER WITH PILLOW CASES (Double, White)</t>
  </si>
  <si>
    <t xml:space="preserve">https://www.amazon.co.uk/dp/B071DKQ4H9</t>
  </si>
  <si>
    <t xml:space="preserve">B0DMWKLSWD</t>
  </si>
  <si>
    <t xml:space="preserve">Yard Hebden 100% Cotton Stripe Duvet Cover Set (Mole, Double)</t>
  </si>
  <si>
    <t xml:space="preserve">https://www.amazon.co.uk/dp/B0DMWKLSWD</t>
  </si>
  <si>
    <t xml:space="preserve">B0FB419K85</t>
  </si>
  <si>
    <t xml:space="preserve">Vintage Indian Quilt Handmade Bedspreads, Whole Kantha Lot,Throws,Ralli,Reversible Bohemian Home Decor Cotton Blanket Gudari, Quilt for Sale – Assorted Color (Pack of 1)</t>
  </si>
  <si>
    <t xml:space="preserve">https://www.amazon.co.uk/dp/B0FB419K85</t>
  </si>
  <si>
    <t xml:space="preserve">B081V6WJ4H</t>
  </si>
  <si>
    <t xml:space="preserve">Cozy Line Home Fashions Vintage Floral Quilted Throw 100% Cotton Reversible All Season Throw (Blossom)</t>
  </si>
  <si>
    <t xml:space="preserve">Was: £47.89 | Was:</t>
  </si>
  <si>
    <t xml:space="preserve">https://www.amazon.co.uk/dp/B081V6WJ4H</t>
  </si>
  <si>
    <t xml:space="preserve">B083YTMXGN</t>
  </si>
  <si>
    <t xml:space="preserve">Cozyholy Original 100% Cotton Patchwork Quilt Pink Floral Bedspread Coverlet Reversible Vintage Shabby Chic Quilted Throw Blanket Bed Quilt Cover for Couch Sofa</t>
  </si>
  <si>
    <t xml:space="preserve">https://www.amazon.co.uk/dp/B083YTMXGN</t>
  </si>
  <si>
    <t xml:space="preserve">B00J4RM8B4</t>
  </si>
  <si>
    <t xml:space="preserve">Sapphire Collection Luxury 100% Egyptian Cotton Duvet Quilt Cover &amp; Pillowcase Bedding Set (Black, King)</t>
  </si>
  <si>
    <t xml:space="preserve">https://www.amazon.co.uk/dp/B00J4RM8B4</t>
  </si>
  <si>
    <t xml:space="preserve">B01FMHF2OY</t>
  </si>
  <si>
    <t xml:space="preserve">Silentnight Hotel Collection 13.5 Tog Double Duvet - Luxury Hotel Quality Winter Warm Cosy Duvet Quilt Ideal Cold Winter Nights - Hypoallergenic Machine Washable - Double Bed</t>
  </si>
  <si>
    <t xml:space="preserve">https://www.amazon.co.uk/dp/B01FMHF2OY</t>
  </si>
  <si>
    <t xml:space="preserve">B0D26CBXZ7</t>
  </si>
  <si>
    <t xml:space="preserve">Silentnight Natural Wool Heavyweight Duvet, Double Bed</t>
  </si>
  <si>
    <t xml:space="preserve">RRP: £69.99 | RRP:</t>
  </si>
  <si>
    <t xml:space="preserve">https://www.amazon.co.uk/dp/B0D26CBXZ7</t>
  </si>
  <si>
    <t xml:space="preserve">B08PDG7SS7</t>
  </si>
  <si>
    <t xml:space="preserve">Silentnight Duck Feather and Down Duvet - Luxury 10.5 Tog King Duvet Feather and Down Warm Cosy Quilt with Breathable Cotton Cover All Year Round Summer Winter - Machine Washable - King</t>
  </si>
  <si>
    <t xml:space="preserve">RRP: £59.63 | RRP:</t>
  </si>
  <si>
    <t xml:space="preserve">https://www.amazon.co.uk/dp/B08PDG7SS7</t>
  </si>
  <si>
    <t xml:space="preserve">B01CJQ425Q</t>
  </si>
  <si>
    <t xml:space="preserve">Rohi Anti Allergy 10.5 Tog Double Duvet – All Season Duvets – Soft &amp; Breathable Luxurious Hollowfibre Quilt with Corvin Cover – Midweight Comforter Double Bed Duvet (All Season)</t>
  </si>
  <si>
    <t xml:space="preserve">https://www.amazon.co.uk/dp/B01CJQ425Q</t>
  </si>
  <si>
    <t xml:space="preserve">B01JACUQ66</t>
  </si>
  <si>
    <t xml:space="preserve">Sapphire Collection 100% Egyptian Cotton 300 Thread Count Duvet Cover With Pillow Case Bedding Set (King, Grey)</t>
  </si>
  <si>
    <t xml:space="preserve">https://www.amazon.co.uk/dp/B01JACUQ66</t>
  </si>
  <si>
    <t xml:space="preserve">B00I4YYAS2</t>
  </si>
  <si>
    <t xml:space="preserve">Argyle Single Quilt Duvet Cover and Pillowcase Reversible Bedding Bed Set, Tartan Check - Blue</t>
  </si>
  <si>
    <t xml:space="preserve">https://www.amazon.co.uk/dp/B00I4YYAS2</t>
  </si>
  <si>
    <t xml:space="preserve">B0DP4N85Z9</t>
  </si>
  <si>
    <t xml:space="preserve">Amazon Basics Down Alternative Single Duvet, Spring and Summer 5.1 TOG, Hypoallergenic Machine Washable Quilt, 135 x 200 cm, White</t>
  </si>
  <si>
    <t xml:space="preserve">https://www.amazon.co.uk/dp/B0DP4N85Z9</t>
  </si>
  <si>
    <t xml:space="preserve">B0D3H8CV78</t>
  </si>
  <si>
    <t xml:space="preserve">PRIME LINENS 100% Cotton Duvet Cover Set 3 Piece Quilt Cover Bedding Set with 2 Pillow Cases Waffle Bedding Quilt Cover Set Anti Allergic Machine Washable (White, King (U.K. Standard))</t>
  </si>
  <si>
    <t xml:space="preserve">https://www.amazon.co.uk/dp/B0D3H8CV78</t>
  </si>
  <si>
    <t xml:space="preserve">B0DBLZKF6P</t>
  </si>
  <si>
    <t xml:space="preserve">Dreams &amp; Drapes Christmas Duvet Cover – Holly &amp; Red Berry Print – Double Size 200 x 200cm – 100% Cotton – Reversible Festive Bedding – Winter Sprigs &amp; Fern Design</t>
  </si>
  <si>
    <t xml:space="preserve">https://www.amazon.co.uk/dp/B0DBLZKF6P</t>
  </si>
  <si>
    <t xml:space="preserve">B01C7IUMTQ</t>
  </si>
  <si>
    <t xml:space="preserve">SleepyNights King Size Bed Duvet 12 Tog Autumn Winter Quilt, Cosy Bedding</t>
  </si>
  <si>
    <t xml:space="preserve">https://www.amazon.co.uk/dp/B01C7IUMTQ</t>
  </si>
  <si>
    <t xml:space="preserve">B0F5WZJZ6L</t>
  </si>
  <si>
    <t xml:space="preserve">Silentnight Pure Cotton Duvet Set - Luxurious Cool Soft Touch 200 Thread Count - Button Fastening - Breathable 100% Cotton Quilt Cover + Pillowcase Bed Set - Machine Washable, Light Grey, Double</t>
  </si>
  <si>
    <t xml:space="preserve">https://www.amazon.co.uk/dp/B0F5WZJZ6L</t>
  </si>
  <si>
    <t xml:space="preserve">B0CHB8HWN6</t>
  </si>
  <si>
    <t xml:space="preserve">Littens Extra Warm 15 Tog Double Bed Size Duck Feather &amp; Down Winter Thermal Duvet Quilt, 15% Down, 230TC 100% Down-Proof Cotton Casing (200cm x 200cm) Energy Efficient</t>
  </si>
  <si>
    <t xml:space="preserve">https://www.amazon.co.uk/dp/B0CHB8HWN6</t>
  </si>
  <si>
    <t xml:space="preserve">B0D9D6XYQ4</t>
  </si>
  <si>
    <t xml:space="preserve">GC GAVENO CAVAILIA Reversible Double Bedding Set, Geometric Duvet Cover Sets With Pillowcases, Soft Poly Cotton Bed Linen, Breathable Quilt Cover (200x200 cm), Charcoal</t>
  </si>
  <si>
    <t xml:space="preserve">https://www.amazon.co.uk/dp/B0D9D6XYQ4</t>
  </si>
  <si>
    <t xml:space="preserve">B0FGJWS678</t>
  </si>
  <si>
    <t xml:space="preserve">Catherine Lansfield Brushed Cotton Stripe Reversible Double Duvet Cover Set with Pillowcases Navy Blue</t>
  </si>
  <si>
    <t xml:space="preserve">https://www.amazon.co.uk/dp/B0FGJWS678</t>
  </si>
  <si>
    <t xml:space="preserve">B07VCTFH4H</t>
  </si>
  <si>
    <t xml:space="preserve">Dreams &amp; Drapes Connolly Check-100% Brushed, Cotton, Ochre Yellow, Duvet Cover Set: King</t>
  </si>
  <si>
    <t xml:space="preserve">https://www.amazon.co.uk/dp/B07VCTFH4H</t>
  </si>
  <si>
    <t xml:space="preserve">B0FR9MFCRH</t>
  </si>
  <si>
    <t xml:space="preserve">Silentnight Goose Feather and Down Single Duvet - Luxury Hotel Quality Feather 10.5 Tog Duvet Quilt with 100% Cotton Down Proof Cover Premium Warm Breathable - Machine Washable - Single</t>
  </si>
  <si>
    <t xml:space="preserve">https://www.amazon.co.uk/dp/B0FR9MFCRH</t>
  </si>
  <si>
    <t xml:space="preserve">B075X1QXK6</t>
  </si>
  <si>
    <t xml:space="preserve">Silentnight Deep Sleep Double Duvet 10.5 Tog – Microfibre, All Year Round Soft and Comfortable Quilt Duvet Ideal for Spring, Summer, Autumn and Winter – Hypoallergenic and Machine Washable – 200x200cm</t>
  </si>
  <si>
    <t xml:space="preserve">https://www.amazon.co.uk/dp/B075X1QXK6</t>
  </si>
  <si>
    <t xml:space="preserve">LIVE_UK_sheets</t>
  </si>
  <si>
    <t xml:space="preserve">B09RX1GD9V</t>
  </si>
  <si>
    <t xml:space="preserve">Utopia Bedding Queen Bed Sheets Set - 4 Piece Bedding - Brushed Microfiber - Shrinkage and Fade Resistant - Easy Care (Queen, Sage)</t>
  </si>
  <si>
    <t xml:space="preserve">Was: £16.75 | Was: | Save 5% on any 4 qualifying items</t>
  </si>
  <si>
    <t xml:space="preserve">https://www.amazon.co.uk/dp/B09RX1GD9V</t>
  </si>
  <si>
    <t xml:space="preserve">B0FL5NF476</t>
  </si>
  <si>
    <t xml:space="preserve">Comfort Spaces 100% Cotton Sheets King, Breathable, Naturally Cool Cotton Sheets, Soft Cotton Bed Sheets with 14" Elastic Pocket Fits up to 16" Mattress, All Seasons Sheet Set, Floral Blue 4 Piece</t>
  </si>
  <si>
    <t xml:space="preserve">https://www.amazon.co.uk/dp/B0FL5NF476</t>
  </si>
  <si>
    <t xml:space="preserve">B08PJ79V1T</t>
  </si>
  <si>
    <t xml:space="preserve">Amour Calin 3 Piece Bed Sheet Set - Easy Care Soft Brushed Microfibre Fabric -1 Fitted Sheet, with Pair of Pillowcases - Shrinkage and Fade Resistant - 12 inches Deep Fitted (Grey, Double)</t>
  </si>
  <si>
    <t xml:space="preserve">https://www.amazon.co.uk/dp/B08PJ79V1T</t>
  </si>
  <si>
    <t xml:space="preserve">B08PS3ZFFF</t>
  </si>
  <si>
    <t xml:space="preserve">Amour Calin 4 Piece Bed Sheet Set - Easy Care Soft Brushed Microfibre Fabric - Flat Sheet, Fitted Sheet with Pair of Pillowcases - Shrinkage and Fade Resistant (Grey, Double)</t>
  </si>
  <si>
    <t xml:space="preserve">https://www.amazon.co.uk/dp/B08PS3ZFFF</t>
  </si>
  <si>
    <t xml:space="preserve">B0FDB8JKXM</t>
  </si>
  <si>
    <t xml:space="preserve">Flannelette Sheet Set – 100% Brushed Cotton Bedding Set Includes Fitted Sheet Flat Sheet &amp; Pillowcases – Ultra-Soft Warm &amp; Breathable Winter And Summer Bed Sheets (Lilac, Double)</t>
  </si>
  <si>
    <t xml:space="preserve">https://www.amazon.co.uk/dp/B0FDB8JKXM</t>
  </si>
  <si>
    <t xml:space="preserve">B06XPFW75C</t>
  </si>
  <si>
    <t xml:space="preserve">Utopia Bedding Queen Sheet Set – Soft Microfiber Queen Sheets 4 Piece Hotel Luxury Bed Sheets with Deep Pockets - Embroidered Pillow Cases - Side Storage Pocket Fitted Sheet - Flat Sheet (Grey)</t>
  </si>
  <si>
    <t xml:space="preserve">Was: £14.63 | Was:</t>
  </si>
  <si>
    <t xml:space="preserve">https://www.amazon.co.uk/dp/B06XPFW75C</t>
  </si>
  <si>
    <t xml:space="preserve">B013P4YJ9K</t>
  </si>
  <si>
    <t xml:space="preserve">Rohi Double Fitted Sheet with Pillowcases, 40cm Deep, Chocolate</t>
  </si>
  <si>
    <t xml:space="preserve">https://www.amazon.co.uk/dp/B013P4YJ9K</t>
  </si>
  <si>
    <t xml:space="preserve">B06XWGVZ5R</t>
  </si>
  <si>
    <t xml:space="preserve">SONORO KATE Bed Sheet Set Super Soft Microfiber 1800 Thread Count Luxury Egyptian Sheets 16-Inch Deep Pocket Wrinkle -4 Piece(Queen Dark Grey)</t>
  </si>
  <si>
    <t xml:space="preserve">Was: £33.24 | Was:</t>
  </si>
  <si>
    <t xml:space="preserve">https://www.amazon.co.uk/dp/B06XWGVZ5R</t>
  </si>
  <si>
    <t xml:space="preserve">B0748NW2RC</t>
  </si>
  <si>
    <t xml:space="preserve">Rapport Home Brushed Cotton Bed Sheet Set, Candy Stripe, 100% Cotton, King</t>
  </si>
  <si>
    <t xml:space="preserve">https://www.amazon.co.uk/dp/B0748NW2RC</t>
  </si>
  <si>
    <t xml:space="preserve">B0FLY7DGLH</t>
  </si>
  <si>
    <t xml:space="preserve">Rapport Home Flannelette Bed Sheet Set, Meadow Floral, 4-Piece - White</t>
  </si>
  <si>
    <t xml:space="preserve">RRP: £31.03 | RRP:</t>
  </si>
  <si>
    <t xml:space="preserve">https://www.amazon.co.uk/dp/B0FLY7DGLH</t>
  </si>
  <si>
    <t xml:space="preserve">B09Q94H15H</t>
  </si>
  <si>
    <t xml:space="preserve">ARLINENS 4PC Flannelette Sheet Set 100% Brushed Cotton soft Warm Luxury Bed Sheet Set Includes Fitted Sheet, Flat Sheet and 2x Matching Pillowcases - in 7 Colours Choice (Single, Pink)</t>
  </si>
  <si>
    <t xml:space="preserve">https://www.amazon.co.uk/dp/B09Q94H15H</t>
  </si>
  <si>
    <t xml:space="preserve">B08ZM8WSD3</t>
  </si>
  <si>
    <t xml:space="preserve">Ruvanti 100% Cotton Percale Sheets for King Size Bed - 16 Inches Deep Pocket Perfect Fitting - Crispy Cool &amp; Comfortable - Blue Floral (1 Flat, 1 Fitted &amp; 2 Pillowcases)</t>
  </si>
  <si>
    <t xml:space="preserve">https://www.amazon.co.uk/dp/B08ZM8WSD3</t>
  </si>
  <si>
    <t xml:space="preserve">B083K6XB83</t>
  </si>
  <si>
    <t xml:space="preserve">JSD KOMFOR Floral Bed Sheets Set Queen Print Bedding Sheet Set 4 Piece Ultra Soft Double Brushed Microfiber Sheets Deep Pocket Hotel Quality Bedding Sheets</t>
  </si>
  <si>
    <t xml:space="preserve">https://www.amazon.co.uk/dp/B083K6XB83</t>
  </si>
  <si>
    <t xml:space="preserve">B07WHJ4PXX</t>
  </si>
  <si>
    <t xml:space="preserve">Great Bay Home 100% Turkish Cotton Flannel Sheet Set Deep Pockets Soft Bed Sheets Warm Anti-Pilling Flannel Sheets (Twin, Navy Polar Bears)</t>
  </si>
  <si>
    <t xml:space="preserve">https://www.amazon.co.uk/dp/B07WHJ4PXX</t>
  </si>
  <si>
    <t xml:space="preserve">B0F4HLKJFL</t>
  </si>
  <si>
    <t xml:space="preserve">NIYS Luxury Bedding Finest 100% Egyptian Cotton 10"/25CM Fitted Sheets in 15 Colours (White, Double + pillow case pair)</t>
  </si>
  <si>
    <t xml:space="preserve">https://www.amazon.co.uk/dp/B0F4HLKJFL</t>
  </si>
  <si>
    <t xml:space="preserve">B08HJ6V5RD</t>
  </si>
  <si>
    <t xml:space="preserve">Utopia King Bedding Set - Jersey Knit Sheets 4 Piece - Cotton Stretchy T-Shirt Sheets (Heather Light Grey)</t>
  </si>
  <si>
    <t xml:space="preserve">Was: £37.62 | Was:</t>
  </si>
  <si>
    <t xml:space="preserve">https://www.amazon.co.uk/dp/B08HJ6V5RD</t>
  </si>
  <si>
    <t xml:space="preserve">B0CFW3GG1R</t>
  </si>
  <si>
    <t xml:space="preserve">HOMES-LINEN Rosebud Printed Flannelette Thermal Sheet Brushed Cotton Bed Sheet Set (King, Blue)</t>
  </si>
  <si>
    <t xml:space="preserve">https://www.amazon.co.uk/dp/B0CFW3GG1R</t>
  </si>
  <si>
    <t xml:space="preserve">B07QL1J9BY</t>
  </si>
  <si>
    <t xml:space="preserve">ARLINENS Thermal Flannelette Fitted Sheet 25cm 100% Brushed Soft Cotton Available in 7 Colours (Grey, Pair of Pillowcase)</t>
  </si>
  <si>
    <t xml:space="preserve">https://www.amazon.co.uk/dp/B07QL1J9BY</t>
  </si>
  <si>
    <t xml:space="preserve">B0B752BYBV</t>
  </si>
  <si>
    <t xml:space="preserve">Super Dreamer 4Pcs Complete Bed Set Blossom Duvet Cover With Fitted Sheet And Pillowcases, Reversible Double Quilt Covers, Grey/Blush Pink, 11693871</t>
  </si>
  <si>
    <t xml:space="preserve">https://www.amazon.co.uk/dp/B0B752BYBV</t>
  </si>
  <si>
    <t xml:space="preserve">B0GYTF4QG8</t>
  </si>
  <si>
    <t xml:space="preserve">Lakhmaali - White Double Duvet Set - Fitted Sheet, 2 Pillow cases 50x75cm</t>
  </si>
  <si>
    <t xml:space="preserve">https://www.amazon.co.uk/dp/B0GYTF4QG8</t>
  </si>
  <si>
    <t xml:space="preserve">B0C3MR1Z2Q</t>
  </si>
  <si>
    <t xml:space="preserve">100% Brushed Cotton 4 Piece Flannel Sheet Set,Flat Sheet, Fitted Sheet with 2 Pillowcases, Brushed For Extra Softness, Warm,Easy Care Thermal Flannelette Sheet set (Cream, King (U.K. Standard))</t>
  </si>
  <si>
    <t xml:space="preserve">https://www.amazon.co.uk/dp/B0C3MR1Z2Q</t>
  </si>
  <si>
    <t xml:space="preserve">B0C3MVX52C</t>
  </si>
  <si>
    <t xml:space="preserve">CHILIMILII 100% Brushed Cotton 4 Piece Flannel Sheet Set,Flat Sheet, Fitted Sheet with 2 Pillowcases, Brushed For Extra Softness, Warm,Easy Care Thermal Flannelette Sheet set (Grey, Double)</t>
  </si>
  <si>
    <t xml:space="preserve">https://www.amazon.co.uk/dp/B0C3MVX52C</t>
  </si>
  <si>
    <t xml:space="preserve">B01076C7VQ</t>
  </si>
  <si>
    <t xml:space="preserve">Nautica - Twin XL Sheet Set, Cotton Percale Bedding Set, Crisp &amp; Cool, Dorm Room Essentials (White, Twin XL)</t>
  </si>
  <si>
    <t xml:space="preserve">https://www.amazon.co.uk/dp/B01076C7VQ</t>
  </si>
  <si>
    <t xml:space="preserve">B0CY9ZNYYD</t>
  </si>
  <si>
    <t xml:space="preserve">5 Pack Cotton Rich Single Size Flat Sheets, 178 x 274 cm, White</t>
  </si>
  <si>
    <t xml:space="preserve">https://www.amazon.co.uk/dp/B0CY9ZNYYD</t>
  </si>
  <si>
    <t xml:space="preserve">B0CQPFJKGM</t>
  </si>
  <si>
    <t xml:space="preserve">Rose Bud Floral Pattern Flannelette 100% Natural Brushed Cotton Thermal Fitted and Flat Sheet Set With Pillowcases (Pink, Single Size Sheet Set)</t>
  </si>
  <si>
    <t xml:space="preserve">https://www.amazon.co.uk/dp/B0CQPFJKGM</t>
  </si>
  <si>
    <t xml:space="preserve">B0CQKLJY1Q</t>
  </si>
  <si>
    <t xml:space="preserve">Nautica - Full Sheet Set, Cotton Percale Bedding Set, Crisp &amp; Cool, Lightweight &amp; Breathable (Penny Pinstripe White, Full)</t>
  </si>
  <si>
    <t xml:space="preserve">https://www.amazon.co.uk/dp/B0CQKLJY1Q</t>
  </si>
  <si>
    <t xml:space="preserve">B0B17HHHQD</t>
  </si>
  <si>
    <t xml:space="preserve">Laura Ashley Home - King Sheets, Cotton Flannel Bedding Set, Brushed for Extra Softness &amp; Comfort (Chelsie Vine Grey,4 pieces, King)</t>
  </si>
  <si>
    <t xml:space="preserve">https://www.amazon.co.uk/dp/B0B17HHHQD</t>
  </si>
  <si>
    <t xml:space="preserve">B07ZNVLN4R</t>
  </si>
  <si>
    <t xml:space="preserve">Utopia Bedding Queen Fitted Sheets - Bulk Pack of 2 Bottom Sheets - Soft Brushed Microfiber - Deep Pockets - Shrinkage &amp; Fade Resistant - Easy Care (Queen, White)</t>
  </si>
  <si>
    <t xml:space="preserve">https://www.amazon.co.uk/dp/B07ZNVLN4R</t>
  </si>
  <si>
    <t xml:space="preserve">B0CV6XDBHJ</t>
  </si>
  <si>
    <t xml:space="preserve">Laura Ashley, Cotton Percale Double Flat Sheet Lightweight Breathable Home Decor (Francesca Blue, Double)</t>
  </si>
  <si>
    <t xml:space="preserve">https://www.amazon.co.uk/dp/B0CV6XDBHJ</t>
  </si>
  <si>
    <t xml:space="preserve">B076Z6MS3F</t>
  </si>
  <si>
    <t xml:space="preserve">Tribeca Living 100% Cotton Flannel Sheet Set - Deep Pocket, 170-GSM, Ultra Soft &amp; Cozy Bedding for Winter, Full, Charleston Plaid</t>
  </si>
  <si>
    <t xml:space="preserve">https://www.amazon.co.uk/dp/B076Z6MS3F</t>
  </si>
  <si>
    <t xml:space="preserve">B0CY9Q6KDW</t>
  </si>
  <si>
    <t xml:space="preserve">Laura Ashley - Sheet Set, Breathable Percale Cotton Bedding, 200 Thread Count, Deep Pocket, Chic Home Decor (Lynda Pink, King)</t>
  </si>
  <si>
    <t xml:space="preserve">https://www.amazon.co.uk/dp/B0CY9Q6KDW</t>
  </si>
  <si>
    <t xml:space="preserve">B07DVYN14P</t>
  </si>
  <si>
    <t xml:space="preserve">Eddie Bauer - Queen Sheets, Cotton Flannel Bedding Set, Brushed for Extra Softness, Cozy Home Decor (Bears &amp; Trees, Queen)</t>
  </si>
  <si>
    <t xml:space="preserve">https://www.amazon.co.uk/dp/B07DVYN14P</t>
  </si>
  <si>
    <t xml:space="preserve">B0FJQGBCWM</t>
  </si>
  <si>
    <t xml:space="preserve">100% Brushed Cotton Soft Flannelette 25CM/10" Fitted Sheets in 12 Colours (Silver, F S 25 + Pillowcase pair)</t>
  </si>
  <si>
    <t xml:space="preserve">https://www.amazon.co.uk/dp/B0FJQGBCWM</t>
  </si>
  <si>
    <t xml:space="preserve">B0B4F78QZX</t>
  </si>
  <si>
    <t xml:space="preserve">GC GAVENO CAVAILIA Large Towels Bath Sheet - Highly Absorbent Egyptian Cotton Towel Set - 4 Pack Extra Soft Large Bath Towel Charcoal-Quick Dry Bath Sheets - 450 GSM Washable Towels, 75X135 Cm</t>
  </si>
  <si>
    <t xml:space="preserve">RRP: £19.99 | RRP: | Save 5% on any 4 qualifying items</t>
  </si>
  <si>
    <t xml:space="preserve">https://www.amazon.co.uk/dp/B0B4F78QZX</t>
  </si>
  <si>
    <t xml:space="preserve">B0CTTXR745</t>
  </si>
  <si>
    <t xml:space="preserve">GC GAVENO CAVAILIA Complete Bed Set Double Duvet Cover With Fitted Sheet - 4 Piece Bedding Set - Quilt Cover + Bed Sheet + 2 Pillow Cases</t>
  </si>
  <si>
    <t xml:space="preserve">https://www.amazon.co.uk/dp/B0CTTXR745</t>
  </si>
  <si>
    <t xml:space="preserve">B0H2MSHZFY</t>
  </si>
  <si>
    <t xml:space="preserve">Silentnight Dream Supreme Mattress Topper King Size Bed</t>
  </si>
  <si>
    <t xml:space="preserve">LIVE_UK_topper</t>
  </si>
  <si>
    <t xml:space="preserve">https://www.amazon.co.uk/dp/B0H2MSHZFY</t>
  </si>
  <si>
    <t xml:space="preserve">B0B1J9SL32</t>
  </si>
  <si>
    <t xml:space="preserve">Dreamland Electric Mattress Protector Snowed In Organic Cotton Dual Controller</t>
  </si>
  <si>
    <t xml:space="preserve">RRP: £139.99 | RRP:</t>
  </si>
  <si>
    <t xml:space="preserve">https://www.amazon.co.uk/dp/B0B1J9SL32</t>
  </si>
  <si>
    <t xml:space="preserve">B00FDTEIO2</t>
  </si>
  <si>
    <t xml:space="preserve">The Fine Bedding Company Spundown Mattress Enhancer - Double</t>
  </si>
  <si>
    <t xml:space="preserve">https://www.amazon.co.uk/dp/B00FDTEIO2</t>
  </si>
  <si>
    <t xml:space="preserve">B0C9TZ5LZV</t>
  </si>
  <si>
    <t xml:space="preserve">Snug Deeply Dreamy Single Mattress Topper - Quilted Soft Comfortable Mattress Enhancer with Deep Fitting Elasticated Straps - Hypoallergenic and Machine Washable - Single - 190x90cm,White</t>
  </si>
  <si>
    <t xml:space="preserve">https://www.amazon.co.uk/dp/B0C9TZ5LZV</t>
  </si>
  <si>
    <t xml:space="preserve">B09J94DB5H</t>
  </si>
  <si>
    <t xml:space="preserve">The Fine Bedding Company Breathe Mattress Protector - Super King</t>
  </si>
  <si>
    <t xml:space="preserve">https://www.amazon.co.uk/dp/B09J94DB5H</t>
  </si>
  <si>
    <t xml:space="preserve">B072M5ZT78</t>
  </si>
  <si>
    <t xml:space="preserve">GMTEXTILES</t>
  </si>
  <si>
    <t xml:space="preserve">II II HOTEL QUALITY(Microlite) MICRO FIBER MATTRESS TOPPER THICK 5 CM, BOX STITCHED IN, ANTI ALLERGENIC Double(137X190cm)</t>
  </si>
  <si>
    <t xml:space="preserve">https://www.amazon.co.uk/dp/B072M5ZT78</t>
  </si>
  <si>
    <t xml:space="preserve">B0GZ7H55DG</t>
  </si>
  <si>
    <t xml:space="preserve">10cm Thick Mattress Topper Double Bed - 1100 GSM Hollowfibre (135x190cm)</t>
  </si>
  <si>
    <t xml:space="preserve">https://www.amazon.co.uk/dp/B0GZ7H55DG</t>
  </si>
  <si>
    <t xml:space="preserve">B07MNPNDVW</t>
  </si>
  <si>
    <t xml:space="preserve">Arlinens Mattress Topper Double Bed 5cm Thick, Hotel Quality Box Stitched Microfibre Mattress Topper Super soft Anti Allergy Quilted Mattress Topper with Strong Elastic Straps (Double,137Cm X190cm)</t>
  </si>
  <si>
    <t xml:space="preserve">https://www.amazon.co.uk/dp/B07MNPNDVW</t>
  </si>
  <si>
    <t xml:space="preserve">B08NXZHCD4</t>
  </si>
  <si>
    <t xml:space="preserve">ACRALI HOME Thick Mattress Topper Double Bed (4 Inch/10 cm) Extra Deep Hotel Quality Breathable Bed Topper Quilted Luxury Comfort with Elasticated Straps</t>
  </si>
  <si>
    <t xml:space="preserve">https://www.amazon.co.uk/dp/B08NXZHCD4</t>
  </si>
  <si>
    <t xml:space="preserve">B07M9RG9TT</t>
  </si>
  <si>
    <t xml:space="preserve">Arlinens Mattress Topper king size Bed Hotel Quality Box Stitched Microfibre Mattress Topper 5cm Super soft Heavy Fill Orthopaedic Anti Allergy Quilted Mattress Topper (King, 150cm X 200cmx5cm)</t>
  </si>
  <si>
    <t xml:space="preserve">https://www.amazon.co.uk/dp/B07M9RG9TT</t>
  </si>
  <si>
    <t xml:space="preserve">B07ZHW1DK2</t>
  </si>
  <si>
    <t xml:space="preserve">Silentnight Deep Sleep Mattress Protector – Supersoft Quilted Bed Protector Cover with Extra Deep Fitted Easy Fit Stretch Elasticated Straps – Machine Washable and Hypoallergenic – Small Double</t>
  </si>
  <si>
    <t xml:space="preserve">https://www.amazon.co.uk/dp/B07ZHW1DK2</t>
  </si>
  <si>
    <t xml:space="preserve">B07XC3L1H7</t>
  </si>
  <si>
    <t xml:space="preserve">Silentnight Anti Allergy Mattress Topper Pad, Double Bed, 135x190cm</t>
  </si>
  <si>
    <t xml:space="preserve">https://www.amazon.co.uk/dp/B07XC3L1H7</t>
  </si>
  <si>
    <t xml:space="preserve">B076HGVP88</t>
  </si>
  <si>
    <t xml:space="preserve">Silentnight Anti Allergy Mattress Protector - Ideal for Allergy and Asthma Sufferers Protecting Against Bacteria and Dust Mites - Bed Cover Pad with Deep Fit Straps, Machine Washable, Double</t>
  </si>
  <si>
    <t xml:space="preserve">Silentnight Anti Allergy Mattress Protector - Ideal for Allergy and Asthma Sufferers Protecting Against Bacteria and Dust Mites - Bed Cover Pad with Deep Fit Straps, Machine Washable, Double | Save 5% on any 4 qualifying items</t>
  </si>
  <si>
    <t xml:space="preserve">https://www.amazon.co.uk/dp/B076HGVP88</t>
  </si>
  <si>
    <t xml:space="preserve">B0GJTZXT8Y</t>
  </si>
  <si>
    <t xml:space="preserve">Silentnight Terry Towelling Waterproof Mattress Protector - Supersoft 100% Cotton - Breathable &amp; Absorbent Rustle-Free Deep Fitted Skirt - Bed Protection - Hypoallergenic &amp; Machine Washable, Cot Bed</t>
  </si>
  <si>
    <t xml:space="preserve">https://www.amazon.co.uk/dp/B0GJTZXT8Y</t>
  </si>
  <si>
    <t xml:space="preserve">B076M25714</t>
  </si>
  <si>
    <t xml:space="preserve">Silentnight Deep Sleep Mattress Topper Pad, Double Bed, 135x190cm</t>
  </si>
  <si>
    <t xml:space="preserve">https://www.amazon.co.uk/dp/B076M25714</t>
  </si>
  <si>
    <t xml:space="preserve">B0GPDCDV6K</t>
  </si>
  <si>
    <t xml:space="preserve">Mattress Topper Double Bed 137x190 cm | 10cm Extra Thick Hotel Quality Microfiber | Soft Double Mattress Topper | Hypoallergenic &amp; Deep Elasticated Straps for Secure Firm Grip</t>
  </si>
  <si>
    <t xml:space="preserve">https://www.amazon.co.uk/dp/B0GPDCDV6K</t>
  </si>
  <si>
    <t xml:space="preserve">B0DF1W1ZBY</t>
  </si>
  <si>
    <t xml:space="preserve">Zinus Cooling Bamboo Fibre Double Bed Mattress Topper, 5 cm, 135 x 190 cm</t>
  </si>
  <si>
    <t xml:space="preserve">https://www.amazon.co.uk/dp/B0DF1W1ZBY</t>
  </si>
  <si>
    <t xml:space="preserve">B071FRV3Q1</t>
  </si>
  <si>
    <t xml:space="preserve">GMTEXTILE Thick Single Mattress Topper 5cm, Microfiber Single Bed Topper Single Bed Mattress Toppers Best Anti Allergenic (Single 90 X 190cm)</t>
  </si>
  <si>
    <t xml:space="preserve">https://www.amazon.co.uk/dp/B071FRV3Q1</t>
  </si>
  <si>
    <t xml:space="preserve">B00GAXK1L4</t>
  </si>
  <si>
    <t xml:space="preserve">The Fine Bedding Company Spundown Mattress Protector - Single</t>
  </si>
  <si>
    <t xml:space="preserve">https://www.amazon.co.uk/dp/B00GAXK1L4</t>
  </si>
  <si>
    <t xml:space="preserve">B08DJ73WYQ</t>
  </si>
  <si>
    <t xml:space="preserve">"GC GAVENO CAVAILIA Quilted Double Mattress Protector - 30cm Extra Deep Pocket Fitted Mattress Protector Double Bed - Breathable, Hypoallergenic &amp; Noiseless Mattress Cover - White"</t>
  </si>
  <si>
    <t xml:space="preserve">RRP: £10.99 | RRP: | Save 5% on any 4 qualifying items</t>
  </si>
  <si>
    <t xml:space="preserve">https://www.amazon.co.uk/dp/B08DJ73WYQ</t>
  </si>
  <si>
    <t xml:space="preserve">B0FPRHZPC9</t>
  </si>
  <si>
    <t xml:space="preserve">GC GAVENO CAVAILIA Satin Stripe Mattress Topper Super King - 10cm Thick Memory Foam Mattress Topper 198 x 203 cm - Hypoallergenic Mattress Pad with Elastic Straps - Premium Superking Mattress Toppers</t>
  </si>
  <si>
    <t xml:space="preserve">https://www.amazon.co.uk/dp/B0FPRHZPC9</t>
  </si>
  <si>
    <t xml:space="preserve">B0H1CTSDM4</t>
  </si>
  <si>
    <t xml:space="preserve">Mattress Topper Double Hotel Quality – 2 Inch Extra Deep (5cm) Microfibre – Ultra Soft, Breathable, Fluffy Hollowfibre Filling – Box Stitched with Elastic Corner Straps – White</t>
  </si>
  <si>
    <t xml:space="preserve">https://www.amazon.co.uk/dp/B0H1CTSDM4</t>
  </si>
  <si>
    <t xml:space="preserve">B0GZ7PN79W</t>
  </si>
  <si>
    <t xml:space="preserve">Single Mattress Topper Thick 10cm - 1100 GSM Hollowfibre (90x190cm)</t>
  </si>
  <si>
    <t xml:space="preserve">https://www.amazon.co.uk/dp/B0GZ7PN79W</t>
  </si>
  <si>
    <t xml:space="preserve">B013TVZDXK</t>
  </si>
  <si>
    <t xml:space="preserve">Silentnight Airmax Mattress Topper, 5cm Deep, Double Bed, 135x190cm</t>
  </si>
  <si>
    <t xml:space="preserve">Save £4.00 at checkout</t>
  </si>
  <si>
    <t xml:space="preserve">https://www.amazon.co.uk/dp/B013TVZDXK</t>
  </si>
  <si>
    <t xml:space="preserve">B0DP7TKRJ9</t>
  </si>
  <si>
    <t xml:space="preserve">Pro Home1400gsm Double Bed Mattress Topper 10cm Extra Thick Hypoallergenic Firm Mattress Toppers Double Size Bed With Soft Microfiber Fill Breathable &amp; Washable Quilted Topper with Secure Straps</t>
  </si>
  <si>
    <t xml:space="preserve">https://www.amazon.co.uk/dp/B0DP7TKRJ9</t>
  </si>
  <si>
    <t xml:space="preserve">B01MYQ448Z</t>
  </si>
  <si>
    <t xml:space="preserve">AR'S Hotel Quality Microfibre Mattress Topper Single - Soft &amp; Comfortable, Box Stitched, Hypoallergenic, Machine Washable with Strong Elasticated Corner Straps (90 x 190 cm)</t>
  </si>
  <si>
    <t xml:space="preserve">https://www.amazon.co.uk/dp/B01MYQ448Z</t>
  </si>
  <si>
    <t xml:space="preserve">B0D4ZJCW48</t>
  </si>
  <si>
    <t xml:space="preserve">Lakhmaali Hotel Quality Mattress Topper Double Bed Quilted Extra Thick</t>
  </si>
  <si>
    <t xml:space="preserve">https://www.amazon.co.uk/dp/B0D4ZJCW48</t>
  </si>
  <si>
    <t xml:space="preserve">B0H2MZGPPR</t>
  </si>
  <si>
    <t xml:space="preserve">Silentnight Dream Supreme Mattress Topper Double Bed</t>
  </si>
  <si>
    <t xml:space="preserve">https://www.amazon.co.uk/dp/B0H2MZGPPR</t>
  </si>
  <si>
    <t xml:space="preserve">B0CQWD4KP6</t>
  </si>
  <si>
    <t xml:space="preserve">Oliver Bedding Mattress Topper Double Bed 2 Inch Thick (5cm) (Small Single 76 x 190 cm), Hotel Quality &amp; Super Soft Topper, Quilted &amp; Box Stitched, Anti-Allergenic Bed Topper for Back Pain Relief</t>
  </si>
  <si>
    <t xml:space="preserve">https://www.amazon.co.uk/dp/B0CQWD4KP6</t>
  </si>
  <si>
    <t xml:space="preserve">B09LMDSS4D</t>
  </si>
  <si>
    <t xml:space="preserve">Linens World Mattress Topper 4FT Small Double Bed 10cm Thick (122x190cm)</t>
  </si>
  <si>
    <t xml:space="preserve">https://www.amazon.co.uk/dp/B09LMDSS4D</t>
  </si>
  <si>
    <t xml:space="preserve">B09C6HRPJ2</t>
  </si>
  <si>
    <t xml:space="preserve">Adam Home Microfiber Quilted Mattress Topper Double Bed 4 Inch / 10cm Fluffy and Hypoallergenic, Thick White, Hotel Quality Extra Soft, Stronge Elasticized Corner Straps (135 x 190 + 10cm)</t>
  </si>
  <si>
    <t xml:space="preserve">https://www.amazon.co.uk/dp/B09C6HRPJ2</t>
  </si>
  <si>
    <t xml:space="preserve">B01FZHB65A</t>
  </si>
  <si>
    <t xml:space="preserve">Silentnight Deep Sleep Mattress Topper Pad, Single Bed, 90x190cm</t>
  </si>
  <si>
    <t xml:space="preserve">https://www.amazon.co.uk/dp/B01FZHB65A</t>
  </si>
  <si>
    <t xml:space="preserve">B0B2FSX1MD</t>
  </si>
  <si>
    <t xml:space="preserve">VL Double Mattress Topper 1400 GSM – Extra Thick Mattress Topper Double Bed, Soft Quilted Bed Topper for Comfortable &amp; Supportive Sleep(10cm Thick, DOUBLE - 137 x 190 CM)</t>
  </si>
  <si>
    <t xml:space="preserve">https://www.amazon.co.uk/dp/B0B2FSX1MD</t>
  </si>
  <si>
    <t xml:space="preserve">B07XF9BHG4</t>
  </si>
  <si>
    <t xml:space="preserve">Silentnight Anti-Allergy Single Mattress Topper - Thick Deep Mattress Pad Protecting Against Allergies and Dust Mites - Hypoallergenic and Machine Washable - Single Bed,White</t>
  </si>
  <si>
    <t xml:space="preserve">RRP: £24.00 | RRP:</t>
  </si>
  <si>
    <t xml:space="preserve">https://www.amazon.co.uk/dp/B07XF9BHG4</t>
  </si>
  <si>
    <t xml:space="preserve">B01N537CYD</t>
  </si>
  <si>
    <t xml:space="preserve">Quilted Mattress Topper, King size fits 40cm deep, Soft Mattress Pad</t>
  </si>
  <si>
    <t xml:space="preserve">https://www.amazon.co.uk/dp/B01N537CYD</t>
  </si>
  <si>
    <t xml:space="preserve">B0DZXRF743</t>
  </si>
  <si>
    <t xml:space="preserve">Double Size Mattress Topper – 4 Inch (10cm) Extra Deep Microfibre – Super Fluffy &amp; Breathable Hollowfibre Fill – Box Stitched, Elastic Corner Straps – White</t>
  </si>
  <si>
    <t xml:space="preserve">https://www.amazon.co.uk/dp/B0DZXRF743</t>
  </si>
  <si>
    <t xml:space="preserve">B0CPHGBNGR</t>
  </si>
  <si>
    <t xml:space="preserve">Mattress Topper 4 inch Deep Thick Quilted Super Soft Fluffy and Comfy All Bed Sizes (Double)</t>
  </si>
  <si>
    <t xml:space="preserve">https://www.amazon.co.uk/dp/B0CPHGBNGR</t>
  </si>
  <si>
    <t xml:space="preserve">B0CKJ9QH91</t>
  </si>
  <si>
    <t xml:space="preserve">Luxury Hotel Quality Mattress Topper Single – 10CM Extra Thick Quilted Mattress Topper for Single Bed – Soft Breathable Anti-Allergy Microfibre Fill for Added Comfort and Support, 90 x 190 cm</t>
  </si>
  <si>
    <t xml:space="preserve">https://www.amazon.co.uk/dp/B0CKJ9QH91</t>
  </si>
  <si>
    <t xml:space="preserve">B0D9LLSVC4</t>
  </si>
  <si>
    <t xml:space="preserve">Sonive Double Mattress Topper, Topper 135 x 190cm, Deep Fitted Grey</t>
  </si>
  <si>
    <t xml:space="preserve">https://www.amazon.co.uk/dp/B0D9LLSVC4</t>
  </si>
  <si>
    <t xml:space="preserve">B0BMW25HYV</t>
  </si>
  <si>
    <t xml:space="preserve">The Fine Bedding Company Dual Layer Mattress Topper - Double</t>
  </si>
  <si>
    <t xml:space="preserve">https://www.amazon.co.uk/dp/B0BMW25HYV</t>
  </si>
  <si>
    <t xml:space="preserve">B0GDV1J184</t>
  </si>
  <si>
    <t xml:space="preserve">Mattress Topper Double Hotel Quality – 4 Inch Extra Deep (10cm) Microfibre – Ultra Soft, Breathable, Fluffy Hollowfibre Filling – Box Stitched with Elastic Corner Straps – White</t>
  </si>
  <si>
    <t xml:space="preserve">https://www.amazon.co.uk/dp/B0GDV1J184</t>
  </si>
  <si>
    <t xml:space="preserve">B0D9LM8GJJ</t>
  </si>
  <si>
    <t xml:space="preserve">Sonive King Size Mattress Topper, Cotton Cover 38cm Deep White OEKO-TEX</t>
  </si>
  <si>
    <t xml:space="preserve">https://www.amazon.co.uk/dp/B0D9LM8GJJ</t>
  </si>
  <si>
    <t xml:space="preserve">B0D9LJHJBK</t>
  </si>
  <si>
    <t xml:space="preserve">Sonive Mattress Topper 180 x 200 cm, Grey 38cm Deep,OEKO-TEX</t>
  </si>
  <si>
    <t xml:space="preserve">https://www.amazon.co.uk/dp/B0D9LJHJBK</t>
  </si>
  <si>
    <t xml:space="preserve">B071WJ74F4</t>
  </si>
  <si>
    <t xml:space="preserve">HIGH LIVING Double Mattress Topper 4 Inch Thick, Box Stitched Heavy Fill</t>
  </si>
  <si>
    <t xml:space="preserve">https://www.amazon.co.uk/dp/B071WJ74F4</t>
  </si>
  <si>
    <t xml:space="preserve">B0H26RT1W3</t>
  </si>
  <si>
    <t xml:space="preserve">Mattress Topper 10cm (4-Inch) Extra Thick Double Bed - Box Stitched Microfibre Quilted Mattress Topper &amp; Hollowfibre Fill - Easy Fit Straps &amp; 1100GSM - Breathable &amp; Hotel Quality (Double, 137x190cm)</t>
  </si>
  <si>
    <t xml:space="preserve">https://www.amazon.co.uk/dp/B0H26RT1W3</t>
  </si>
  <si>
    <t xml:space="preserve">B08TCCZ345</t>
  </si>
  <si>
    <t xml:space="preserve">Arlinens Microfiber Mattress Topper Box Stitched 4"(10cm) Thick Extra Deep Air Flow Ultra Soft Heavy Fill and Elasticated Corner Straps (Small Single,76x190cmx10cm)</t>
  </si>
  <si>
    <t xml:space="preserve">https://www.amazon.co.uk/dp/B08TCCZ345</t>
  </si>
  <si>
    <t xml:space="preserve">B0871VP4JX</t>
  </si>
  <si>
    <t xml:space="preserve">SLEEP ZONE King Size Cooling Mattress Pad, Premium Zoned Quilted Fitted Mattress Topper, Elastic Mattress Protector Cover, Machine Wash Durable, Deep Pocket 8-21 inch (White, King)</t>
  </si>
  <si>
    <t xml:space="preserve">Was: £47.73 | Was:</t>
  </si>
  <si>
    <t xml:space="preserve">https://www.amazon.co.uk/dp/B0871VP4JX</t>
  </si>
  <si>
    <t xml:space="preserve">B07L8VZNS9</t>
  </si>
  <si>
    <t xml:space="preserve">Amazon Basics Comfort Memory foam Topper, Double, 7 cm, White</t>
  </si>
  <si>
    <t xml:space="preserve">Was: £71.39 | Was:</t>
  </si>
  <si>
    <t xml:space="preserve">https://www.amazon.co.uk/dp/B07L8VZNS9</t>
  </si>
  <si>
    <t xml:space="preserve">B076HGVP89</t>
  </si>
  <si>
    <t xml:space="preserve">Silentnight Quilted Mattress Protector – Premium Luxury Soft Cosy Mattress Cover Protector Pad with Extra Deep Fit Elasticated Straps – Hypoallergenic, Super Soft and Machine Washable - Double</t>
  </si>
  <si>
    <t xml:space="preserve">https://www.amazon.co.uk/dp/B076HGVP89</t>
  </si>
  <si>
    <t xml:space="preserve">B0F6728X3T</t>
  </si>
  <si>
    <t xml:space="preserve">Arlinens Mattress Topper Small Single Bed 4 Inch/10cm 76cm X 190cm</t>
  </si>
  <si>
    <t xml:space="preserve">https://www.amazon.co.uk/dp/B0F6728X3T</t>
  </si>
  <si>
    <t xml:space="preserve">B09TFR2RGQ</t>
  </si>
  <si>
    <t xml:space="preserve">Thick Mattress Topper Small Single Bed (4 Inch/10 cm) Extra Deep Hotel Quality Extra Soft Super Fluffy &amp; Breathable Microfiber Mattress Topper with Elasticized Straps</t>
  </si>
  <si>
    <t xml:space="preserve">https://www.amazon.co.uk/dp/B09TFR2RGQ</t>
  </si>
  <si>
    <t xml:space="preserve">B01N97ZO4S</t>
  </si>
  <si>
    <t xml:space="preserve">AR'S HOTEL QUALITY(Microlite) MICRO FIBER MATTRESS TOPPER THICK 5 CM,BOX STITCHED,ANTI ALLERGENIC (Double)</t>
  </si>
  <si>
    <t xml:space="preserve">https://www.amazon.co.uk/dp/B01N97ZO4S</t>
  </si>
  <si>
    <t xml:space="preserve">B0CN72Q7PX</t>
  </si>
  <si>
    <t xml:space="preserve">Silentnight Hotel Collection Mattress Topper, 5cm Deep Super King 180x200cm</t>
  </si>
  <si>
    <t xml:space="preserve">https://www.amazon.co.uk/dp/B0CN72Q7PX</t>
  </si>
  <si>
    <t xml:space="preserve">B07T1DVCM2</t>
  </si>
  <si>
    <t xml:space="preserve">IMFAA Quilted King Mattress Protector, Soft Breathable Quilted Sheet, Extra Deep 40cm Fitted Stretch Skirt, Anti-Allergy Noiseless Bed Cover, Machine Washable (152x200+40) Cm</t>
  </si>
  <si>
    <t xml:space="preserve">https://www.amazon.co.uk/dp/B07T1DVCM2</t>
  </si>
  <si>
    <t xml:space="preserve">B0DBZSFVSJ</t>
  </si>
  <si>
    <t xml:space="preserve">Panda® Gel Infused Memory Foam Bamboo Mattress Topper - UK Single | 5cm Thick | Medium Firm Softness | Orthopaedic Neck, Spine, Hip Support | Adjustable Straps | Temperature Control | Long Lasting</t>
  </si>
  <si>
    <t xml:space="preserve">https://www.amazon.co.uk/dp/B0DBZSFVSJ</t>
  </si>
  <si>
    <t xml:space="preserve">B07J1SC7NZ</t>
  </si>
  <si>
    <t xml:space="preserve">Panda® Gel Infused Memory Foam Cooling Bamboo Mattress Topper - EU Double | 5cm Thick | Medium Firm Softness | Orthopaedic Neck, Spine, Hip Support | Adjustable Straps | Temperature Control</t>
  </si>
  <si>
    <t xml:space="preserve">https://www.amazon.co.uk/dp/B07J1SC7NZ</t>
  </si>
  <si>
    <t xml:space="preserve">B0GRVLLQWT</t>
  </si>
  <si>
    <t xml:space="preserve">Mattress Topper Double Hotel Quality – 4 Inch Extra Deep (10cm) Microfibre – Ultra Soft, Breathable, Fluffy Hollowfibre Filling – White Box Stitched with Elastic Corner Straps</t>
  </si>
  <si>
    <t xml:space="preserve">https://www.amazon.co.uk/dp/B0GRVLLQWT</t>
  </si>
  <si>
    <t xml:space="preserve">B0DBJ5SZDM</t>
  </si>
  <si>
    <t xml:space="preserve">Microfibre Mattress Topper, 4 Inch/10cm Thick, Supersoft Heavy Fill, Single, Double, King, Super King, Box Stitched, Elasticated Corner Straps, White (Double)</t>
  </si>
  <si>
    <t xml:space="preserve">https://www.amazon.co.uk/dp/B0DBJ5SZDM</t>
  </si>
  <si>
    <t xml:space="preserve">B0FDB9Z726</t>
  </si>
  <si>
    <t xml:space="preserve">Silentnight Impress Memory Foam Mattress Topper - 7cm Deep Luxury Orthopaedic Pressure Relief Hypoallergenic Bed Topper for Back &amp; Neck Pain - Elasticated Straps &amp; Machine Washable Cover, Single</t>
  </si>
  <si>
    <t xml:space="preserve">https://www.amazon.co.uk/dp/B0FDB9Z726</t>
  </si>
  <si>
    <t xml:space="preserve">B01N1VZFXV</t>
  </si>
  <si>
    <t xml:space="preserve">AmigoZone Extra Thick Quilted Mattress Topper – 4 Inch Deep King Bed, Super Soft Hotel Comfort, Breathable Microfibre Padding, Secure Elasticated Corner Straps - King</t>
  </si>
  <si>
    <t xml:space="preserve">https://www.amazon.co.uk/dp/B01N1VZFXV</t>
  </si>
  <si>
    <t xml:space="preserve">USD</t>
  </si>
  <si>
    <t xml:space="preserve">SONORO KATE 100% Viscose Derived from Bamboo_Sheets Queen Size,4PC</t>
  </si>
  <si>
    <t xml:space="preserve">Save 15% with coupon</t>
  </si>
  <si>
    <t xml:space="preserve">LIVE_US_bamboo</t>
  </si>
  <si>
    <t xml:space="preserve">https://www.amazon.com/dp/B0F29F1JM5</t>
  </si>
  <si>
    <t xml:space="preserve">Love's cabin 100% Rayon Derived from Bamboo, Queen Sheets, 4 Pieces, Beige</t>
  </si>
  <si>
    <t xml:space="preserve">List: $44.99 | List:</t>
  </si>
  <si>
    <t xml:space="preserve">https://www.amazon.com/dp/B0DN1DVKH5</t>
  </si>
  <si>
    <t xml:space="preserve">B0DN1H6C88</t>
  </si>
  <si>
    <t xml:space="preserve">Love's cabin 100% Rayon Derived from Bamboo, Full Size Sheets, 4 PCS, White</t>
  </si>
  <si>
    <t xml:space="preserve">List: $44.64 | List:</t>
  </si>
  <si>
    <t xml:space="preserve">https://www.amazon.com/dp/B0DN1H6C88</t>
  </si>
  <si>
    <t xml:space="preserve">Bamboo Viscose Sheet Set Queen Size, Cooling Sheets Bed Set</t>
  </si>
  <si>
    <t xml:space="preserve">Save 5% on 2 select item(s)</t>
  </si>
  <si>
    <t xml:space="preserve">https://www.amazon.com/dp/B0FT7LV7PP</t>
  </si>
  <si>
    <t xml:space="preserve">B07DZTQ4JC</t>
  </si>
  <si>
    <t xml:space="preserve">PURE BAMBOO Sheets 100% Genuine Bamboo Viscose, King, Ivory</t>
  </si>
  <si>
    <t xml:space="preserve">Save $10.00 with coupon</t>
  </si>
  <si>
    <t xml:space="preserve">https://www.amazon.com/dp/B07DZTQ4JC</t>
  </si>
  <si>
    <t xml:space="preserve">B0FT7LZ2CD</t>
  </si>
  <si>
    <t xml:space="preserve">Bamboo Viscose Sheet Set King Size, Cooling Sheets Bed Set</t>
  </si>
  <si>
    <t xml:space="preserve">https://www.amazon.com/dp/B0FT7LZ2CD</t>
  </si>
  <si>
    <t xml:space="preserve">B0GFHGS4DP</t>
  </si>
  <si>
    <t xml:space="preserve">Amazon Basics Bamboo Viscose Blend Sheet Set, 4-Piece, Queen, White</t>
  </si>
  <si>
    <t xml:space="preserve">https://www.amazon.com/dp/B0GFHGS4DP</t>
  </si>
  <si>
    <t xml:space="preserve">Bedsure PureWoven 100% Rayon Derived from Bamboo, Queen Sheets, 4 Pieces</t>
  </si>
  <si>
    <t xml:space="preserve">https://www.amazon.com/dp/B07YKCZHGK</t>
  </si>
  <si>
    <t xml:space="preserve">B0H4SZWRK8</t>
  </si>
  <si>
    <t xml:space="preserve">Real 100% Viscose Derived from Bamboo Sheets Set Queen Size, Cooling &amp; Silky Soft for Hot Sleeper, Luxury with Breathable &amp; Moisture Wicking Fabric, 18" Deep Pocket with Corner Straps (Sand, Queen)</t>
  </si>
  <si>
    <t xml:space="preserve">Save 10% on 2 select item(s)</t>
  </si>
  <si>
    <t xml:space="preserve">https://www.amazon.com/dp/B0H4SZWRK8</t>
  </si>
  <si>
    <t xml:space="preserve">B0FT7LB4HT</t>
  </si>
  <si>
    <t xml:space="preserve">https://www.amazon.com/dp/B0FT7LB4HT</t>
  </si>
  <si>
    <t xml:space="preserve">B01N9L2O9P</t>
  </si>
  <si>
    <t xml:space="preserve">Hotel Sheets Direct 4 Piece Bed Sheet Set Queen Size, 100% Viscose Derived from Bamboo Sheets Set with 2 Pillowcases, Cooling &amp; Breathable Luxury Bedding, Moisture-Wicking &amp; Silky Soft Texture, White</t>
  </si>
  <si>
    <t xml:space="preserve">https://www.amazon.com/dp/B01N9L2O9P</t>
  </si>
  <si>
    <t xml:space="preserve">B0DNSGPQCZ</t>
  </si>
  <si>
    <t xml:space="preserve">PURE BAMBOO Sheets 100% Genuine Bamboo Viscose, King, Almond</t>
  </si>
  <si>
    <t xml:space="preserve">https://www.amazon.com/dp/B0DNSGPQCZ</t>
  </si>
  <si>
    <t xml:space="preserve">B0DNSSYC77</t>
  </si>
  <si>
    <t xml:space="preserve">PURE BAMBOO Sheets 100% Genuine Bamboo Viscose, King, Creme</t>
  </si>
  <si>
    <t xml:space="preserve">https://www.amazon.com/dp/B0DNSSYC77</t>
  </si>
  <si>
    <t xml:space="preserve">https://www.amazon.com/dp/B0FT7NXWTL</t>
  </si>
  <si>
    <t xml:space="preserve">B0F9DZ8P6K</t>
  </si>
  <si>
    <t xml:space="preserve">100% Viscose Derived from Bamboo Sheet Set, Natural Breathable Moisture-Wicking for Hot Sleepers, 18" Deep Pocket, 4 Piece</t>
  </si>
  <si>
    <t xml:space="preserve">https://www.amazon.com/dp/B0F9DZ8P6K</t>
  </si>
  <si>
    <t xml:space="preserve">https://www.amazon.com/dp/B0B8JLLT45</t>
  </si>
  <si>
    <t xml:space="preserve">B0DN1D4YKB</t>
  </si>
  <si>
    <t xml:space="preserve">Love's cabin 100% Rayon Derived from Bamboo, King Size Sheets, 4 PCS, White</t>
  </si>
  <si>
    <t xml:space="preserve">List: $54.14 | List:</t>
  </si>
  <si>
    <t xml:space="preserve">https://www.amazon.com/dp/B0DN1D4YKB</t>
  </si>
  <si>
    <t xml:space="preserve">Love's cabin 100% Rayon Derived from Bamboo, Queen Sheets, 4 Pieces, White</t>
  </si>
  <si>
    <t xml:space="preserve">https://www.amazon.com/dp/B0DN1H5PQ6</t>
  </si>
  <si>
    <t xml:space="preserve">B0HJ5LB5JL</t>
  </si>
  <si>
    <r>
      <rPr>
        <sz val="10"/>
        <color theme="1"/>
        <rFont val="Arial"/>
        <family val="2"/>
        <charset val="1"/>
      </rPr>
      <t xml:space="preserve">100% Bamboo Viscose &amp; Lyocell Tencel Sheets Set Queen Size</t>
    </r>
    <r>
      <rPr>
        <sz val="10"/>
        <color theme="1"/>
        <rFont val="Linux Libertine G"/>
        <family val="2"/>
      </rPr>
      <t xml:space="preserve">，</t>
    </r>
    <r>
      <rPr>
        <sz val="10"/>
        <color theme="1"/>
        <rFont val="Arial"/>
        <family val="2"/>
        <charset val="1"/>
      </rPr>
      <t xml:space="preserve">Cooling &amp; Silky Soft for Hot Sleeper, Breathable &amp; Moisture Wicking Fabric, 18" Deep Pocket with Corner Straps(Sand, Queen)</t>
    </r>
  </si>
  <si>
    <t xml:space="preserve">https://www.amazon.com/dp/B0HJ5LB5JL</t>
  </si>
  <si>
    <t xml:space="preserve">B0HF3WVG8L</t>
  </si>
  <si>
    <t xml:space="preserve">100% Real Bamboo Viscose &amp; Lyocell Tencel Sheets Set Queen Size | Breathable &amp; Cooling for Hot Sleeper | Luxury Silky Soft Fabric | 18" Deep Pocket with Corner Straps (Sand, Queen)</t>
  </si>
  <si>
    <t xml:space="preserve">List: $109.00 | List:</t>
  </si>
  <si>
    <t xml:space="preserve">https://www.amazon.com/dp/B0HF3WVG8L</t>
  </si>
  <si>
    <t xml:space="preserve">20K+ bought in past month</t>
  </si>
  <si>
    <t xml:space="preserve">https://www.amazon.com/dp/B01M16WBW1</t>
  </si>
  <si>
    <t xml:space="preserve">B0GT8Z4X5D</t>
  </si>
  <si>
    <t xml:space="preserve">BEDELITE Bamboo Viscose Sheet Set, Queen Size, 4 Pieces, White</t>
  </si>
  <si>
    <t xml:space="preserve">List: $99.89 | List:</t>
  </si>
  <si>
    <t xml:space="preserve">https://www.amazon.com/dp/B0GT8Z4X5D</t>
  </si>
  <si>
    <t xml:space="preserve">B0G3NPXJTQ</t>
  </si>
  <si>
    <t xml:space="preserve">100% Bamboo Viscose Queen Size Sheets Set, 400 Thread Count, 4 Pieces</t>
  </si>
  <si>
    <t xml:space="preserve">https://www.amazon.com/dp/B0G3NPXJTQ</t>
  </si>
  <si>
    <t xml:space="preserve">B0GX15Y7TT</t>
  </si>
  <si>
    <t xml:space="preserve">100% Viscose Derived from Bamboo_ Sheet Set 4Pcs, Extra Deep Pocket</t>
  </si>
  <si>
    <t xml:space="preserve">https://www.amazon.com/dp/B0GX15Y7TT</t>
  </si>
  <si>
    <t xml:space="preserve">B0GK7YYHY7</t>
  </si>
  <si>
    <t xml:space="preserve">meadow park 100% Viscose Derived from Bamboo Sheet Set Queen Size, Deep Pocket 16", 400 Thread Count Cooling Sheets for Hot Sleepers, Soft &amp; Breathable, Green.</t>
  </si>
  <si>
    <t xml:space="preserve">https://www.amazon.com/dp/B0GK7YYHY7</t>
  </si>
  <si>
    <t xml:space="preserve">B0FT7M48XV</t>
  </si>
  <si>
    <t xml:space="preserve">https://www.amazon.com/dp/B0FT7M48XV</t>
  </si>
  <si>
    <t xml:space="preserve">B0FB8XR43Q</t>
  </si>
  <si>
    <t xml:space="preserve">Bedsure PureWoven Queen Sheet Set Cooling Bed Sheets for Hot Sleepers 4PCS</t>
  </si>
  <si>
    <t xml:space="preserve">List: $131.99 | List: | Save 50% on 2 select item(s)</t>
  </si>
  <si>
    <t xml:space="preserve">https://www.amazon.com/dp/B0FB8XR43Q</t>
  </si>
  <si>
    <t xml:space="preserve">B0GTZ8J8DJ</t>
  </si>
  <si>
    <t xml:space="preserve">QUTOOL 100% Viscose Made from Bamboo Queen Sheet Sets, 4PC Cooling Bed Sheets with Extra Deep Pocket up to 18'', Hotel Luxury Silky Bedding for Hot Sleepers, Breathable,Navy Blue</t>
  </si>
  <si>
    <t xml:space="preserve">https://www.amazon.com/dp/B0GTZ8J8DJ</t>
  </si>
  <si>
    <t xml:space="preserve">B09PYKYCCF</t>
  </si>
  <si>
    <t xml:space="preserve">Shilucheng 100% Viscose Derived from Bamboo_ Sheets Queen Size 4pcs</t>
  </si>
  <si>
    <t xml:space="preserve">https://www.amazon.com/dp/B09PYKYCCF</t>
  </si>
  <si>
    <t xml:space="preserve">B07MZ4GKZH</t>
  </si>
  <si>
    <t xml:space="preserve">PURE BAMBOO Sheets 100% Genuine Bamboo Viscose, King, White</t>
  </si>
  <si>
    <t xml:space="preserve">https://www.amazon.com/dp/B07MZ4GKZH</t>
  </si>
  <si>
    <t xml:space="preserve">B07MZ9223H</t>
  </si>
  <si>
    <t xml:space="preserve">PURE BAMBOO Sheets 100% Genuine Bamboo Viscose, Queen, White</t>
  </si>
  <si>
    <t xml:space="preserve">https://www.amazon.com/dp/B07MZ9223H</t>
  </si>
  <si>
    <t xml:space="preserve">B07YK8VTJV</t>
  </si>
  <si>
    <t xml:space="preserve">https://www.amazon.com/dp/B07YK8VTJV</t>
  </si>
  <si>
    <t xml:space="preserve">B0FT7Q2PLM</t>
  </si>
  <si>
    <t xml:space="preserve">Bamboo Viscose Sheet Set Twin Size, Cooling Sheets Bed Set</t>
  </si>
  <si>
    <t xml:space="preserve">https://www.amazon.com/dp/B0FT7Q2PLM</t>
  </si>
  <si>
    <t xml:space="preserve">Bedsure PureWoven 100% Rayon Derived from Bamboo, King Size Sheets Set</t>
  </si>
  <si>
    <t xml:space="preserve">https://www.amazon.com/dp/B07YKCQBBL</t>
  </si>
  <si>
    <t xml:space="preserve">B0C97CQNRK</t>
  </si>
  <si>
    <t xml:space="preserve">Bella Coterie Luxury Bamboo Viscose King Size Sheet Set</t>
  </si>
  <si>
    <t xml:space="preserve">https://www.amazon.com/dp/B0C97CQNRK</t>
  </si>
  <si>
    <t xml:space="preserve">B0DR987TQH</t>
  </si>
  <si>
    <t xml:space="preserve">Bambaw 100% Viscose Derived from Bamboo Sheets Set Queen Size, 4 Piece Set</t>
  </si>
  <si>
    <t xml:space="preserve">https://www.amazon.com/dp/B0DR987TQH</t>
  </si>
  <si>
    <t xml:space="preserve">B0DSZTLBV1</t>
  </si>
  <si>
    <t xml:space="preserve">JSD Sage Green 100% Viscose Derived from Bamboo Cooling Sheet Set Queen</t>
  </si>
  <si>
    <t xml:space="preserve">https://www.amazon.com/dp/B0DSZTLBV1</t>
  </si>
  <si>
    <t xml:space="preserve">B0H5W8TD2W</t>
  </si>
  <si>
    <t xml:space="preserve">100% Viscose Derived from Bamboo Queen Sheet Set 6pc</t>
  </si>
  <si>
    <t xml:space="preserve">List: $79.99 | List: | Save $10.00 with coupon</t>
  </si>
  <si>
    <t xml:space="preserve">https://www.amazon.com/dp/B0H5W8TD2W</t>
  </si>
  <si>
    <t xml:space="preserve">B0F29HFNNS</t>
  </si>
  <si>
    <t xml:space="preserve">SONORO KATE 100% Viscose Derived from Bamboo_Sheets King Size,4PC</t>
  </si>
  <si>
    <t xml:space="preserve">https://www.amazon.com/dp/B0F29HFNNS</t>
  </si>
  <si>
    <t xml:space="preserve">B0F4KP9QQG</t>
  </si>
  <si>
    <t xml:space="preserve">LONAVA 100% Viscose Derived from Bamboo Queen Sheet Set White, 4 Pieces Soft Cooling Bedding with Deep Pocket UP to 16", Silky Smooth, Organic &amp; Breathable, Breathable Bed Sheets</t>
  </si>
  <si>
    <t xml:space="preserve">https://www.amazon.com/dp/B0F4KP9QQG</t>
  </si>
  <si>
    <t xml:space="preserve">B0G1N8QS55</t>
  </si>
  <si>
    <t xml:space="preserve">TWK Real 100% Viscose Derived from Bamboo Sheets Set Queen Size, Cooling &amp; Silky Soft for Hot Sleeper, Breathable &amp; Moisture Wicking Fabric, 18" Deep Pocket with Corner Straps (Sand, Queen)</t>
  </si>
  <si>
    <t xml:space="preserve">https://www.amazon.com/dp/B0G1N8QS55</t>
  </si>
  <si>
    <t xml:space="preserve">B07YKCB6GL</t>
  </si>
  <si>
    <t xml:space="preserve">List: $76.99 | List:</t>
  </si>
  <si>
    <t xml:space="preserve">https://www.amazon.com/dp/B07YKCB6GL</t>
  </si>
  <si>
    <t xml:space="preserve">B0F486YPLG</t>
  </si>
  <si>
    <t xml:space="preserve">SONORO KATE 100% Viscose Derived from Bamboo_Sheets, Extra Deep Pocket,4PC</t>
  </si>
  <si>
    <t xml:space="preserve">Save $5.00 with coupon</t>
  </si>
  <si>
    <t xml:space="preserve">https://www.amazon.com/dp/B0F486YPLG</t>
  </si>
  <si>
    <t xml:space="preserve">B0DD6KM2BW</t>
  </si>
  <si>
    <t xml:space="preserve">Bamboo Sheets King Sheets Set, 100% Organic Viscose Derived from Bamboo Bed Sheet Set, Luxuriously Soft &amp; Cooling,4 Pcs Bed Set with Deep Pockets,Wrinkle Free, Double Stitched Seams(Beige)</t>
  </si>
  <si>
    <t xml:space="preserve">https://www.amazon.com/dp/B0DD6KM2BW</t>
  </si>
  <si>
    <t xml:space="preserve">B0H1M9LYGP</t>
  </si>
  <si>
    <t xml:space="preserve">100% Organically Grown Bamboo Viscose King Sheet Set with Pockets on Side</t>
  </si>
  <si>
    <t xml:space="preserve">https://www.amazon.com/dp/B0H1M9LYGP</t>
  </si>
  <si>
    <t xml:space="preserve">DECOLURE 100% Viscose from Bamboo Sheets King Size | 6 Pc Cooling Bed Set</t>
  </si>
  <si>
    <t xml:space="preserve">List: $99.99 | List:</t>
  </si>
  <si>
    <t xml:space="preserve">https://www.amazon.com/dp/B0CQ2XQF9N</t>
  </si>
  <si>
    <t xml:space="preserve">Sasttie Queen Sheet Set, 100% Rayon Made from Bamboo, 4 Piece, White</t>
  </si>
  <si>
    <t xml:space="preserve">https://www.amazon.com/dp/B0H9QD7RD5</t>
  </si>
  <si>
    <t xml:space="preserve">B0H23DX2WS</t>
  </si>
  <si>
    <t xml:space="preserve">Queen 4-Piece Sheets, 100% Viscose Derived from Bamboo, Dark Grey</t>
  </si>
  <si>
    <t xml:space="preserve">List: $66.99 | List:</t>
  </si>
  <si>
    <t xml:space="preserve">https://www.amazon.com/dp/B0H23DX2WS</t>
  </si>
  <si>
    <t xml:space="preserve">B08CRJYM55</t>
  </si>
  <si>
    <t xml:space="preserve">Queen Comforter Set 88"x88" Dark Grey - 7 Piece Bed in a Bag</t>
  </si>
  <si>
    <t xml:space="preserve">7K+ bought in past month</t>
  </si>
  <si>
    <t xml:space="preserve">LIVE_US_comforter</t>
  </si>
  <si>
    <t xml:space="preserve">https://www.amazon.com/dp/B08CRJYM55</t>
  </si>
  <si>
    <t xml:space="preserve">B0B7JRZ6LX</t>
  </si>
  <si>
    <t xml:space="preserve">BEDELITE Fleece Queen Comforter Set, Fluffy Bed Set, Cream White</t>
  </si>
  <si>
    <t xml:space="preserve">8K+ bought in past month</t>
  </si>
  <si>
    <t xml:space="preserve">https://www.amazon.com/dp/B0B7JRZ6LX</t>
  </si>
  <si>
    <t xml:space="preserve">B0HBQ4JJ21</t>
  </si>
  <si>
    <t xml:space="preserve">BEDELITE Blue Bow Comforter Set,Soft &amp; Fluffy King Comforter</t>
  </si>
  <si>
    <t xml:space="preserve">https://www.amazon.com/dp/B0HBQ4JJ21</t>
  </si>
  <si>
    <t xml:space="preserve">B0BNJDPSF7</t>
  </si>
  <si>
    <t xml:space="preserve">Queen Comforter Set - 7PCS Bed in a Bag, Seersucker Bedding Set, Dark Grey</t>
  </si>
  <si>
    <t xml:space="preserve">https://www.amazon.com/dp/B0BNJDPSF7</t>
  </si>
  <si>
    <t xml:space="preserve">List: $49.99 | List: | Save 5% on 2 select item(s)</t>
  </si>
  <si>
    <t xml:space="preserve">https://www.amazon.com/dp/B0CJJT1PT6</t>
  </si>
  <si>
    <t xml:space="preserve">B0DQ8CZ187</t>
  </si>
  <si>
    <t xml:space="preserve">Queen Comforter Set 7 Pieces, Reversible Bed in a Bag, Red/Black</t>
  </si>
  <si>
    <t xml:space="preserve">https://www.amazon.com/dp/B0DQ8CZ187</t>
  </si>
  <si>
    <t xml:space="preserve">Monbix Queen Comforter Set Olive Green 7 Pieces Bed in a Bag</t>
  </si>
  <si>
    <t xml:space="preserve">List: $69.99 | List: | Save 5% on 2 select item(s)</t>
  </si>
  <si>
    <t xml:space="preserve">https://www.amazon.com/dp/B0CXPVQ5DK</t>
  </si>
  <si>
    <t xml:space="preserve">https://www.amazon.com/dp/B0DX75YHHS</t>
  </si>
  <si>
    <t xml:space="preserve">B08CRNCJFC</t>
  </si>
  <si>
    <t xml:space="preserve">Queen Comforter Set, 7 Pieces White Seersucker Bed in a Bag</t>
  </si>
  <si>
    <t xml:space="preserve">https://www.amazon.com/dp/B08CRNCJFC</t>
  </si>
  <si>
    <t xml:space="preserve">B08P4SLD52</t>
  </si>
  <si>
    <t xml:space="preserve">Bedsure Queen Qize Comforter Sets,Sage Green Bedding Set Floral Reversible</t>
  </si>
  <si>
    <t xml:space="preserve">List: $44.99 | List: | Save 5% on 2 select item(s)</t>
  </si>
  <si>
    <t xml:space="preserve">https://www.amazon.com/dp/B08P4SLD52</t>
  </si>
  <si>
    <t xml:space="preserve">B0DM637LTF</t>
  </si>
  <si>
    <t xml:space="preserve">Queen Comforter Set 7 Pieces, Soft Bed in a Bag, Beige</t>
  </si>
  <si>
    <t xml:space="preserve">https://www.amazon.com/dp/B0DM637LTF</t>
  </si>
  <si>
    <t xml:space="preserve">Queen Comforter Set Beige - 7 Pieces Vertical Quilted Bed in a Bag</t>
  </si>
  <si>
    <t xml:space="preserve">https://www.amazon.com/dp/B0DXK4H9GK</t>
  </si>
  <si>
    <t xml:space="preserve">B0C4GJSJ9M</t>
  </si>
  <si>
    <t xml:space="preserve">Queen Comforter Set Black - 7 Pieces Bed in a Bag</t>
  </si>
  <si>
    <t xml:space="preserve">https://www.amazon.com/dp/B0C4GJSJ9M</t>
  </si>
  <si>
    <t xml:space="preserve">B09R93GGS4</t>
  </si>
  <si>
    <t xml:space="preserve">Queen Comforter Set Black, 7 Pieces Pintuck Bed in a Bag</t>
  </si>
  <si>
    <t xml:space="preserve">https://www.amazon.com/dp/B09R93GGS4</t>
  </si>
  <si>
    <t xml:space="preserve">B0F2168H6R</t>
  </si>
  <si>
    <t xml:space="preserve">Bedsure Floral Comforter Set Cute Bedding Set Queen Reversible Beige</t>
  </si>
  <si>
    <t xml:space="preserve">https://www.amazon.com/dp/B0F2168H6R</t>
  </si>
  <si>
    <t xml:space="preserve">B0CPDMH1C7</t>
  </si>
  <si>
    <t xml:space="preserve">Paxrac Earthy Brown Comforter Queen Size, Neutral 3 Pieces Comforter Set, Lightweight Solid Bedding Set, All Seasons Soft Fluffy Queen Comforter Set (90x90In Comforter &amp; 2 Pillowcases)</t>
  </si>
  <si>
    <t xml:space="preserve">https://www.amazon.com/dp/B0CPDMH1C7</t>
  </si>
  <si>
    <t xml:space="preserve">B07NYR18X4</t>
  </si>
  <si>
    <t xml:space="preserve">Bedsure 7-Piece Queen Bedding Comforter Set &amp; Sheet Set, Grey Bed in a Bag</t>
  </si>
  <si>
    <t xml:space="preserve">https://www.amazon.com/dp/B07NYR18X4</t>
  </si>
  <si>
    <t xml:space="preserve">B0DRP4NB2D</t>
  </si>
  <si>
    <t xml:space="preserve">King Size Comforter Set-7 Pieces Brown Soft Bed in a Bag King Bedding Sets</t>
  </si>
  <si>
    <t xml:space="preserve">https://www.amazon.com/dp/B0DRP4NB2D</t>
  </si>
  <si>
    <t xml:space="preserve">B0CN35M4F4</t>
  </si>
  <si>
    <t xml:space="preserve">JOLLYVOGUE Queen Comforter Set, Ultra-Soft Bed in a Bag Queen Size 7 Pieces, Oeko-TEX Certified Bedding Set with Down Alternative Comforter, Sheets, Pillowcases &amp; Shams, Black</t>
  </si>
  <si>
    <t xml:space="preserve">https://www.amazon.com/dp/B0CN35M4F4</t>
  </si>
  <si>
    <t xml:space="preserve">B0D14L8P87</t>
  </si>
  <si>
    <t xml:space="preserve">Stripe Channel Luxury Velvet Quilt Set King Size, Mocha Brown</t>
  </si>
  <si>
    <t xml:space="preserve">https://www.amazon.com/dp/B0D14L8P87</t>
  </si>
  <si>
    <t xml:space="preserve">B0CVVJ5D94</t>
  </si>
  <si>
    <t xml:space="preserve">Queen Comforter Set Black, 7 Pieces Bed in a Bag</t>
  </si>
  <si>
    <t xml:space="preserve">https://www.amazon.com/dp/B0CVVJ5D94</t>
  </si>
  <si>
    <t xml:space="preserve">B0CMZX4425</t>
  </si>
  <si>
    <t xml:space="preserve">Andency King Size Comforter Set, 7 Pieces Bed in a Bag, Green Bedding Set</t>
  </si>
  <si>
    <t xml:space="preserve">List: $63.99 | List:</t>
  </si>
  <si>
    <t xml:space="preserve">https://www.amazon.com/dp/B0CMZX4425</t>
  </si>
  <si>
    <t xml:space="preserve">B0DW3CLZSY</t>
  </si>
  <si>
    <t xml:space="preserve">Queen Comforter Set 7 Pieces, Seersucker Bed in a Bag, Beige</t>
  </si>
  <si>
    <t xml:space="preserve">https://www.amazon.com/dp/B0DW3CLZSY</t>
  </si>
  <si>
    <t xml:space="preserve">B0C5398TC4</t>
  </si>
  <si>
    <t xml:space="preserve">Queen Comforter Set, 3 Pieces Down Alternative Bedding, Black</t>
  </si>
  <si>
    <t xml:space="preserve">https://www.amazon.com/dp/B0C5398TC4</t>
  </si>
  <si>
    <t xml:space="preserve">https://www.amazon.com/dp/B0CBPRLJ8Y</t>
  </si>
  <si>
    <t xml:space="preserve">B076DD56XT</t>
  </si>
  <si>
    <t xml:space="preserve">Bare Home Queen Comforter Set - 1800 Ultra Soft (Queen, Grey)</t>
  </si>
  <si>
    <t xml:space="preserve">https://www.amazon.com/dp/B076DD56XT</t>
  </si>
  <si>
    <t xml:space="preserve">B0C7Q6LFQ5</t>
  </si>
  <si>
    <t xml:space="preserve">Queen Comforter Set, 3-Piece All-Season Bedding, Beige</t>
  </si>
  <si>
    <t xml:space="preserve">List: $25.99 | List:</t>
  </si>
  <si>
    <t xml:space="preserve">https://www.amazon.com/dp/B0C7Q6LFQ5</t>
  </si>
  <si>
    <t xml:space="preserve">B0FNMXV7CF</t>
  </si>
  <si>
    <t xml:space="preserve">Queen Comforter Set-7 Pieces Ruffle Bedding with Floral Sheet</t>
  </si>
  <si>
    <t xml:space="preserve">List: $79.99 | List: | Save 5% on 2 select item(s)</t>
  </si>
  <si>
    <t xml:space="preserve">https://www.amazon.com/dp/B0FNMXV7CF</t>
  </si>
  <si>
    <t xml:space="preserve">7-Piece Queen Comforter Set, Dark Grey Bed in a Bag</t>
  </si>
  <si>
    <t xml:space="preserve">https://www.amazon.com/dp/B0BLVH5YX3</t>
  </si>
  <si>
    <t xml:space="preserve">B0D78WSGV8</t>
  </si>
  <si>
    <t xml:space="preserve">JOLLYVOGUE Full Comforter Set, Ultra-Soft Bed in a Bag Full Size 7 Pieces, Oeko-TEX Certified Bedding Set with Down Alternative Comforter, Sheets, Pillowcases &amp; Shams, Black</t>
  </si>
  <si>
    <t xml:space="preserve">https://www.amazon.com/dp/B0D78WSGV8</t>
  </si>
  <si>
    <t xml:space="preserve">B0CFLJZ7B1</t>
  </si>
  <si>
    <t xml:space="preserve">Love's cabin Full Comforter Set Black, 7 Pieces Full Bed in a Bag, All Season Bedding Sets with 1 Comforter, 1 Flat Sheet, 1 Fitted Sheet, 2 Pillowcase and 2 Pillow Sham</t>
  </si>
  <si>
    <t xml:space="preserve">https://www.amazon.com/dp/B0CFLJZ7B1</t>
  </si>
  <si>
    <t xml:space="preserve">B0CMTT1WPV</t>
  </si>
  <si>
    <t xml:space="preserve">Bedsure Sage Green Comforter Set Queen Size, Floral Bedding, 7 Piece</t>
  </si>
  <si>
    <t xml:space="preserve">https://www.amazon.com/dp/B0CMTT1WPV</t>
  </si>
  <si>
    <t xml:space="preserve">B0CZ94J4N9</t>
  </si>
  <si>
    <t xml:space="preserve">List: $59.99 | List: | Save 5% on 2 select item(s)</t>
  </si>
  <si>
    <t xml:space="preserve">https://www.amazon.com/dp/B0CZ94J4N9</t>
  </si>
  <si>
    <t xml:space="preserve">B0CJJRHGGB</t>
  </si>
  <si>
    <t xml:space="preserve">Full Size Comforter Sets-7 Pieces Ultra Soft Bed in a Bag Full Bedding Sets</t>
  </si>
  <si>
    <t xml:space="preserve">https://www.amazon.com/dp/B0CJJRHGGB</t>
  </si>
  <si>
    <t xml:space="preserve">B0F9PHMHSM</t>
  </si>
  <si>
    <t xml:space="preserve">Queen Comforter Set with Sheets, 7-Piece Bed in a Bag Queen Black</t>
  </si>
  <si>
    <t xml:space="preserve">https://www.amazon.com/dp/B0F9PHMHSM</t>
  </si>
  <si>
    <t xml:space="preserve">B0CM3H9MRY</t>
  </si>
  <si>
    <r>
      <rPr>
        <sz val="10"/>
        <color theme="1"/>
        <rFont val="Arial"/>
        <family val="2"/>
        <charset val="1"/>
      </rPr>
      <t xml:space="preserve">JOLLYVOGUE White Comforters Queen Size, 3 Pieces Ruffle Seersucker Queen Comforter Set for All Season, Lightweight Soft Shabby Chic Bedding Sets for Women</t>
    </r>
    <r>
      <rPr>
        <sz val="10"/>
        <color theme="1"/>
        <rFont val="Linux Libertine G"/>
        <family val="2"/>
      </rPr>
      <t xml:space="preserve">（</t>
    </r>
    <r>
      <rPr>
        <sz val="10"/>
        <color theme="1"/>
        <rFont val="Arial"/>
        <family val="2"/>
        <charset val="1"/>
      </rPr>
      <t xml:space="preserve">1 Comforter, 2 Pillowshams</t>
    </r>
    <r>
      <rPr>
        <sz val="10"/>
        <color theme="1"/>
        <rFont val="Linux Libertine G"/>
        <family val="2"/>
      </rPr>
      <t xml:space="preserve">）</t>
    </r>
  </si>
  <si>
    <t xml:space="preserve">https://www.amazon.com/dp/B0CM3H9MRY</t>
  </si>
  <si>
    <t xml:space="preserve">B0G4RN1DQB</t>
  </si>
  <si>
    <t xml:space="preserve">Loom and Mill 9-Piece European Damask Comforter Set, Taupe+Gold+Gray, King</t>
  </si>
  <si>
    <t xml:space="preserve">https://www.amazon.com/dp/B0G4RN1DQB</t>
  </si>
  <si>
    <t xml:space="preserve">Bedsure King Size Comforter Set, Prewashed Bedding Beige</t>
  </si>
  <si>
    <t xml:space="preserve">https://www.amazon.com/dp/B0CGLPC42G</t>
  </si>
  <si>
    <t xml:space="preserve">B0FFGG2LRT</t>
  </si>
  <si>
    <t xml:space="preserve">Queen Comforter Set 7 Piece, Beige Bed in a Bag Queen Bedding Sets</t>
  </si>
  <si>
    <t xml:space="preserve">https://www.amazon.com/dp/B0FFGG2LRT</t>
  </si>
  <si>
    <t xml:space="preserve">B08YXKR996</t>
  </si>
  <si>
    <t xml:space="preserve">ROSGONIA Queen Comforter Set Olive Green, 3pcs Bedding Sets Queen (1 Boho Olive Comforter &amp; 2 Pillowcases), All Season Lightweight Blanket Quilt</t>
  </si>
  <si>
    <t xml:space="preserve">https://www.amazon.com/dp/B08YXKR996</t>
  </si>
  <si>
    <t xml:space="preserve">B07R4659ZY</t>
  </si>
  <si>
    <t xml:space="preserve">Bedsure Queen Bed in a Bag Reversible Bed Set 7 Pieces Grey/Light Grey</t>
  </si>
  <si>
    <t xml:space="preserve">List: $49.97 | List: | Save 5% on 2 select item(s)</t>
  </si>
  <si>
    <t xml:space="preserve">https://www.amazon.com/dp/B07R4659ZY</t>
  </si>
  <si>
    <t xml:space="preserve">Love's cabin Quilts for Queen Bed Blue Bedspreads - Soft Bed Summer Lightweight Bedspread Comforter - Modern Style Coin Pattern Coverlet for All Season - 3 Pieces (1 Quilt, 2 Pillow Shams)</t>
  </si>
  <si>
    <t xml:space="preserve">List: $31.99 | List:</t>
  </si>
  <si>
    <t xml:space="preserve">https://www.amazon.com/dp/B08LDD8HBW</t>
  </si>
  <si>
    <t xml:space="preserve">B0DB6Q5LB6</t>
  </si>
  <si>
    <t xml:space="preserve">Levtex Home English Forest Navy Reversible King/Cal King Comforter Set (106x94in) with 2 Pillowcases (36x20in) - Floral Bedding - Navy, Green - Rayon King Size Comforter Set - Soft, Pre-Washed</t>
  </si>
  <si>
    <t xml:space="preserve">https://www.amazon.com/dp/B0DB6Q5LB6</t>
  </si>
  <si>
    <t xml:space="preserve">B01MAY5GMK</t>
  </si>
  <si>
    <t xml:space="preserve">Madison Park Deluxe Hotel Style Comforter Set, 7PC Queen Bedding Set</t>
  </si>
  <si>
    <t xml:space="preserve">https://www.amazon.com/dp/B01MAY5GMK</t>
  </si>
  <si>
    <t xml:space="preserve">B0D1Q8SMMQ</t>
  </si>
  <si>
    <t xml:space="preserve">Queen Comforter Set, 7-Piece Bed in a Bag, Black</t>
  </si>
  <si>
    <t xml:space="preserve">List: $37.99 | List:</t>
  </si>
  <si>
    <t xml:space="preserve">https://www.amazon.com/dp/B0D1Q8SMMQ</t>
  </si>
  <si>
    <t xml:space="preserve">B0C81BFLY3</t>
  </si>
  <si>
    <t xml:space="preserve">Queen Comforter Set, 7 Pieces Beige Seersucker Bed in a Bag</t>
  </si>
  <si>
    <t xml:space="preserve">https://www.amazon.com/dp/B0C81BFLY3</t>
  </si>
  <si>
    <t xml:space="preserve">B0D14NLG98</t>
  </si>
  <si>
    <t xml:space="preserve">RECYCO Channel Box Stitch Velvet Quilt Set, King Size, Urban Taupe</t>
  </si>
  <si>
    <t xml:space="preserve">https://www.amazon.com/dp/B0D14NLG98</t>
  </si>
  <si>
    <t xml:space="preserve">B09P9T7SDH</t>
  </si>
  <si>
    <t xml:space="preserve">BEDELITE Queen Comforter Set 7 Pieces, Reversible Black Bed in A Bag</t>
  </si>
  <si>
    <t xml:space="preserve">https://www.amazon.com/dp/B09P9T7SDH</t>
  </si>
  <si>
    <t xml:space="preserve">B0BP6DZ862</t>
  </si>
  <si>
    <t xml:space="preserve">Bedsure PureWoven 100% Washed Cotton Duvet Cover Set, Queen Size, 3-PC</t>
  </si>
  <si>
    <t xml:space="preserve">List: $64.99 | List: | Save 5% on 2 select item(s)</t>
  </si>
  <si>
    <t xml:space="preserve">LIVE_US_duvet</t>
  </si>
  <si>
    <t xml:space="preserve">https://www.amazon.com/dp/B0BP6DZ862</t>
  </si>
  <si>
    <t xml:space="preserve">B0CVVJP4S2</t>
  </si>
  <si>
    <t xml:space="preserve">OAITE</t>
  </si>
  <si>
    <t xml:space="preserve">OAITE Queen Duvet Cover Set 3pcs 100% Cotton Blue Leaf</t>
  </si>
  <si>
    <t xml:space="preserve">https://www.amazon.com/dp/B0CVVJP4S2</t>
  </si>
  <si>
    <t xml:space="preserve">B096VJGR9P</t>
  </si>
  <si>
    <t xml:space="preserve">BESTOUCH Cotton Solid Duvet Cover Set Linen Feel Cornflower Blue Queen</t>
  </si>
  <si>
    <t xml:space="preserve">https://www.amazon.com/dp/B096VJGR9P</t>
  </si>
  <si>
    <t xml:space="preserve">Save 10% with coupon</t>
  </si>
  <si>
    <t xml:space="preserve">https://www.amazon.com/dp/B07SN29DSN</t>
  </si>
  <si>
    <t xml:space="preserve">https://www.amazon.com/dp/B07QK9CTXR</t>
  </si>
  <si>
    <t xml:space="preserve">B0BBR7RRQN</t>
  </si>
  <si>
    <t xml:space="preserve">NEXHOME PRO Duvet Cover Set Queen Size Linen Feel 100% Washed Cotton 3PCS</t>
  </si>
  <si>
    <t xml:space="preserve">https://www.amazon.com/dp/B0BBR7RRQN</t>
  </si>
  <si>
    <t xml:space="preserve">B0CMDCQP95</t>
  </si>
  <si>
    <t xml:space="preserve">Bedsure PureWoven 3 Pieces 100% Cotton Waffle Weave Duvet Cover Set, Queen</t>
  </si>
  <si>
    <t xml:space="preserve">https://www.amazon.com/dp/B0CMDCQP95</t>
  </si>
  <si>
    <t xml:space="preserve">B0878F2QBG</t>
  </si>
  <si>
    <t xml:space="preserve">JELLYMONI 100% Washed Cotton Striped Duvet Cover Set Queen, Linen-Like</t>
  </si>
  <si>
    <t xml:space="preserve">List: $54.99 | List: | Save 5% at checkout</t>
  </si>
  <si>
    <t xml:space="preserve">https://www.amazon.com/dp/B0878F2QBG</t>
  </si>
  <si>
    <t xml:space="preserve">B0F1JS324L</t>
  </si>
  <si>
    <t xml:space="preserve">Simple&amp;Opulence Muslin Duvet Cover Set Queen Size, 100% Washed Cotton 3 Pieces Yarn-Dyed Vintage Purple Floral Jacquard Textured Bedding, Soft &amp; Breathable Gauze Comforter Cover with Zipper Closure</t>
  </si>
  <si>
    <t xml:space="preserve">https://www.amazon.com/dp/B0F1JS324L</t>
  </si>
  <si>
    <t xml:space="preserve">B089DF5522</t>
  </si>
  <si>
    <t xml:space="preserve">California Design Den Luxury Duvet Cover Queen Size, White</t>
  </si>
  <si>
    <t xml:space="preserve">https://www.amazon.com/dp/B089DF5522</t>
  </si>
  <si>
    <t xml:space="preserve">B0DYNW3MG5</t>
  </si>
  <si>
    <t xml:space="preserve">mixinni Retro Striped Duvet Cover Set Queen - 100% Natural Cotton 3-Piece Vintage Red Stripes Pattern Printed Bedding Set, Soft Breathable Comforter Cover with Zipper Closure &amp; Corner Ties, Queen Size</t>
  </si>
  <si>
    <t xml:space="preserve">List: $58.09 | List: | Save 10% at checkout</t>
  </si>
  <si>
    <t xml:space="preserve">https://www.amazon.com/dp/B0DYNW3MG5</t>
  </si>
  <si>
    <t xml:space="preserve">B0BP71XHBF</t>
  </si>
  <si>
    <t xml:space="preserve">Bedsure PureWoven 100% Washed Cotton Duvet Cover Set, King Size, 3-PC</t>
  </si>
  <si>
    <t xml:space="preserve">List: $74.99 | List: | Save 5% on 2 select item(s)</t>
  </si>
  <si>
    <t xml:space="preserve">https://www.amazon.com/dp/B0BP71XHBF</t>
  </si>
  <si>
    <t xml:space="preserve">FACE TWO FACE Bedding Duvet Cover Set 3 Pieces 100% Washed Cotton Duvet Cover Linen Like Textured Breathable Durable Soft Comfy (Queen, White)</t>
  </si>
  <si>
    <t xml:space="preserve">https://www.amazon.com/dp/B07DN8Z3QK</t>
  </si>
  <si>
    <t xml:space="preserve">B08CXNGZFJ</t>
  </si>
  <si>
    <t xml:space="preserve">https://www.amazon.com/dp/B08CXNGZFJ</t>
  </si>
  <si>
    <t xml:space="preserve">B0GYZ7QW64</t>
  </si>
  <si>
    <t xml:space="preserve">Bedsure PureWoven 100% Washed Cotton Duvet Cover Set Queen Size, Oatmeal</t>
  </si>
  <si>
    <t xml:space="preserve">https://www.amazon.com/dp/B0GYZ7QW64</t>
  </si>
  <si>
    <t xml:space="preserve">B0DPM2RZ7K</t>
  </si>
  <si>
    <t xml:space="preserve">Mucalis Tan Gingham Duvet Cover Queen 100% Washed Cotton Brown Plaid Checkered Duvet Cover Set Vintage 3 Piece Beige Cream Grid Bedding Set with Zipper Closure Corner Ties,Durable,Breathable,Easy care</t>
  </si>
  <si>
    <t xml:space="preserve">https://www.amazon.com/dp/B0DPM2RZ7K</t>
  </si>
  <si>
    <t xml:space="preserve">B0F1Y1KXWL</t>
  </si>
  <si>
    <t xml:space="preserve">EMME Muslin Cotton Duvet Cover Set Linen Like Cream White Queen</t>
  </si>
  <si>
    <t xml:space="preserve">List: $69.89 | List: | Save 5% on 2 select item(s)</t>
  </si>
  <si>
    <t xml:space="preserve">https://www.amazon.com/dp/B0F1Y1KXWL</t>
  </si>
  <si>
    <t xml:space="preserve">B0CG5Z9ZQL</t>
  </si>
  <si>
    <t xml:space="preserve">https://www.amazon.com/dp/B0CG5Z9ZQL</t>
  </si>
  <si>
    <t xml:space="preserve">B0FDGP8PTK</t>
  </si>
  <si>
    <t xml:space="preserve">Bedsure PureWoven 100% Organic Cotton King Duvet Cover Set, Ivory</t>
  </si>
  <si>
    <t xml:space="preserve">https://www.amazon.com/dp/B0FDGP8PTK</t>
  </si>
  <si>
    <t xml:space="preserve">B0B134Z3B8</t>
  </si>
  <si>
    <t xml:space="preserve">HoneiLife Queen Duvet Cover Set - Breathable 100% Cotton Floral 3pcs Wildflower Comforter Cover, with Zipper Closure and Corner Ties, Sweet Grass</t>
  </si>
  <si>
    <t xml:space="preserve">https://www.amazon.com/dp/B0B134Z3B8</t>
  </si>
  <si>
    <t xml:space="preserve">B0BX99W4NY</t>
  </si>
  <si>
    <t xml:space="preserve">Bedsure PureWoven 100% Cotton Floral Duvet Cover Set , Queen, Green</t>
  </si>
  <si>
    <t xml:space="preserve">https://www.amazon.com/dp/B0BX99W4NY</t>
  </si>
  <si>
    <t xml:space="preserve">B0DSG7PSD1</t>
  </si>
  <si>
    <t xml:space="preserve">https://www.amazon.com/dp/B0DSG7PSD1</t>
  </si>
  <si>
    <t xml:space="preserve">B0BP68H7H2</t>
  </si>
  <si>
    <t xml:space="preserve">https://www.amazon.com/dp/B0BP68H7H2</t>
  </si>
  <si>
    <t xml:space="preserve">B0DPHHDMXY</t>
  </si>
  <si>
    <t xml:space="preserve">Off White Duvet Cover Queen Size 100% Sandwashed Cotton</t>
  </si>
  <si>
    <t xml:space="preserve">https://www.amazon.com/dp/B0DPHHDMXY</t>
  </si>
  <si>
    <t xml:space="preserve">B0CG63F3JH</t>
  </si>
  <si>
    <t xml:space="preserve">https://www.amazon.com/dp/B0CG63F3JH</t>
  </si>
  <si>
    <t xml:space="preserve">B0F6LQVY6N</t>
  </si>
  <si>
    <t xml:space="preserve">TOCOMOA Tan Gingham Duvet Cover Bedding Set Washed Cotton Like Linen, Queen</t>
  </si>
  <si>
    <t xml:space="preserve">Save 5% with coupon</t>
  </si>
  <si>
    <t xml:space="preserve">https://www.amazon.com/dp/B0F6LQVY6N</t>
  </si>
  <si>
    <t xml:space="preserve">B0BLYJM6JP</t>
  </si>
  <si>
    <t xml:space="preserve">Bedsure PureWoven 3 Pieces 100% Cotton Waffle Duvet Cover Set, Queen, Linen</t>
  </si>
  <si>
    <t xml:space="preserve">https://www.amazon.com/dp/B0BLYJM6JP</t>
  </si>
  <si>
    <t xml:space="preserve">B0GCFG328J</t>
  </si>
  <si>
    <t xml:space="preserve">Joyreap 3pcs Twin Size Cotton Duvet Cover Set for Girls, Colorful Flowers Grids Patchwork Design, 1 Duvet Cover 68x90 Inches (Comforter Not Included) and 2 Pillow Shams</t>
  </si>
  <si>
    <t xml:space="preserve">https://www.amazon.com/dp/B0GCFG328J</t>
  </si>
  <si>
    <t xml:space="preserve">B0FN7L9FPZ</t>
  </si>
  <si>
    <t xml:space="preserve">Bedsure PureWoven 100% Cotton Floral Duvet Cover Set , Queen, Green Garden</t>
  </si>
  <si>
    <t xml:space="preserve">https://www.amazon.com/dp/B0FN7L9FPZ</t>
  </si>
  <si>
    <t xml:space="preserve">B0CV4JLMJ1</t>
  </si>
  <si>
    <t xml:space="preserve">Duvet Cover Queen Size - Extra Soft 3 Piece with Zipper Closure - White</t>
  </si>
  <si>
    <t xml:space="preserve">List: $29.99 | List:</t>
  </si>
  <si>
    <t xml:space="preserve">https://www.amazon.com/dp/B0CV4JLMJ1</t>
  </si>
  <si>
    <t xml:space="preserve">B08CXCMWXL</t>
  </si>
  <si>
    <t xml:space="preserve">Bedsure PureWoven 3 Pieces 100% Cotton Waffle Duvet Cover Set, Queen, Khaki</t>
  </si>
  <si>
    <t xml:space="preserve">https://www.amazon.com/dp/B08CXCMWXL</t>
  </si>
  <si>
    <t xml:space="preserve">B07D2G8C9Q</t>
  </si>
  <si>
    <t xml:space="preserve">California Design Den Luxury Queen Duvet Cover Set, White</t>
  </si>
  <si>
    <t xml:space="preserve">https://www.amazon.com/dp/B07D2G8C9Q</t>
  </si>
  <si>
    <t xml:space="preserve">B01M1N9M29</t>
  </si>
  <si>
    <t xml:space="preserve">1 Pc Duvet Cover Queen Size/Full Size-100% Egyptian Cotton 600 Thread Count Ultra Soft Premium Durable Comforter Cover Zipper Closure &amp; Corner Ties- (White, 90" X 90")</t>
  </si>
  <si>
    <t xml:space="preserve">Save 5% on 3 select item(s)</t>
  </si>
  <si>
    <t xml:space="preserve">https://www.amazon.com/dp/B01M1N9M29</t>
  </si>
  <si>
    <t xml:space="preserve">https://www.amazon.com/dp/B0FNM6J1FQ</t>
  </si>
  <si>
    <t xml:space="preserve">https://www.amazon.com/dp/B08FRS5PRK</t>
  </si>
  <si>
    <t xml:space="preserve">B089161BPR</t>
  </si>
  <si>
    <t xml:space="preserve">BESTOUCH Cotton Solid Duvet Cover Set Linen Feel Off White Queen</t>
  </si>
  <si>
    <t xml:space="preserve">https://www.amazon.com/dp/B089161BPR</t>
  </si>
  <si>
    <t xml:space="preserve">B0DXBYCVNV</t>
  </si>
  <si>
    <t xml:space="preserve">mixinni Reversible Sage Green Floral Duvet Cover Set Queen Size - 100% Cotton Cute Botanical Patterns Bedding Set with Ruffle Lace, 3PCs Beige Soft Aesthetic Cottagecore Style Duvet Cover for Girls</t>
  </si>
  <si>
    <t xml:space="preserve">Save 5% at checkout</t>
  </si>
  <si>
    <t xml:space="preserve">https://www.amazon.com/dp/B0DXBYCVNV</t>
  </si>
  <si>
    <t xml:space="preserve">B0FPCGNSXB</t>
  </si>
  <si>
    <t xml:space="preserve">PinkMemory Green Striped Duvet Cover Queen 100% Washed Cotton Olive Green Stripes Duvet Cover Set Full 3pcs Pinstripe Pattern Bedding Set with Zipper Closure Corner Ties,Soft Breathable</t>
  </si>
  <si>
    <t xml:space="preserve">https://www.amazon.com/dp/B0FPCGNSXB</t>
  </si>
  <si>
    <t xml:space="preserve">B0DS1SDZSC</t>
  </si>
  <si>
    <t xml:space="preserve">SAPHREAS Duvet Cover Set Queen Size 100% Cotton Grey, Soft Bedding Comforter Cover Organic with Zipper Closure &amp; Corner Ties, Comforter Not Included, Gray</t>
  </si>
  <si>
    <t xml:space="preserve">https://www.amazon.com/dp/B0DS1SDZSC</t>
  </si>
  <si>
    <t xml:space="preserve">B0DPYLT65B</t>
  </si>
  <si>
    <t xml:space="preserve">OAITE Duvet Cover Set 100% Brushed Cotton Solid 3pcs</t>
  </si>
  <si>
    <t xml:space="preserve">https://www.amazon.com/dp/B0DPYLT65B</t>
  </si>
  <si>
    <t xml:space="preserve">B07MQ8GQ11</t>
  </si>
  <si>
    <t xml:space="preserve">PURE ERA Jersey Knit Duvet Cover Set Heather Charcoal Grey Queen</t>
  </si>
  <si>
    <t xml:space="preserve">https://www.amazon.com/dp/B07MQ8GQ11</t>
  </si>
  <si>
    <t xml:space="preserve">B0GKFM1Z6G</t>
  </si>
  <si>
    <t xml:space="preserve">Striped Duvet Cover Queen Size, Cotton Bule Stripes Bedding Set</t>
  </si>
  <si>
    <t xml:space="preserve">https://www.amazon.com/dp/B0GKFM1Z6G</t>
  </si>
  <si>
    <t xml:space="preserve">B0GVDZLFS5</t>
  </si>
  <si>
    <t xml:space="preserve">Merryword Striped Duvet Cover Set Queen Size - 100% Cotton Duvet Cover Set, Pink Ribbon Stripes Pattern Comforter Cover 3 Pieces, Soft Linen Like Bedding Set for All Seasons</t>
  </si>
  <si>
    <t xml:space="preserve">https://www.amazon.com/dp/B0GVDZLFS5</t>
  </si>
  <si>
    <t xml:space="preserve">B0GYZ4CSJJ</t>
  </si>
  <si>
    <t xml:space="preserve">Bedsure PureWoven 100% Washed Cotton Duvet Cover King Size, Oatmeal</t>
  </si>
  <si>
    <t xml:space="preserve">https://www.amazon.com/dp/B0GYZ4CSJJ</t>
  </si>
  <si>
    <t xml:space="preserve">B0GGZCJQJL</t>
  </si>
  <si>
    <t xml:space="preserve">100% Cotton Duvet Cover Queen Size with 2 Pillow Shams,Dark Grey</t>
  </si>
  <si>
    <t xml:space="preserve">https://www.amazon.com/dp/B0GGZCJQJL</t>
  </si>
  <si>
    <t xml:space="preserve">B0FDGQXWL5</t>
  </si>
  <si>
    <t xml:space="preserve">Bedsure PureWoven 100% Organic Cotton Queen Duvet Cover Set, Ivory</t>
  </si>
  <si>
    <t xml:space="preserve">https://www.amazon.com/dp/B0FDGQXWL5</t>
  </si>
  <si>
    <t xml:space="preserve">B0DL9STLQV</t>
  </si>
  <si>
    <t xml:space="preserve">Yibeizi Light Blue 100% Washed Cotton Linen Like Duvet Cover Set Queen Size</t>
  </si>
  <si>
    <t xml:space="preserve">https://www.amazon.com/dp/B0DL9STLQV</t>
  </si>
  <si>
    <t xml:space="preserve">CGK Extra Deep Queen Single Fitted Sheet Only - White</t>
  </si>
  <si>
    <t xml:space="preserve">List: $24.99 | List:</t>
  </si>
  <si>
    <t xml:space="preserve">LIVE_US_fitted</t>
  </si>
  <si>
    <t xml:space="preserve">https://www.amazon.com/dp/B07QHNC81Z</t>
  </si>
  <si>
    <t xml:space="preserve">B07QHKSFQX</t>
  </si>
  <si>
    <t xml:space="preserve">CGK Extra Deep Queen Single Fitted Sheet Only - Dark Grey</t>
  </si>
  <si>
    <t xml:space="preserve">https://www.amazon.com/dp/B07QHKSFQX</t>
  </si>
  <si>
    <t xml:space="preserve">B07QDB7NXR</t>
  </si>
  <si>
    <t xml:space="preserve">CGK Extra Deep King Single Fitted Sheet Only - White</t>
  </si>
  <si>
    <t xml:space="preserve">https://www.amazon.com/dp/B07QDB7NXR</t>
  </si>
  <si>
    <t xml:space="preserve">DREAMCARE King Fitted Sheet Only - Extra Deep Pocket Fitted Sheet - Fits up to 21 inch Mattress - Deep Pocket King Sheets - Hotel Luxury - Oeko-Tex Certified Sheets - (Grey)</t>
  </si>
  <si>
    <t xml:space="preserve">List: $27.99 | List: | Save 10% on 1 when you buy 2</t>
  </si>
  <si>
    <t xml:space="preserve">https://www.amazon.com/dp/B0872GW9FD</t>
  </si>
  <si>
    <t xml:space="preserve">B0FQW7HK45</t>
  </si>
  <si>
    <t xml:space="preserve">100% Egyptian Cotton Fitted Sheet Queen - Luxury 1000 Series High Thread Count Queen Fitted Sheet Cotton (1 PC, White), 22" Deep Pocket Cooling Elasticized - Lonestar Lovin' Collection</t>
  </si>
  <si>
    <t xml:space="preserve">List: $35.99 | List:</t>
  </si>
  <si>
    <t xml:space="preserve">https://www.amazon.com/dp/B0FQW7HK45</t>
  </si>
  <si>
    <t xml:space="preserve">B07QDB7DSZ</t>
  </si>
  <si>
    <t xml:space="preserve">CGK Extra Deep Queen Single Fitted Sheet Only - Navy Blue</t>
  </si>
  <si>
    <t xml:space="preserve">https://www.amazon.com/dp/B07QDB7DSZ</t>
  </si>
  <si>
    <t xml:space="preserve">B07QHH91VJ</t>
  </si>
  <si>
    <t xml:space="preserve">CGK Extra Deep King Single Fitted Sheet Only - Dark Grey</t>
  </si>
  <si>
    <t xml:space="preserve">https://www.amazon.com/dp/B07QHH91VJ</t>
  </si>
  <si>
    <t xml:space="preserve">B0F23QNHJS</t>
  </si>
  <si>
    <t xml:space="preserve">Dark Grey Queen Fitted Sheet, Soft and Breathable for Sleeping, Cooling Fitted Sheets, 16“ Deep Pocket, 1 Pack (Dark Grey, Queen Size)</t>
  </si>
  <si>
    <t xml:space="preserve">List: $11.99 | List:</t>
  </si>
  <si>
    <t xml:space="preserve">https://www.amazon.com/dp/B0F23QNHJS</t>
  </si>
  <si>
    <t xml:space="preserve">Queen Fitted Sheet, Ultra Soft Fits Up to 15 Inch Deep Pocket, White</t>
  </si>
  <si>
    <t xml:space="preserve">https://www.amazon.com/dp/B00XK9CO16</t>
  </si>
  <si>
    <t xml:space="preserve">B07QCCH7YM</t>
  </si>
  <si>
    <t xml:space="preserve">CGK Extra Deep Queen Single Fitted Sheet Only - Sage Green</t>
  </si>
  <si>
    <t xml:space="preserve">https://www.amazon.com/dp/B07QCCH7YM</t>
  </si>
  <si>
    <t xml:space="preserve">B0CXTX9VRB</t>
  </si>
  <si>
    <t xml:space="preserve">Hearth &amp; Harbor</t>
  </si>
  <si>
    <t xml:space="preserve">Hearth &amp; Harbor Extra Deep Pocket Queen Fitted Sheet, White</t>
  </si>
  <si>
    <t xml:space="preserve">https://www.amazon.com/dp/B0CXTX9VRB</t>
  </si>
  <si>
    <t xml:space="preserve">B0BY47T7M2</t>
  </si>
  <si>
    <t xml:space="preserve">Queen Fitted Sheet - Hotel Quality, Ultra Soft &amp; Breathable Brushed Microfiber, Deep Pocket, Cooling Fitted Sheets for Queen Size Bed (Dark Grey)</t>
  </si>
  <si>
    <t xml:space="preserve">https://www.amazon.com/dp/B0BY47T7M2</t>
  </si>
  <si>
    <t xml:space="preserve">B08LG7ZYL5</t>
  </si>
  <si>
    <t xml:space="preserve">Extra Deep Cotton Fitted Sheet Queen Size - 400 Thread Count - White</t>
  </si>
  <si>
    <t xml:space="preserve">https://www.amazon.com/dp/B08LG7ZYL5</t>
  </si>
  <si>
    <t xml:space="preserve">B00XK9CCBI</t>
  </si>
  <si>
    <t xml:space="preserve">King Fitted Sheet, Ultra Soft Fits Up to 15 Inch Deep Pocket, Grey</t>
  </si>
  <si>
    <t xml:space="preserve">https://www.amazon.com/dp/B00XK9CCBI</t>
  </si>
  <si>
    <t xml:space="preserve">B07PDTN281</t>
  </si>
  <si>
    <t xml:space="preserve">Full Fitted Sheet - Single Fitted Sheet Only - 8-16" Deep Pockets - White</t>
  </si>
  <si>
    <t xml:space="preserve">https://www.amazon.com/dp/B07PDTN281</t>
  </si>
  <si>
    <t xml:space="preserve">B0758CB6VM</t>
  </si>
  <si>
    <t xml:space="preserve">California Design Den Soft 100% Cotton Sateen King Fitted Sheet, White</t>
  </si>
  <si>
    <t xml:space="preserve">https://www.amazon.com/dp/B0758CB6VM</t>
  </si>
  <si>
    <t xml:space="preserve">B0953X2JY3</t>
  </si>
  <si>
    <t xml:space="preserve">Feather &amp; Stitch 1 Piece Fitted Sheet Queen Size, 100% Cotton Damask Sateen Weave, Striped Breathable, Stretchable Elastic Sheet for Mattress 18 inch Deep Pocket, 500TC Premium Ultra Soft - Dark Blue</t>
  </si>
  <si>
    <t xml:space="preserve">https://www.amazon.com/dp/B0953X2JY3</t>
  </si>
  <si>
    <t xml:space="preserve">B07QBCQLKP</t>
  </si>
  <si>
    <t xml:space="preserve">CGK Extra Deep Queen Single Fitted Sheet Only - Black</t>
  </si>
  <si>
    <t xml:space="preserve">https://www.amazon.com/dp/B07QBCQLKP</t>
  </si>
  <si>
    <t xml:space="preserve">B0C5FNB9R4</t>
  </si>
  <si>
    <t xml:space="preserve">CGK Extra Deep King Single Fitted Sheet Only - Wheat</t>
  </si>
  <si>
    <t xml:space="preserve">https://www.amazon.com/dp/B0C5FNB9R4</t>
  </si>
  <si>
    <t xml:space="preserve">B083PQH4TZ</t>
  </si>
  <si>
    <t xml:space="preserve">King Fitted Sheet Deep Pocket – Extra Deep Pocket Fitted Sheet King Size 18” - 21” Inch + Fitted Bed Sheets Only - King Fitted Gray</t>
  </si>
  <si>
    <t xml:space="preserve">https://www.amazon.com/dp/B083PQH4TZ</t>
  </si>
  <si>
    <t xml:space="preserve">B08HRRG4KM</t>
  </si>
  <si>
    <t xml:space="preserve">California Design Den 100% Organic Cotton Queen Size Fitted Sheet, White</t>
  </si>
  <si>
    <t xml:space="preserve">List: $30.99 | List:</t>
  </si>
  <si>
    <t xml:space="preserve">https://www.amazon.com/dp/B08HRRG4KM</t>
  </si>
  <si>
    <t xml:space="preserve">B06WWRCZXX</t>
  </si>
  <si>
    <t xml:space="preserve">Queen Size 4 Piece Sheet Set - Breathable &amp; Cooling Sheets - Dark Grey</t>
  </si>
  <si>
    <t xml:space="preserve">10K+ bought in past month</t>
  </si>
  <si>
    <t xml:space="preserve">https://www.amazon.com/dp/B06WWRCZXX</t>
  </si>
  <si>
    <t xml:space="preserve">B07PFRGWN1</t>
  </si>
  <si>
    <t xml:space="preserve">Twin Fitted Sheet - Single Fitted Sheet Only - Deep Pockets - Navy Blue</t>
  </si>
  <si>
    <t xml:space="preserve">https://www.amazon.com/dp/B07PFRGWN1</t>
  </si>
  <si>
    <t xml:space="preserve">B072BQV256</t>
  </si>
  <si>
    <t xml:space="preserve">Empyrean Extra Deep Pocket Queen Fitted Sheet Only, Queen Size Fitted Sheet</t>
  </si>
  <si>
    <t xml:space="preserve">https://www.amazon.com/dp/B072BQV256</t>
  </si>
  <si>
    <t xml:space="preserve">B09FG3YCJ6</t>
  </si>
  <si>
    <t xml:space="preserve">Extra Deep Cotton Fitted Sheet Twin XL Size - 400 Thread Count - White</t>
  </si>
  <si>
    <t xml:space="preserve">https://www.amazon.com/dp/B09FG3YCJ6</t>
  </si>
  <si>
    <t xml:space="preserve">B0CXJBZV1N</t>
  </si>
  <si>
    <t xml:space="preserve">California Design Den 100% Cotton Sateen Queen Size Fitted Sheets, Beige</t>
  </si>
  <si>
    <t xml:space="preserve">https://www.amazon.com/dp/B0CXJBZV1N</t>
  </si>
  <si>
    <t xml:space="preserve">B0BF56KDYN</t>
  </si>
  <si>
    <t xml:space="preserve">Bedding Queen Size Fitted Sheet Only - Fits 15inches Deep Pocket Mattress-Easy Care-Dark Green</t>
  </si>
  <si>
    <t xml:space="preserve">https://www.amazon.com/dp/B0BF56KDYN</t>
  </si>
  <si>
    <t xml:space="preserve">B07F97MPYT</t>
  </si>
  <si>
    <t xml:space="preserve">CGK Extra Deep Queen Sheet Set - 6pc Cooling Sheets - Grey</t>
  </si>
  <si>
    <t xml:space="preserve">https://www.amazon.com/dp/B07F97MPYT</t>
  </si>
  <si>
    <t xml:space="preserve">B0DJDVFH46</t>
  </si>
  <si>
    <t xml:space="preserve">Elegant Comfort 1500 Premium Quality Fitted Sheet Ultra Soft 18-24 Inch Extra Deep Pocket - Single Fitted Sheet for High Mattress - Wrinkle Free with Smart Storage Pockets, Twin/Twin XL, Navy Blue</t>
  </si>
  <si>
    <t xml:space="preserve">https://www.amazon.com/dp/B0DJDVFH46</t>
  </si>
  <si>
    <t xml:space="preserve">B0BFB5ZF94</t>
  </si>
  <si>
    <t xml:space="preserve">Horbaunal Extra Deep Pocket Queen Fitted Sheet Only, Silver Grey</t>
  </si>
  <si>
    <t xml:space="preserve">https://www.amazon.com/dp/B0BFB5ZF94</t>
  </si>
  <si>
    <t xml:space="preserve">B07SYF15F5</t>
  </si>
  <si>
    <t xml:space="preserve">Hearth &amp; Harbor Extra Deep Pocket King Size Sets - Fits Mattress 18-24 Inches Deep - Extra Deep Pocket Sheets - 6 Piece King Size - Grey</t>
  </si>
  <si>
    <t xml:space="preserve">https://www.amazon.com/dp/B07SYF15F5</t>
  </si>
  <si>
    <t xml:space="preserve">B07TNTHGWH</t>
  </si>
  <si>
    <t xml:space="preserve">Bare Home Deep Pocket Fitted Sheet (Twin XL - 22" Pocket, Grey)</t>
  </si>
  <si>
    <t xml:space="preserve">https://www.amazon.com/dp/B07TNTHGWH</t>
  </si>
  <si>
    <t xml:space="preserve">B0BWJ4MLLZ</t>
  </si>
  <si>
    <t xml:space="preserve">VACVELT 3pcs Queen Black Extra Deep Pocket Satin Fitted Sheet Set</t>
  </si>
  <si>
    <t xml:space="preserve">https://www.amazon.com/dp/B0BWJ4MLLZ</t>
  </si>
  <si>
    <t xml:space="preserve">B0F9KFBCFH</t>
  </si>
  <si>
    <t xml:space="preserve">100% Cotton Percale Fitted Sheet Full Size, 15" Deep Pocket, White</t>
  </si>
  <si>
    <t xml:space="preserve">https://www.amazon.com/dp/B0F9KFBCFH</t>
  </si>
  <si>
    <t xml:space="preserve">B0B3HYD7SM</t>
  </si>
  <si>
    <t xml:space="preserve">Manyshofu Charcoal Black King Extra Deep Fitted Sheet, 24 Inch Pocket</t>
  </si>
  <si>
    <t xml:space="preserve">https://www.amazon.com/dp/B0B3HYD7SM</t>
  </si>
  <si>
    <t xml:space="preserve">B0FKGL4ZWB</t>
  </si>
  <si>
    <t xml:space="preserve">Warmstar 100% Cotton Queen Size Fitted Sheet, Soft &amp; Breathable, White</t>
  </si>
  <si>
    <t xml:space="preserve">https://www.amazon.com/dp/B0FKGL4ZWB</t>
  </si>
  <si>
    <t xml:space="preserve">Elegant Comfort 1500 Premium Hotel Quality 18-21 Inches Deep - Extra Deep Pocket Single Fitted Sheet for High Mattress, Luxury and Softest, Smart Pocket - Wrinkle Free, Queen, Black</t>
  </si>
  <si>
    <t xml:space="preserve">List: $22.99 | List:</t>
  </si>
  <si>
    <t xml:space="preserve">https://www.amazon.com/dp/B09XJGLHY7</t>
  </si>
  <si>
    <t xml:space="preserve">B0DSVWNY2W</t>
  </si>
  <si>
    <t xml:space="preserve">2 Pack Twin XL Fitted Sheets, 100% Egyptian Cotton, White</t>
  </si>
  <si>
    <t xml:space="preserve">https://www.amazon.com/dp/B0DSVWNY2W</t>
  </si>
  <si>
    <t xml:space="preserve">B01LWMWAXV</t>
  </si>
  <si>
    <t xml:space="preserve">King Size 4 Piece Sheet Set - Comfy Breathable &amp; Cooling Sheets - White</t>
  </si>
  <si>
    <t xml:space="preserve">https://www.amazon.com/dp/B01LWMWAXV</t>
  </si>
  <si>
    <t xml:space="preserve">B0F3X4X4XV</t>
  </si>
  <si>
    <t xml:space="preserve">SONORO KATE 1000 Series 100% Egyptian Cotton Queen Sheets,Extra Deep Pocket</t>
  </si>
  <si>
    <t xml:space="preserve">https://www.amazon.com/dp/B0F3X4X4XV</t>
  </si>
  <si>
    <t xml:space="preserve">B0B6P8YLQ7</t>
  </si>
  <si>
    <t xml:space="preserve">GOKOTTA King Bamboo Rayon Fitted Sheet Only,Stay Put Soft Cooling,310 TC</t>
  </si>
  <si>
    <t xml:space="preserve">https://www.amazon.com/dp/B0B6P8YLQ7</t>
  </si>
  <si>
    <t xml:space="preserve">B07KQYKX46</t>
  </si>
  <si>
    <t xml:space="preserve">California Design Den 100% Cotton Sateen Deep Pocket Queen Fitted Sheets</t>
  </si>
  <si>
    <t xml:space="preserve">https://www.amazon.com/dp/B07KQYKX46</t>
  </si>
  <si>
    <t xml:space="preserve">B01G4AEUQ4</t>
  </si>
  <si>
    <t xml:space="preserve">Empyrean King Fitted Sheet - Deep Pocket, Fits 14-16 Inch Mattress, Ultra Soft Microfiber, Fade &amp; Wrinkle Resistant, Shrinkproof, Durable Sheet, Charcoal Grey</t>
  </si>
  <si>
    <t xml:space="preserve">https://www.amazon.com/dp/B01G4AEUQ4</t>
  </si>
  <si>
    <t xml:space="preserve">B019J3R8EO</t>
  </si>
  <si>
    <t xml:space="preserve">Bare Home Queen Fitted Sheet - 1800 Ultra-Soft (Queen, White)</t>
  </si>
  <si>
    <t xml:space="preserve">List: $21.99 | List:</t>
  </si>
  <si>
    <t xml:space="preserve">https://www.amazon.com/dp/B019J3R8EO</t>
  </si>
  <si>
    <t xml:space="preserve">B09P2X7PTW</t>
  </si>
  <si>
    <t xml:space="preserve">Queen Fitted Sheets, Bulk Pack of 6, Deep Pocket, Soft Microfiber Bottom Sheets for Home, Salons, Hotels, Queen Size Fitted Sheets Only (Dark Grey)</t>
  </si>
  <si>
    <t xml:space="preserve">https://www.amazon.com/dp/B09P2X7PTW</t>
  </si>
  <si>
    <t xml:space="preserve">B07F946VMJ</t>
  </si>
  <si>
    <t xml:space="preserve">CGK Extra Deep Queen Sheet Set - 6pc Cooling Sheets - White</t>
  </si>
  <si>
    <t xml:space="preserve">https://www.amazon.com/dp/B07F946VMJ</t>
  </si>
  <si>
    <t xml:space="preserve">B0D8432Q67</t>
  </si>
  <si>
    <t xml:space="preserve">Queen Fitted Sheet Deep Pocket 15 Inch Soft Microfiber</t>
  </si>
  <si>
    <t xml:space="preserve">https://www.amazon.com/dp/B0D8432Q67</t>
  </si>
  <si>
    <t xml:space="preserve">SONORO KATE 100% French Linen King Size Sheets Set,Natural Flax Bedding</t>
  </si>
  <si>
    <t xml:space="preserve">Save $25.00 with coupon</t>
  </si>
  <si>
    <t xml:space="preserve">LIVE_US_linen</t>
  </si>
  <si>
    <t xml:space="preserve">https://www.amazon.com/dp/B0CJC85HL6</t>
  </si>
  <si>
    <t xml:space="preserve">100% French Pure Linen Sheet Set 4Pcs, 16" Deep Pocket Queen Size</t>
  </si>
  <si>
    <t xml:space="preserve">Save $31.00 with coupon</t>
  </si>
  <si>
    <t xml:space="preserve">https://www.amazon.com/dp/B0CG8QQJTS</t>
  </si>
  <si>
    <t xml:space="preserve">B0GQBSWRT7</t>
  </si>
  <si>
    <t xml:space="preserve">100% Queen Pure Linen Sheets Set, French Linen Flax Bed Sheets 4 Pcs</t>
  </si>
  <si>
    <t xml:space="preserve">List: $129.99 | List:</t>
  </si>
  <si>
    <t xml:space="preserve">https://www.amazon.com/dp/B0GQBSWRT7</t>
  </si>
  <si>
    <t xml:space="preserve">100% Organic Linen Sheets Queen Size Bed Sheets for Hot Sleepers</t>
  </si>
  <si>
    <t xml:space="preserve">Save $8.00 with coupon</t>
  </si>
  <si>
    <t xml:space="preserve">https://www.amazon.com/dp/B0DJ32KJ42</t>
  </si>
  <si>
    <t xml:space="preserve">B0DHCYFKY7</t>
  </si>
  <si>
    <t xml:space="preserve">Bedsure European Linen Sheets Queen, Cotton Linen Bed Sheets, PureWoven</t>
  </si>
  <si>
    <t xml:space="preserve">https://www.amazon.com/dp/B0DHCYFKY7</t>
  </si>
  <si>
    <t xml:space="preserve">LANE LINEN Queen Sheets 100% Organic Cotton 4pc Percale Cooling - White</t>
  </si>
  <si>
    <t xml:space="preserve">https://www.amazon.com/dp/B07RY59C3W</t>
  </si>
  <si>
    <t xml:space="preserve">B0F5B3KNKB</t>
  </si>
  <si>
    <t xml:space="preserve">100% French Pure Linen Sheet Set, 19" Deep Pocket King Size 4 Pcs</t>
  </si>
  <si>
    <t xml:space="preserve">Natural Flax Bed Sheet, Soft, Breathable,Durable Sheets, Cozy for All Year Round, Ideal for Hot Sleepers, Linen Color | Save $37.00 with coupon</t>
  </si>
  <si>
    <t xml:space="preserve">https://www.amazon.com/dp/B0F5B3KNKB</t>
  </si>
  <si>
    <t xml:space="preserve">100% French Pure Linen Sheet Set 4Pcs, 16" Deep Pocket King Size</t>
  </si>
  <si>
    <t xml:space="preserve">Save $36.00 with coupon</t>
  </si>
  <si>
    <t xml:space="preserve">https://www.amazon.com/dp/B0CG8KDPYJ</t>
  </si>
  <si>
    <t xml:space="preserve">B0FZC1ZGWC</t>
  </si>
  <si>
    <t xml:space="preserve">100% French Linen Sheet Set 4pcs 16" Deep Pocket, King Size Linen Color</t>
  </si>
  <si>
    <t xml:space="preserve">Save 25% with coupon</t>
  </si>
  <si>
    <t xml:space="preserve">https://www.amazon.com/dp/B0FZC1ZGWC</t>
  </si>
  <si>
    <t xml:space="preserve">B0FQBV6TFR</t>
  </si>
  <si>
    <t xml:space="preserve">Linen Sheets Queen Size, Cotton Linen Bed Sheets, Breathable, Durable Bed Sets 18" Deep Pocket(Natural Linen)</t>
  </si>
  <si>
    <t xml:space="preserve">https://www.amazon.com/dp/B0FQBV6TFR</t>
  </si>
  <si>
    <t xml:space="preserve">B0DJ32DF26</t>
  </si>
  <si>
    <t xml:space="preserve">100% Organic Linen Sheets King Size Set Bed Sheets for Hot Sleepers</t>
  </si>
  <si>
    <t xml:space="preserve">https://www.amazon.com/dp/B0DJ32DF26</t>
  </si>
  <si>
    <t xml:space="preserve">https://www.amazon.com/dp/B06WLH7VN2</t>
  </si>
  <si>
    <t xml:space="preserve">B0F5B15XHM</t>
  </si>
  <si>
    <t xml:space="preserve">100% French Pure Linen Sheet Set, 19" Deep Pocket Queen Size 4Pcs</t>
  </si>
  <si>
    <t xml:space="preserve">Natural Flax Bed Sheet, Soft, Breathable,Durable Sheets, Cozy for All Year Round, Ideal for Hot Sleepers, Linen Color | Save $36.00 with coupon</t>
  </si>
  <si>
    <t xml:space="preserve">https://www.amazon.com/dp/B0F5B15XHM</t>
  </si>
  <si>
    <t xml:space="preserve">B0DS8D5Q48</t>
  </si>
  <si>
    <t xml:space="preserve">100% Organic Linen Sheets Full Size Bed Sheets for Hot Sleepers</t>
  </si>
  <si>
    <t xml:space="preserve">https://www.amazon.com/dp/B0DS8D5Q48</t>
  </si>
  <si>
    <t xml:space="preserve">B0FQBYL35F</t>
  </si>
  <si>
    <t xml:space="preserve">Linen Sheets King Size, Cotton Linen Bed Sheets, Breathable, Durable Bed Sets 18" Deep Pocket(Natural Linen)</t>
  </si>
  <si>
    <t xml:space="preserve">https://www.amazon.com/dp/B0FQBYL35F</t>
  </si>
  <si>
    <t xml:space="preserve">B06WLHKKBG</t>
  </si>
  <si>
    <t xml:space="preserve">Simple&amp;Opulence Belgian Linen Sheet Set Solid Color - 4 Pieces (1 Flat Sheet, 1 Fitted Sheet &amp; 2 Pillowcases) Natural Flax Cotton Blend Soft Breathable Farmhouse Bedding - Queen Size, Linen/Beige</t>
  </si>
  <si>
    <t xml:space="preserve">https://www.amazon.com/dp/B06WLHKKBG</t>
  </si>
  <si>
    <t xml:space="preserve">B0D8SZWW1P</t>
  </si>
  <si>
    <t xml:space="preserve">Shilucheng 100% French Linen Sheets - Queen Size Bed Sheets</t>
  </si>
  <si>
    <t xml:space="preserve">https://www.amazon.com/dp/B0D8SZWW1P</t>
  </si>
  <si>
    <t xml:space="preserve">B0FBWP5DWB</t>
  </si>
  <si>
    <t xml:space="preserve">MEISHANG 100% French Linen Sheets Queen,4 Pcs,16" Deep Pocket</t>
  </si>
  <si>
    <t xml:space="preserve">https://www.amazon.com/dp/B0FBWP5DWB</t>
  </si>
  <si>
    <t xml:space="preserve">B0F23BHYXQ</t>
  </si>
  <si>
    <t xml:space="preserve">Bedlifes 100% French Linen Sheets Queen Size – 16" Deep Pocket, 4-Piece</t>
  </si>
  <si>
    <t xml:space="preserve">https://www.amazon.com/dp/B0F23BHYXQ</t>
  </si>
  <si>
    <t xml:space="preserve">B0BV2HPPT4</t>
  </si>
  <si>
    <t xml:space="preserve">Bedsure Queen Sheet Set - 4 Pieces Soft, Breathable, Cooling Bed Sheets</t>
  </si>
  <si>
    <t xml:space="preserve">https://www.amazon.com/dp/B0BV2HPPT4</t>
  </si>
  <si>
    <t xml:space="preserve">B0H3T4DV45</t>
  </si>
  <si>
    <t xml:space="preserve">100% Organic Linen Sheets King Size Bed Sheets Natural French Flax 4 Pcs</t>
  </si>
  <si>
    <t xml:space="preserve">https://www.amazon.com/dp/B0H3T4DV45</t>
  </si>
  <si>
    <t xml:space="preserve">B0DCBP5T2Z</t>
  </si>
  <si>
    <t xml:space="preserve">MooMee Sheet Set 100% Washed Cotton Linen-Like Extra Deep Pocket Queen</t>
  </si>
  <si>
    <t xml:space="preserve">https://www.amazon.com/dp/B0DCBP5T2Z</t>
  </si>
  <si>
    <t xml:space="preserve">B0HMR976K2</t>
  </si>
  <si>
    <t xml:space="preserve">100% Pure Linen Blend 4 Piece Sheet Set, Cooling and Breathable Flax Bed Sheets for Hot Sleepers, All-Year Comfort, Tear-Proof and Rugged Bedding, 18 Inch Deep Pocket (Natural Linen, Queen)</t>
  </si>
  <si>
    <t xml:space="preserve">Save $50.00 with coupon</t>
  </si>
  <si>
    <t xml:space="preserve">https://www.amazon.com/dp/B0HMR976K2</t>
  </si>
  <si>
    <t xml:space="preserve">B00VLE32Y0</t>
  </si>
  <si>
    <t xml:space="preserve">Simple&amp;Opulence 100% French Linen Sheet Set Full Size-Pure Natural Flax Bed Sheet-4 Pcs Breathable Ultra Soft Farmhouse Bedding (1 Flat Sheet,1 Fitted Sheet,2 Pillowcases)-Embroidery Linen</t>
  </si>
  <si>
    <t xml:space="preserve">List: $126.99 | List:</t>
  </si>
  <si>
    <t xml:space="preserve">https://www.amazon.com/dp/B00VLE32Y0</t>
  </si>
  <si>
    <t xml:space="preserve">B0HHDRLCPP</t>
  </si>
  <si>
    <t xml:space="preserve">100% French Pure Linen Sheets Queen Size, Breathable,Soft</t>
  </si>
  <si>
    <t xml:space="preserve">Save $24.00 with coupon</t>
  </si>
  <si>
    <t xml:space="preserve">https://www.amazon.com/dp/B0HHDRLCPP</t>
  </si>
  <si>
    <t xml:space="preserve">DAPU 100% Linen Sheets Queen Size,170GSM French Flax Pure Linen Sheets Set</t>
  </si>
  <si>
    <t xml:space="preserve">https://www.amazon.com/dp/B073WD5KPX</t>
  </si>
  <si>
    <t xml:space="preserve">B0CG85DVTD</t>
  </si>
  <si>
    <t xml:space="preserve">Save 24% with coupon</t>
  </si>
  <si>
    <t xml:space="preserve">https://www.amazon.com/dp/B0CG85DVTD</t>
  </si>
  <si>
    <t xml:space="preserve">B0FBWNVY29</t>
  </si>
  <si>
    <t xml:space="preserve">MEISHANG 100% French Linen Sheets King,4 Pcs,16" Deep Pocket</t>
  </si>
  <si>
    <t xml:space="preserve">https://www.amazon.com/dp/B0FBWNVY29</t>
  </si>
  <si>
    <t xml:space="preserve">B0FZBWLKTV</t>
  </si>
  <si>
    <t xml:space="preserve">100% French Linen Sheet Set 4Pcs Deep Pocket 16", Queen Size Linen Color</t>
  </si>
  <si>
    <t xml:space="preserve">List: $135.99 | List: | Save 20% on 2 select item(s)</t>
  </si>
  <si>
    <t xml:space="preserve">https://www.amazon.com/dp/B0FZBWLKTV</t>
  </si>
  <si>
    <t xml:space="preserve">B0HFMY5NJ1</t>
  </si>
  <si>
    <t xml:space="preserve">100% French Pure Linen Sheets Queen Size,Soft &amp; Durable</t>
  </si>
  <si>
    <t xml:space="preserve">https://www.amazon.com/dp/B0HFMY5NJ1</t>
  </si>
  <si>
    <t xml:space="preserve">B0CJCC5BSS</t>
  </si>
  <si>
    <t xml:space="preserve">SONORO KATE 100% French Linen Queen Size Sheets Set,Natural Flax Bedding</t>
  </si>
  <si>
    <t xml:space="preserve">https://www.amazon.com/dp/B0CJCC5BSS</t>
  </si>
  <si>
    <t xml:space="preserve">B0F6KRRDDR</t>
  </si>
  <si>
    <t xml:space="preserve">100% French Linen Sheets Queen Size Bed Sheets for Hot Sleepers</t>
  </si>
  <si>
    <t xml:space="preserve">https://www.amazon.com/dp/B0F6KRRDDR</t>
  </si>
  <si>
    <t xml:space="preserve">https://www.amazon.com/dp/B0CGDH9K3K</t>
  </si>
  <si>
    <t xml:space="preserve">B0F5B6M2P4</t>
  </si>
  <si>
    <t xml:space="preserve">Save 20% with coupon</t>
  </si>
  <si>
    <t xml:space="preserve">https://www.amazon.com/dp/B0F5B6M2P4</t>
  </si>
  <si>
    <t xml:space="preserve">B0H36KKGPB</t>
  </si>
  <si>
    <t xml:space="preserve">Andency Solid Natural Beige Queen Size Soft Cotton Linen Blend Sheets Set</t>
  </si>
  <si>
    <t xml:space="preserve">List: $55.99 | List: | Save 10% on 2 select item(s)</t>
  </si>
  <si>
    <t xml:space="preserve">https://www.amazon.com/dp/B0H36KKGPB</t>
  </si>
  <si>
    <t xml:space="preserve">B0FNN1FD31</t>
  </si>
  <si>
    <t xml:space="preserve">LANE LINEN 100% Egyptian Cotton Sheets King Size Silky Sateen Weave - White</t>
  </si>
  <si>
    <t xml:space="preserve">https://www.amazon.com/dp/B0FNN1FD31</t>
  </si>
  <si>
    <t xml:space="preserve">B0BX33VTLQ</t>
  </si>
  <si>
    <t xml:space="preserve">EVERLY Linen Queen Sheets Set, 100% Stonewashed French Linen Bed Sheets Deep Pocket Sheets, 4 Pieces (1 Flat Sheet, 1 Fitted Sheet, 2 Pillowcases) Natural Flax Bedding Set-Mossy Green</t>
  </si>
  <si>
    <t xml:space="preserve">https://www.amazon.com/dp/B0BX33VTLQ</t>
  </si>
  <si>
    <t xml:space="preserve">BESTOUCH 100% Washed Cotton Linen Feel Sheet Set, Solid Olive Green Queen</t>
  </si>
  <si>
    <t xml:space="preserve">https://www.amazon.com/dp/B0C8THY237</t>
  </si>
  <si>
    <t xml:space="preserve">B0FBR1ZTCV</t>
  </si>
  <si>
    <r>
      <rPr>
        <sz val="10"/>
        <color theme="1"/>
        <rFont val="Arial"/>
        <family val="2"/>
        <charset val="1"/>
      </rPr>
      <t xml:space="preserve">100% Linen Sheets Queen Size,Breathable &amp; Durable 4-Piece Bed Flax Sheet Set,Soft All-Season Bedding for Hot Sleepers 16" Deep Pocket Oeko-TEX Certified,</t>
    </r>
    <r>
      <rPr>
        <sz val="10"/>
        <color theme="1"/>
        <rFont val="Linux Libertine G"/>
        <family val="2"/>
      </rPr>
      <t xml:space="preserve">（</t>
    </r>
    <r>
      <rPr>
        <sz val="10"/>
        <color theme="1"/>
        <rFont val="Arial"/>
        <family val="2"/>
        <charset val="1"/>
      </rPr>
      <t xml:space="preserve">Queen, Linen</t>
    </r>
    <r>
      <rPr>
        <sz val="10"/>
        <color theme="1"/>
        <rFont val="Linux Libertine G"/>
        <family val="2"/>
      </rPr>
      <t xml:space="preserve">）</t>
    </r>
  </si>
  <si>
    <t xml:space="preserve">https://www.amazon.com/dp/B0FBR1ZTCV</t>
  </si>
  <si>
    <t xml:space="preserve">B0D8SZDMSH</t>
  </si>
  <si>
    <t xml:space="preserve">Shilucheng 100% French Linen Sheets - King Size Bed Sheets</t>
  </si>
  <si>
    <t xml:space="preserve">https://www.amazon.com/dp/B0D8SZDMSH</t>
  </si>
  <si>
    <t xml:space="preserve">B0FDF4T5H6</t>
  </si>
  <si>
    <t xml:space="preserve">Bedsure PureWoven 100% GOTS Certified Organic Cotton Sheets, Queen Size</t>
  </si>
  <si>
    <t xml:space="preserve">List: $131.99 | List: | Save 5% on 2 select item(s)</t>
  </si>
  <si>
    <t xml:space="preserve">https://www.amazon.com/dp/B0FDF4T5H6</t>
  </si>
  <si>
    <t xml:space="preserve">B073WDLYCG</t>
  </si>
  <si>
    <t xml:space="preserve">DAPU 100% French Linen Sheets 4Pcs Set, 170GSM Linen Bedding, King Size</t>
  </si>
  <si>
    <t xml:space="preserve">https://www.amazon.com/dp/B073WDLYCG</t>
  </si>
  <si>
    <t xml:space="preserve">B0BLVBG31W</t>
  </si>
  <si>
    <t xml:space="preserve">TUMEI 100% French Linen Sheets Queen Size Bed Sheets 4Pcs, 16" Deep Pocket</t>
  </si>
  <si>
    <t xml:space="preserve">https://www.amazon.com/dp/B0BLVBG31W</t>
  </si>
  <si>
    <t xml:space="preserve">B0G23YJBJY</t>
  </si>
  <si>
    <t xml:space="preserve">Bedsure PureWoven 100% Washed Cotton Sheets Queen, Linen-Like Feel, 6PCS</t>
  </si>
  <si>
    <t xml:space="preserve">List: $89.99 | List: | Save 5% on 2 select item(s)</t>
  </si>
  <si>
    <t xml:space="preserve">https://www.amazon.com/dp/B0G23YJBJY</t>
  </si>
  <si>
    <t xml:space="preserve">B0GGN7F725</t>
  </si>
  <si>
    <t xml:space="preserve">Bedlifes 100% French Linen Queen Sheet Set-16 Deep Pocket,4PCS</t>
  </si>
  <si>
    <t xml:space="preserve">https://www.amazon.com/dp/B0GGN7F725</t>
  </si>
  <si>
    <t xml:space="preserve">B0FNR66213</t>
  </si>
  <si>
    <t xml:space="preserve">LANE LINEN 100% Egyptian Cotton Sheets Queen Size Sateen Weave - White</t>
  </si>
  <si>
    <t xml:space="preserve">https://www.amazon.com/dp/B0FNR66213</t>
  </si>
  <si>
    <t xml:space="preserve">B01M7Z2F53</t>
  </si>
  <si>
    <t xml:space="preserve">800 Thread Count Queen Sheet Set,Egyptian Cotton Sheets Queen Size Bed Set</t>
  </si>
  <si>
    <t xml:space="preserve">List: $97.49 | List: | Save 5% on 2 select item(s)</t>
  </si>
  <si>
    <t xml:space="preserve">https://www.amazon.com/dp/B01M7Z2F53</t>
  </si>
  <si>
    <t xml:space="preserve">LIVE_US_lyocell</t>
  </si>
  <si>
    <t xml:space="preserve">https://www.amazon.com/dp/B0HBXG8YK1</t>
  </si>
  <si>
    <t xml:space="preserve">100% Bamboo Viscose &amp; Lyocell Tencel Sheets Set Queen Size,Silky Soft &amp; Cooling for Hot Sleeper, Breathable &amp; Moisture Wicking Fabric, 18" Deep Pocket with Corner Straps (01-White,Queen)</t>
  </si>
  <si>
    <t xml:space="preserve">List: $99.00 | List:</t>
  </si>
  <si>
    <t xml:space="preserve">https://www.amazon.com/dp/B0HCV3JB5J</t>
  </si>
  <si>
    <t xml:space="preserve">https://www.amazon.com/dp/B0GGHW23N4</t>
  </si>
  <si>
    <t xml:space="preserve">B0GFLSRNWL</t>
  </si>
  <si>
    <t xml:space="preserve">Dreamology Tencel Sheets Queen,100% Tencel Lyocell Sheets,Eucalyptus Sheet</t>
  </si>
  <si>
    <t xml:space="preserve">https://www.amazon.com/dp/B0GFLSRNWL</t>
  </si>
  <si>
    <t xml:space="preserve">B0HF8HHN46</t>
  </si>
  <si>
    <r>
      <rPr>
        <sz val="10"/>
        <color theme="1"/>
        <rFont val="Arial"/>
        <family val="2"/>
        <charset val="1"/>
      </rPr>
      <t xml:space="preserve">100% Bamboo Viscose &amp; Lyocell Tencel Sheets Set King Size</t>
    </r>
    <r>
      <rPr>
        <sz val="10"/>
        <color theme="1"/>
        <rFont val="Linux Libertine G"/>
        <family val="2"/>
      </rPr>
      <t xml:space="preserve">，</t>
    </r>
    <r>
      <rPr>
        <sz val="10"/>
        <color theme="1"/>
        <rFont val="Arial"/>
        <family val="2"/>
        <charset val="1"/>
      </rPr>
      <t xml:space="preserve">Cooling &amp; Silky Soft for Hot Sleeper, Breathable &amp; Moisture Wicking Fabric, 18" Deep Pocket with Corner Straps (Sand, King)</t>
    </r>
  </si>
  <si>
    <t xml:space="preserve">https://www.amazon.com/dp/B0HF8HHN46</t>
  </si>
  <si>
    <r>
      <rPr>
        <sz val="10"/>
        <color theme="1"/>
        <rFont val="Arial"/>
        <family val="2"/>
        <charset val="1"/>
      </rPr>
      <t xml:space="preserve">100% Bamboo Viscose &amp; Lyocell Tencel Sheets Set King Size</t>
    </r>
    <r>
      <rPr>
        <sz val="10"/>
        <color theme="1"/>
        <rFont val="Linux Libertine G"/>
        <family val="2"/>
      </rPr>
      <t xml:space="preserve">，</t>
    </r>
    <r>
      <rPr>
        <sz val="10"/>
        <color theme="1"/>
        <rFont val="Arial"/>
        <family val="2"/>
        <charset val="1"/>
      </rPr>
      <t xml:space="preserve">Cooling &amp; Silky Soft for Hot Sleeper, Breathable &amp; Moisture Wicking Fabric, 18" Deep Pocket with Corner Straps(Charcoal, King)</t>
    </r>
  </si>
  <si>
    <t xml:space="preserve">https://www.amazon.com/dp/B0HJ5Q19KM</t>
  </si>
  <si>
    <t xml:space="preserve">B0GFMRBQKM</t>
  </si>
  <si>
    <t xml:space="preserve">Dreamology Tencel Sheets Queen Size,100% Tencel Lyocell Sheet Set</t>
  </si>
  <si>
    <t xml:space="preserve">https://www.amazon.com/dp/B0GFMRBQKM</t>
  </si>
  <si>
    <t xml:space="preserve">B0HBX793L8</t>
  </si>
  <si>
    <t xml:space="preserve">100% Bamboo Viscose &amp; Tencel Lyocell Queen Size Sheet Set| Cooling &amp; Breathable Bedsheets for Hot Sleepers |Luxury Silky Soft | 18" Deep Pocket with Corner Straps (White, Queen)</t>
  </si>
  <si>
    <t xml:space="preserve">https://www.amazon.com/dp/B0HBX793L8</t>
  </si>
  <si>
    <t xml:space="preserve">B0GVGQMMPM</t>
  </si>
  <si>
    <t xml:space="preserve">HeimenAogo Tencel Lyocell Sheet Sets, Cooling Sheets, 100% Lyocell from Botanic Sources, Deep Pocket 16", Silky Smooth &amp; Breathable, Temperature Regulating Hotel Bedding for Hot Sleepers, Queen</t>
  </si>
  <si>
    <t xml:space="preserve">https://www.amazon.com/dp/B0GVGQMMPM</t>
  </si>
  <si>
    <t xml:space="preserve">B0D2ZZ4MBM</t>
  </si>
  <si>
    <t xml:space="preserve">https://www.amazon.com/dp/B0D2ZZ4MBM</t>
  </si>
  <si>
    <t xml:space="preserve">Queen Size Tencel Lyocell Cooling Sheets, Silky Soft Sheet Set with 16 Inch Deep Pocket, Breathable Eucalyptus Bedding for Hot Sleepers, White</t>
  </si>
  <si>
    <t xml:space="preserve">https://www.amazon.com/dp/B0FMK5SFPB</t>
  </si>
  <si>
    <t xml:space="preserve">B0FMK4RRDT</t>
  </si>
  <si>
    <t xml:space="preserve">Queen Size Tencel Lyocell Cooling Sheets, Silky Soft Sheet Set with 16 Inch Deep Pocket, Breathable Eucalyptus Bedding for Hot Sleepers, Beige</t>
  </si>
  <si>
    <t xml:space="preserve">https://www.amazon.com/dp/B0FMK4RRDT</t>
  </si>
  <si>
    <t xml:space="preserve">B0HMK9N65K</t>
  </si>
  <si>
    <t xml:space="preserve">100% Bamboo Viscose &amp; Lyocell Tencel Sheets Set King Size, Cool &amp; Velvety Soft for Hot Sleeper, Airy &amp; Moisture Wicking Fabric, 18" Deep Pocket with Corner Straps (Mineral, King)</t>
  </si>
  <si>
    <t xml:space="preserve">https://www.amazon.com/dp/B0HMK9N65K</t>
  </si>
  <si>
    <t xml:space="preserve">Dreamology Tencel Sheets King, 100% Lyocell Sheets Set, Eucalyptus Sheets</t>
  </si>
  <si>
    <t xml:space="preserve">https://www.amazon.com/dp/B0GFLQBC63</t>
  </si>
  <si>
    <t xml:space="preserve">B0H28B9YX5</t>
  </si>
  <si>
    <t xml:space="preserve">100% Real Bamboo Viscose &amp; Lyocell Tencel Sheets Set Full Size | Breathable &amp; Cooling for Hot Sleeper | Luxury Silky Soft Fabric | 18" Deep Pocket with Corner Straps (Charcoal, Full)</t>
  </si>
  <si>
    <t xml:space="preserve">https://www.amazon.com/dp/B0H28B9YX5</t>
  </si>
  <si>
    <t xml:space="preserve">B0HJYPDB6R</t>
  </si>
  <si>
    <t xml:space="preserve">Luxury Organic Tencel &amp; Viscose from Bamboo Cooling Sheet Set,Silky Soft Lyocell Sheets with Deep Pocket, Hypoallergenic &amp; Breathable Bedding with Pillowcases(01-White, California King)</t>
  </si>
  <si>
    <t xml:space="preserve">https://www.amazon.com/dp/B0HJYPDB6R</t>
  </si>
  <si>
    <t xml:space="preserve">B0D313RMST</t>
  </si>
  <si>
    <t xml:space="preserve">https://www.amazon.com/dp/B0D313RMST</t>
  </si>
  <si>
    <t xml:space="preserve">B0DYDBQ46X</t>
  </si>
  <si>
    <t xml:space="preserve">Tencel Sheet Set Queen Size, 100% Eucalyptus Lyocell, Breathable &amp; Cooling Sheets, Deep Pocket Up to 16 Inch, Silky Soft, Ideal for Hot Sleepers - 4PC (Queen, Navy)</t>
  </si>
  <si>
    <t xml:space="preserve">https://www.amazon.com/dp/B0DYDBQ46X</t>
  </si>
  <si>
    <t xml:space="preserve">B0F7H6G68K</t>
  </si>
  <si>
    <t xml:space="preserve">CASILVA Eucalyptus Sheets, Softer Than Silk Fibers, Queen Sheet Set</t>
  </si>
  <si>
    <t xml:space="preserve">https://www.amazon.com/dp/B0F7H6G68K</t>
  </si>
  <si>
    <t xml:space="preserve">B0H1RCSJ2Z</t>
  </si>
  <si>
    <t xml:space="preserve">King Size Tencel™ Lyocell Sheet Set, 4‑Piece Eucalyptus Bedding</t>
  </si>
  <si>
    <t xml:space="preserve">https://www.amazon.com/dp/B0H1RCSJ2Z</t>
  </si>
  <si>
    <t xml:space="preserve">B0GFLZDJQY</t>
  </si>
  <si>
    <t xml:space="preserve">https://www.amazon.com/dp/B0GFLZDJQY</t>
  </si>
  <si>
    <t xml:space="preserve">B0GX631BCR</t>
  </si>
  <si>
    <t xml:space="preserve">EverGrace Tencel™ Sheet Set, Breathable &amp; Cooling, King, Dark Olive Green</t>
  </si>
  <si>
    <t xml:space="preserve">https://www.amazon.com/dp/B0GX631BCR</t>
  </si>
  <si>
    <t xml:space="preserve">B0D3137R61</t>
  </si>
  <si>
    <t xml:space="preserve">https://www.amazon.com/dp/B0D3137R61</t>
  </si>
  <si>
    <t xml:space="preserve">B0H9VP8HCN</t>
  </si>
  <si>
    <t xml:space="preserve">100% Eucalyptus Tencel Queen Bed Sheets, 18" Deep Pocket</t>
  </si>
  <si>
    <t xml:space="preserve">https://www.amazon.com/dp/B0H9VP8HCN</t>
  </si>
  <si>
    <t xml:space="preserve">B0GX5YWXGJ</t>
  </si>
  <si>
    <t xml:space="preserve">EverGrace Tencel™ Sheet Set, Breathable &amp; Cooling, Queen, Stormy Blue</t>
  </si>
  <si>
    <t xml:space="preserve">https://www.amazon.com/dp/B0GX5YWXGJ</t>
  </si>
  <si>
    <t xml:space="preserve">B0GLM9JHRZ</t>
  </si>
  <si>
    <r>
      <rPr>
        <sz val="10"/>
        <color theme="1"/>
        <rFont val="Arial"/>
        <family val="2"/>
        <charset val="1"/>
      </rPr>
      <t xml:space="preserve">Luxury 100% Organic Tencel Cooling Sheets</t>
    </r>
    <r>
      <rPr>
        <sz val="10"/>
        <color theme="1"/>
        <rFont val="Linux Libertine G"/>
        <family val="2"/>
      </rPr>
      <t xml:space="preserve">（</t>
    </r>
    <r>
      <rPr>
        <sz val="10"/>
        <color theme="1"/>
        <rFont val="Arial"/>
        <family val="2"/>
        <charset val="1"/>
      </rPr>
      <t xml:space="preserve">Queen, White</t>
    </r>
  </si>
  <si>
    <t xml:space="preserve">https://www.amazon.com/dp/B0GLM9JHRZ</t>
  </si>
  <si>
    <t xml:space="preserve">https://www.amazon.com/dp/B0DV856S56</t>
  </si>
  <si>
    <t xml:space="preserve">B0GK8W4D3W</t>
  </si>
  <si>
    <t xml:space="preserve">meadow park Tencel Cooling Sheet Set Queen Size, 300 Thread Count Lyocell Bed Sheets, Silky Smooth Breathable Bedding for Hot Sleepers, White</t>
  </si>
  <si>
    <t xml:space="preserve">List: $64.90 | List:</t>
  </si>
  <si>
    <t xml:space="preserve">https://www.amazon.com/dp/B0GK8W4D3W</t>
  </si>
  <si>
    <t xml:space="preserve">B082MS6MFF</t>
  </si>
  <si>
    <t xml:space="preserve">Olive + Crate Tencel Lyocell Eucalyptus Queen Size Sheet Set</t>
  </si>
  <si>
    <t xml:space="preserve">https://www.amazon.com/dp/B082MS6MFF</t>
  </si>
  <si>
    <t xml:space="preserve">https://www.amazon.com/dp/B0GX5SNMQ5</t>
  </si>
  <si>
    <t xml:space="preserve">B0CKJ9Z4FK</t>
  </si>
  <si>
    <t xml:space="preserve">Bare Home Lyocell Tencel Sheet Set (Queen, Indigo)</t>
  </si>
  <si>
    <t xml:space="preserve">https://www.amazon.com/dp/B0CKJ9Z4FK</t>
  </si>
  <si>
    <t xml:space="preserve">B07YVN1Z95</t>
  </si>
  <si>
    <t xml:space="preserve">Sijo AiryWeight Tencel Sheet Set, 100% Lyocell Derived from Eucalyptus, Buttery Soft, Architectural Digest Best Cooling Sheets Winner - 3pc - 2 Pillowcases 1 Fitted (Snow, King)</t>
  </si>
  <si>
    <t xml:space="preserve">List: $130.00 | List:</t>
  </si>
  <si>
    <t xml:space="preserve">https://www.amazon.com/dp/B07YVN1Z95</t>
  </si>
  <si>
    <t xml:space="preserve">B0DCZPZ8J9</t>
  </si>
  <si>
    <t xml:space="preserve">Queen Size Tencel Sheet Set, 100% Eucalyptus Lyocell, 4 Piece Indigo Blue Buttery Soft Cooling AiryWeight Sheets, 15" Deep Pocket Cooling Sheet Set for Hot Sleepers, Luxury Bedding</t>
  </si>
  <si>
    <t xml:space="preserve">https://www.amazon.com/dp/B0DCZPZ8J9</t>
  </si>
  <si>
    <t xml:space="preserve">B084RCWSC5</t>
  </si>
  <si>
    <t xml:space="preserve">Stylinen 100% Organic Eucalyptus Bed Sheets King Size 4 Piece Set, Tencel Lyocell, Silky Soft &amp; Smooth, Breathable, 16 Inch Deep Pockets, 1 Fitted, 1 Flat, 2 Pillowcases (King, Stone Grey)</t>
  </si>
  <si>
    <t xml:space="preserve">https://www.amazon.com/dp/B084RCWSC5</t>
  </si>
  <si>
    <t xml:space="preserve">B0HKTTSZB2</t>
  </si>
  <si>
    <t xml:space="preserve">Luxury Lyocell Grounding Sheets Queen 22% Silver Fiber, 74% Cooling Lyocell, 4% Silk, Quality Certified - Conductive Earth Fitted Sheet 15" Deep w/Wash Bag &amp; Wool Dryer Balls, Gray</t>
  </si>
  <si>
    <t xml:space="preserve">https://www.amazon.com/dp/B0HKTTSZB2</t>
  </si>
  <si>
    <t xml:space="preserve">B0F9YWB41B</t>
  </si>
  <si>
    <t xml:space="preserve">100% Tencel Lyocell Cooling Sheet Set, 4Pc, White, Queen</t>
  </si>
  <si>
    <t xml:space="preserve">https://www.amazon.com/dp/B0F9YWB41B</t>
  </si>
  <si>
    <t xml:space="preserve">B0DRPDHXRT</t>
  </si>
  <si>
    <t xml:space="preserve">Tencel Sheets 4 Piece Cal King - 100% Eucalyptus Lyocell California King Sheet Sets - Soft, Cooling &amp; Breathable for Hot Sleepers - 16” Deep Pockets Hotel Quality Bedding Set - Ivory</t>
  </si>
  <si>
    <t xml:space="preserve">https://www.amazon.com/dp/B0DRPDHXRT</t>
  </si>
  <si>
    <t xml:space="preserve">B08T8ZBFMT</t>
  </si>
  <si>
    <t xml:space="preserve">100% Tencel Sheet Set - Queen Size 4 Piece Sheets with Deep Pockets up to 18 Inches - Luxuriously Cooling, Super Soft &amp; Silky Sateen Weave Lyocell Bed Sheets in Teal (Queen)</t>
  </si>
  <si>
    <t xml:space="preserve">https://www.amazon.com/dp/B08T8ZBFMT</t>
  </si>
  <si>
    <t xml:space="preserve">B0DC5J24YC</t>
  </si>
  <si>
    <t xml:space="preserve">Martex Restore Bed Sheet Set – Soft, Cooling, Moisture-Wicking, Breathable and Gentle on Skin – Durable Fabric Designed for Everyday Comfort and Better Sleep – Queen Size Bedding – Sage</t>
  </si>
  <si>
    <t xml:space="preserve">https://www.amazon.com/dp/B0DC5J24YC</t>
  </si>
  <si>
    <t xml:space="preserve">B0F3XR6WCM</t>
  </si>
  <si>
    <t xml:space="preserve">Cooling Eucalyptus Sheet Set, 4 Piece, Queen, Beach Sand</t>
  </si>
  <si>
    <t xml:space="preserve">https://www.amazon.com/dp/B0F3XR6WCM</t>
  </si>
  <si>
    <t xml:space="preserve">B09JV1NG9R</t>
  </si>
  <si>
    <t xml:space="preserve">Bella Coterie Luxury Bamboo Viscose Queen Size Sheet Set</t>
  </si>
  <si>
    <t xml:space="preserve">https://www.amazon.com/dp/B09JV1NG9R</t>
  </si>
  <si>
    <t xml:space="preserve">B0CFV87Z7H</t>
  </si>
  <si>
    <t xml:space="preserve">Simple&amp;Opulence 100% Tencel Lyocell Sheet Set Twin Deep Pocket, White</t>
  </si>
  <si>
    <t xml:space="preserve">List: $54.99 | List:</t>
  </si>
  <si>
    <t xml:space="preserve">https://www.amazon.com/dp/B0CFV87Z7H</t>
  </si>
  <si>
    <t xml:space="preserve">B0H1H9XRLF</t>
  </si>
  <si>
    <t xml:space="preserve">BEDSUM</t>
  </si>
  <si>
    <t xml:space="preserve">BEDSUM Standard Cotton Envelope Pillowcases - 2 Pack, 20x26, Olive Green</t>
  </si>
  <si>
    <t xml:space="preserve">Save 5% when you buy $49.99 of select items</t>
  </si>
  <si>
    <t xml:space="preserve">LIVE_US_pillowcase</t>
  </si>
  <si>
    <t xml:space="preserve">https://www.amazon.com/dp/B0H1H9XRLF</t>
  </si>
  <si>
    <t xml:space="preserve">B0G1YDDMCG</t>
  </si>
  <si>
    <t xml:space="preserve">California Design Den 800 Thread Count 2-Pack Standard Pillowcases</t>
  </si>
  <si>
    <t xml:space="preserve">https://www.amazon.com/dp/B0G1YDDMCG</t>
  </si>
  <si>
    <t xml:space="preserve">B07YBKW2XP</t>
  </si>
  <si>
    <t xml:space="preserve">Bare Home Flannel Pillowcases 100% Cotton (King Set of 2, Sand)</t>
  </si>
  <si>
    <t xml:space="preserve">https://www.amazon.com/dp/B07YBKW2XP</t>
  </si>
  <si>
    <t xml:space="preserve">B01N6LRCZ5</t>
  </si>
  <si>
    <t xml:space="preserve">THREAD SPREAD 100% Egyptian Cotton Pillow Cases Queen Size Set of 2 - Luxury 1000 Series Paradise Collection Queen Pillow Cases (White), Soft Cooling Sateen Hotel Egyptian Cotton Pillowcases</t>
  </si>
  <si>
    <t xml:space="preserve">https://www.amazon.com/dp/B01N6LRCZ5</t>
  </si>
  <si>
    <t xml:space="preserve">B092CR2V5N</t>
  </si>
  <si>
    <t xml:space="preserve">Sunflower Queen Pillowcases Set of 2, 100% Cotton Pillow Case, Bright White</t>
  </si>
  <si>
    <t xml:space="preserve">Save 10% on 4 select item(s)</t>
  </si>
  <si>
    <t xml:space="preserve">https://www.amazon.com/dp/B092CR2V5N</t>
  </si>
  <si>
    <t xml:space="preserve">THREAD SPREAD 100% Cotton Pillow Cases Queen Size Set of 2 - Luxury 400 Thread Count Queen Pillow Cases (White), Soft Cooling Breathable Hotel Cotton Pillowcases, Fits Standard Pillows</t>
  </si>
  <si>
    <t xml:space="preserve">List: $12.99 | List:</t>
  </si>
  <si>
    <t xml:space="preserve">https://www.amazon.com/dp/B09ZHS2YHZ</t>
  </si>
  <si>
    <t xml:space="preserve">B0H5W4T644</t>
  </si>
  <si>
    <t xml:space="preserve">48 Pcs Pillow Protectors Standard Size 20 x 26 Inch White Bulk</t>
  </si>
  <si>
    <t xml:space="preserve">https://www.amazon.com/dp/B0H5W4T644</t>
  </si>
  <si>
    <t xml:space="preserve">B0CW66LT8P</t>
  </si>
  <si>
    <t xml:space="preserve">100% Organic Cotton Percale Pillow Cases Standard/Queen Size Set of 2 - Percale Pillowcases Standard/Queen, Soft Cooling Pillow Cases for Sleeping, Cotton Pillow Covers - White</t>
  </si>
  <si>
    <t xml:space="preserve">List: $9.99 | List:</t>
  </si>
  <si>
    <t xml:space="preserve">https://www.amazon.com/dp/B0CW66LT8P</t>
  </si>
  <si>
    <t xml:space="preserve">1000 TC Standard Pillowcases Set of 4 100% Egyptian Cotton Pillow Cases</t>
  </si>
  <si>
    <t xml:space="preserve">https://www.amazon.com/dp/B0982CNXJN</t>
  </si>
  <si>
    <t xml:space="preserve">B07RT3R7VL</t>
  </si>
  <si>
    <t xml:space="preserve">600TC 100% Cotton Pillow Protectors, Standard Size (20x26), 4 Pack</t>
  </si>
  <si>
    <t xml:space="preserve">https://www.amazon.com/dp/B07RT3R7VL</t>
  </si>
  <si>
    <t xml:space="preserve">B0FR4Q8XXS</t>
  </si>
  <si>
    <t xml:space="preserve">100% Cotton Pillowcases, Standard/Queen Size, Ultra Soft Pillow Case, 20x26 Inches Set of 2, Hotel Quality Premium Cooling Pillow Cases - Silver Grey</t>
  </si>
  <si>
    <t xml:space="preserve">https://www.amazon.com/dp/B0FR4Q8XXS</t>
  </si>
  <si>
    <t xml:space="preserve">B0GWZQB6GD</t>
  </si>
  <si>
    <t xml:space="preserve">Pillow Cases 100% Cotton Percale Standard Queen Size Set of 4, White</t>
  </si>
  <si>
    <t xml:space="preserve">List: $27.99 | List:</t>
  </si>
  <si>
    <t xml:space="preserve">https://www.amazon.com/dp/B0GWZQB6GD</t>
  </si>
  <si>
    <t xml:space="preserve">B09ZF3F5FW</t>
  </si>
  <si>
    <t xml:space="preserve">Miracle Made Soft, Breathable Cotton Pillowcase Set, 2-Piece – Silver-Treated, Cool-to-the-Touch Covers for a Fresher-Feeling Sleep Surface – Standard Size, Sand</t>
  </si>
  <si>
    <t xml:space="preserve">https://www.amazon.com/dp/B09ZF3F5FW</t>
  </si>
  <si>
    <t xml:space="preserve">Deep Dream 100% Cotton Pillow Cases Standard Size Set of 2,White</t>
  </si>
  <si>
    <t xml:space="preserve">https://www.amazon.com/dp/B0C4929WC7</t>
  </si>
  <si>
    <t xml:space="preserve">B0F1K46L51</t>
  </si>
  <si>
    <t xml:space="preserve">THREAD SPREAD 100% Cotton Pillow Cases Queen Size Set of 4 - Luxury 400 Thread Count Queen Pillow Cases (Pack of 2, White), Soft Cooling Hotel Cotton Pillowcases, Fits Standard Pillows</t>
  </si>
  <si>
    <t xml:space="preserve">https://www.amazon.com/dp/B0F1K46L51</t>
  </si>
  <si>
    <t xml:space="preserve">B09PFN7SYV</t>
  </si>
  <si>
    <t xml:space="preserve">Pillow Cases Standard Queen Size 100% Cotton Percale Set of 2, White</t>
  </si>
  <si>
    <t xml:space="preserve">https://www.amazon.com/dp/B09PFN7SYV</t>
  </si>
  <si>
    <t xml:space="preserve">B0CS9T5V6Z</t>
  </si>
  <si>
    <t xml:space="preserve">Soft Natural 100% Cotton Sateen Standard Pillow Case, 2-Pack, Pine Green</t>
  </si>
  <si>
    <t xml:space="preserve">https://www.amazon.com/dp/B0CS9T5V6Z</t>
  </si>
  <si>
    <t xml:space="preserve">B0DDKKW9LQ</t>
  </si>
  <si>
    <t xml:space="preserve">Sunflower Queen Pillowcases Set of 2, 100% Cotton Pillow Cases, Black</t>
  </si>
  <si>
    <t xml:space="preserve">https://www.amazon.com/dp/B0DDKKW9LQ</t>
  </si>
  <si>
    <t xml:space="preserve">B0H5BXPGH3</t>
  </si>
  <si>
    <t xml:space="preserve">Supima Cotton Standard Pillowcases Set of 2, 21 x 30 in, Grey</t>
  </si>
  <si>
    <t xml:space="preserve">https://www.amazon.com/dp/B0H5BXPGH3</t>
  </si>
  <si>
    <t xml:space="preserve">B0FFM8XY9K</t>
  </si>
  <si>
    <t xml:space="preserve">Ultra-Chill Cooling Pillowcase Set of 2 for Hot Sleepers, Softer Than Silk Pillow Cases for Protecting Hair &amp; Skin, Breathable Bed Pillow Covers w/ Zipper, Gifts for Women &amp; Men (Light Gray, Standard)</t>
  </si>
  <si>
    <t xml:space="preserve">Save 38% at checkout</t>
  </si>
  <si>
    <t xml:space="preserve">https://www.amazon.com/dp/B0FFM8XY9K</t>
  </si>
  <si>
    <t xml:space="preserve">B0B1PLSX35</t>
  </si>
  <si>
    <t xml:space="preserve">Bare Home 100% Organic Cotton Sateen Pillowcase Set (Standard, Bering Sea)</t>
  </si>
  <si>
    <t xml:space="preserve">List: $28.99 | List:</t>
  </si>
  <si>
    <t xml:space="preserve">https://www.amazon.com/dp/B0B1PLSX35</t>
  </si>
  <si>
    <t xml:space="preserve">B0965CHD74</t>
  </si>
  <si>
    <t xml:space="preserve">Lane Linen 100% Organic Cotton Pillow Cases King Size (20"x36") - King Size Pillow Cases Set of 2 - Pure Organic Cotton Pillowcases - King Pillow Cases Set of 2 - Charcoal Black Pillow Cases Set of 2</t>
  </si>
  <si>
    <t xml:space="preserve">https://www.amazon.com/dp/B0965CHD74</t>
  </si>
  <si>
    <t xml:space="preserve">B09BW21GTN</t>
  </si>
  <si>
    <t xml:space="preserve">Pillow Cases Queen Size White Pillow Cases Set of 12 Cotton Blend 200 TC Soft &amp; Breathable Perfect for Home &amp; Hospital, Hotel Quality Queen Pillow Cases 30x20 Inches</t>
  </si>
  <si>
    <t xml:space="preserve">https://www.amazon.com/dp/B09BW21GTN</t>
  </si>
  <si>
    <t xml:space="preserve">4 Pack Cotton Percale Pillowcases, Standard/Queen 20x30, White</t>
  </si>
  <si>
    <t xml:space="preserve">https://www.amazon.com/dp/B09N7HBCYY</t>
  </si>
  <si>
    <t xml:space="preserve">B0BSGLVF4D</t>
  </si>
  <si>
    <t xml:space="preserve">California Design Den 100% Organic Cotton 2-Pack Queen Size Pillow Cases</t>
  </si>
  <si>
    <t xml:space="preserve">https://www.amazon.com/dp/B0BSGLVF4D</t>
  </si>
  <si>
    <t xml:space="preserve">1000 TC Standard Pillowcases Set of 2 100% Egyptian Cotton Pillow Cases</t>
  </si>
  <si>
    <t xml:space="preserve">https://www.amazon.com/dp/B0982CQ53N</t>
  </si>
  <si>
    <t xml:space="preserve">Laura Ashley - Standard Size Cotton Percale Pillowcase Set, 2 Pack</t>
  </si>
  <si>
    <t xml:space="preserve">https://www.amazon.com/dp/B0B1P3KGL4</t>
  </si>
  <si>
    <t xml:space="preserve">B079WZCN7Q</t>
  </si>
  <si>
    <t xml:space="preserve">CALIFORNIA DESIGN DEN Luxuriously Soft Hotel Quality 600 Thread Count, 100% Cotton Set of 2 Cases, Crisp &amp; Cool White Standard Pillow Cases Fits Standard &amp; Queen Pillows (Bright White)</t>
  </si>
  <si>
    <t xml:space="preserve">https://www.amazon.com/dp/B079WZCN7Q</t>
  </si>
  <si>
    <t xml:space="preserve">B0BWXYKDV7</t>
  </si>
  <si>
    <t xml:space="preserve">100% Cotton Pillowcases Standard Size, Floral Print Pattern Pillow Cover 2 Pack, Super Soft Envelope Closure Standard Pillow Case Set (Standard, 20"x26")</t>
  </si>
  <si>
    <t xml:space="preserve">https://www.amazon.com/dp/B0BWXYKDV7</t>
  </si>
  <si>
    <t xml:space="preserve">B07FYJPG94</t>
  </si>
  <si>
    <t xml:space="preserve">California Design Den 1000 Thread Count Pillow Cases Queen Size, Set of 2</t>
  </si>
  <si>
    <t xml:space="preserve">https://www.amazon.com/dp/B07FYJPG94</t>
  </si>
  <si>
    <t xml:space="preserve">B0F5BSCN1L</t>
  </si>
  <si>
    <t xml:space="preserve">ROYALE LINEN 100% Organic Cotton Percale Pillowcases Set Of 2 - Standard Size Percale Pillowcase - Standard Set Of 2 Pillow Cover - Breathable, Cool &amp; Crisp Sage Green Pillow Cases (20"x26",SageGreen)</t>
  </si>
  <si>
    <t xml:space="preserve">List: $10.99 | List:</t>
  </si>
  <si>
    <t xml:space="preserve">https://www.amazon.com/dp/B0F5BSCN1L</t>
  </si>
  <si>
    <t xml:space="preserve">B084YVCQLN</t>
  </si>
  <si>
    <t xml:space="preserve">California Design Den 800 Thread Count 2-Pack Pillowcases Standard, White</t>
  </si>
  <si>
    <t xml:space="preserve">https://www.amazon.com/dp/B084YVCQLN</t>
  </si>
  <si>
    <t xml:space="preserve">B07J9SGRY3</t>
  </si>
  <si>
    <t xml:space="preserve">AllerEase Premier Zipper Pillow Protector Standard/Queen 4Pack</t>
  </si>
  <si>
    <t xml:space="preserve">https://www.amazon.com/dp/B07J9SGRY3</t>
  </si>
  <si>
    <t xml:space="preserve">Warmstar 100% Cotton Pillow Cases Standard Size Set of 2,White</t>
  </si>
  <si>
    <t xml:space="preserve">https://www.amazon.com/dp/B09PN38Z7L</t>
  </si>
  <si>
    <t xml:space="preserve">B0CS9Q87G1</t>
  </si>
  <si>
    <t xml:space="preserve">California Design Den 2-Pack Standard Pillowcase, 100% Cotton Sateen</t>
  </si>
  <si>
    <t xml:space="preserve">List: $19.99 | List:</t>
  </si>
  <si>
    <t xml:space="preserve">https://www.amazon.com/dp/B0CS9Q87G1</t>
  </si>
  <si>
    <t xml:space="preserve">B092CVBTLT</t>
  </si>
  <si>
    <t xml:space="preserve">Sunflower King Pillowcases Set of 2, 100% Cotton Pillow Cases, Bright White</t>
  </si>
  <si>
    <t xml:space="preserve">https://www.amazon.com/dp/B092CVBTLT</t>
  </si>
  <si>
    <t xml:space="preserve">B09RX1MDMR</t>
  </si>
  <si>
    <t xml:space="preserve">Laura Ashley - Standard Cotton Sateen Pillowcase Set, 2-Pack</t>
  </si>
  <si>
    <t xml:space="preserve">https://www.amazon.com/dp/B09RX1MDMR</t>
  </si>
  <si>
    <t xml:space="preserve">B0BQCR3WTM</t>
  </si>
  <si>
    <t xml:space="preserve">LANE LINEN 100% Organic Cotton Pillow Cases - Standard Size Set of 2 (20"x26") - Soft White Pillow Cases</t>
  </si>
  <si>
    <t xml:space="preserve">https://www.amazon.com/dp/B0BQCR3WTM</t>
  </si>
  <si>
    <t xml:space="preserve">B07PFWC5F2</t>
  </si>
  <si>
    <t xml:space="preserve">Queen Pillow Cases Set of 4 - Ultra Soft Cozy Pillowcase Covers - White</t>
  </si>
  <si>
    <t xml:space="preserve">https://www.amazon.com/dp/B07PFWC5F2</t>
  </si>
  <si>
    <t xml:space="preserve">B0D2RLSZ1M</t>
  </si>
  <si>
    <t xml:space="preserve">Muslin Pillowcases King Size 100% Cotton, 2 Pack Linen Like Pillow Shams with Envelope Closure, Ultral Soft and Breathable Pillow Case Covers, White, 20" X 36", No Filling</t>
  </si>
  <si>
    <t xml:space="preserve">https://www.amazon.com/dp/B0D2RLSZ1M</t>
  </si>
  <si>
    <t xml:space="preserve">California Design Den 2-Pack Pillow Cases Standard Size, 100% Cotton Sateen</t>
  </si>
  <si>
    <t xml:space="preserve">https://www.amazon.com/dp/B0758C9NPB</t>
  </si>
  <si>
    <t xml:space="preserve">B0FRGRH97Y</t>
  </si>
  <si>
    <t xml:space="preserve">California Design Den 100% Organic Cotton Pillow Cases Standard Size, White</t>
  </si>
  <si>
    <t xml:space="preserve">https://www.amazon.com/dp/B0FRGRH97Y</t>
  </si>
  <si>
    <t xml:space="preserve">B07JNY68LD</t>
  </si>
  <si>
    <t xml:space="preserve">California Design Den 2-Pack Pillow Case Queen, 100% Cotton Sateen</t>
  </si>
  <si>
    <t xml:space="preserve">https://www.amazon.com/dp/B07JNY68LD</t>
  </si>
  <si>
    <t xml:space="preserve">B0CBFKP26S</t>
  </si>
  <si>
    <t xml:space="preserve">California Design Den 100% Egyptian Cotton 2-Pack Pillowcases Queen Size</t>
  </si>
  <si>
    <t xml:space="preserve">https://www.amazon.com/dp/B0CBFKP26S</t>
  </si>
  <si>
    <t xml:space="preserve">B0DM2GRQ4P</t>
  </si>
  <si>
    <t xml:space="preserve">California Design Den 100% Organic Cotton 2-Pack Pillow Case King</t>
  </si>
  <si>
    <t xml:space="preserve">https://www.amazon.com/dp/B0DM2GRQ4P</t>
  </si>
  <si>
    <t xml:space="preserve">B0DVT2JTRN</t>
  </si>
  <si>
    <t xml:space="preserve">Utopia Bedding Gusset Bed Pillow, Hotel Pillows Queen Size Set of 4, White</t>
  </si>
  <si>
    <t xml:space="preserve">https://www.amazon.com/dp/B0DVT2JTRN</t>
  </si>
  <si>
    <t xml:space="preserve">Soft Natural 100% Cotton Sateen Queen Pillow Cases, 2-Pack, Bright White</t>
  </si>
  <si>
    <t xml:space="preserve">https://www.amazon.com/dp/B0BQYY9J68</t>
  </si>
  <si>
    <t xml:space="preserve">B07BXCSQB6</t>
  </si>
  <si>
    <t xml:space="preserve">White Pillow Cases Standard Size 100% Cotton with Zipper, Set of 2, 20X26</t>
  </si>
  <si>
    <t xml:space="preserve">https://www.amazon.com/dp/B07BXCSQB6</t>
  </si>
  <si>
    <t xml:space="preserve">B08C9RPMPS</t>
  </si>
  <si>
    <t xml:space="preserve">JELLYMONI Cotton Classic Striped Pillowcases Set of 2, Gray, Standard</t>
  </si>
  <si>
    <t xml:space="preserve">https://www.amazon.com/dp/B08C9RPMPS</t>
  </si>
  <si>
    <t xml:space="preserve">B07Q1K4G91</t>
  </si>
  <si>
    <t xml:space="preserve">100% Organic Cotton Pillow Cases 300 Thread Count Soft Sateen Weave GOTS Certified – Standard/Queen Size, Set of 2, White</t>
  </si>
  <si>
    <t xml:space="preserve">https://www.amazon.com/dp/B07Q1K4G91</t>
  </si>
  <si>
    <t xml:space="preserve">B079WYYYS8</t>
  </si>
  <si>
    <t xml:space="preserve">California Design Den 600 TC Set of 2 Pillowcases Queen Size</t>
  </si>
  <si>
    <t xml:space="preserve">https://www.amazon.com/dp/B079WYYYS8</t>
  </si>
  <si>
    <t xml:space="preserve">B0GKXKMQLK</t>
  </si>
  <si>
    <t xml:space="preserve">Hotel Collection Queen Pillow Cases Set of 4, 1000 TC Egyptian Cotton Pillow Covers, Ultra Soft Cooling Bed Bedding, White</t>
  </si>
  <si>
    <t xml:space="preserve">https://www.amazon.com/dp/B0GKXKMQLK</t>
  </si>
  <si>
    <t xml:space="preserve">B0DR5VM9NS</t>
  </si>
  <si>
    <t xml:space="preserve">THREAD SPREAD 100% Organic Cotton Pillow Cases Standard Size - Natural Cotton Pillow Cases Queen Size Set of 2 (White), Soft, Cooling, Crisp &amp; Breathable Percale Weave Pillowcase, GOTS Certified</t>
  </si>
  <si>
    <t xml:space="preserve">https://www.amazon.com/dp/B0DR5VM9NS</t>
  </si>
  <si>
    <t xml:space="preserve">B09Y97KHHL</t>
  </si>
  <si>
    <t xml:space="preserve">PURE ERA Jersey Knit Pillow Cases Solid Forest Green Standard</t>
  </si>
  <si>
    <t xml:space="preserve">https://www.amazon.com/dp/B09Y97KHHL</t>
  </si>
  <si>
    <t xml:space="preserve">B071SG5WVQ</t>
  </si>
  <si>
    <t xml:space="preserve">Standard Pillow Protectors with Zipper, Cotton Pillow Covers</t>
  </si>
  <si>
    <t xml:space="preserve">https://www.amazon.com/dp/B071SG5WVQ</t>
  </si>
  <si>
    <t xml:space="preserve">B0758CJ7X9</t>
  </si>
  <si>
    <t xml:space="preserve">California Design Den 2-Pack King Size Pillow Cases,100% Cotton Sateen</t>
  </si>
  <si>
    <t xml:space="preserve">https://www.amazon.com/dp/B0758CJ7X9</t>
  </si>
  <si>
    <t xml:space="preserve">B09PFMZCZQ</t>
  </si>
  <si>
    <t xml:space="preserve">Pillow Cases King Size 100% Cotton Percale Set of 2, White</t>
  </si>
  <si>
    <t xml:space="preserve">https://www.amazon.com/dp/B09PFMZCZQ</t>
  </si>
  <si>
    <t xml:space="preserve">B09PFM895L</t>
  </si>
  <si>
    <t xml:space="preserve">Pillow Cases Standard Queen Size Cotton Percale Set of 2, Light Gray</t>
  </si>
  <si>
    <t xml:space="preserve">https://www.amazon.com/dp/B09PFM895L</t>
  </si>
  <si>
    <t xml:space="preserve">B01LVU7THF</t>
  </si>
  <si>
    <t xml:space="preserve">ZIMASILK 100% Pure Mulberry Silk Pillow Cases for Hair and Skin, Queen</t>
  </si>
  <si>
    <t xml:space="preserve">List: $25.99 | List: | Save 5% on 2 select item(s)</t>
  </si>
  <si>
    <t xml:space="preserve">https://www.amazon.com/dp/B01LVU7THF</t>
  </si>
  <si>
    <t xml:space="preserve">PlushDeluxe Bamboo Waterproof Mattress Protector, Queen Size, Ultra Soft</t>
  </si>
  <si>
    <t xml:space="preserve">LIVE_US_protector</t>
  </si>
  <si>
    <t xml:space="preserve">https://www.amazon.com/dp/B07HC2WHS1</t>
  </si>
  <si>
    <t xml:space="preserve">B003PWNH4Q</t>
  </si>
  <si>
    <t xml:space="preserve">SafeRest</t>
  </si>
  <si>
    <t xml:space="preserve">SafeRest Waterproof Queen Size Mattress Protector</t>
  </si>
  <si>
    <t xml:space="preserve">Save 30% with coupon | Save 30% with coupon</t>
  </si>
  <si>
    <t xml:space="preserve">https://www.amazon.com/dp/B003PWNH4Q</t>
  </si>
  <si>
    <t xml:space="preserve">B07H71SBC4</t>
  </si>
  <si>
    <t xml:space="preserve">PlushDeluxe Bamboo Waterproof Mattress Protector, King Size, Ultra Soft</t>
  </si>
  <si>
    <t xml:space="preserve">https://www.amazon.com/dp/B07H71SBC4</t>
  </si>
  <si>
    <t xml:space="preserve">Utopia Bedding 100% Waterproof Queen Size Mattress Protector Noiseless</t>
  </si>
  <si>
    <t xml:space="preserve">https://www.amazon.com/dp/B00MRHA96O</t>
  </si>
  <si>
    <t xml:space="preserve">B0BXWJLG9W</t>
  </si>
  <si>
    <t xml:space="preserve">King Mattress Protector, 100% Waterproof Mattress Cover King Size Bed</t>
  </si>
  <si>
    <t xml:space="preserve">https://www.amazon.com/dp/B0BXWJLG9W</t>
  </si>
  <si>
    <t xml:space="preserve">B0DQKZ5W6T</t>
  </si>
  <si>
    <t xml:space="preserve">Amazon Basics Waterproof Mattress Protector, Full Size, 18-Inch Deep Pocket, White</t>
  </si>
  <si>
    <t xml:space="preserve">https://www.amazon.com/dp/B0DQKZ5W6T</t>
  </si>
  <si>
    <t xml:space="preserve">B0HMH64XTD</t>
  </si>
  <si>
    <t xml:space="preserve">Queen Size Waterproof Mattress Protector, Gray Mattress Pad, 6"-16" Deep Pocket Dirt-Proof Washable Soft Breathable Bed Cover for Home Bedroom, Hotel</t>
  </si>
  <si>
    <t xml:space="preserve">https://www.amazon.com/dp/B0HMH64XTD</t>
  </si>
  <si>
    <t xml:space="preserve">B0BXWG6F6J</t>
  </si>
  <si>
    <t xml:space="preserve">Queen Mattress Protector, 100% Waterproof Mattress Cover Queen Size Bed</t>
  </si>
  <si>
    <t xml:space="preserve">https://www.amazon.com/dp/B0BXWG6F6J</t>
  </si>
  <si>
    <t xml:space="preserve">B003PWK2A8</t>
  </si>
  <si>
    <t xml:space="preserve">SafeRest Waterproof King Size Mattress Protector</t>
  </si>
  <si>
    <t xml:space="preserve">Save 30% with coupon</t>
  </si>
  <si>
    <t xml:space="preserve">9K+ bought in past month</t>
  </si>
  <si>
    <t xml:space="preserve">https://www.amazon.com/dp/B003PWK2A8</t>
  </si>
  <si>
    <t xml:space="preserve">B00U6HREPQ</t>
  </si>
  <si>
    <t xml:space="preserve">Utopia Bedding Waterproof Mattress Protector Queen Size, Zippered Mattress Encasement Bed Bug and Dust Mite Proof, Absorbent Six-Sided Mattress Cover</t>
  </si>
  <si>
    <t xml:space="preserve">https://www.amazon.com/dp/B00U6HREPQ</t>
  </si>
  <si>
    <t xml:space="preserve">B07HC4X8DJ</t>
  </si>
  <si>
    <t xml:space="preserve">PlushDeluxe Bamboo Waterproof Mattress Protector, Full Size, Ultra Soft</t>
  </si>
  <si>
    <t xml:space="preserve">https://www.amazon.com/dp/B07HC4X8DJ</t>
  </si>
  <si>
    <t xml:space="preserve">Full Size Mattress Protector Waterproof Mattress Topper Pad Cover Fitted</t>
  </si>
  <si>
    <t xml:space="preserve">https://www.amazon.com/dp/B08ZKQ4NVB</t>
  </si>
  <si>
    <t xml:space="preserve">B00MW50754</t>
  </si>
  <si>
    <t xml:space="preserve">Linenspa Waterproof Mattress Protector, Breathable, Noiseless, Full Size</t>
  </si>
  <si>
    <t xml:space="preserve">List: $16.99 | List:</t>
  </si>
  <si>
    <t xml:space="preserve">https://www.amazon.com/dp/B00MW50754</t>
  </si>
  <si>
    <t xml:space="preserve">B08BLYJX9N</t>
  </si>
  <si>
    <t xml:space="preserve">2 Pack Twin Waterproof Mattress Protector Deep Pocket Mattress Cover, Soft Breathable Mattress Pad, Fitted Noiseless Waterproof Bed Cover Stretch to 19"</t>
  </si>
  <si>
    <t xml:space="preserve">List: $24.95 | List:</t>
  </si>
  <si>
    <t xml:space="preserve">https://www.amazon.com/dp/B08BLYJX9N</t>
  </si>
  <si>
    <t xml:space="preserve">B0BG24Q1TB</t>
  </si>
  <si>
    <t xml:space="preserve">Bed Pads Washable Waterproof, Incontinence Bed Pads, 34" x 52", 2 Pack</t>
  </si>
  <si>
    <t xml:space="preserve">Reusable, Absorbent Underpads for Adults, Seniors and Pets, Ideal for Mattress, Sofa and Couch Protection</t>
  </si>
  <si>
    <t xml:space="preserve">https://www.amazon.com/dp/B0BG24Q1TB</t>
  </si>
  <si>
    <t xml:space="preserve">Linenspa Waterproof Mattress Protector, Queen Size – Fitted Sheet Style, Breathable, Machine Washable &amp; Dryer Safe, White</t>
  </si>
  <si>
    <t xml:space="preserve">https://www.amazon.com/dp/B00MW50FKG</t>
  </si>
  <si>
    <t xml:space="preserve">B003PWNGQU</t>
  </si>
  <si>
    <t xml:space="preserve">SafeRest Waterproof Full Size Mattress Protector</t>
  </si>
  <si>
    <t xml:space="preserve">List: $37.99 | List: | Save 30% with coupon</t>
  </si>
  <si>
    <t xml:space="preserve">https://www.amazon.com/dp/B003PWNGQU</t>
  </si>
  <si>
    <t xml:space="preserve">B0FKSMCZSH</t>
  </si>
  <si>
    <t xml:space="preserve">Waterproof Mattress Pad Queen, Quilted Fitted Queen Mattress Protector</t>
  </si>
  <si>
    <t xml:space="preserve">https://www.amazon.com/dp/B0FKSMCZSH</t>
  </si>
  <si>
    <t xml:space="preserve">Bedecor Queen Waterproof Mattress Protector, Soft Noiseless Cotton Terry</t>
  </si>
  <si>
    <t xml:space="preserve">List: $19.33 | List:</t>
  </si>
  <si>
    <t xml:space="preserve">https://www.amazon.com/dp/B071VHCJ3B</t>
  </si>
  <si>
    <t xml:space="preserve">B00EJOYNBA</t>
  </si>
  <si>
    <t xml:space="preserve">SureGuard Waterproof Mattress Protector, Queen Size Mattress Cover</t>
  </si>
  <si>
    <t xml:space="preserve">https://www.amazon.com/dp/B00EJOYNBA</t>
  </si>
  <si>
    <t xml:space="preserve">B0CFG5JX4L</t>
  </si>
  <si>
    <t xml:space="preserve">https://www.amazon.com/dp/B0CFG5JX4L</t>
  </si>
  <si>
    <t xml:space="preserve">B0H2YPDGDB</t>
  </si>
  <si>
    <t xml:space="preserve">BEDLORE Queen Waterproof Mattress Protector, Soft &amp; Breathable Mattress Pad</t>
  </si>
  <si>
    <t xml:space="preserve">https://www.amazon.com/dp/B0H2YPDGDB</t>
  </si>
  <si>
    <t xml:space="preserve">B0D45FTFM8</t>
  </si>
  <si>
    <t xml:space="preserve">SLEEP ZONE Waterproof Mattress Protector QUEEN Deep Pocket Breathable GREY</t>
  </si>
  <si>
    <t xml:space="preserve">https://www.amazon.com/dp/B0D45FTFM8</t>
  </si>
  <si>
    <t xml:space="preserve">B00SVHTFPU</t>
  </si>
  <si>
    <t xml:space="preserve">Utopia Bedding Twin Size Mattress Protector Zippered, 100% Waterproof</t>
  </si>
  <si>
    <t xml:space="preserve">https://www.amazon.com/dp/B00SVHTFPU</t>
  </si>
  <si>
    <t xml:space="preserve">B081D74NWK</t>
  </si>
  <si>
    <t xml:space="preserve">Queen Mattress Protector by PURE BAMBOO, Waterproof - Viscose Derived from Bamboo, Breathable, Noiseless Mattress Cover Protects Against Moisture, Spills, Stains (Queen)</t>
  </si>
  <si>
    <t xml:space="preserve">https://www.amazon.com/dp/B081D74NWK</t>
  </si>
  <si>
    <t xml:space="preserve">B0F3C3Q1MQ</t>
  </si>
  <si>
    <t xml:space="preserve">Organic King Mattress Protector -Top&amp;Side 100% Waterproof Protector</t>
  </si>
  <si>
    <t xml:space="preserve">Save 8% on 2 select item(s)</t>
  </si>
  <si>
    <t xml:space="preserve">https://www.amazon.com/dp/B0F3C3Q1MQ</t>
  </si>
  <si>
    <t xml:space="preserve">B0H7HQ8T4L</t>
  </si>
  <si>
    <t xml:space="preserve">Dual Waterproof Queen Mattress Protector Fitted Sheet Absorbent Terry Cover</t>
  </si>
  <si>
    <t xml:space="preserve">List: $15.99 | List:</t>
  </si>
  <si>
    <t xml:space="preserve">https://www.amazon.com/dp/B0H7HQ8T4L</t>
  </si>
  <si>
    <t xml:space="preserve">B0CFG3HMDJ</t>
  </si>
  <si>
    <t xml:space="preserve">SafeRest Waterproof California King Size Mattress Protector</t>
  </si>
  <si>
    <t xml:space="preserve">https://www.amazon.com/dp/B0CFG3HMDJ</t>
  </si>
  <si>
    <t xml:space="preserve">B01N4L4KLV</t>
  </si>
  <si>
    <t xml:space="preserve">Epica Incontinence Bed Pads Washable Waterproof, 34"x52" (2 Pack), USA Made</t>
  </si>
  <si>
    <t xml:space="preserve">https://www.amazon.com/dp/B01N4L4KLV</t>
  </si>
  <si>
    <t xml:space="preserve">B07YP7ZB2D</t>
  </si>
  <si>
    <t xml:space="preserve">Casper Sleep Waterproof Mattress Protector, Queen, White</t>
  </si>
  <si>
    <t xml:space="preserve">https://www.amazon.com/dp/B07YP7ZB2D</t>
  </si>
  <si>
    <t xml:space="preserve">B0CFG448PX</t>
  </si>
  <si>
    <t xml:space="preserve">SafeRest Sleepure Waterproof Mattress Protector King Size</t>
  </si>
  <si>
    <t xml:space="preserve">https://www.amazon.com/dp/B0CFG448PX</t>
  </si>
  <si>
    <t xml:space="preserve">B07HBW81W6</t>
  </si>
  <si>
    <t xml:space="preserve">PlushDeluxe Bamboo Waterproof Mattress Protector, Twin XL Size, Ultra Soft</t>
  </si>
  <si>
    <t xml:space="preserve">https://www.amazon.com/dp/B07HBW81W6</t>
  </si>
  <si>
    <t xml:space="preserve">B0CL4LYMFM</t>
  </si>
  <si>
    <t xml:space="preserve">Bedsure King Mattress Protector Waterproof with 8-21 Inches Deep Pocket</t>
  </si>
  <si>
    <t xml:space="preserve">List: $86.99 | List:</t>
  </si>
  <si>
    <t xml:space="preserve">https://www.amazon.com/dp/B0CL4LYMFM</t>
  </si>
  <si>
    <t xml:space="preserve">B01LR99P44</t>
  </si>
  <si>
    <t xml:space="preserve">GORILLA GRIP Washable Reusable Underpads, 52x34 White</t>
  </si>
  <si>
    <t xml:space="preserve">https://www.amazon.com/dp/B01LR99P44</t>
  </si>
  <si>
    <t xml:space="preserve">B0GTMZ2LCN</t>
  </si>
  <si>
    <t xml:space="preserve">Waterproof Queen Mattress Pad, Noiseless Mattress Protector Queen Size</t>
  </si>
  <si>
    <t xml:space="preserve">https://www.amazon.com/dp/B0GTMZ2LCN</t>
  </si>
  <si>
    <t xml:space="preserve">B0CJB4XKQQ</t>
  </si>
  <si>
    <t xml:space="preserve">Queen Waterproof Mattress Protector, Premium Viscose from Bamboo Mattress Pad Ultra Soft Breathable, Noiseless Mattress Cover Fitted 8"-21" Deep Pocket</t>
  </si>
  <si>
    <t xml:space="preserve">https://www.amazon.com/dp/B0CJB4XKQQ</t>
  </si>
  <si>
    <t xml:space="preserve">B0CC8XMKD9</t>
  </si>
  <si>
    <t xml:space="preserve">Bedsure Queen Mattress Protector, Quilted Waterproof Mattress Protector</t>
  </si>
  <si>
    <t xml:space="preserve">List: $43.99 | List:</t>
  </si>
  <si>
    <t xml:space="preserve">https://www.amazon.com/dp/B0CC8XMKD9</t>
  </si>
  <si>
    <t xml:space="preserve">B004L9BGSG</t>
  </si>
  <si>
    <t xml:space="preserve">Fresh Ideas Fitted Vinyl Mattress Protector, Waterproof, Hypoallergenic, 14" Pockets, Queen</t>
  </si>
  <si>
    <t xml:space="preserve">https://www.amazon.com/dp/B004L9BGSG</t>
  </si>
  <si>
    <t xml:space="preserve">B0HDRSYXBQ</t>
  </si>
  <si>
    <t xml:space="preserve">King Tencel Mattress Protector Premium Waterproof Mattress Protector</t>
  </si>
  <si>
    <t xml:space="preserve">https://www.amazon.com/dp/B0HDRSYXBQ</t>
  </si>
  <si>
    <t xml:space="preserve">B07H71Q7ZS</t>
  </si>
  <si>
    <t xml:space="preserve">PlushDeluxe Premium Viscose Mattress Protector – Cal-King Size, Waterproof, &amp; Ultra Soft Breathable Noiseless Washable Bed Mattress Cover for Comfort &amp; Protection 72X84 Inches</t>
  </si>
  <si>
    <t xml:space="preserve">https://www.amazon.com/dp/B07H71Q7ZS</t>
  </si>
  <si>
    <t xml:space="preserve">B098TTDPZV</t>
  </si>
  <si>
    <t xml:space="preserve">Serta Power Clean Triple Action Waterproof Mattress Pad, Queen</t>
  </si>
  <si>
    <t xml:space="preserve">https://www.amazon.com/dp/B098TTDPZV</t>
  </si>
  <si>
    <t xml:space="preserve">B0CRLFTLF4</t>
  </si>
  <si>
    <t xml:space="preserve">AllerEase Platinum Zip-Off Top Waterproof Mattress Protector Queen</t>
  </si>
  <si>
    <t xml:space="preserve">https://www.amazon.com/dp/B0CRLFTLF4</t>
  </si>
  <si>
    <t xml:space="preserve">B07ZJ59SZZ</t>
  </si>
  <si>
    <t xml:space="preserve">Heavy Absorbency Bed Pad, Washable and Reusable Incontinence Bed Underpads, 34"X36" (4 Pack), Waterproof Mattress Protector</t>
  </si>
  <si>
    <t xml:space="preserve">https://www.amazon.com/dp/B07ZJ59SZZ</t>
  </si>
  <si>
    <t xml:space="preserve">B003PWS9AI</t>
  </si>
  <si>
    <t xml:space="preserve">SafeRest Waterproof Twin Size Mattress Protector</t>
  </si>
  <si>
    <t xml:space="preserve">List: $33.99 | List: | Save 30% with coupon</t>
  </si>
  <si>
    <t xml:space="preserve">https://www.amazon.com/dp/B003PWS9AI</t>
  </si>
  <si>
    <t xml:space="preserve">B07K311J41</t>
  </si>
  <si>
    <t xml:space="preserve">Sealy 100% Cotton Top Waterproof Fitted Mattress Pad Queen</t>
  </si>
  <si>
    <t xml:space="preserve">https://www.amazon.com/dp/B07K311J41</t>
  </si>
  <si>
    <t xml:space="preserve">B07H6ZL63C</t>
  </si>
  <si>
    <t xml:space="preserve">PlushDeluxe Bamboo Waterproof Mattress Protector, Twin Size, Ultra Soft</t>
  </si>
  <si>
    <t xml:space="preserve">https://www.amazon.com/dp/B07H6ZL63C</t>
  </si>
  <si>
    <t xml:space="preserve">B000PKTWPO</t>
  </si>
  <si>
    <t xml:space="preserve">DMI Waterproof Mattress Protector and Mattress Cover, Soft, Encased Zippered Fit, Twin, Packaging may vary</t>
  </si>
  <si>
    <t xml:space="preserve">https://www.amazon.com/dp/B000PKTWPO</t>
  </si>
  <si>
    <t xml:space="preserve">B0DBM4DW3S</t>
  </si>
  <si>
    <t xml:space="preserve">2 Pack 36” x 54” Extra Heavy Absorbency Washable Underpads Bed Pads</t>
  </si>
  <si>
    <t xml:space="preserve">https://www.amazon.com/dp/B0DBM4DW3S</t>
  </si>
  <si>
    <t xml:space="preserve">B0F1T7DBCQ</t>
  </si>
  <si>
    <t xml:space="preserve">100% Cotton Box Stitch Quilt Set, King Size, Birch</t>
  </si>
  <si>
    <t xml:space="preserve">LIVE_US_quilt</t>
  </si>
  <si>
    <t xml:space="preserve">https://www.amazon.com/dp/B0F1T7DBCQ</t>
  </si>
  <si>
    <t xml:space="preserve">B0F99B96ZY</t>
  </si>
  <si>
    <t xml:space="preserve">WDCOZY 100% Cotton Queen Size Quilt Set, Channel Pick Stitch, Dusty Blue</t>
  </si>
  <si>
    <t xml:space="preserve">https://www.amazon.com/dp/B0F99B96ZY</t>
  </si>
  <si>
    <t xml:space="preserve">B0CJTDS7KL</t>
  </si>
  <si>
    <t xml:space="preserve">Levtex Home Cross Stitch Reversible Full/Queen Quilt Set (88x92in) with 2 Pillow Shams (26x20in) - Stitch Texture - Adobe - Cotton Full/Queen Size Quilt Bedding Set - Lightweight, Soft, Pre-Washed</t>
  </si>
  <si>
    <t xml:space="preserve">https://www.amazon.com/dp/B0CJTDS7KL</t>
  </si>
  <si>
    <t xml:space="preserve">B0GJ4QZV7M</t>
  </si>
  <si>
    <t xml:space="preserve">100% Cotton Quilt Set California King Grey Quilted Bedspread 3PC</t>
  </si>
  <si>
    <t xml:space="preserve">https://www.amazon.com/dp/B0GJ4QZV7M</t>
  </si>
  <si>
    <t xml:space="preserve">Beige 100% Cotton Quilt Queen Size Bedding Sets with 2 Pillow Shams, Textured Lightweight Soft Bedspread Shabby Chic Coverlet, Neutral Quilted Comforter Bed Cover for All Season, 3 Pieces</t>
  </si>
  <si>
    <t xml:space="preserve">https://www.amazon.com/dp/B0DK93ZPJH</t>
  </si>
  <si>
    <t xml:space="preserve">B0HCV8PTQV</t>
  </si>
  <si>
    <t xml:space="preserve">Perhom 100% Cotton Cabin Quilt Set Queen Size Lodge Farmhouse Bedding</t>
  </si>
  <si>
    <t xml:space="preserve">https://www.amazon.com/dp/B0HCV8PTQV</t>
  </si>
  <si>
    <t xml:space="preserve">B0G6K2SN4C</t>
  </si>
  <si>
    <t xml:space="preserve">Love's cabin Queen Size Cotton Quilt Set, 100% Cotton Fabric Striped Textured Coverlet with Crinkled Look, Lightweight Quilted Bedspread for All Season, Includes 2 Pillow Shams, White</t>
  </si>
  <si>
    <t xml:space="preserve">List: $57.99 | List:</t>
  </si>
  <si>
    <t xml:space="preserve">https://www.amazon.com/dp/B0G6K2SN4C</t>
  </si>
  <si>
    <t xml:space="preserve">B0CSFVY5ZQ</t>
  </si>
  <si>
    <t xml:space="preserve">HORIMOTE HOME 100% Cotton Quilt Set Queen Size, Denim Blue Pre-Washed Bedspreads Coverlet Set in Geometric Pattern, Cozy Lightweight Stitching Decorative Bedding Cover with 2 Shams for All Season</t>
  </si>
  <si>
    <t xml:space="preserve">https://www.amazon.com/dp/B0CSFVY5ZQ</t>
  </si>
  <si>
    <t xml:space="preserve">B0F248W129</t>
  </si>
  <si>
    <t xml:space="preserve">100% Cotton Striped Channel Quilt Set Queen Size, Olive Green</t>
  </si>
  <si>
    <t xml:space="preserve">https://www.amazon.com/dp/B0F248W129</t>
  </si>
  <si>
    <t xml:space="preserve">B0CW3DZVP7</t>
  </si>
  <si>
    <t xml:space="preserve">92" x 68", Twin 100% Cotton Waffle Weave Blanket for Bed (Navy)</t>
  </si>
  <si>
    <t xml:space="preserve">https://www.amazon.com/dp/B0CW3DZVP7</t>
  </si>
  <si>
    <t xml:space="preserve">B0CSFM63LK</t>
  </si>
  <si>
    <t xml:space="preserve">HORIMOTE HOME 100% Cotton Quilt Set King Size, Charcoal Pre-Washed Bedspreads Coverlet Set in Geometric Pattern, Cozy Lightweight Stitching Decorative Bedding Cover with 2 Shams for All Season</t>
  </si>
  <si>
    <t xml:space="preserve">https://www.amazon.com/dp/B0CSFM63LK</t>
  </si>
  <si>
    <t xml:space="preserve">B0FB2XY32K</t>
  </si>
  <si>
    <t xml:space="preserve">WDCOZY 100% Cotton Quilt Set, Pre-Washed, King, Beige, 3 Pieces</t>
  </si>
  <si>
    <t xml:space="preserve">https://www.amazon.com/dp/B0FB2XY32K</t>
  </si>
  <si>
    <t xml:space="preserve">B0CPBYVQ8M</t>
  </si>
  <si>
    <t xml:space="preserve">100% Cotton Gauze 55"X75" Twin 4 Layered Blanket- Navy Blue</t>
  </si>
  <si>
    <t xml:space="preserve">https://www.amazon.com/dp/B0CPBYVQ8M</t>
  </si>
  <si>
    <t xml:space="preserve">B0F9886RP7</t>
  </si>
  <si>
    <t xml:space="preserve">WDCOZY 100% Cotton Queen Size Quilt Set, Channel Pick Stitch, Olive Green</t>
  </si>
  <si>
    <t xml:space="preserve">https://www.amazon.com/dp/B0F9886RP7</t>
  </si>
  <si>
    <t xml:space="preserve">B091CBXCF8</t>
  </si>
  <si>
    <t xml:space="preserve">Queen Comforter Set for Bed - 100% Cotton Quilts Queen Size, Green, Sage Bedspreads (90 * 98 Inch) with 2 Pillow Shams, Patchwork Reversible Lightweight Bedding</t>
  </si>
  <si>
    <t xml:space="preserve">https://www.amazon.com/dp/B091CBXCF8</t>
  </si>
  <si>
    <t xml:space="preserve">B0DK94R5C1</t>
  </si>
  <si>
    <t xml:space="preserve">Olive Green 100% Cotton Quilt Queen Size Bedding Sets with 2 Pillow Shams, Textured Lightweight Soft Bedspread Shabby Chic Coverlet, Quilted Comforter Bed Cover for All Season, 3 Pieces</t>
  </si>
  <si>
    <t xml:space="preserve">https://www.amazon.com/dp/B0DK94R5C1</t>
  </si>
  <si>
    <t xml:space="preserve">B0BZT47RGP</t>
  </si>
  <si>
    <t xml:space="preserve">100% Cotton Waffle Weave Bed Blanket | Soft, Breathable, and Lightweight Blanket for All-Season | Perfect for Layering | Brielle Collection (Full/Queen, Navy)</t>
  </si>
  <si>
    <t xml:space="preserve">https://www.amazon.com/dp/B0BZT47RGP</t>
  </si>
  <si>
    <t xml:space="preserve">https://www.amazon.com/dp/B0GX69G5FT</t>
  </si>
  <si>
    <t xml:space="preserve">B0G436DMDY</t>
  </si>
  <si>
    <t xml:space="preserve">HORIMOTE HOME Yellow 100% Cotton Quilt King Size - Modern Waved Quilting, Pre-Washed Soft Breathable Cotton Bedding Set with 2 Pillowcases, Cozy Lightweight Bedspread Coverlet for All Season</t>
  </si>
  <si>
    <t xml:space="preserve">https://www.amazon.com/dp/B0G436DMDY</t>
  </si>
  <si>
    <t xml:space="preserve">B0HFR6L6NH</t>
  </si>
  <si>
    <t xml:space="preserve">NATUREFIELD 100% Cotton White Embroidered Lace Ruffle Quilt Set, Queen</t>
  </si>
  <si>
    <t xml:space="preserve">https://www.amazon.com/dp/B0HFR6L6NH</t>
  </si>
  <si>
    <t xml:space="preserve">B0CMQ7G5TH</t>
  </si>
  <si>
    <t xml:space="preserve">Bedsure 100% Cotton Blanket, Herringbone Weave, Queen Size, Linen Beige</t>
  </si>
  <si>
    <t xml:space="preserve">Breathable, Soft, Ideal for Fall Nights, Cozy Blanket for Women Gift, Christmas Decor, Not Pet-Friendly, 90x90 Inches | List: $47.99 | List:</t>
  </si>
  <si>
    <t xml:space="preserve">https://www.amazon.com/dp/B0CMQ7G5TH</t>
  </si>
  <si>
    <t xml:space="preserve">B07D4CQC61</t>
  </si>
  <si>
    <t xml:space="preserve">Quilt Set Queen Size, 100% Cotton Patchwork Green Bohemian Quilt Sets, Reversible Bedspread Lightweight and Breathable for All Seasons, Soft Quilted Bedspread with 2 Pillow Shams</t>
  </si>
  <si>
    <t xml:space="preserve">https://www.amazon.com/dp/B07D4CQC61</t>
  </si>
  <si>
    <t xml:space="preserve">B0F99BBHRW</t>
  </si>
  <si>
    <t xml:space="preserve">WDCOZY 100% Cotton Queen Size Quilt Set, Channel Pick Stitch, Beige Flax</t>
  </si>
  <si>
    <t xml:space="preserve">https://www.amazon.com/dp/B0F99BBHRW</t>
  </si>
  <si>
    <t xml:space="preserve">B0FVSB1BB7</t>
  </si>
  <si>
    <t xml:space="preserve">Bedsure PureWoven 100% Cotton Muslin Blanket 8-Layer, Queen, Linen Beige</t>
  </si>
  <si>
    <t xml:space="preserve">https://www.amazon.com/dp/B0FVSB1BB7</t>
  </si>
  <si>
    <t xml:space="preserve">B0H2H9T3QH</t>
  </si>
  <si>
    <t xml:space="preserve">100% Cotton Quilt Set Queen Size, Embroidered Cross Design, 3-Piece</t>
  </si>
  <si>
    <t xml:space="preserve">https://www.amazon.com/dp/B0H2H9T3QH</t>
  </si>
  <si>
    <t xml:space="preserve">B084T6XKTK</t>
  </si>
  <si>
    <t xml:space="preserve">Woolrich Mill Creek Reversible Quilt Set - Cottage Styling Reversed to Solid Color, All Season Lightweight Coverlet, Cozy Bedding Layer, Matching Shams, Oversized Full/Queen, Plaid Green 3 Piece</t>
  </si>
  <si>
    <t xml:space="preserve">https://www.amazon.com/dp/B084T6XKTK</t>
  </si>
  <si>
    <t xml:space="preserve">B0G6JMSYTQ</t>
  </si>
  <si>
    <t xml:space="preserve">EVENHUG 100% Cotton Quilt Set Queen Size Floral Patchwork Bedding Sets with Pillow Shams Breathable Lightweight Bedspreads Coverlet for All Season 3 Piece (92"x96")</t>
  </si>
  <si>
    <t xml:space="preserve">https://www.amazon.com/dp/B0G6JMSYTQ</t>
  </si>
  <si>
    <t xml:space="preserve">B0DXQ6LVS7</t>
  </si>
  <si>
    <t xml:space="preserve">100% Cotton Muslin Blanket for Adults, 6-Layer, King, 108 x 90, Beige Linen</t>
  </si>
  <si>
    <t xml:space="preserve">https://www.amazon.com/dp/B0DXQ6LVS7</t>
  </si>
  <si>
    <t xml:space="preserve">B0DK949HHC</t>
  </si>
  <si>
    <t xml:space="preserve">White 100% Cotton Quilt Queen Size Bedding Sets with 2 Pillow Shams, Textured Lightweight Soft Bedspread Shabby Chic Coverlet, Quilted Comforter Bed Cover for All Season, 3 Pieces</t>
  </si>
  <si>
    <t xml:space="preserve">https://www.amazon.com/dp/B0DK949HHC</t>
  </si>
  <si>
    <t xml:space="preserve">B0CGZRD1TB</t>
  </si>
  <si>
    <t xml:space="preserve">Quilt Set King Size, 100% Cotton Quilt Bedding Set Bedspread, Botanical Pattern Solid Color Chic Lightweight Quilted Comforter for King Bed, White/Grayish-Blue, All Season, 3 Pieces</t>
  </si>
  <si>
    <t xml:space="preserve">https://www.amazon.com/dp/B0CGZRD1TB</t>
  </si>
  <si>
    <t xml:space="preserve">B0B938WC1Q</t>
  </si>
  <si>
    <t xml:space="preserve">HORIMOTE HOME 100% Cotton Quilt Twin Size Beige Bedspread, Pre-Washed 2-Piece Cozy Lightweight Stitching Decorative Bedding Cover Coverlet Set with 1 Sham in Geometric Pattern for All Season</t>
  </si>
  <si>
    <t xml:space="preserve">https://www.amazon.com/dp/B0B938WC1Q</t>
  </si>
  <si>
    <t xml:space="preserve">B0DK91ZCTB</t>
  </si>
  <si>
    <t xml:space="preserve">100% Cotton Striped Channel Quilt Set King Size, Dusty Blue</t>
  </si>
  <si>
    <t xml:space="preserve">https://www.amazon.com/dp/B0DK91ZCTB</t>
  </si>
  <si>
    <t xml:space="preserve">B0FH6MB3FQ</t>
  </si>
  <si>
    <t xml:space="preserve">WDCOZY 100% Cotton Reversible Patchwork Quilt Queen Size, Lightweight Farmhouse Vintage Shabby Chic Bedding Set with 2 Pillow Shams, Green Floral Printed Pattern Bedspread Coverlet for All Seasons</t>
  </si>
  <si>
    <t xml:space="preserve">https://www.amazon.com/dp/B0FH6MB3FQ</t>
  </si>
  <si>
    <t xml:space="preserve">B0G6KD5C6S</t>
  </si>
  <si>
    <t xml:space="preserve">Love's cabin King Size Cotton Quilt Set, 100% Cotton Fabric Striped Textured Coverlet with Crinkled Look, Lightweight Quilted Bedspread for All Season, Includes 2 Pillow Shams, White</t>
  </si>
  <si>
    <t xml:space="preserve">https://www.amazon.com/dp/B0G6KD5C6S</t>
  </si>
  <si>
    <t xml:space="preserve">B0CM3CM3V7</t>
  </si>
  <si>
    <t xml:space="preserve">Bedsure PureWoven 100% Cotton Quilt Set, Queen Bedspread, Olive Green</t>
  </si>
  <si>
    <t xml:space="preserve">List: $94.99 | List:</t>
  </si>
  <si>
    <t xml:space="preserve">https://www.amazon.com/dp/B0CM3CM3V7</t>
  </si>
  <si>
    <t xml:space="preserve">B0DJWWRG6H</t>
  </si>
  <si>
    <t xml:space="preserve">XIBLC Boho Throw Blanket, 100% Cotton Ultra Soft Luxury Throw Rustic Quilt, 50"x60" Floral Bird Butterfly Farmhouse Decor Bed Blankets, All Season Rustic Reversible Bohemian Throw for Bed - Yellow</t>
  </si>
  <si>
    <t xml:space="preserve">Save 8% on 3 select item(s)</t>
  </si>
  <si>
    <t xml:space="preserve">https://www.amazon.com/dp/B0DJWWRG6H</t>
  </si>
  <si>
    <t xml:space="preserve">B0GFMT4B45</t>
  </si>
  <si>
    <t xml:space="preserve">WDCOZY Dark Beige 100% Cotton Quilt Queen Size Bedding Sets with 2 Pillow Shams, Floral Rosette Lightweight Bedspread Soft Farmhouse Patterned Coverlet Quilted Comforter Bed Cover All Season, 3 Pieces</t>
  </si>
  <si>
    <t xml:space="preserve">https://www.amazon.com/dp/B0GFMT4B45</t>
  </si>
  <si>
    <t xml:space="preserve">B0G6K6YW5C</t>
  </si>
  <si>
    <t xml:space="preserve">Love's cabin Queen Size Cotton Quilt Set, 100% Cotton Fabric Striped Textured Coverlet with Crinkled Look, Lightweight Quilted Bedspread for All Season, Includes 2 Pillow Shams, Grey</t>
  </si>
  <si>
    <t xml:space="preserve">https://www.amazon.com/dp/B0G6K6YW5C</t>
  </si>
  <si>
    <t xml:space="preserve">B0FZV5FXNW</t>
  </si>
  <si>
    <t xml:space="preserve">Exclusivo Mezcla Cotton Quilts Queen Size Blue</t>
  </si>
  <si>
    <t xml:space="preserve">https://www.amazon.com/dp/B0FZV5FXNW</t>
  </si>
  <si>
    <t xml:space="preserve">B083Z7R9VG</t>
  </si>
  <si>
    <t xml:space="preserve">Cozyholy Original 100% Cotton Quilt Full Queen Size Blue Floral Patchwork Quilt, Lightweight Reversible Bedspread Quilted Throw Blanket, Vintage Shabby Chic Cottage Bedding Coverlet for Bed Couch Sofa</t>
  </si>
  <si>
    <t xml:space="preserve">https://www.amazon.com/dp/B083Z7R9VG</t>
  </si>
  <si>
    <t xml:space="preserve">B0G6JY2FBX</t>
  </si>
  <si>
    <t xml:space="preserve">Love's cabin Queen Size Cotton Quilt Set, 100% Cotton Fabric Striped Textured Coverlet with Crinkled Look, Lightweight Quilted Bedspread for All Season, Includes 2 Pillow Shams, Bluish Grey</t>
  </si>
  <si>
    <t xml:space="preserve">https://www.amazon.com/dp/B0G6JY2FBX</t>
  </si>
  <si>
    <t xml:space="preserve">B0B5LF9YXF</t>
  </si>
  <si>
    <t xml:space="preserve">WDCOZY Cloud Soft Quilt Set, King Size, White, 3 Pieces 104x90 inches</t>
  </si>
  <si>
    <t xml:space="preserve">https://www.amazon.com/dp/B0B5LF9YXF</t>
  </si>
  <si>
    <t xml:space="preserve">B0DH29B3QW</t>
  </si>
  <si>
    <t xml:space="preserve">WDCOZY 100% Cotton Oversized King Quilt Set - Sage Green California Cal King Size Soft Lightweight Modern Bedspread, Farmhouse Country Rustic Coverlet, Textured Like Linen, Shabby Chic Bedding</t>
  </si>
  <si>
    <t xml:space="preserve">List: $81.99 | List:</t>
  </si>
  <si>
    <t xml:space="preserve">https://www.amazon.com/dp/B0DH29B3QW</t>
  </si>
  <si>
    <t xml:space="preserve">B0GYNHN6XM</t>
  </si>
  <si>
    <t xml:space="preserve">100% Cotton Patchwork Quilt Set Queen,Farmhouse Bedding,3-Piece</t>
  </si>
  <si>
    <t xml:space="preserve">https://www.amazon.com/dp/B0GYNHN6XM</t>
  </si>
  <si>
    <t xml:space="preserve">B0DN6XCXJ9</t>
  </si>
  <si>
    <t xml:space="preserve">Levtex Home Adare Taupe Reversible King/Cal King Quilt Set (106x92in) and 2 Pillow Shams (36x20in) - Floral Bedding - Taupe White - Cotton King Size Quilt Bedding Set - Lightweight, Soft, Pre-Washed</t>
  </si>
  <si>
    <t xml:space="preserve">https://www.amazon.com/dp/B0DN6XCXJ9</t>
  </si>
  <si>
    <t xml:space="preserve">https://www.amazon.com/dp/B003U3QT2C</t>
  </si>
  <si>
    <t xml:space="preserve">B01K6OCGWE</t>
  </si>
  <si>
    <t xml:space="preserve">Woolrich Reversible Quilt Cabin Lifestyle Design - All Season, Breathable Coverlet Bedspread Bedding Set, Matching Shams, Oversized King/Cal King, Tasha Plaid Tan/Brown 3 Piece</t>
  </si>
  <si>
    <t xml:space="preserve">https://www.amazon.com/dp/B01K6OCGWE</t>
  </si>
  <si>
    <t xml:space="preserve">B0H2DWKTGB</t>
  </si>
  <si>
    <t xml:space="preserve">100% Cotton Textured Light Quilt Set, Queen, Olive Green, 3 Pieces</t>
  </si>
  <si>
    <t xml:space="preserve">https://www.amazon.com/dp/B0H2DWKTGB</t>
  </si>
  <si>
    <t xml:space="preserve">B083DKPHTP</t>
  </si>
  <si>
    <t xml:space="preserve">vctops Farmhouse Green 2 Piece Embroidered Floral Quilted Bedspread Quilt Set 100% Cotton Reversible Patchwork Coverlet Set 1 Quilt and 1 Pillow Sham (Green,Twin)</t>
  </si>
  <si>
    <t xml:space="preserve">https://www.amazon.com/dp/B083DKPHTP</t>
  </si>
  <si>
    <t xml:space="preserve">B0G4VGR2T1</t>
  </si>
  <si>
    <t xml:space="preserve">100% Cotton Modern Grid Stitch Quilt Set, Queen Size, Birch</t>
  </si>
  <si>
    <t xml:space="preserve">https://www.amazon.com/dp/B0G4VGR2T1</t>
  </si>
  <si>
    <t xml:space="preserve">B0GDFS35ZW</t>
  </si>
  <si>
    <t xml:space="preserve">100% Cotton Floral Quilt Set, King Size, Sage Green 108"×96"</t>
  </si>
  <si>
    <t xml:space="preserve">https://www.amazon.com/dp/B0GDFS35ZW</t>
  </si>
  <si>
    <t xml:space="preserve">B0CH3RBV26</t>
  </si>
  <si>
    <t xml:space="preserve">100% Cotton Jacquard Quilt Floral Ginkgo Leaves Print,Soft Muslin Bed Cover 3 Layers Reversible Bedspread Coverlet Breathable Lightweight Bedding,King(98"x94"), No Pillow Sham</t>
  </si>
  <si>
    <t xml:space="preserve">https://www.amazon.com/dp/B0CH3RBV26</t>
  </si>
  <si>
    <t xml:space="preserve">B0G6K2VWG7</t>
  </si>
  <si>
    <t xml:space="preserve">Cotton Sateen Pick-Stitch Quilt Set, King Size, Stone Taupe</t>
  </si>
  <si>
    <t xml:space="preserve">List: $169.99 | List:</t>
  </si>
  <si>
    <t xml:space="preserve">https://www.amazon.com/dp/B0G6K2VWG7</t>
  </si>
  <si>
    <t xml:space="preserve">B071Z3DF7Y</t>
  </si>
  <si>
    <t xml:space="preserve">Cozy Line Home Fashions Benjamin Cute Dinosaur Plaid Navy Blue White Grey Bedding Quilt Set 100% Cotton Reversible Coverlet Bedspread Set for Kids Boy(Twin - 2 piece)</t>
  </si>
  <si>
    <t xml:space="preserve">Save $3.00 with coupon</t>
  </si>
  <si>
    <t xml:space="preserve">https://www.amazon.com/dp/B071Z3DF7Y</t>
  </si>
  <si>
    <t xml:space="preserve">B0C7G6MDW2</t>
  </si>
  <si>
    <t xml:space="preserve">Autumn Dream Cotton Bedspread Quilt Sets Reversible Bedding Coverlet Sets Comforter, Vintage Floral Patchwork Turquoise Bedspread, King Size</t>
  </si>
  <si>
    <t xml:space="preserve">https://www.amazon.com/dp/B0C7G6MDW2</t>
  </si>
  <si>
    <t xml:space="preserve">B0BTTTVD7N</t>
  </si>
  <si>
    <t xml:space="preserve">Laura Ashley - Twin Cotton Quilt with Sham, Reversible 2-Piece Bedding</t>
  </si>
  <si>
    <t xml:space="preserve">https://www.amazon.com/dp/B0BTTTVD7N</t>
  </si>
  <si>
    <t xml:space="preserve">LIVE_US_sheets</t>
  </si>
  <si>
    <t xml:space="preserve">B0DTSZH19S</t>
  </si>
  <si>
    <t xml:space="preserve">Casa Platino 100% Cotton 6 Pc Queen Sheets Set with 4 Pillowcases, 15" Deep Pocket, Durable Percale Weave Naturally Cooling Queen Bedding Set, Ultra Soft &amp; Cozy, Fit, Oeko Tex Certified – Blue Sky</t>
  </si>
  <si>
    <t xml:space="preserve">https://www.amazon.com/dp/B0DTSZH19S</t>
  </si>
  <si>
    <t xml:space="preserve">B06XS1P6NG</t>
  </si>
  <si>
    <t xml:space="preserve">California Design Den Soft 100% Cotton Sateen Queen Bed Sheets Set, White</t>
  </si>
  <si>
    <t xml:space="preserve">https://www.amazon.com/dp/B06XS1P6NG</t>
  </si>
  <si>
    <t xml:space="preserve">B0CW61SC1H</t>
  </si>
  <si>
    <t xml:space="preserve">TEXAS LINEN CO. 100% Organic Cotton Sheets Queen Size - 4 PC Organic Cotton Queen Size Percale Weave Sheet Set, Soft, Cooling, Crisp &amp; Breathable, 16" Deep Pocket Hotel Quality Bedding Set - White</t>
  </si>
  <si>
    <t xml:space="preserve">https://www.amazon.com/dp/B0CW61SC1H</t>
  </si>
  <si>
    <t xml:space="preserve">LANE LINEN Full Size Sheets 100% Organic Cotton 4pc Percale Cooling - White</t>
  </si>
  <si>
    <t xml:space="preserve">https://www.amazon.com/dp/B07RZ3NVWZ</t>
  </si>
  <si>
    <t xml:space="preserve">Soft Natural 100% Cotton Sateen Queen Sheets, 4 Pc Set, Bright White</t>
  </si>
  <si>
    <t xml:space="preserve">https://www.amazon.com/dp/B09X1P1L9F</t>
  </si>
  <si>
    <t xml:space="preserve">B0DTT67SPY</t>
  </si>
  <si>
    <t xml:space="preserve">Casa Platino Queen Sheets Set –100% Cotton Queen Sheets with 4 Pillowcases, Lightweight Feel &amp; Secure Fit, Crisp &amp; Breathable Percale Weave with 15" Deep Pocket, Soft and Cozy – Pure White</t>
  </si>
  <si>
    <t xml:space="preserve">https://www.amazon.com/dp/B0DTT67SPY</t>
  </si>
  <si>
    <t xml:space="preserve">B076TTFM9W</t>
  </si>
  <si>
    <t xml:space="preserve">Comfort Spaces 100% Cotton Percale Sheets Queen Size 4 Piece, Paisley Multi</t>
  </si>
  <si>
    <t xml:space="preserve">https://www.amazon.com/dp/B076TTFM9W</t>
  </si>
  <si>
    <t xml:space="preserve">RUVANTI 100% Cotton Queen Sheets, Percale Queen Sheet Set, Sweet Pea</t>
  </si>
  <si>
    <t xml:space="preserve">https://www.amazon.com/dp/B08ZM7TT87</t>
  </si>
  <si>
    <t xml:space="preserve">B0DXCC6P1Z</t>
  </si>
  <si>
    <t xml:space="preserve">Shilucheng 100% Egyptian Cotton Queen Size Sheets Set (White, Queen)</t>
  </si>
  <si>
    <t xml:space="preserve">https://www.amazon.com/dp/B0DXCC6P1Z</t>
  </si>
  <si>
    <t xml:space="preserve">B0CW5YYRH1</t>
  </si>
  <si>
    <t xml:space="preserve">TEXAS LINEN CO. 100% Organic Cotton Percale Sheet Full Size - White Cotton Percale Sheets Full, 4 Piece Full Percale Sheet Sets, Soft &amp; Crisp, Cooling Sheets, 16" Deep Pocket Hotel Sheets Full Size</t>
  </si>
  <si>
    <t xml:space="preserve">https://www.amazon.com/dp/B0CW5YYRH1</t>
  </si>
  <si>
    <t xml:space="preserve">B0H1HM9QJS</t>
  </si>
  <si>
    <t xml:space="preserve">100% Egyptian Cotton Sheet Set 4 Piece, Luxury 1000 Thread Count</t>
  </si>
  <si>
    <t xml:space="preserve">https://www.amazon.com/dp/B0H1HM9QJS</t>
  </si>
  <si>
    <t xml:space="preserve">B0CS9RTSXW</t>
  </si>
  <si>
    <t xml:space="preserve">California Design Den Soft 100% Cotton Sateen Queen Size Sheets, 4 Pcs Set</t>
  </si>
  <si>
    <t xml:space="preserve">https://www.amazon.com/dp/B0CS9RTSXW</t>
  </si>
  <si>
    <t xml:space="preserve">B0753KSRC6</t>
  </si>
  <si>
    <t xml:space="preserve">Feather &amp; Stitch 100% Cotton Sateen 500 TC King Size Bed Sheet Set</t>
  </si>
  <si>
    <t xml:space="preserve">https://www.amazon.com/dp/B0753KSRC6</t>
  </si>
  <si>
    <t xml:space="preserve">B01LXM2UWT</t>
  </si>
  <si>
    <t xml:space="preserve">Full Size 4 Piece Sheet Set - Comfy Breathable &amp; Cooling Sheets - White</t>
  </si>
  <si>
    <t xml:space="preserve">https://www.amazon.com/dp/B01LXM2UWT</t>
  </si>
  <si>
    <t xml:space="preserve">California Design Den Luxury 600 Thread Count Queen Sheets Set,Bright White</t>
  </si>
  <si>
    <t xml:space="preserve">https://www.amazon.com/dp/B075F8TCF2</t>
  </si>
  <si>
    <t xml:space="preserve">B0DNYQ4Q2M</t>
  </si>
  <si>
    <t xml:space="preserve">Amazon Basics 100% Organic Cotton Kids' Sheet Set with Pillowcase, Twin Size, Pale Pink</t>
  </si>
  <si>
    <t xml:space="preserve">https://www.amazon.com/dp/B0DNYQ4Q2M</t>
  </si>
  <si>
    <t xml:space="preserve">B0DSP46TJT</t>
  </si>
  <si>
    <t xml:space="preserve">Amazon Basics Soft Organic Cotton Sheet Set with 2 Pillowcases, Queen, White</t>
  </si>
  <si>
    <t xml:space="preserve">https://www.amazon.com/dp/B0DSP46TJT</t>
  </si>
  <si>
    <t xml:space="preserve">B0H7566P6G</t>
  </si>
  <si>
    <t xml:space="preserve">100% Egyptian Cotton Sheet 1000 TC, Durable 16” Deep Pocket Sheets</t>
  </si>
  <si>
    <t xml:space="preserve">https://www.amazon.com/dp/B0H7566P6G</t>
  </si>
  <si>
    <t xml:space="preserve">B0DFWBPL32</t>
  </si>
  <si>
    <t xml:space="preserve">ZOYER 100% Cotton Queen Sheets, Percale Weave, Fairy Meadows</t>
  </si>
  <si>
    <t xml:space="preserve">https://www.amazon.com/dp/B0DFWBPL32</t>
  </si>
  <si>
    <t xml:space="preserve">B0DFG9DPL1</t>
  </si>
  <si>
    <t xml:space="preserve">Comfort Spaces 100% Cotton Percale Sheets Full Sheet Set 4 Pcs, Pink</t>
  </si>
  <si>
    <t xml:space="preserve">https://www.amazon.com/dp/B0DFG9DPL1</t>
  </si>
  <si>
    <t xml:space="preserve">B08FYCBBWB</t>
  </si>
  <si>
    <t xml:space="preserve">Amazon Basics 4 Piece Comfortable Cotton Jersey Bed Sheet Set, Includes Soft Flat and Fitted Sheets, Pillowcase, Queen, White, Solid</t>
  </si>
  <si>
    <t xml:space="preserve">https://www.amazon.com/dp/B08FYCBBWB</t>
  </si>
  <si>
    <t xml:space="preserve">B09X1Q23X4</t>
  </si>
  <si>
    <t xml:space="preserve">Soft Natural 100% Cotton Sateen Full Size Sheets, 4 Pc Set, Bright White</t>
  </si>
  <si>
    <t xml:space="preserve">List: $38.99 | List:</t>
  </si>
  <si>
    <t xml:space="preserve">https://www.amazon.com/dp/B09X1Q23X4</t>
  </si>
  <si>
    <t xml:space="preserve">B00YGJ9FTS</t>
  </si>
  <si>
    <t xml:space="preserve">Full Size Sheet Sets - Breathable Luxury Sheets with Full Elastic &amp; Secure Corner Straps Built In - 1800 Supreme Collection Extra Soft Deep Pocket Bedding Set, Sheet Set, Full, Beige</t>
  </si>
  <si>
    <t xml:space="preserve">https://www.amazon.com/dp/B00YGJ9FTS</t>
  </si>
  <si>
    <t xml:space="preserve">B0DTTP3ZV3</t>
  </si>
  <si>
    <t xml:space="preserve">Casa Platino Queen Sheets Set – 100% Cotton Bed Sheets Queen, Breathable &amp; Crisp Percale 6 Piece Set, 15" Deep Pocket for A Secure Fit, Ultra Soft &amp; Cozy, Fit – Navy Blue</t>
  </si>
  <si>
    <t xml:space="preserve">https://www.amazon.com/dp/B0DTTP3ZV3</t>
  </si>
  <si>
    <t xml:space="preserve">B09X1P1PNC</t>
  </si>
  <si>
    <t xml:space="preserve">Soft Natural 100% Cotton Sateen King Size Sheets Set, 4 Pcs, Bright White</t>
  </si>
  <si>
    <t xml:space="preserve">https://www.amazon.com/dp/B09X1P1PNC</t>
  </si>
  <si>
    <t xml:space="preserve">TEXAS LINEN CO. 100% Organic Cotton Percale Sheets King Size - 4 PC White Organic Sheets King Set, Soft, Crisp &amp; Cooling, Fully Elasticized 16" Deep Pocket Hotel Bedsheet Set - GOTS Certified</t>
  </si>
  <si>
    <t xml:space="preserve">https://www.amazon.com/dp/B0CW5RTMXW</t>
  </si>
  <si>
    <t xml:space="preserve">B00NLLUMOE</t>
  </si>
  <si>
    <t xml:space="preserve">Mellanni</t>
  </si>
  <si>
    <t xml:space="preserve">Mellanni Iconic 4-Piece Bed Sheet Set, 16" Deep Pocket (Queen, White)</t>
  </si>
  <si>
    <t xml:space="preserve">List: $49.97 | List:</t>
  </si>
  <si>
    <t xml:space="preserve">https://www.amazon.com/dp/B00NLLUMOE</t>
  </si>
  <si>
    <t xml:space="preserve">Queen Sheets Set, 4 Pieces 16" Deep Pocket Hotel Luxury Bed Sheets, White</t>
  </si>
  <si>
    <t xml:space="preserve">https://www.amazon.com/dp/B09DT8PPPJ</t>
  </si>
  <si>
    <t xml:space="preserve">B0GGGQCLXS</t>
  </si>
  <si>
    <t xml:space="preserve">100% Egyptian Cotton Sheet Set 4 Piece, Luxury 1000 Thread Count(Queen, White)</t>
  </si>
  <si>
    <t xml:space="preserve">https://www.amazon.com/dp/B0GGGQCLXS</t>
  </si>
  <si>
    <t xml:space="preserve">B01JLMX1N0</t>
  </si>
  <si>
    <t xml:space="preserve">Woolrich Cotton Sheet Set Cottage Charms Print, 100% Cotton Flannel Sheets Warm &amp; Fuzzy Bedding Set Queen Size Sheets, Fitted Pocket Fits Up to 14" Mattress, Queen Brown Plaid, 4 Piece</t>
  </si>
  <si>
    <t xml:space="preserve">https://www.amazon.com/dp/B01JLMX1N0</t>
  </si>
  <si>
    <t xml:space="preserve">B06XWKZ4JZ</t>
  </si>
  <si>
    <t xml:space="preserve">Lacoste 100% Cotton Percale 4-Piece Sheet Set, Vintage Indigo, Queen</t>
  </si>
  <si>
    <t xml:space="preserve">List: $63.00 | List:</t>
  </si>
  <si>
    <t xml:space="preserve">https://www.amazon.com/dp/B06XWKZ4JZ</t>
  </si>
  <si>
    <t xml:space="preserve">B0CW5WCKVV</t>
  </si>
  <si>
    <t xml:space="preserve">TEXAS LINEN CO. 100% Organic Cotton Sheets Twin Size - 3 PC Organic Cotton Percale Sheets Twin Set (White), Soft, Cooling Breatable Bedsheets, 16" Deep Pocket Hotel Bedding - GOTS Certified</t>
  </si>
  <si>
    <t xml:space="preserve">List: $26.99 | List:</t>
  </si>
  <si>
    <t xml:space="preserve">https://www.amazon.com/dp/B0CW5WCKVV</t>
  </si>
  <si>
    <t xml:space="preserve">B0BZMYN1RB</t>
  </si>
  <si>
    <t xml:space="preserve">Lane Linen 450TC 100% Cotton Sateen Queen Sheets, White, OEKO-TEX Certified</t>
  </si>
  <si>
    <t xml:space="preserve">https://www.amazon.com/dp/B0BZMYN1RB</t>
  </si>
  <si>
    <t xml:space="preserve">B00LZKCK34</t>
  </si>
  <si>
    <t xml:space="preserve">Laura Ashley - Twin Sheet Set with Fitted Sheet &amp; Pillowcase</t>
  </si>
  <si>
    <t xml:space="preserve">https://www.amazon.com/dp/B00LZKCK34</t>
  </si>
  <si>
    <t xml:space="preserve">B0BXSKSJHY</t>
  </si>
  <si>
    <t xml:space="preserve">Lane Linen 100% Cotton Queen Flannel Sheets Set - Brushed for Extra Softness - Lightweight &amp; Durable Cotton Flannel Queen Sheets Set - Warm &amp; Cozy Fall Bed Sheets, 15" Deep Pocket - Buffalo Checks Red</t>
  </si>
  <si>
    <t xml:space="preserve">https://www.amazon.com/dp/B0BXSKSJHY</t>
  </si>
  <si>
    <t xml:space="preserve">B0789W3KKK</t>
  </si>
  <si>
    <t xml:space="preserve">Eddie Bauer - Twin Size Sheet Set with Fitted Sheet &amp; Pillowcase</t>
  </si>
  <si>
    <t xml:space="preserve">https://www.amazon.com/dp/B0789W3KKK</t>
  </si>
  <si>
    <t xml:space="preserve">B0CS9LXBG3</t>
  </si>
  <si>
    <t xml:space="preserve">RUVANTI 100% Cotton Organic Percale King Size Sheets Set, Halcyon</t>
  </si>
  <si>
    <t xml:space="preserve">https://www.amazon.com/dp/B0CS9LXBG3</t>
  </si>
  <si>
    <t xml:space="preserve">B07QL61STL</t>
  </si>
  <si>
    <t xml:space="preserve">Best Season 400 Thread Count Cotton Queen Size Sheet Set (Pink Color) 4 Piece - 100% Long Staple Cotton Sheets Set, Soft Cotton Bed Sheets Sets with Deep Pocket fit Upto 16 inch</t>
  </si>
  <si>
    <t xml:space="preserve">https://www.amazon.com/dp/B07QL61STL</t>
  </si>
  <si>
    <t xml:space="preserve">B0CLK671YC</t>
  </si>
  <si>
    <t xml:space="preserve">DOZ by SIJO 100% GOTS Certified Organic Cotton Sheet, Ultra Percale Long Staple Cotton, Cool Crisp, Lightweight Breathable, Deep Pocket, 3pc – 2 Pillowcases 1 Fitted (Snow, Queen)</t>
  </si>
  <si>
    <t xml:space="preserve">https://www.amazon.com/dp/B0CLK671YC</t>
  </si>
  <si>
    <t xml:space="preserve">B0GRVJJMSJ</t>
  </si>
  <si>
    <t xml:space="preserve">Soft 100% Cotton Deep Pocket Queen Sheets, 4 Pc Set, White</t>
  </si>
  <si>
    <t xml:space="preserve">https://www.amazon.com/dp/B0GRVJJMSJ</t>
  </si>
  <si>
    <t xml:space="preserve">B073ZY6XH3</t>
  </si>
  <si>
    <t xml:space="preserve">EASELAND Queen Size Mattress Pad Cotton Pillow Top Mattress Topper White</t>
  </si>
  <si>
    <t xml:space="preserve">LIVE_US_topper</t>
  </si>
  <si>
    <t xml:space="preserve">https://www.amazon.com/dp/B073ZY6XH3</t>
  </si>
  <si>
    <t xml:space="preserve">B0HF7T3TRW</t>
  </si>
  <si>
    <t xml:space="preserve">5 Inch Memory Foam Mattress Topper King, Cooling Extra Thick 2500 GSM Pillow Top Mattress Pad for Back Pain Relief,Soft Breathable Mattress Cover for Fluffy Shredded Memory Foam Filled (78"x80")</t>
  </si>
  <si>
    <t xml:space="preserve">Save $60.00 with coupon</t>
  </si>
  <si>
    <t xml:space="preserve">https://www.amazon.com/dp/B0HF7T3TRW</t>
  </si>
  <si>
    <t xml:space="preserve">B0H3234VZD</t>
  </si>
  <si>
    <t xml:space="preserve">Dual Layer 4 Inch Memory Foam Mattress Topper King</t>
  </si>
  <si>
    <t xml:space="preserve">https://www.amazon.com/dp/B0H3234VZD</t>
  </si>
  <si>
    <t xml:space="preserve">B01MYN9K5B</t>
  </si>
  <si>
    <t xml:space="preserve">Linenspa 2 Inch Gel Memory Foam Mattress Topper, Plush, Cooling, Queen Size</t>
  </si>
  <si>
    <t xml:space="preserve">https://www.amazon.com/dp/B01MYN9K5B</t>
  </si>
  <si>
    <t xml:space="preserve">B0GCD1F8DZ</t>
  </si>
  <si>
    <t xml:space="preserve">Mattress Pad Queen Size, Cooling Pillow Top Mattress Topper, Ultra Soft Viscose Made from Bamboo, Breathable for Hot Sleepers, Deep Pocket 8"-20", Green</t>
  </si>
  <si>
    <t xml:space="preserve">https://www.amazon.com/dp/B0GCD1F8DZ</t>
  </si>
  <si>
    <t xml:space="preserve">B0HHJ2PRRY</t>
  </si>
  <si>
    <t xml:space="preserve">3 Inch Ultra-Fluffy Memory Foam Mattress Topper Queen for Back Pain, Soft Comfy Pillow Top Queen Mattress Topper with 4X Support, Mattress Pad with Breathable Air Mesh Sides, 6-21'' Deep Pocket</t>
  </si>
  <si>
    <t xml:space="preserve">https://www.amazon.com/dp/B0HHJ2PRRY</t>
  </si>
  <si>
    <t xml:space="preserve">B0GZYB34M3</t>
  </si>
  <si>
    <t xml:space="preserve">Memory Foam Mattress Topper King Size, 3" Thick Pillow Top Mattress Pad with Stretchable Pockets, Fits 6"-18" Mattresses, Bed Mattress Protector for Back Pain Relief, 78"x80"</t>
  </si>
  <si>
    <t xml:space="preserve">https://www.amazon.com/dp/B0GZYB34M3</t>
  </si>
  <si>
    <t xml:space="preserve">B0H49SMLJ6</t>
  </si>
  <si>
    <t xml:space="preserve">Queen 4 Inch Dual Layer Memory Foam Mattress Topper, Cooling Gel Pad</t>
  </si>
  <si>
    <t xml:space="preserve">Save $54.00 with coupon</t>
  </si>
  <si>
    <t xml:space="preserve">https://www.amazon.com/dp/B0H49SMLJ6</t>
  </si>
  <si>
    <t xml:space="preserve">B07MY34QH7</t>
  </si>
  <si>
    <t xml:space="preserve">Linenspa 3 Inch Gel Memory Foam Mattress Topper, Plush, Cooling, Queen Size</t>
  </si>
  <si>
    <t xml:space="preserve">https://www.amazon.com/dp/B07MY34QH7</t>
  </si>
  <si>
    <t xml:space="preserve">SINWEEK 2 Inch Gel Memory Foam Mattress Topper, Twin Size</t>
  </si>
  <si>
    <t xml:space="preserve">https://www.amazon.com/dp/B09DCSGK84</t>
  </si>
  <si>
    <t xml:space="preserve">B0CS6JRNPW</t>
  </si>
  <si>
    <t xml:space="preserve">Dual Layer 4 Inch Memory Foam Mattress Topper Queen</t>
  </si>
  <si>
    <t xml:space="preserve">List: $124.99 | List: | Save 5% on 2 select item(s)</t>
  </si>
  <si>
    <t xml:space="preserve">https://www.amazon.com/dp/B0CS6JRNPW</t>
  </si>
  <si>
    <t xml:space="preserve">B07413BLNN</t>
  </si>
  <si>
    <t xml:space="preserve">EASELAND King Size Mattress Pad Cotton Pillow Top Mattress Topper White</t>
  </si>
  <si>
    <t xml:space="preserve">https://www.amazon.com/dp/B07413BLNN</t>
  </si>
  <si>
    <t xml:space="preserve">B07V5K36FL</t>
  </si>
  <si>
    <t xml:space="preserve">Tempur-Pedic TEMPUR-Adapt + Cooling 3-Inch King Mattress Topper Medium Luxury Premium Foam, Washable Cover, Medium Cooling Topper,white</t>
  </si>
  <si>
    <t xml:space="preserve">https://www.amazon.com/dp/B07V5K36FL</t>
  </si>
  <si>
    <t xml:space="preserve">B0HFHD4ZCK</t>
  </si>
  <si>
    <t xml:space="preserve">4 Inch Cooling Memory Foam Mattress Topper Queen, Back Pain Relief</t>
  </si>
  <si>
    <t xml:space="preserve">https://www.amazon.com/dp/B0HFHD4ZCK</t>
  </si>
  <si>
    <t xml:space="preserve">B0HF81XXVJ</t>
  </si>
  <si>
    <t xml:space="preserve">5 Inch Memory Foam Mattress Topper Queen, 2000 GSM Fill Pillow Top</t>
  </si>
  <si>
    <t xml:space="preserve">Save $30.00 with coupon</t>
  </si>
  <si>
    <t xml:space="preserve">https://www.amazon.com/dp/B0HF81XXVJ</t>
  </si>
  <si>
    <t xml:space="preserve">B0DK35TTHV</t>
  </si>
  <si>
    <t xml:space="preserve">EGO 2 Inch Full Mattress Topper Gel Memory Foam for Pressure Relief</t>
  </si>
  <si>
    <t xml:space="preserve">https://www.amazon.com/dp/B0DK35TTHV</t>
  </si>
  <si>
    <t xml:space="preserve">B01MRL0H2B</t>
  </si>
  <si>
    <t xml:space="preserve">Linenspa 2 Inch Gel Memory Foam Mattress Topper, Plush, Cooling, Full Size</t>
  </si>
  <si>
    <t xml:space="preserve">https://www.amazon.com/dp/B01MRL0H2B</t>
  </si>
  <si>
    <t xml:space="preserve">Linenspa 3 Inch Gel Memory Foam Mattress Topper, Plush, Cooling, Full Size</t>
  </si>
  <si>
    <t xml:space="preserve">List: $77.99 | List:</t>
  </si>
  <si>
    <t xml:space="preserve">https://www.amazon.com/dp/B07MY2VQC9</t>
  </si>
  <si>
    <t xml:space="preserve">B0G3WPRFSL</t>
  </si>
  <si>
    <t xml:space="preserve">EGOHOME 3 Inch Queen Memory Foam Mattress Topper- Cooling Gel Infused</t>
  </si>
  <si>
    <t xml:space="preserve">https://www.amazon.com/dp/B0G3WPRFSL</t>
  </si>
  <si>
    <t xml:space="preserve">B0FVXTCBJP</t>
  </si>
  <si>
    <r>
      <rPr>
        <sz val="10"/>
        <color theme="1"/>
        <rFont val="Arial"/>
        <family val="2"/>
        <charset val="1"/>
      </rPr>
      <t xml:space="preserve">Premium Dual Layer 4 Inch Memory Foam Mattress Topper, 2 Inch Gel Memory Foam and 2 Inch Pillow Top Mattress Pad Cover for Back Pain, Extra Thick Comfort Support</t>
    </r>
    <r>
      <rPr>
        <sz val="10"/>
        <color theme="1"/>
        <rFont val="Linux Libertine G"/>
        <family val="2"/>
      </rPr>
      <t xml:space="preserve">（</t>
    </r>
    <r>
      <rPr>
        <sz val="10"/>
        <color theme="1"/>
        <rFont val="Arial"/>
        <family val="2"/>
        <charset val="1"/>
      </rPr>
      <t xml:space="preserve">Queen 60"x80"</t>
    </r>
    <r>
      <rPr>
        <sz val="10"/>
        <color theme="1"/>
        <rFont val="Linux Libertine G"/>
        <family val="2"/>
      </rPr>
      <t xml:space="preserve">）</t>
    </r>
  </si>
  <si>
    <t xml:space="preserve">https://www.amazon.com/dp/B0FVXTCBJP</t>
  </si>
  <si>
    <t xml:space="preserve">B0CCVBPNBT</t>
  </si>
  <si>
    <t xml:space="preserve">Dual Layer 5 Inch Memory Foam Mattress Topper King Size, 2 Inch Gel Memory Foam Plus 3 Inch 1450 GSM Down Alternative Quilted Pillow Top Mattress Pad Cover,Dark Gray</t>
  </si>
  <si>
    <t xml:space="preserve">https://www.amazon.com/dp/B0CCVBPNBT</t>
  </si>
  <si>
    <t xml:space="preserve">B0H9K7RH1X</t>
  </si>
  <si>
    <r>
      <rPr>
        <sz val="10"/>
        <color theme="1"/>
        <rFont val="Arial"/>
        <family val="2"/>
        <charset val="1"/>
      </rPr>
      <t xml:space="preserve">4 Inch Memory Foam Mattress Topper Queen Size for Back Pain Relief, Filled with Breathable Gel Memory Foam</t>
    </r>
    <r>
      <rPr>
        <sz val="10"/>
        <color theme="1"/>
        <rFont val="Linux Libertine G"/>
        <family val="2"/>
      </rPr>
      <t xml:space="preserve">，</t>
    </r>
    <r>
      <rPr>
        <sz val="10"/>
        <color theme="1"/>
        <rFont val="Arial"/>
        <family val="2"/>
        <charset val="1"/>
      </rPr>
      <t xml:space="preserve">Soft Fluffy Supportive Pressure Relief Mattress Topper,60"x80"</t>
    </r>
  </si>
  <si>
    <t xml:space="preserve">List: $119.99 | List: | Save 5% on 2 select item(s)</t>
  </si>
  <si>
    <t xml:space="preserve">https://www.amazon.com/dp/B0H9K7RH1X</t>
  </si>
  <si>
    <t xml:space="preserve">B0HF7QRG8Q</t>
  </si>
  <si>
    <t xml:space="preserve">5 Inch Mattress Topper King - Viscose Made from Bambu,2500GSM 3D+7D Down Alternative Fill Pillow Top Mattress Pad, Extra Soft for Back Pain (78"x80")</t>
  </si>
  <si>
    <t xml:space="preserve">https://www.amazon.com/dp/B0HF7QRG8Q</t>
  </si>
  <si>
    <t xml:space="preserve">B0HKFTTRS6</t>
  </si>
  <si>
    <t xml:space="preserve">Queen Mattress Topper, Soft Pillow Top Mattress Pad, for Back Pain Relief</t>
  </si>
  <si>
    <t xml:space="preserve">https://www.amazon.com/dp/B0HKFTTRS6</t>
  </si>
  <si>
    <t xml:space="preserve">B08LQD3FPP</t>
  </si>
  <si>
    <t xml:space="preserve">PERLECARE Queen 3 Inch Gel Memory Foam Mattress Topper with Cover</t>
  </si>
  <si>
    <t xml:space="preserve">https://www.amazon.com/dp/B08LQD3FPP</t>
  </si>
  <si>
    <t xml:space="preserve">B0741222B8</t>
  </si>
  <si>
    <t xml:space="preserve">EASELAND Full Size Mattress Pad Cotton Pillow Top Mattress Topper White</t>
  </si>
  <si>
    <t xml:space="preserve">List: $55.60 | List:</t>
  </si>
  <si>
    <t xml:space="preserve">https://www.amazon.com/dp/B0741222B8</t>
  </si>
  <si>
    <t xml:space="preserve">B0H7RQLZ4B</t>
  </si>
  <si>
    <t xml:space="preserve">2 inch Soft Mattress Topper Queen Size, Plush Polyester Fiber Bed Topper for Soft Support &amp; Pain Relief, 18" Deep Pocket, White</t>
  </si>
  <si>
    <t xml:space="preserve">https://www.amazon.com/dp/B0H7RQLZ4B</t>
  </si>
  <si>
    <t xml:space="preserve">B0BZ87ZQ7W</t>
  </si>
  <si>
    <t xml:space="preserve">Memory Foam Camping Mattress Pad, Sleeping Mat, Portable Roll Up Mattress for Adults, Camping Bed Pads for Sleepover, Car Bed with Travel Bag</t>
  </si>
  <si>
    <t xml:space="preserve">List: $62.99 | List:</t>
  </si>
  <si>
    <t xml:space="preserve">https://www.amazon.com/dp/B0BZ87ZQ7W</t>
  </si>
  <si>
    <t xml:space="preserve">B0CB5MJ1YC</t>
  </si>
  <si>
    <t xml:space="preserve">3 Inch 7-Zone Queen Mattress Topper, Egg Crate Memory Foam Mattress Topper</t>
  </si>
  <si>
    <t xml:space="preserve">List: $71.99 | List:</t>
  </si>
  <si>
    <t xml:space="preserve">https://www.amazon.com/dp/B0CB5MJ1YC</t>
  </si>
  <si>
    <t xml:space="preserve">B0GX1B4VYP</t>
  </si>
  <si>
    <t xml:space="preserve">MASVIS 3 Inch Queen Memory Foam Mattress Topper, Ventilated Gel Mattress Topper for Back Pain Relief, CertiPUR-US Certified, Removable Washable Cover, Wave Pattern Bed Topper,White</t>
  </si>
  <si>
    <t xml:space="preserve">https://www.amazon.com/dp/B0GX1B4VYP</t>
  </si>
  <si>
    <t xml:space="preserve">B0HF3MTSXS</t>
  </si>
  <si>
    <t xml:space="preserve">Queen Size 3 Inch Gel Memory Foam Mattress Topper, White</t>
  </si>
  <si>
    <t xml:space="preserve">https://www.amazon.com/dp/B0HF3MTSXS</t>
  </si>
  <si>
    <t xml:space="preserve">B0HFMVS6FC</t>
  </si>
  <si>
    <t xml:space="preserve">Fracho 4 Inch Queen Memory Foam Mattress Topper, Dual Layer Design with 2" Bamboo Rayon Pillow Top &amp; 2" Cooling Gel Memory Foam, CertiPUR-US Certified Medium-Firm Bed Topper for Pressure Relief</t>
  </si>
  <si>
    <t xml:space="preserve">List: $159.99 | List: | Save 5% on 2 select item(s)</t>
  </si>
  <si>
    <t xml:space="preserve">https://www.amazon.com/dp/B0HFMVS6FC</t>
  </si>
  <si>
    <t xml:space="preserve">B0HKG76456</t>
  </si>
  <si>
    <t xml:space="preserve">King Mattress Topper, for Side Sleepers, Hot Sleepers &amp; Back Pain Relief</t>
  </si>
  <si>
    <t xml:space="preserve">https://www.amazon.com/dp/B0HKG76456</t>
  </si>
  <si>
    <t xml:space="preserve">B01H2OCWC0</t>
  </si>
  <si>
    <t xml:space="preserve">Lucid 3 Inch Gel Memory Foam Mattress Topper, Plush, Ventilated, Full Size</t>
  </si>
  <si>
    <t xml:space="preserve">https://www.amazon.com/dp/B01H2OCWC0</t>
  </si>
  <si>
    <t xml:space="preserve">B0HHDVSF4H</t>
  </si>
  <si>
    <t xml:space="preserve">Memory Foam Mattress Topper Queen, Cooling Extra Soft Pillow Top Mattress Pad for Back Pain Relief,Soft Breathable Mattress Cover for Fluffy Shredded Memory Foam Filled (Queen, 60"x80")</t>
  </si>
  <si>
    <t xml:space="preserve">Save 50% with coupon</t>
  </si>
  <si>
    <t xml:space="preserve">https://www.amazon.com/dp/B0HHDVSF4H</t>
  </si>
  <si>
    <t xml:space="preserve">B0BVZ6NSLS</t>
  </si>
  <si>
    <t xml:space="preserve">SINWEEK 3 Inch Gel Memory Foam Mattress Topper Queen Size, Ventilated High Density Pad for Back Pain, Bed Topper with Removable Soft Cover, CertiPUR-US Certified</t>
  </si>
  <si>
    <t xml:space="preserve">https://www.amazon.com/dp/B0BVZ6NSLS</t>
  </si>
  <si>
    <t xml:space="preserve">B0D9WWJ3B3</t>
  </si>
  <si>
    <t xml:space="preserve">King Size Mattress Pad Protector - 100% Viscose Derived from Bamboo - White</t>
  </si>
  <si>
    <t xml:space="preserve">https://www.amazon.com/dp/B0D9WWJ3B3</t>
  </si>
  <si>
    <t xml:space="preserve">B01MSL0UA3</t>
  </si>
  <si>
    <t xml:space="preserve">ViscoSoft</t>
  </si>
  <si>
    <t xml:space="preserve">Viscosoft 3 Inch Memory Foam Mattress Topper Twin XL - College Dorm Upgrade</t>
  </si>
  <si>
    <t xml:space="preserve">https://www.amazon.com/dp/B01MSL0UA3</t>
  </si>
  <si>
    <t xml:space="preserve">B0DP671FYP</t>
  </si>
  <si>
    <t xml:space="preserve">Queen Mattress Topper Extra Thick, Cooling Plush Mattress Pad</t>
  </si>
  <si>
    <t xml:space="preserve">List: $29.99 | List: | Save 5% on 2 select item(s)</t>
  </si>
  <si>
    <t xml:space="preserve">https://www.amazon.com/dp/B0DP671FYP</t>
  </si>
  <si>
    <t xml:space="preserve">B0GCCZ81T5</t>
  </si>
  <si>
    <t xml:space="preserve">Mattress Pad Full Size, Cooling Pillow Top Mattress Topper, Ultra Soft Viscose Made from Bamboo, Breathable for Hot Sleepers, Deep Pocket 8"-20", Green</t>
  </si>
  <si>
    <t xml:space="preserve">https://www.amazon.com/dp/B0GCCZ81T5</t>
  </si>
  <si>
    <t xml:space="preserve">B01N41IPPI</t>
  </si>
  <si>
    <t xml:space="preserve">Linenspa 2 Inch Gel Memory Foam Mattress Topper, Plush, Cooling, Twin Size</t>
  </si>
  <si>
    <t xml:space="preserve">https://www.amazon.com/dp/B01N41IPPI</t>
  </si>
  <si>
    <t xml:space="preserve">B0GSDNRZLT</t>
  </si>
  <si>
    <t xml:space="preserve">2 Inch Mattress Topper 7-Zone Memory Foam Mattress Topper Pressure Relieve Soft Mattress Pad, CertiPUR-US Certified, Twin Size Blue</t>
  </si>
  <si>
    <t xml:space="preserve">https://www.amazon.com/dp/B0GSDNRZLT</t>
  </si>
  <si>
    <t xml:space="preserve">B0D22QFVJV</t>
  </si>
  <si>
    <t xml:space="preserve">3 Inch Ultra-Fluffy Memory Foam Mattress Topper Twin XL for Back Pain, Extra Soft Pillow Top Twin XL Mattress Topper with 4X Support, Mattress Pad with Breathable Air Mesh Sides, 6-21'' Deep Pocket</t>
  </si>
  <si>
    <t xml:space="preserve">https://www.amazon.com/dp/B0D22QFVJV</t>
  </si>
  <si>
    <t xml:space="preserve">B0HFHBPMY6</t>
  </si>
  <si>
    <t xml:space="preserve">3 Inch Cooling Memory Foam Mattress Topper Queen, Back Pain Relief</t>
  </si>
  <si>
    <t xml:space="preserve">Save $20.00 with coupon</t>
  </si>
  <si>
    <t xml:space="preserve">https://www.amazon.com/dp/B0HFHBPMY6</t>
  </si>
  <si>
    <t xml:space="preserve">B0HDN3RMM3</t>
  </si>
  <si>
    <t xml:space="preserve">4 Inch Memory Foam Mattress Topper King Size for Back Pain Relief(78"x80")</t>
  </si>
  <si>
    <t xml:space="preserve">https://www.amazon.com/dp/B0HDN3RMM3</t>
  </si>
  <si>
    <t xml:space="preserve">B0GF1K8HXK</t>
  </si>
  <si>
    <t xml:space="preserve">Bedsure 5 Inch Memory Foam Mattress Topper Queen, Viscose Made from Bamboo</t>
  </si>
  <si>
    <t xml:space="preserve">List: $176.99 | List: | Save 5% on 2 select item(s)</t>
  </si>
  <si>
    <t xml:space="preserve">https://www.amazon.com/dp/B0GF1K8HXK</t>
  </si>
  <si>
    <t xml:space="preserve">B08YQXH8HD</t>
  </si>
  <si>
    <t xml:space="preserve">ELEMUSE King Mattress Topper, Extra Thick Pillow Top Mattress Pad Cover</t>
  </si>
  <si>
    <t xml:space="preserve">https://www.amazon.com/dp/B08YQXH8HD</t>
  </si>
  <si>
    <t xml:space="preserve">B07MY1YW3Q</t>
  </si>
  <si>
    <t xml:space="preserve">Linenspa 3 Inch Gel Memory Foam Mattress Topper, Plush, Cooling, Twin Size</t>
  </si>
  <si>
    <t xml:space="preserve">https://www.amazon.com/dp/B07MY1YW3Q</t>
  </si>
  <si>
    <t xml:space="preserve">cards</t>
  </si>
  <si>
    <t xml:space="preserve">matched_prices</t>
  </si>
  <si>
    <t xml:space="preserve">min</t>
  </si>
  <si>
    <t xml:space="preserve">p25</t>
  </si>
  <si>
    <t xml:space="preserve">median</t>
  </si>
  <si>
    <t xml:space="preserve">p75</t>
  </si>
  <si>
    <t xml:space="preserve">max</t>
  </si>
  <si>
    <t xml:space="preserve">ratings_n</t>
  </si>
  <si>
    <t xml:space="preserve">median_ratings</t>
  </si>
  <si>
    <t xml:space="preserve">sponsored_cards</t>
  </si>
  <si>
    <t xml:space="preserve">brand_resolved</t>
  </si>
  <si>
    <t xml:space="preserve">top3_known_card_share</t>
  </si>
  <si>
    <t xml:space="preserve">top3</t>
  </si>
  <si>
    <t xml:space="preserve">DECOLURE / Bambaw / Hotel Sheets Direct</t>
  </si>
  <si>
    <t xml:space="preserve">Bedsure / Wake In Cloud / Sasttie</t>
  </si>
  <si>
    <t xml:space="preserve">Wake In Cloud / Bedsure / LIFETOWN</t>
  </si>
  <si>
    <t xml:space="preserve">Utopia Bedding / Linen Home / CGK</t>
  </si>
  <si>
    <t xml:space="preserve">Simple&amp;Opulence / Bedsure / MooMee</t>
  </si>
  <si>
    <t xml:space="preserve">Linenwalas / Bedsure / California Design Den</t>
  </si>
  <si>
    <t xml:space="preserve">Amazon Basics / California Design Den / Deep Dream</t>
  </si>
  <si>
    <t xml:space="preserve">Utopia Bedding / BEDLORE / Sasttie</t>
  </si>
  <si>
    <t xml:space="preserve">Joyreap / Utopia Bedding / PHF</t>
  </si>
  <si>
    <t xml:space="preserve">California Design Den / Amazon Basics / THREAD SPREAD</t>
  </si>
  <si>
    <t xml:space="preserve">Utopia Bedding / Niagara Sleep Solution / BEDLORE</t>
  </si>
  <si>
    <t xml:space="preserve">Love's cabin / DECOLURE / PHF</t>
  </si>
  <si>
    <t xml:space="preserve">GC GAVENO CAVAILIA / PRIME LINENS / Utopia Bedding</t>
  </si>
  <si>
    <t xml:space="preserve">GC GAVENO CAVAILIA / Yard / Dreams &amp; Drapes</t>
  </si>
  <si>
    <t xml:space="preserve">Utopia Bedding / Amazon Basics / Sapphire Collection</t>
  </si>
  <si>
    <t xml:space="preserve">Utopia Bedding / TEXAS LINEN CO. / Yard</t>
  </si>
  <si>
    <t xml:space="preserve">Sapphire Collection / Amazon Basics / Yard</t>
  </si>
  <si>
    <t xml:space="preserve">Silentnight / Amazon Basics / Utopia Bedding</t>
  </si>
  <si>
    <t xml:space="preserve">Silentnight / Littens / GC GAVENO CAVAILIA</t>
  </si>
  <si>
    <t xml:space="preserve">Utopia Bedding / GC GAVENO CAVAILIA / Elegant Comfort</t>
  </si>
  <si>
    <t xml:space="preserve">Silentnight / GC GAVENO CAVAILIA / GMTEXTILES</t>
  </si>
  <si>
    <t xml:space="preserve">Pure Bamboo / Bedsure / Love's cabin</t>
  </si>
  <si>
    <t xml:space="preserve">Bedsure / Love's cabin / Sasttie</t>
  </si>
  <si>
    <t xml:space="preserve">Bedsure / OAITE / BESTOUCH</t>
  </si>
  <si>
    <t xml:space="preserve">CGK / California Design Den / Hearth &amp; Harbor</t>
  </si>
  <si>
    <t xml:space="preserve">Bedsure / LANE LINEN / Simple&amp;Opulence</t>
  </si>
  <si>
    <t xml:space="preserve">Bedsure / Love's cabin / SIJO</t>
  </si>
  <si>
    <t xml:space="preserve">California Design Den / THREAD SPREAD / LANE LINEN</t>
  </si>
  <si>
    <t xml:space="preserve">SafeRest / PlushDeluxe / Utopia Bedding</t>
  </si>
  <si>
    <t xml:space="preserve">Love's cabin / Bedsure</t>
  </si>
  <si>
    <t xml:space="preserve">LANE LINEN / TEXAS LINEN CO. / Casa Platino</t>
  </si>
  <si>
    <t xml:space="preserve">LINENSPA / EASELAND / Lucid</t>
  </si>
  <si>
    <t xml:space="preserve">ASIN</t>
  </si>
  <si>
    <t xml:space="preserve">Byline</t>
  </si>
  <si>
    <t xml:space="preserve">Aplus DOM nodes</t>
  </si>
  <si>
    <t xml:space="preserve">Image thumbs</t>
  </si>
  <si>
    <t xml:space="preserve">Video/quality limitation</t>
  </si>
  <si>
    <t xml:space="preserve">Visible review cards</t>
  </si>
  <si>
    <t xml:space="preserve">URL</t>
  </si>
  <si>
    <t xml:space="preserve">Source</t>
  </si>
  <si>
    <t xml:space="preserve">Notes</t>
  </si>
  <si>
    <t xml:space="preserve">Observed seller</t>
  </si>
  <si>
    <t xml:space="preserve">Observed shipper</t>
  </si>
  <si>
    <t xml:space="preserve">Visit the LIFETOWN Store</t>
  </si>
  <si>
    <t xml:space="preserve">Video count not verified; DOM presence is not quality score</t>
  </si>
  <si>
    <t xml:space="preserve">PDP_CA_duvet</t>
  </si>
  <si>
    <t xml:space="preserve">Page text/specifications in evidence archive. Brand != seller != manufacturer. No inferred seller revenue.</t>
  </si>
  <si>
    <t xml:space="preserve">Amazon</t>
  </si>
  <si>
    <t xml:space="preserve">Visit the GMTEXTILES Store</t>
  </si>
  <si>
    <t xml:space="preserve">PDP_UK_topper</t>
  </si>
  <si>
    <t xml:space="preserve">Unverified</t>
  </si>
  <si>
    <t xml:space="preserve">Visit the Silentnight Store</t>
  </si>
  <si>
    <t xml:space="preserve">PDP_UK_protector</t>
  </si>
  <si>
    <t xml:space="preserve">Brand: Love's cabin</t>
  </si>
  <si>
    <t xml:space="preserve">2 video references; DOM presence is not quality score</t>
  </si>
  <si>
    <t xml:space="preserve">PDP_UK_bamboo</t>
  </si>
  <si>
    <t xml:space="preserve">Visit the Utopia Bedding Store</t>
  </si>
  <si>
    <t xml:space="preserve">PDP_UK_sheets</t>
  </si>
  <si>
    <t xml:space="preserve">Visit the Sapphire Collection Store</t>
  </si>
  <si>
    <t xml:space="preserve">PDP_UK_duvet</t>
  </si>
  <si>
    <t xml:space="preserve">Visit the PlushDeluxe Store</t>
  </si>
  <si>
    <t xml:space="preserve">8 video references; DOM presence is not quality score</t>
  </si>
  <si>
    <t xml:space="preserve">PDP_US_protector</t>
  </si>
  <si>
    <t xml:space="preserve">Visit the LANE LINEN Store</t>
  </si>
  <si>
    <t xml:space="preserve">PDP_US_sheets</t>
  </si>
  <si>
    <t xml:space="preserve">Homespun Global</t>
  </si>
  <si>
    <t xml:space="preserve">Visit the THREAD SPREAD Store</t>
  </si>
  <si>
    <t xml:space="preserve">PDP_CA_sheets</t>
  </si>
  <si>
    <t xml:space="preserve">Thread Spread</t>
  </si>
  <si>
    <t xml:space="preserve">Visit the Bedsure Store</t>
  </si>
  <si>
    <t xml:space="preserve">11 video references; DOM presence is not quality score</t>
  </si>
  <si>
    <t xml:space="preserve">PDP_US_duvet</t>
  </si>
  <si>
    <t xml:space="preserve">Bedsure Collections</t>
  </si>
  <si>
    <t xml:space="preserve">Visit the SONORO KATE Store</t>
  </si>
  <si>
    <t xml:space="preserve">PDP_US_bamboo</t>
  </si>
  <si>
    <t xml:space="preserve">Visit the Niagara Sleep Solution Store</t>
  </si>
  <si>
    <t xml:space="preserve">4 video references; DOM presence is not quality score</t>
  </si>
  <si>
    <t xml:space="preserve">PDP_CA_topper</t>
  </si>
  <si>
    <t xml:space="preserve">Niagara Sleep Solutions</t>
  </si>
  <si>
    <t xml:space="preserve">Visit the EASELAND Store</t>
  </si>
  <si>
    <t xml:space="preserve">17 video references; DOM presence is not quality score</t>
  </si>
  <si>
    <t xml:space="preserve">PDP_US_topper</t>
  </si>
  <si>
    <t xml:space="preserve">5 video references; DOM presence is not quality score</t>
  </si>
  <si>
    <t xml:space="preserve">PDP_CA_protector</t>
  </si>
  <si>
    <t xml:space="preserve">Utopia Brands</t>
  </si>
  <si>
    <t xml:space="preserve">Visit the Sasttie Store</t>
  </si>
  <si>
    <t xml:space="preserve">3 video references; DOM presence is not quality score</t>
  </si>
  <si>
    <t xml:space="preserve">PDP_CA_bamboo</t>
  </si>
  <si>
    <t xml:space="preserve">MMT_SASTTIE</t>
  </si>
  <si>
    <t xml:space="preserve">market</t>
  </si>
  <si>
    <t xml:space="preserve">review_id</t>
  </si>
  <si>
    <t xml:space="preserve">geo_date</t>
  </si>
  <si>
    <t xml:space="preserve">text</t>
  </si>
  <si>
    <t xml:space="preserve">reviewer_country</t>
  </si>
  <si>
    <t xml:space="preserve">vine</t>
  </si>
  <si>
    <t xml:space="preserve">verified</t>
  </si>
  <si>
    <t xml:space="preserve">themes</t>
  </si>
  <si>
    <t xml:space="preserve">method</t>
  </si>
  <si>
    <t xml:space="preserve">RL9SNNH75OSSL</t>
  </si>
  <si>
    <t xml:space="preserve">Canada on October 22, 2026</t>
  </si>
  <si>
    <t xml:space="preserve">MM2
5 out of 5 stars
Softest Sheets EVER + Amazing Price
Reviewed in Canada on October 22, 2026
Colour Name: WhiteSize: King
Verified Purchase
I just got into bed in these sheets and they are SO incredibly soft and airy. I’ll definitely be ordering at least another set. The price is is super reasonable as well, and they are much nicer than any other sheets I have that cost more than twice the price.
2 people found this helpful
Helpful
Report</t>
  </si>
  <si>
    <t xml:space="preserve">comfort_softness; value</t>
  </si>
  <si>
    <t xml:space="preserve">Case-insensitive keyword mentions; multi-label; no positive/negative classification; displayed helpfulness sample, not random.</t>
  </si>
  <si>
    <t xml:space="preserve">R1H0ZZKCIPN647</t>
  </si>
  <si>
    <t xml:space="preserve">Canada on October 3, 2026</t>
  </si>
  <si>
    <t xml:space="preserve">Linda B
4 out of 5 stars
Lovely soft and blue. Please don’t pill
Reviewed in Canada on October 3, 2026
Colour Name: Light BlueSize: Queen
Vine customer review of free product
I desperately needed new sheets. I had managed to accidentally rip a hole in my current fitted sheet while aggressively scrubbing at a stain, which seemed like a reasonably good indication that its two-year career had come to an end.
Enter these lovely blue sheets.
First impressions are very good. They’re extremely soft and have the silky, smooth feel you expect from bamboo-derived rayon. I also really like the colour. The light blue is pretty without being overly bright, and it gives the bed a fresh look.
There are a couple of design details here that I particularly appreciate. The fitted sheet has a tag clearly marked for the head of the bed. This may sound ridiculous, but if you have ever stood there turning and flipping a fitted sheet several times trying to figure out which way it goes, you hear me. Anything that eliminates unnecessary fitted-sheet gymnastics is welcome.
They’ve also added extra elastic straps at the corners to help keep the fitted sheet anchored to the mattress. It’s designed for mattresses up to 16 inches deep and has elastic around the entire edge as well. I’m hoping these features will keep it from working loose during the night, because a fitted sheet that slowly migrates off the mattress or folds under your butt is one of my particular pet peeves.
The bamboo-derived rayon is lightweight and breathable, and this type of fabric is known for helping move moisture away from the skin. That’s part of the appeal for people who tend to sleep warm. The 300-thread-count weave also gives the sheets a nice balance between being lightweight and feeling substantial rather than paper-thin.
There is one thing I’m reserving judgment on, though: durability.
I’ve had inexpensive silky sheets before that felt wonderful when they were new and then developed pilling after only a handful of washes. Rayon made from bamboo is soft and comfortable, but that doesn’t automatically make it exceptionally durable. The fibres can be more vulnerable to friction and rough washing than some sturdier cotton fabrics, and pilling can occur when they break or work their way to the surface.
These sheets specifically recommend washing separately on a gentle cycle and tumble drying on low, which I intend to follow. Hopefully, that will help preserve the fabric. I’m just not willing to declare them long-term winners until they’ve survived a reasonable number of trips through the laundry. After all, sheets need to be washed regularly.
At $70 for the queen-size four-piece set, I think the price is reasonable. Comparable bamboo-derived rayon sheet sets in Canada generally fall in the $50–$80 range, while more established bamboo-sheet brands can easily cost over $100. So these aren’t dirt cheap, but they’re also not unusually expensive for this type of fabric.
For that price, you’re getting some nice features beyond simply a pretty set of sheets: the bamboo-derived fabric, 300-thread-count construction, deep 16-inch pocket, full elastic edge, extra corner straps, envelope-style pillowcases and the extremely useful head-of-bed tag.
Please don’t pill. I’m begging you.
If they stay this soft and smooth after a few months of regular use, I’ll be very impressed.
Read more
One person found this helpful
Helpful
Report</t>
  </si>
  <si>
    <t xml:space="preserve">comfort_softness; thermal_breathability; fit_sizing; durability_pilling; colour_fading; care_wrinkles; value; authenticity_material</t>
  </si>
  <si>
    <t xml:space="preserve">R6URC0AT3TOOK</t>
  </si>
  <si>
    <t xml:space="preserve">Canada on October 24, 2026</t>
  </si>
  <si>
    <t xml:space="preserve">Sylvie V.
5 out of 5 stars
Très doux
Reviewed in Canada on October 24, 2026
Colour Name: Dark GreySize: Queen
Verified Purchase
Très bonne qualité pour le prix.
Helpful
Report
Translate review to English</t>
  </si>
  <si>
    <t xml:space="preserve">value</t>
  </si>
  <si>
    <t xml:space="preserve">R2VTZ23634KZWD</t>
  </si>
  <si>
    <t xml:space="preserve">Canada on October 11, 2026</t>
  </si>
  <si>
    <t xml:space="preserve">Maya
4 out of 5 stars
Fitted sheets that deliver what they promise.
Reviewed in Canada on October 11, 2026
Colour Name: Light GreySize: Queen
Vine customer review of free product
This add says these sheets are silky smooth, and they absolutely are.
They feel so fresh and soft, have a beautiful silk feel to them, without being as silky as silk (if that makes sense). If you try them, you will absolutely understand what I am trying to say. 
Regardless, they are quite lovely to sleep in, and do keep one quite cool. 
They also cool down so fast, so if you like to constantly looking for a new colder spot with your feet, this will be great for you.
When I first opened the pack, there were a lot of lose strings all over the sheets. Nothing that made any seems come undone, but I was worried for a minute. 
The stitching overall also felt a bit less-than, but in the end they have held up very well so far.
I love the extra stretch bands on the corners, and am so happy it has a side-marker, letting me know what way is up and down. Of course I am a rebel though, and always but the head end towards the bottom. 
I have washed it twice already now, and it does really well on a cold-gentle cycle and then on a low tumble dry.
The material dries pretty quickly too, so even hanging them (if you have the room) is absolutely an option. 
The sizing for my queen bed is quite giving, and even my very thick pillows fit into them without any problems, and the fitted sheet still has plenty of room on the corners, even though I have quite a high pillow-top on my mattress.
This means however that the corners of the sheet are a bit lower than the corners of my mattress. They get covered up with the other sheet and blankets anyways, but I understand how this might not please everyone. 
Overall, I still quite like these ones, and love the many colour options they have available.
100% Rayon, they truly help me stay cool at night, the colour is very close to the pictures in the add, they wash well, and at a current price-point of just under $70, they seem quite average for this material and size. 
Read more
Helpful
Report</t>
  </si>
  <si>
    <t xml:space="preserve">comfort_softness; thermal_breathability; fit_sizing; colour_fading; care_wrinkles; value; authenticity_material</t>
  </si>
  <si>
    <t xml:space="preserve">R24MPMD6GE3V1D</t>
  </si>
  <si>
    <t xml:space="preserve">Canada on October 16, 2026</t>
  </si>
  <si>
    <t xml:space="preserve">Amazon Customer
5 out of 5 stars
Incredibly soft
Reviewed in Canada on October 16, 2026
Colour Name: WhiteSize: Queen
Vine customer review of free product
These are easily the softest sheets and pillowcases I've used. They're comfortable, breathable, fit our queen bedding properly, and have a clean, simple appearance.
Coles Notes:
- The sheets arrive in a nicely presented package made from the same material as the bedding. Rather than being crammed into a disposable plastic bag, the set feels properly packaged, which makes a good first impression.
- The colour and appearance match the listing photos accurately, so there were no surprises when I unpacked them. It is worth noting that they are fairly opaque so you may see darker pillows through them.
- The overall manufacturing quality seems good. I didn't notice any problematic seams, loose threads, or other obvious defects.
- The standout feature is the softness. These are genuinely the softest sheets and pillowcases I've used, and you can tell as soon as you touch the material. They're very comfortable to sleep on and under, and I wish I'd switched to this type of bedding sooner.
- The fabric also feels breathable and comfortable during use. While I haven't done any specific temperature testing, I appreciate how pleasant they feel when sleeping.
- Went through washer/dryer without any issues.
- The set fits our queen-sized mattress and queen-sized pillows without any issues. The fitted sheet has enough stretch to get over the mattress fairly easily and stayed in place during use.
- The pillowcases have a simple flap at the opening that tucks the end of the pillow inside. It's a small detail, but it gives the bed a neater appearance and keeps the pillow from sticking out.
- At the time of ordering, the four-piece set was $64.99. Considering the quality, fit, and especially the softness, I think that's a fair price for a set of sheets I'm genuinely happy to use.
Read more
Helpful
Report</t>
  </si>
  <si>
    <t xml:space="preserve">comfort_softness; thermal_breathability; fit_sizing; colour_fading; care_wrinkles; value; packaging</t>
  </si>
  <si>
    <t xml:space="preserve">R2K6HB1NFLH630</t>
  </si>
  <si>
    <t xml:space="preserve">Canada on October 14, 2026</t>
  </si>
  <si>
    <t xml:space="preserve">Amazon Customer
3 out of 5 stars
No cooling provided
Reviewed in Canada on October 14, 2026
Colour Name: BeigeSize: King
Vine customer review of free product
I was impressed with how smooth and silky these sheets were right out of the package. I usually prefer cotton sheets but was drawn to these rayon ones as they claimed to be cooling sheets for hot sleepers. I have been sleeping on them for over 2 weeks now and do not find them to be cooling at all. The fabric feels a bit scratchy now that they have been washed a few times.
What I do like about them is the deep secure pockets and especially the corner straps. Those are an amazing addition and they work really well to keep the sheet in place on the bed. Rayon does wrinkle so you need to get them out of the washer and dryer quickly.
Overall I would say they are “okay”, however, I am disappointed in the fact that they do not provide any coolness while sleeping, as advertised.
One person found this helpful
Helpful
Report</t>
  </si>
  <si>
    <t xml:space="preserve">thermal_breathability; fit_sizing; care_wrinkles; authenticity_material; packaging</t>
  </si>
  <si>
    <t xml:space="preserve">ROQ4MCVN2V02Q</t>
  </si>
  <si>
    <t xml:space="preserve">nicolletiti1553
5 out of 5 stars
The sheets are a generous size
Reviewed in Canada on October 11, 2026
Colour Name: Olive GreenSize: Queen
Vine customer review of free product
Love, love, love the colour! Okay so my bedroom is many shades of green and this sheet set fits in perfectly. The set feels so soft and has a bit of a sheen to them and almost give silk vibes. The size of the sheets is very generous, I have a deep mattress and often struggle to find sheets that will fit my mattress but these are perfect. The top and bottom of the fitted sheet are marked so it is easy to put on the mattress and the corners have a wide elastic band that help to pull the fitted sheet snuggly around the corners leaving it smooth. The pillow cases fit bigger pillows and have a deep flap that keeps the case on the pillows and looking good. The stitching and seams on this set are all even &amp; straight without any frayed edges or wavy or odd lines. I am very pleased with this set.
Helpful
Report</t>
  </si>
  <si>
    <t xml:space="preserve">comfort_softness; fit_sizing; colour_fading</t>
  </si>
  <si>
    <t xml:space="preserve">R1NNKO7ASXBWNK</t>
  </si>
  <si>
    <t xml:space="preserve">Canada on October 9, 2026</t>
  </si>
  <si>
    <t xml:space="preserve">Uncle Ed
4 out of 5 stars
Comfortable Bamboo Rayon Sheets with Lightweight Fabric
Reviewed in Canada on October 9, 2026
Colour Name: SandSize: Queen
Vine customer review of free product
For $69.99 at the time of this review, I think this is a good-quality sheet set overall. I got the Sand colour, and the material has a soft, smooth feel.
The set is made from 100% rayon derived from bamboo and is listed as 300 thread count. It includes four pieces: a fitted sheet, flat sheet, and two 20 x 30 inch pillowcases. The fitted sheet is designed for mattresses up to 16 inches deep and has elastic around the entire edge plus four corner straps to help keep it in place.
There are also a couple of useful details that I like. The fitted sheet has a head tag that makes it easier to orient correctly on the mattress, and the pillowcases use an envelope closure so the pillows stay tucked inside.
The overall quality is good, but the fabric is relatively thin. It has a lightweight feel rather than the heavier feel some people may expect from bedding at this price.
The other noticeable issue is wrinkling. This material wrinkles very easily, so after washing and drying it does not come out looking particularly smooth. If a neat appearance is important, some additional effort may be needed.
The listing states that the set is OEKO-TEX Standard 100 certified and gives certification number 24.HCN.57362 through Hohenstein. Care instructions are machine wash, low-heat drying, and no bleach.
Overall, I like the softness, the fit features, and the general quality. The main things to keep in mind are that the material is fairly thin and very prone to wrinkling.
Read more
One person found this helpful
Helpful
Report</t>
  </si>
  <si>
    <t xml:space="preserve">R186ETONLZ2BFP</t>
  </si>
  <si>
    <t xml:space="preserve">the United States on October 18, 2026</t>
  </si>
  <si>
    <t xml:space="preserve">Roscoe Fauni
5 out of 5 stars
Really nice sheets for the price!
Reviewed in the United States on October 18, 2026
Colour Name: Light BlueSize: Queen
Verified Purchase
Nice sheets, feels the same as another sheets I tried at a store that is more expensive. Queen size 16” fits snuggly into my 16” mattress. Washed cold, gentle cycle, low heat for fifteen minutes then finished with air fluff and all wrinkles are gone and sheets still cool. Hopefully it can stay cool after hours of use at night. If so, will buy again!
Report</t>
  </si>
  <si>
    <t xml:space="preserve">thermal_breathability; fit_sizing; care_wrinkles</t>
  </si>
  <si>
    <t xml:space="preserve">R1B6TUF2TJRJJ0</t>
  </si>
  <si>
    <t xml:space="preserve">the United States on October 13, 2026</t>
  </si>
  <si>
    <t xml:space="preserve">noflyingzone
5 out of 5 stars
Incredibly Soft, Breathable, and Excellent Quality Bamboo Sheets!
Reviewed in the United States on October 13, 2026
Colour Name: Light GreySize: Queen
Vine customer review of free product
I absolutely love these bamboo sheets! The first thing I noticed was how incredibly soft and silky they feel against my skin. The fabric has a nice, substantial thickness and feels very well made, yet it's surprisingly lightweight and breathable. It's the perfect combination of comfort and quality without feeling heavy or overly warm.
What really impresses me is how comfortable they are to sleep in. The material feels smooth and cool against the skin, making it especially nice for warmer nights. Unlike some other sheets I've owned, these don't seem to attract lint or fuzz, which is a huge plus. They maintain a clean, smooth appearance without much effort.
They also wash really well! The fabric stays soft and smooth after laundering, and I haven't noticed any issues with lint buildup. I also appreciate the thoughtful design, including the deep pockets and corner straps that help keep the fitted sheet in place.
Overall, these sheets exceeded my expectations. They feel luxurious, breathable, and comfortable, with a nice thickness that makes them feel like high-quality bedding. I would definitely recommend them to anyone looking for soft, cooling sheets that are also easy to care for. I love them!
Read more
Report</t>
  </si>
  <si>
    <t xml:space="preserve">comfort_softness; thermal_breathability; fit_sizing; care_wrinkles; authenticity_material</t>
  </si>
  <si>
    <t xml:space="preserve">R1WP5UQ843TDVZ</t>
  </si>
  <si>
    <t xml:space="preserve">the United States on October 19, 2026</t>
  </si>
  <si>
    <t xml:space="preserve">Folk
2 out of 5 stars
Terrible seam quality. Ripped immediately
Reviewed in the United States on October 19, 2026
Colour Name: Olive GreenSize: King
Verified Purchase
Didn't even get a chance to try them; a huge hole ripped in the pillow case during laundering (I followed the tag instructions)
The seams separate from the fabric with very little tension. Poor quality.
Which is a shame, because the fabric itself feels cool and silky.
Report</t>
  </si>
  <si>
    <t xml:space="preserve">thermal_breathability; durability_pilling</t>
  </si>
  <si>
    <t xml:space="preserve">R3ORI7B2TAETYU</t>
  </si>
  <si>
    <t xml:space="preserve">Katrina Kiefer
5 out of 5 stars
They're like going to bed on a puff of air. Doing miss this bargain!
Reviewed in the United States on October 19, 2026
Colour Name: IvorySize: King
Vine customer review of free product
These may be the silkiest,softest sheets I've ever slept on, and that's saying a lot.
There are few things I'm willing to pay a whole lot of money for, and the highest count Egyptian cotton sheets has always been one of them. If you've ever priced out the high end kind I'm talking about you understand the kind of sticker shock I'm talking about. Now here comes these bamboo fiber-based sheets in an entire king set for less than half the cost of a single high end cotton one and they're devine. It's like sleeping on air.
I will say I haven't noticed myself sleeping any cooler as they advertise, but I bought them to see if they might feel as good as my others. They do. Softer if that's possible.
I only wish they came in a greater variety of colors than those offered when I ordered them.
Completely worth they lettuce point A bargain at that
Report</t>
  </si>
  <si>
    <t xml:space="preserve">comfort_softness; thermal_breathability; colour_fading; value; authenticity_material</t>
  </si>
  <si>
    <t xml:space="preserve">R2ZH18VWCVM86I</t>
  </si>
  <si>
    <t xml:space="preserve">the United States on October 12, 2026</t>
  </si>
  <si>
    <t xml:space="preserve">Customer Review
5 out of 5 stars
Stay cool!
Reviewed in the United States on October 12, 2026
Colour Name: IvorySize: King
Vine customer review of free product
I got these because I tend to sleep hot and wanted something breathable. Not my first rodeo, I've tried and loved bamboo sheets before, and this excellent set is no exception: the material is very soft right out of the box and feels naturally cool to the touch.
The best feature is the way they fit the bed. Again, not unique in my experience with bamboo sheets--for some reason, they're just easier to make the bed with. My mattress is modern/on the thicker side, and usually, the corners slip off after a night or two. These have extra elastic corner straps that anchor the sheets down, so they haven't pulled off at all. Mercifully, they also have a head/foot tag sewn in, which saves time when you're making a king-size bed--that's always a welcome benefit, but especially annoying when its lacking on a non-patterned sheet so you cannot otherwis determine which is top-to-bottom vs. side-to-side for a king sized bed.
They washed without shrinking or losing that smooth texture. If you deal with night sweats or hate wrestling with loose fitted sheets, these do exactly what they are supposed to do. Time will tell if they hold their white color....
Report</t>
  </si>
  <si>
    <t xml:space="preserve">comfort_softness; thermal_breathability; fit_sizing; shrinkage; colour_fading; care_wrinkles; authenticity_material; packaging</t>
  </si>
  <si>
    <t xml:space="preserve">R31JY7WM9TG1Q4</t>
  </si>
  <si>
    <t xml:space="preserve">Canada on August 18, 2026</t>
  </si>
  <si>
    <t xml:space="preserve">Samuel Noack
5 out of 5 stars
Cozy, cotton, &amp; light
Reviewed in Canada on August 18, 2026
Size: Queen (90" x 90")Colour Name: Linen
Verified Purchase
This duvet cover is gorgeous and comfy. Love that it’s 100% cotton, has a linen look which feels lived in, and has a functional zipper. It’s also nice and light, so it doesn’t add much weight to your duvet/comforter. I got the linen colour and it’s a nice warm shade. I was going for soft neutrals and a bit more warmth since there’s a lot of grey around (for now). It looks fine against the grey, even better in person and in better lighting than my picture shows. Matches my linen cover from Ikea pretty well.
9 people found this helpful
Helpful
Report</t>
  </si>
  <si>
    <t xml:space="preserve">comfort_softness; thermal_breathability; colour_fading; authenticity_material</t>
  </si>
  <si>
    <t xml:space="preserve">R1NLB9QBOGVUVW</t>
  </si>
  <si>
    <t xml:space="preserve">Canada on August 26, 2024</t>
  </si>
  <si>
    <t xml:space="preserve">Tracey
5 out of 5 stars
IM SO PLEASED!!!
Reviewed in Canada on August 26, 2024
Size: California King (104" x 98")Colour Name: Bright White
Verified Purchase
I researched for weeks, read so many reviews, and spent so much time looking for the right duvet cover because I’m so picky. I don’t like duvet covers because they are a pain to put on, the duvet gets all twisted inside, and you lose the light, delicate feeling of the down feathers. May as well just use a regular synthetic comforter if you are going to put a wrong cover on but I was tired of constantly dry cleaning and buying new duvets.
IM SO HAPPY WITH THIS DUVET COVER!!!! Bright white is actually bright white. There’s no chemical odour as others have stated in other reviews. The size is accurate. Measure your duvet as they widely vary in size. Not one curse word putting it on my duvet. The 4 corner ties are placed correctly. Right out of the package the cover had only minimal wrinkles. The quality is fantastic for the price.. better than I expected! The cotton material is just perfect.. not too thick but not cheap n thin either. I love the feel of the material. I’m thinking of buying another just for backup purposes. Highly recommend!!
69 people found this helpful
Helpful
Report</t>
  </si>
  <si>
    <t xml:space="preserve">comfort_softness; fit_sizing; care_wrinkles; value; authenticity_material; packaging</t>
  </si>
  <si>
    <t xml:space="preserve">R1FJ55NZAUQAIX</t>
  </si>
  <si>
    <t xml:space="preserve">Canada on October 8, 2026</t>
  </si>
  <si>
    <t xml:space="preserve">Loveridge1
5 out of 5 stars
Best bang for your buck!
Reviewed in Canada on October 8, 2026
Size: King (104" x 90")Colour Name: Mauve Brown
Verified Purchase
Really great quality and breathable. Doesn't feel stuffy or hot at all. I will definitely buy a second one/diff colour in the future.
Helpful
Report</t>
  </si>
  <si>
    <t xml:space="preserve">thermal_breathability; colour_fading</t>
  </si>
  <si>
    <t xml:space="preserve">RM37CLRYBV9WY</t>
  </si>
  <si>
    <t xml:space="preserve">Canada on July 27, 2026</t>
  </si>
  <si>
    <t xml:space="preserve">LM
4 out of 5 stars
Feels like linen. Softer when washed. 4 inside loops
Reviewed in Canada on July 27, 2026
Size: Full (80" x 90")Colour Name: Olive Green
Verified Purchase
So far good quality. The ties inside are loops. I guess i could cut in half to make a tie. They are on each corner on the inside of the duvet cover.
Helpful
Report</t>
  </si>
  <si>
    <t xml:space="preserve">fit_sizing</t>
  </si>
  <si>
    <t xml:space="preserve">R1Y8QF0MMUP4S6</t>
  </si>
  <si>
    <t xml:space="preserve">Canada on October 13, 2026</t>
  </si>
  <si>
    <t xml:space="preserve">NadiaB
5 out of 5 stars
Makes the bed look so chic
Reviewed in Canada on October 13, 2026
Size: Queen (90" x 90")Colour Name: Mauve Brown
Verified Purchase
Felt it was a little pricey, but I love this duvet cover. It has a linen look to it and the colour is exactly what I was looking for (like taupe but they call it mauve brown). Has strong inside to tie the duvet insert and the zipper glides really well.
One person found this helpful
Helpful
Report</t>
  </si>
  <si>
    <t xml:space="preserve">colour_fading; value</t>
  </si>
  <si>
    <t xml:space="preserve">R1VUOZI8ZY4FV5</t>
  </si>
  <si>
    <t xml:space="preserve">Canada on August 24, 2026</t>
  </si>
  <si>
    <t xml:space="preserve">Chelsea
5 out of 5 stars
MUST HAVE!!!
Reviewed in Canada on August 24, 2026
Size: Queen (90" x 90")Colour Name: Mauve Brown
Verified Purchase
Absolutely love this duvet cover it’s soft. It feels like linen, which has a luxurious feeling when I climb into bed also love love love the colour obsessed.
2 people found this helpful
Helpful
Report</t>
  </si>
  <si>
    <t xml:space="preserve">comfort_softness; colour_fading</t>
  </si>
  <si>
    <t xml:space="preserve">R24LZ8D3KWVI3R</t>
  </si>
  <si>
    <t xml:space="preserve">Canada on December 22, 2025</t>
  </si>
  <si>
    <t xml:space="preserve">Caiti Rose
3 out of 5 stars
Great Look and Feel, but didn't last a year.
Reviewed in Canada on December 22, 2025
Size: King (104" x 90")Colour Name: Forest Green
Verified Purchase
I was initially really happy with this duvet cover. It was the perfect colour and "linen look" that I wanted without a crazy price tag. This set has a lovely, soft, live-in feel right out of the package and the natural wrinkles gave the bed a cozy vibe.
I've had this for just under a year now and while it's been a dream to sleep under, the quality just hasn't held up as well as I hoped it would. I recently noticed a significant rip after running it through the wash and while I sure I can get a few more weeks out of it, it definitely needs to be replaced soon.
If you're looking for a guest room set that won't be used every night, this is a perfect, stylish choice, but for a primary bed, be aware that the lightweight nature of the cotton means it might not survive a full year of regular use. Definitely a "get what you pay for" type of situation.
19 people found this helpful
Helpful
Report</t>
  </si>
  <si>
    <t xml:space="preserve">comfort_softness; durability_pilling; colour_fading; care_wrinkles; value; authenticity_material; packaging</t>
  </si>
  <si>
    <t xml:space="preserve">R38MOJFLYLF881</t>
  </si>
  <si>
    <t xml:space="preserve">Canada on September 26, 2026</t>
  </si>
  <si>
    <t xml:space="preserve">Nancy
5 out of 5 stars
My favorite cover
Reviewed in Canada on September 26, 2026
Size: King (104" x 90")Colour Name: Cream Grey
Verified Purchase
This is my favorite cover. Looks amazing in our country life vibe room. The texture, the comfort, I don't find it too warm. My security blanket.
The corner ties are great as well for it to never move out of place, and the zipper enclosures us people who can't stand the button look
Helpful
Report</t>
  </si>
  <si>
    <t xml:space="preserve">comfort_softness; thermal_breathability; fit_sizing</t>
  </si>
  <si>
    <t xml:space="preserve">R7GR58RCW10FH</t>
  </si>
  <si>
    <t xml:space="preserve">the United States on May 17, 2024</t>
  </si>
  <si>
    <t xml:space="preserve">Sue (TheCozyIntrovert)
5 out of 5 stars
It’s crispy- in a good way
Reviewed in the United States on May 17, 2024
Size: Queen (90" x 90")Colour Name: Sage Green
Verified Purchase
I have used the jersey knit duvet by this same brand for years and absolutely loved it. I decided to search for another duvet and could not find one anywhere that I liked. I decided to just get a different color of the jersey knit one and realized that they had another version. I got the sage green one and it’s super cool and crisp. I love a soft bed in the winter, but in the summer I want a crispy bed and that’s exactly what this is. Seriously, it’s so hard to find good bedding now days, it’s hard to believe these inexpensive Amazon duvet covers are good, but they are!
Report</t>
  </si>
  <si>
    <t xml:space="preserve">comfort_softness; thermal_breathability; colour_fading</t>
  </si>
  <si>
    <t xml:space="preserve">RO44U76YCJCJ5</t>
  </si>
  <si>
    <t xml:space="preserve">the United States on August 30, 2021</t>
  </si>
  <si>
    <t xml:space="preserve">Kennedy
5 out of 5 stars
Great duvet cover!
Reviewed in the United States on August 30, 2021
Size: Full (80" x 90")Colour Name: Cornflower Blue
Verified Purchase
I got one in grey when I went to college for my dorm and it was so comfy and super soft! I then had to go back home for online school and bought another for my room at home! It has stayed super nice and soft even through time and after multiple washes. I have sensory issues also and had no issue with the cover being itchy or weird feeling.
Report</t>
  </si>
  <si>
    <t xml:space="preserve">comfort_softness; care_wrinkles</t>
  </si>
  <si>
    <t xml:space="preserve">RP78HG3URGTQG</t>
  </si>
  <si>
    <t xml:space="preserve">the United States on February 27, 2024</t>
  </si>
  <si>
    <t xml:space="preserve">marybeth00
5 out of 5 stars
Lovely Color, true to picture.
Reviewed in the United States on February 27, 2024
Size: Twin (68" x 90")Colour Name: Cornflower Blue
Verified Purchase
Perfect color and fits my twin duvet nicely.
Report</t>
  </si>
  <si>
    <t xml:space="preserve">fit_sizing; colour_fading</t>
  </si>
  <si>
    <t xml:space="preserve">R11ABQYN2FKOVD</t>
  </si>
  <si>
    <t xml:space="preserve">the United States on December 28, 2024</t>
  </si>
  <si>
    <t xml:space="preserve">Megan Nystrand
4 out of 5 stars
Really beautiful color!
Reviewed in the United States on December 28, 2024
Size: Queen (90" x 90")Colour Name: Forest Green
Verified Purchase
The fabric could be softer, but the overall color and fit is just beautiful.
Report</t>
  </si>
  <si>
    <t xml:space="preserve">R2F6YI187EJISO</t>
  </si>
  <si>
    <t xml:space="preserve">the United States on April 13, 2021</t>
  </si>
  <si>
    <t xml:space="preserve">Amy L. Wilkinson
4 out of 5 stars
Aqua is nowhere close to being a bright blue. It's more of a dull gray
Reviewed in the United States on April 13, 2021
Size: Full (80" x 90")Colour Name: Cornflower Blue
Verified Purchase
I ordered aqua and was extremely disappointed by the color that arrived. I even confidently made this purchase because I saw other reviews with the aqua color that looked nice and bright just like the picture showed. What we got was more of a dull gray. I immediately returned it.
Report</t>
  </si>
  <si>
    <t xml:space="preserve">colour_fading; packaging</t>
  </si>
  <si>
    <t xml:space="preserve">R39MUZ6I0O9504</t>
  </si>
  <si>
    <t xml:space="preserve">Canada on August 31, 2025</t>
  </si>
  <si>
    <t xml:space="preserve">nishi
5 out of 5 stars
Recommended. Excellent mattress pad/protector
Reviewed in Canada on August 31, 2025
Item Parcel Quantity: 1Size: Full/Double
Verified Purchase
I really like this mattress pad. My only criticism is that the Bamboo markings and advertising give the impression that it is 100% (or at least mostly) bamboo, but looking more closely at the Amazon description, and the label on the pad, it is 80% polyester, and just 20% bamboo viscose. Viscose (related to rayon) is made by dissolving the bamboo then chemically processing the solution to produce the viscose fibres. Viscose is not as "natural" as cotton or wool where plant/animal fibres are cleaned then directly spun into threads that are woven into fabrics, but viscose begins with bamboo rather than petrochemicals that are the source material for synthetic fibres like polyester. Viscose is not considered a plastic. It is made from plant based cellulose (in this case bamboo) and it biodegrades quickly (often faster than cotton). Polyester is a plastic, so this bamboo mattress cover contains 20% less plastic compared with the comparable polyester version. Bamboo grows very quickly so it is considered more environmentally friendly than wood.
This pad is excellent value. The top quilting is soft. The waterproof coating on the underside is silent. The quilting is plush enough that it doesn't feel like sleeping on something that is waterproof. If I hadn't seen the coating on the bottom and read that this was waterproof I would not have known. It feels just like sleeping on my old non-waterproof quilted polyester mattress pad.
Large deep sides make this really easy to slip onto the mattress. Some might think it fits a bit loose. That's because it it fits thick mattresses so there is a lot of material on the sides. In the old days matresses were similar in thickness so fitted sheets and mattress pads could fit tightly. This mattress pad may seem to fit loosely on a thin mattress. The elastic and the fact that a lot of the side fabric is folded under the mattress ensures that the pad stays in place. Just smooth out the top before putting on the bottom sheet.
I have used coated fabric in outdoor clothing for decades. I expect that this "waterproof" coating is probably quite waterproof when new, but that it will gradually wear out with time from being slept on, from washing/drying, and from natural aging of the coating. When you move in bed the sheets and this pad slide against each other and against the mattress which produces a bit of wear. Washing and tumble drying cause the coating to rub against fabric a lot more which will cause a lot more wear. In addition, coatings like this age due to exposure to the environment, including oxygen, body secretions/fluids, sunlight (if you dry it on a clothesline make the coating face away from the sun and don't leave it out longer than necessary). For me, this is ok. I got this mattress pad for my senior cat so I don't need this to remain waterproof for too many years. I expect that it will remain a decent mattress pad long after the waterproof coating is no longer reliable.
As someone else noted, the marking on the pad will show through some sheets, particularly white ones. Given that this is only 20% bamboo, if the markings are a problem I'd just buy the polyester version.
Read more
101 people found this helpful
Helpful
Report</t>
  </si>
  <si>
    <t xml:space="preserve">comfort_softness; fit_sizing; care_wrinkles; value; authenticity_material; waterproof_noise</t>
  </si>
  <si>
    <t xml:space="preserve">R4FAPGDBVA7OH</t>
  </si>
  <si>
    <t xml:space="preserve">Canada on September 23, 2026</t>
  </si>
  <si>
    <t xml:space="preserve">karamjeet kaur
5 out of 5 stars
Soft, comfortable, and great protection
Reviewed in Canada on September 23, 2026
Item Parcel Quantity: 1Size: Queen
Verified Purchase
This bamboo viscose mattress protector is soft and comfortable to sleep on. It fits the mattress well and stays in place without making noise or feeling stiff under the sheets.
The waterproof layer provides extra protection against spills, sweat, and everyday accidents while still allowing the mattress to feel comfortable. It is easy to wash and is a great way to help keep a mattress clean and protected. I am very happy with this purchase.
2 people found this helpful
Helpful
Report</t>
  </si>
  <si>
    <t xml:space="preserve">comfort_softness; fit_sizing; care_wrinkles; authenticity_material; waterproof_noise</t>
  </si>
  <si>
    <t xml:space="preserve">RNF45Z7LJBEPJ</t>
  </si>
  <si>
    <t xml:space="preserve">Savannah Black
5 out of 5 stars
Just as promised
Reviewed in Canada on October 16, 2026
Item Parcel Quantity: 1Size: Queen
Verified Purchase
Exactly as pictured ! Soft and comfy fits my queen bed perfect.
Helpful
Report</t>
  </si>
  <si>
    <t xml:space="preserve">comfort_softness; fit_sizing</t>
  </si>
  <si>
    <t xml:space="preserve">R3RYBGMEO70CY5</t>
  </si>
  <si>
    <t xml:space="preserve">Canada on October 21, 2026</t>
  </si>
  <si>
    <t xml:space="preserve">Fanny savard
4 out of 5 stars
Grandeur exacte
Reviewed in Canada on October 21, 2026
Item Parcel Quantity: 2Size: Queen
Verified Purchase
Parfaite grandeur, doux, confortable et bon prix. Je recommande.
Helpful
Report
Translate review to English</t>
  </si>
  <si>
    <t xml:space="preserve">R2P4EFTOD6PFS1</t>
  </si>
  <si>
    <t xml:space="preserve">Canada on September 19, 2026</t>
  </si>
  <si>
    <t xml:space="preserve">Beth-Lynn
5 out of 5 stars
Great item
Reviewed in Canada on September 19, 2026
Item Parcel Quantity: 1Size: Queen
Verified Purchase
Like it a lot, feels great and I know it’s helping with heat because I’m always hot and it keeps me awake. I sleep better with this. It looks great, I know our mattress is well protected and I’d buy it again. Might order our married kids one for their Christmas gifts this year.
4 people found this helpful
Helpful
Report</t>
  </si>
  <si>
    <t xml:space="preserve">thermal_breathability</t>
  </si>
  <si>
    <t xml:space="preserve">R36DTHBB71XUF8</t>
  </si>
  <si>
    <t xml:space="preserve">Canada on October 2, 2026</t>
  </si>
  <si>
    <t xml:space="preserve">Lance
5 out of 5 stars
Happy with purchase
Reviewed in Canada on October 2, 2026
Item Parcel Quantity: 1Size: Queen
Verified Purchase
Item as described. Prompt delivery. Queen size protector ordered, fit perfectly. Washed and dried as per instructions, no problem. Would buy again.
Helpful
Report</t>
  </si>
  <si>
    <t xml:space="preserve">fit_sizing; care_wrinkles; packaging</t>
  </si>
  <si>
    <t xml:space="preserve">R3MWPFTWJVPB9G</t>
  </si>
  <si>
    <t xml:space="preserve">Canada on August 27, 2026</t>
  </si>
  <si>
    <t xml:space="preserve">Brandi
5 out of 5 stars
Peace of mind waterproof protection that doesn't crinkle!
Reviewed in Canada on August 27, 2026
Item Parcel Quantity: 1Size: Twin
Verified Purchase
I picked this up for my daughter’s bed, and it has been fantastic. Unlike traditional plastic-y mattress protectors that make crinkling noises every time someone moves, this bamboo viscose top layer is wonderfully soft, silent, and breathable.
​The deep pockets fit securely over the corners without slipping off, and it gives total peace of mind against nighttime accidents or spills without trapping excess heat. We've run it through the wash and tumble dry a couple of times now, and the waterproof backing hasn't peeled or degraded at all. Highly recommend for any kid's room or guest bed!
8 people found this helpful
Helpful
Report</t>
  </si>
  <si>
    <t xml:space="preserve">comfort_softness; thermal_breathability; fit_sizing; care_wrinkles; authenticity_material; waterproof_noise</t>
  </si>
  <si>
    <t xml:space="preserve">R2187VEX36QMU1</t>
  </si>
  <si>
    <t xml:space="preserve">Canada on October 19, 2026</t>
  </si>
  <si>
    <t xml:space="preserve">Melanie Bown
5 out of 5 stars
Nice and soft
Reviewed in Canada on October 19, 2026
Item Parcel Quantity: 1Size: Queen
Verified Purchase
Fits great on my queen mattress with deep pockets The feel is nice and soft not stiff and no plastic
Helpful
Report</t>
  </si>
  <si>
    <t xml:space="preserve">R2QT6IFFH21FDJ</t>
  </si>
  <si>
    <t xml:space="preserve">the United States on September 12, 2026</t>
  </si>
  <si>
    <t xml:space="preserve">Rex Marvin Beach
5 out of 5 stars
Bamboo mattress protector
Reviewed in the United States on September 12, 2026
Item Parcel Quantity: 1Size: Queen
Verified Purchase
The queen bamboo mattress cover was soft to the touch and the sides stretched to fit snugly.
My cat accidentally urinated on the cover. The protector cover underneath worked.
I washed it in vold water and low heat and it looked like new.
It's the best mattress cover I ever had, and it's price is quite affordable.
Report</t>
  </si>
  <si>
    <t xml:space="preserve">comfort_softness; thermal_breathability; fit_sizing; care_wrinkles; value; authenticity_material</t>
  </si>
  <si>
    <t xml:space="preserve">R6CWQ2XY6EVOO</t>
  </si>
  <si>
    <t xml:space="preserve">Mexico on October 25, 2025</t>
  </si>
  <si>
    <t xml:space="preserve">Tx town &amp; country
5 out of 5 stars
nice
Reviewed in Mexico on October 25, 2025
Item Parcel Quantity: 1Size: Twin
Verified Purchase
Nice quality
Report</t>
  </si>
  <si>
    <t xml:space="preserve">Other</t>
  </si>
  <si>
    <t xml:space="preserve">R2756D6ITO34QJ</t>
  </si>
  <si>
    <t xml:space="preserve">b
5 out of 5 stars
Perfect protector!
Reviewed in the United States on October 12, 2026
Item Parcel Quantity: 1Size: Queen
Verified Purchase
This is a great mattress protector!
Thankfully I’ve had no spills yet, but I did have an incident with Mother Nature coming very unexpectedly, and nothing got through this protector to my mattress. The stain even came right out in the wash.
I toss and turn a lot in my sleep, and this stays perfectly in place. I haven’t had any issues with it shifting or popping off. It’s held up great in the wash, and I haven’t noticed any issues with it not being breathable.
For under $20, this is more than worth it and I’m glad to know my mattress will stay nice and clean with this on.
Report</t>
  </si>
  <si>
    <t xml:space="preserve">thermal_breathability; colour_fading; care_wrinkles; value; waterproof_noise</t>
  </si>
  <si>
    <t xml:space="preserve">R2I0GAA50Q26A8</t>
  </si>
  <si>
    <t xml:space="preserve">Mexico on December 22, 2022</t>
  </si>
  <si>
    <t xml:space="preserve">Martha Patricia
5 out of 5 stars
Muy bueno
Reviewed in Mexico on December 22, 2022
Item Parcel Quantity: 1Size: Queen
Verified Purchase
Excelente
Report</t>
  </si>
  <si>
    <t xml:space="preserve">R1XAIUILN62NNI</t>
  </si>
  <si>
    <t xml:space="preserve">the United States on September 19, 2026</t>
  </si>
  <si>
    <t xml:space="preserve">Danny Ross
5 out of 5 stars
Look no further for comfort
Reviewed in the United States on September 19, 2026
Item Parcel Quantity: 1Size: Twin
Verified Purchase
Purchases as a replacement for my other one that I had from another brand and this is 10 times better. I have a twin size mattress that is 15 in in height and this stays in place. It is super soft while also retaining its shape and has definitely helped during some nights of intense sweat. Protected my mattress and get out of a better product. Super simple to clean as well. If you're looking for something to protect your mattress, this is the one.
Report</t>
  </si>
  <si>
    <t xml:space="preserve">R278J83VWZMMW7</t>
  </si>
  <si>
    <t xml:space="preserve">K Allinson
5 out of 5 stars
Great quality sheets
Reviewed in Canada on October 3, 2026
Size: QueenColour Name: Light Blue
Verified Purchase
Excellent quality sheets. Love them
Helpful
Report</t>
  </si>
  <si>
    <t xml:space="preserve">R3LLWIX6TJBH0D</t>
  </si>
  <si>
    <t xml:space="preserve">Canada on August 14, 2026</t>
  </si>
  <si>
    <t xml:space="preserve">Gene D.
4 out of 5 stars
Would not work
Reviewed in Canada on August 14, 2026
Verified Purchase
Pockets were not deep enough. Ask for 18” pocket got 15”
Helpful
Report</t>
  </si>
  <si>
    <t xml:space="preserve">R1TD1QTIKG3QZZ</t>
  </si>
  <si>
    <t xml:space="preserve">Canada on September 1, 2026</t>
  </si>
  <si>
    <t xml:space="preserve">Westcove
5 out of 5 stars
Quality
Reviewed in Canada on September 1, 2026
Verified Purchase
My second set, they are nice and deep and cover the mattress and base. Nice cotton
Helpful
Report</t>
  </si>
  <si>
    <t xml:space="preserve">fit_sizing; authenticity_material</t>
  </si>
  <si>
    <t xml:space="preserve">RBUSYCV7W0DZJ</t>
  </si>
  <si>
    <t xml:space="preserve">Canada on January 21, 2026</t>
  </si>
  <si>
    <t xml:space="preserve">Katelyn Dickson
1 out of 5 stars
Thin but fitted sheet fits
Reviewed in Canada on January 21, 2026
Size: QueenColour Name: Ivory
Verified Purchase
Tried it on my bed before washing to make sure the fitted sheet would fit.
After washing, it no longer fit. The material is sooo thin and scratchy. The quality is half that of the cheap off brand Ive had for years. Super disappointed.
Will be returning.
Helpful
Report</t>
  </si>
  <si>
    <t xml:space="preserve">fit_sizing; care_wrinkles; value</t>
  </si>
  <si>
    <t xml:space="preserve">R2BJGW9R2ASXBW</t>
  </si>
  <si>
    <t xml:space="preserve">Canada on July 27, 2025</t>
  </si>
  <si>
    <t xml:space="preserve">SK
3 out of 5 stars
Rougher than expected
Reviewed in Canada on July 27, 2025
Verified Purchase
A little rougher than expected for 100% cotton. Also smelt very bad until it was washed. Wouldnt recommend unless you like rougher sheets.
Helpful
Report</t>
  </si>
  <si>
    <t xml:space="preserve">care_wrinkles; authenticity_material</t>
  </si>
  <si>
    <t xml:space="preserve">R1K6UGVZAZDMYR</t>
  </si>
  <si>
    <t xml:space="preserve">Canada on August 4, 2025</t>
  </si>
  <si>
    <t xml:space="preserve">Amazon_Junkie
5 out of 5 stars
Hands down best sheets!
Reviewed in Canada on August 4, 2025
Size: QueenColour Name: Light Blue
Verified Purchase
I like these so much that I've bought 2 sets, and will purchase another set in a different colour.
They are soft and get softer with each wash, but more than that, they BREATHE.
As a woman who suffers from hot flashes, these have saved me. Sadly, microfiber though lovely and smooth, just left me a sweaty mess.
These are cool in the summer and warm in the winter. I layered with 100% cotton blankets, and I'm a happy camper.
9 people found this helpful
Helpful
Report</t>
  </si>
  <si>
    <t xml:space="preserve">comfort_softness; thermal_breathability; colour_fading; care_wrinkles; authenticity_material</t>
  </si>
  <si>
    <t xml:space="preserve">R40UNLI0ZV17P</t>
  </si>
  <si>
    <t xml:space="preserve">Canada on June 4, 2026</t>
  </si>
  <si>
    <t xml:space="preserve">mirrandy
4 out of 5 stars
Seems good. As described
Reviewed in Canada on June 4, 2026
Verified Purchase
As described but be careful about shrinking. There's some shrinking but it still fits well. Not too tight or loose. So far I'm happy. Will have to see about durability.
Helpful
Report</t>
  </si>
  <si>
    <t xml:space="preserve">fit_sizing; durability_pilling; shrinkage</t>
  </si>
  <si>
    <t xml:space="preserve">RKHD751UM6RPM</t>
  </si>
  <si>
    <t xml:space="preserve">Canada on October 18, 2025</t>
  </si>
  <si>
    <t xml:space="preserve">Shelly
5 out of 5 stars
Good quality and prices
Reviewed in Canada on October 18, 2025
Verified Purchase
Good quality for good price
Helpful
Report</t>
  </si>
  <si>
    <t xml:space="preserve">R2RMH02RZ4Q1P5</t>
  </si>
  <si>
    <t xml:space="preserve">Mexico on April 3, 2026</t>
  </si>
  <si>
    <t xml:space="preserve">Jose Gerardo Avila Gomez
5 out of 5 stars
Cumple ampliamente mis expectativas
Reviewed in Mexico on April 3, 2026
Verified Purchase
Excelente calidad
Report
Translate review to English</t>
  </si>
  <si>
    <t xml:space="preserve">R3OC9EOS2MPZ6L</t>
  </si>
  <si>
    <t xml:space="preserve">the United States on August 3, 2020</t>
  </si>
  <si>
    <t xml:space="preserve">Satisfied customer
5 out of 5 stars
Awesome sheets
Reviewed in the United States on August 3, 2020
Verified Purchase
Best sheets ever - I plan to purchase another set/color. I purchased the blue set - and the color is just as vibrant in person as it is online.
Report</t>
  </si>
  <si>
    <t xml:space="preserve">colour_fading</t>
  </si>
  <si>
    <t xml:space="preserve">R2EB4LWKRQZUFX</t>
  </si>
  <si>
    <t xml:space="preserve">the United States on June 4, 2020</t>
  </si>
  <si>
    <t xml:space="preserve">Ann Nominus
5 out of 5 stars
Gorgeous color on silky soft cotton
Reviewed in the United States on June 4, 2020
Verified Purchase
Bought several sets of pillowcases for just my bed. These are beautiful and match my new sheets. I've washed them and they are even more soft than before. Treat yourself in your favorite color!!
Report</t>
  </si>
  <si>
    <t xml:space="preserve">comfort_softness; colour_fading; care_wrinkles</t>
  </si>
  <si>
    <t xml:space="preserve">R2BUAFESY5T4HO</t>
  </si>
  <si>
    <t xml:space="preserve">the United States on March 7, 2020</t>
  </si>
  <si>
    <t xml:space="preserve">Gotcha
5 out of 5 stars
Great price and value. Excellent product
Reviewed in the United States on March 7, 2020
Verified Purchase
What a great shopping experience super fast delivery like next day practically. Excellent value never had to leave the comfort of my home. You can't beat that
Report</t>
  </si>
  <si>
    <t xml:space="preserve">comfort_softness; value; packaging</t>
  </si>
  <si>
    <t xml:space="preserve">R1KW5IPM70BSV6</t>
  </si>
  <si>
    <t xml:space="preserve">the United States on June 6, 2020</t>
  </si>
  <si>
    <t xml:space="preserve">TasFitz
5 out of 5 stars
Sleep's Best Friend
Reviewed in the United States on June 6, 2020
Verified Purchase
These are a vibrant royal blue. They are so soft and thick. Great price for the quality!
Report</t>
  </si>
  <si>
    <t xml:space="preserve">R3S5GSNX99YX4L</t>
  </si>
  <si>
    <t xml:space="preserve">Amazon Customer
5 out of 5 stars
Poofy soft
Reviewed in Canada on October 16, 2026
Colour Name: GreenSize: QueenItem thickness string: Standard Inches
Verified Purchase
Arrived as expected. Fluffed up in dryer on low for 20 mins. Fit perfectly. Turned my slightly too firm mattress into poofy and soft. Way more comfortable sleep. Also noticed it's not making me hot like my old memory foam topper did. Haven't had for long but so far so good.
One person found this helpful
Helpful
Report</t>
  </si>
  <si>
    <t xml:space="preserve">comfort_softness; thermal_breathability; fit_sizing; care_wrinkles; packaging</t>
  </si>
  <si>
    <t xml:space="preserve">RAHXTGU694SSD</t>
  </si>
  <si>
    <t xml:space="preserve">Amazon Customer
5 out of 5 stars
Great for neck and back pain
Reviewed in Canada on October 19, 2026
Colour Name: GreenSize: QueenItem thickness string: Standard Inches
Verified Purchase
I was having extreme neck and back pain before I purchased this. I just noticed that it has almost gone away. I feel so much better. It feels soft and comfy and I’m having a great night. Sleep on it. I highly recommend it. I very seldom do a review, but this one deserves one.
3 people found this helpful
Helpful
Report</t>
  </si>
  <si>
    <t xml:space="preserve">comfort_softness</t>
  </si>
  <si>
    <t xml:space="preserve">R3H1H2RBCNONGE</t>
  </si>
  <si>
    <t xml:space="preserve">Canada on September 27, 2026</t>
  </si>
  <si>
    <t xml:space="preserve">Caroline lacombe
4 out of 5 stars
Bien contente
Reviewed in Canada on September 27, 2026
Colour Name: GreenSize: QueenItem thickness string: Standard Inches
Verified Purchase
Bien moelleux et apaise tres bien les points de pression au courant de la nuit
On se lève avec le corps reposé
Pour le prix, ca vaut la peine
Mon chat et moi ont l'adore 😻
L'étoile manquante: jaurais aimé quil soit un peu plus epais
5 people found this helpful
Helpful
Report
Translate review to English</t>
  </si>
  <si>
    <t xml:space="preserve">RNFGJ0SJEAUWQ</t>
  </si>
  <si>
    <t xml:space="preserve">D Thomson
5 out of 5 stars
Love this mattress topper
Reviewed in Canada on October 8, 2026
Colour Name: GreenSize: KingItem thickness string: Standard Inches
Verified Purchase
I love this mattress topper. It is gonna hold us over very well until we can afford a new mattress as the fabric on the top of the mattress is starting to split around the buttons so this gives us a nice barrier between the filling and our sheet. It’s just enough cushioning to be comfortable and not bulky.
3 people found this helpful
Helpful
Report</t>
  </si>
  <si>
    <t xml:space="preserve">R3U5LO8ZG3SIAQ</t>
  </si>
  <si>
    <t xml:space="preserve">Kellie Burgess
5 out of 5 stars
Comfy- soft and helped
Reviewed in Canada on September 26, 2026
Colour Name: GreenSize: QueenItem thickness string: Standard Inches
Verified Purchase
Have been having some back and side pain after knee surgery and was hoping this would help with sleeping; it’s amazing. So comfy and has minimized the pain with the extra cushioning. Highly recommended- Can’t wait to crawl into bed at night.
7 people found this helpful
Helpful
Report</t>
  </si>
  <si>
    <t xml:space="preserve">RBLL0R7RGY6CD</t>
  </si>
  <si>
    <t xml:space="preserve">SL
3 out of 5 stars
Comfortable but not very durable
Reviewed in Canada on October 9, 2026
Colour Name: GreenSize: KingItem thickness string: Standard Inches
Verified Purchase
Really happy with this topper in terms of comfort and cooling factor. The night it was in the wash we could immediately tell because it's that effective.
For a king-sized mattress this is a pretty good price point ($80) and was enough of an improvement to get us through until we replace our mattress.
Unfortunately it came out of its first wash cycle with an enormous hole, which is kind of a bummer. Will still use it, but not sure if it'll make it through a second wash 🫠
One note is that the green text on the cover is visible through your bedding if you have white sheets - I don't really care, but that may bother some people.
2 people found this helpful
Helpful
Report</t>
  </si>
  <si>
    <t xml:space="preserve">comfort_softness; thermal_breathability; fit_sizing; durability_pilling; care_wrinkles; value</t>
  </si>
  <si>
    <t xml:space="preserve">R2XW5GKLZDPNTW</t>
  </si>
  <si>
    <t xml:space="preserve">Canada on September 14, 2026</t>
  </si>
  <si>
    <t xml:space="preserve">Marie-Claude Guay
5 out of 5 stars
Tout a fait soyeux et ultra confortable
Reviewed in Canada on September 14, 2026
Colour Name: GreenSize: Twin XLItem thickness string: Standard Inches
Verified Purchase
Fantastique. Il ajoute un confort très surprenant. C'est c9mme dormir sur un nuage. Il est soyeux, juste assez epais pour donner le confort "hotel" . Il est exactement comme l'avait décrit les autres personnes qui l'avaient acheté. Dans mon cas, c'était pour rajouter par dessus un matelas de tente roulotte et c'est maintenant un parfait . Je recommande ce produit et je vais sûrement en acheter un autre pour la maison.
2 people found this helpful
Helpful
Report
Translate review to English</t>
  </si>
  <si>
    <t xml:space="preserve">R15W3E54B5RGPB</t>
  </si>
  <si>
    <t xml:space="preserve">Canada on September 18, 2026</t>
  </si>
  <si>
    <t xml:space="preserve">Saint
4 out of 5 stars
Comfortable - but could be better!
Reviewed in Canada on September 18, 2026
Colour Name: New GreySize: TwinItem thickness string: Standard Inches
Verified Purchase
Satisfied with this mattress cover. Exactly as described. Perfect size, seems to be holding up nice. Definitely thought it could be a little more comfortable by the description- but overall I’m happy with purchase.
3 people found this helpful
Helpful
Report</t>
  </si>
  <si>
    <t xml:space="preserve">R1649QR6WCIC1H</t>
  </si>
  <si>
    <t xml:space="preserve">Japan on September 20, 2026</t>
  </si>
  <si>
    <t xml:space="preserve">Erica Whitsell
1 out of 5 stars
Not as advertised
Reviewed in Japan on September 20, 2026
Colour Name: New GreySize: TwinItem thickness string: Standard Inches
Verified Purchase
It is not like it is advertised. I was expecting a thick, squishy, memory foam-like mattress pad but it’s not. It’s very soft so there is no support at all. I already have a foam mattress topper on my bed but my bed is still too hard so I bought this. It made almost no difference. It’s also not nearly as thick as shown in the photos even after “inflating” overnight. I was concerned when it came shrink wrapped in a tiny package. If you’re looking for true support I wouldn’t recommend this.
Report</t>
  </si>
  <si>
    <t xml:space="preserve">comfort_softness; shrinkage; packaging</t>
  </si>
  <si>
    <t xml:space="preserve">R1DQ2B6QSG103A</t>
  </si>
  <si>
    <t xml:space="preserve">Mexico on August 23, 2026</t>
  </si>
  <si>
    <t xml:space="preserve">Myrna chavez
5 out of 5 stars
Super
Reviewed in Mexico on August 23, 2026
Colour Name: GreenSize: QueenItem thickness string: Standard Inches
Verified Purchase
Excelente compra!!
Report
Translate review to English</t>
  </si>
  <si>
    <t xml:space="preserve">R1Q4V6X58PLS9R</t>
  </si>
  <si>
    <t xml:space="preserve">the United Kingdom on February 15, 2024</t>
  </si>
  <si>
    <t xml:space="preserve">Amazon Customer
5 out of 5 stars
Can’t believe it!
Reviewed in the United Kingdom on February 15, 2024
Colour Name: GreenSize: FullItem thickness string: Standard Inches
Verified Purchase
I rarely write reviews but just had to convey how good this topper is.
My fiancée suffers with fibromyalgia amongst multiple other mobility issues. We couldn’t justify buying a new mattress but she was waking up each day in pain.
We then purchased a Silent Night mattress topper, which added a bit of support but not much.
After reading some reviews we decided to give this a shot rather than opting for a more expensive branded one which we couldn’t really afford. Long story short, we are SO glad we purchased this!
We got the Bamboo topper option, and immediately after removing from the packaging we saw just how cushioned it was. I shook it and let it sit for around half a hour before making the bed. Putting it over the mattress and original topper we had was simpler than other topper options - usually they rely on elastic or just balance on top and move around in the night. This topper has a full elasticated fabric skirt which easily fits our double mattress.
The topper has completely reinvented our uncomfortable mattress! The cushioning is just the right balance of bouncy yet firm, and honestly feels like sleeping on a fancy hotel bed.
Granted we are using it in combination with the Silent Night offering, but the shift in comfort after adding this topper is unreal.
I realise I’ve written a lot but I really hope this can help someone in a situation similar to ours who cannot afford an expensive orthopaedic mattress and needs a solution that, whilst not as cheap as some others, is a great deal more reasonable than some brands.
I will update this if anything changes but seeing my partner wake up in significantly less pain is proof enough for me that this is a great purchase.
My only fault if I had to pick one as it doesn’t have cooling properties like it claims. This may be somewhat to do with layering it on top of another topper. However, this is a tiny issue in the scheme of just how incredible it is to sleep on for the price we paid.
I’m always hesitant to fork out close to £50 for something I haven’t even tried in person, but I’m so glad we took this gamble. My partner and I both have different wants in a mattress, especially given her medical needs, but this works perfectly for us both!
Essay over - these reviews helped me make my decision so I hope this one assists someone else!
Read more
Report</t>
  </si>
  <si>
    <t xml:space="preserve">comfort_softness; thermal_breathability; fit_sizing; value; authenticity_material; packaging</t>
  </si>
  <si>
    <t xml:space="preserve">R2EP3K7SHP1KDX</t>
  </si>
  <si>
    <t xml:space="preserve">the United States on September 17, 2026</t>
  </si>
  <si>
    <t xml:space="preserve">Anahlee
5 out of 5 stars
Totally recommend
Reviewed in the United States on September 17, 2026
Colour Name: WhiteSize: Twin XLItem thickness string: Standard Inches
Verified Purchase
Great cushioning and extremely easy to put onto any bed!! accurate fit
Report</t>
  </si>
  <si>
    <t xml:space="preserve">R2IRMAUV5I47KB</t>
  </si>
  <si>
    <t xml:space="preserve">the United Arab Emirates on September 21, 2025</t>
  </si>
  <si>
    <t xml:space="preserve">obaid saeed almehairi
2 out of 5 stars
Not worthy
Reviewed in the United Arab Emirates on September 21, 2025
Colour Name: GreenSize: Twin XLItem thickness string: Standard Inches
Verified Purchase
Not worth waste of time
Report</t>
  </si>
  <si>
    <t xml:space="preserve">R1927XQUDJL779</t>
  </si>
  <si>
    <t xml:space="preserve">the United States on 11 September 2026</t>
  </si>
  <si>
    <t xml:space="preserve">Tina Galyon
5 out of 5 stars
Best sheets I’ve ever bought!
Reviewed in the United States on 11 September 2026
Size Name: QueenColour Name: 01-white
Verified Purchase
These are literally the best sheets I’ve ever bought! So buttery soft! They fit my queen bed just like they should. The pockets are just deep enough to fit each corner. They don’t come off at all. There has also been no pilling or uncomfortable balls. They are cooling, my hot sleeping husband says they are very breathable. The thickness is also another perfect point!!!! Will be buying these every time I need new sheets!!!
Report</t>
  </si>
  <si>
    <t xml:space="preserve">comfort_softness; thermal_breathability; fit_sizing; durability_pilling</t>
  </si>
  <si>
    <t xml:space="preserve">R1SBR0LEZOWAOK</t>
  </si>
  <si>
    <t xml:space="preserve">Mexico on 20 August 2026</t>
  </si>
  <si>
    <t xml:space="preserve">Evelina Aguilar
4 out of 5 stars
Frescura
Reviewed in Mexico on 20 August 2026
Size Name: KingColour Name: 05-sea Glass
Verified Purchase
Son frescas. de recomienda para los días de calor
Report
Translate review to English</t>
  </si>
  <si>
    <t xml:space="preserve">R2GSNVS323TX4G</t>
  </si>
  <si>
    <t xml:space="preserve">the United States on 23 September 2026</t>
  </si>
  <si>
    <t xml:space="preserve">Melissa Howard
5 out of 5 stars
Satiny soft, smooth, and cooling!
Reviewed in the United States on 23 September 2026
Size Name: FullColour Name: 15-olive Green
Verified Purchase
These sheets are incredible! So soft, smooth, and cooling! They feel like absolutely luxury for a very affordable price. The color is vibrant. I can be under a top sheet and duvet and still the sheets don't get hot. Perfect for those hot sleepers or if you want to treat yourself or your guests to a fancy, luxurious bed!
I haven't noticed any excessive wrinkling beyond the expected "rumpling" of being slept on. Smoothing it out with your hand works well if you're going for that "magazine" styling when you make your bed.
I will be buying more sets of this for our guest room and more colors for my bed!
Report</t>
  </si>
  <si>
    <t xml:space="preserve">comfort_softness; thermal_breathability; colour_fading; care_wrinkles; value</t>
  </si>
  <si>
    <t xml:space="preserve">RBATVZ9L3E0J1</t>
  </si>
  <si>
    <t xml:space="preserve">the United States on 27 September 2026</t>
  </si>
  <si>
    <t xml:space="preserve">Kelsey Badour
5 out of 5 stars
Worth the money
Reviewed in the United States on 27 September 2026
Size Name: KingColour Name: 07-bluish Grey
Verified Purchase
Amazing and feels really soft and like the actually stay on the bed and the sheets have like a cold feel to especially with the fan on
Report</t>
  </si>
  <si>
    <t xml:space="preserve">R16ISUR8XPT406</t>
  </si>
  <si>
    <t xml:space="preserve">the United States on 14 October 2026</t>
  </si>
  <si>
    <t xml:space="preserve">TS
4 out of 5 stars
My favorite summer sheets
Reviewed in the United States on 14 October 2026
Size Name: KingColour Name: 07-bluish Grey
Verified Purchase
LOVE the soft, cool feel of these sheets. They are my new favorite sheets, especially for the summertime when you want to feel a little bit cooler. They are soft and have nice straps that keep the sheet corners on thick mattresses. The color selection is nice and offers a great variety. The only reason for four stars instead of five is because you only get two pillowcases. For a king set there should be four pillowcases. These sheets are a great price for what you get, however.
Report</t>
  </si>
  <si>
    <t xml:space="preserve">comfort_softness; thermal_breathability; fit_sizing; colour_fading; value</t>
  </si>
  <si>
    <t xml:space="preserve">R4MVZ7L8MW2SG</t>
  </si>
  <si>
    <t xml:space="preserve">the United Kingdom on 17 April 2026</t>
  </si>
  <si>
    <t xml:space="preserve">Meredith
5 out of 5 stars
Feels so much nicer than mixed fibre and pure white looks so fresh
Reviewed in the United Kingdom on 17 April 2026
Size Name: DoubleColour Name: White
Verified Purchase
Just spent by first night under this Duvet cover. As delivered, it could benefit from ironing as being cotton, and folded up for packaging, there are quite a few creases, but it is very comfortable and feels much nicer than the duvet cover it replaces which was a mixed fibre. This feels so much nicer, and though I usually get patterned covers, simple white has made my room look airier and fresher. Super! I am delighted with the purchase and consider it very good value for a 100% Egyptian Cotton cover.
The pillow cases are alo nice and fit snugly ovr my pillows. I typically prefer Oxford style, but as I have four pillows on my bed I am using such styled cases on the top two of my bed which works perfectly. I don't thinmk with Oxford style pillowcases one would wish the lower cases to be so styled, so the two normal cases included are perfect for purpose.
2 people found this helpful
Helpful
Report</t>
  </si>
  <si>
    <t xml:space="preserve">R2ZHH5I7FMQAMG</t>
  </si>
  <si>
    <t xml:space="preserve">the United Kingdom on 5 August 2026</t>
  </si>
  <si>
    <t xml:space="preserve">K Hirst
5 out of 5 stars
If you want a single bedding set that looks smart, this is a good buy
Reviewed in the United Kingdom on 5 August 2026
Size Name: SingleColour Name: Black
Verified Purchase
If you are wondering whether this bedding set will make a single bed look more finished without spending silly money, yes. It is one of those simple purchases that makes the whole room look tidier straight away.
The black colour looks clean and smart, the cotton feels pleasant, and having the matching pillowcase included makes it easy to put the bed together properly. It is not trying to be fancy for the sake of it, it just does the everyday job well and looks better than mismatched bedding.
My tip would be to give it a wash first and fit it carefully at the corners so it sits neatly. Comfortable, good looking and very easy to recommend. Five stars.
One person found this helpful
Helpful
Report</t>
  </si>
  <si>
    <t xml:space="preserve">comfort_softness; fit_sizing; colour_fading; care_wrinkles; authenticity_material</t>
  </si>
  <si>
    <t xml:space="preserve">RH9I86P79MR3Q</t>
  </si>
  <si>
    <t xml:space="preserve">the United Kingdom on 18 December 2025</t>
  </si>
  <si>
    <t xml:space="preserve">Withdrawnmist
4 out of 5 stars
⭐️⭐️⭐️⭐️ Lovely quality, but wash separately at first
Reviewed in the United Kingdom on 18 December 2025
Size Name: SingleColour Name: Red
Verified Purchase
The Sapphire Collection 100% Egyptian Cotton 200 Thread Count duvet cover with pillowcases is very good quality overall and feels comfortable and breathable to sleep under. The cotton is soft, smooth, and pleasant against the skin, and the fabric feels well made rather than thin or flimsy. It has that crisp, fresh feel you’d expect from Egyptian cotton and sits nicely on the bed.
The stitching and finish are also good, with no loose threads or quality issues, and it washes well in terms of keeping its shape and texture.
However, it’s very important to wash this bedding separately the first time. Unfortunately, it did release dye and stained some of my other clothes in the wash. This was disappointing and something buyers should be aware of, especially if washing with lighter items.
Once washed on its own, it’s been absolutely fine, and the colour now seems stable. Because of this initial issue, I’ve knocked one star off what would otherwise be a five-star product.
Pros:
Soft, comfortable Egyptian cotton
Good weight and breathable fabric
Well made with a quality finish
Cons:
Must be washed separately initially due to colour bleed
Overall, it’s a good duvet set with a nice feel and finish, but take care with the first wash.
Shopping research
Spend a few minutes for better results
Read more
11 people found this helpful
Helpful
Report</t>
  </si>
  <si>
    <t xml:space="preserve">RRX7PHVRA34Y5</t>
  </si>
  <si>
    <t xml:space="preserve">the United Kingdom on 15 October 2026</t>
  </si>
  <si>
    <t xml:space="preserve">Anjanie Emmanuel
5 out of 5 stars
Great item
Reviewed in the United Kingdom on 15 October 2026
Size Name: KingColour Name: White
Verified Purchase
Feels beautiful to sleep under
Helpful
Report</t>
  </si>
  <si>
    <t xml:space="preserve">R3E4QMVO5NAY72</t>
  </si>
  <si>
    <t xml:space="preserve">the United Kingdom on 26 September 2026</t>
  </si>
  <si>
    <t xml:space="preserve">Janet MacDonald
5 out of 5 stars
Feels great
Reviewed in the United Kingdom on 26 September 2026
Size Name: DoubleColour Name: Teal
Verified Purchase
Lovely material, feels great, washes well
One person found this helpful
Helpful
Report</t>
  </si>
  <si>
    <t xml:space="preserve">care_wrinkles</t>
  </si>
  <si>
    <t xml:space="preserve">R1AYM08FK35575</t>
  </si>
  <si>
    <t xml:space="preserve">the United Kingdom on 5 October 2026</t>
  </si>
  <si>
    <t xml:space="preserve">Adele Mauback
5 out of 5 stars
Niiiice!!
Reviewed in the United Kingdom on 5 October 2026
Size Name: DoubleColour Name: White
Verified Purchase
Comfort at its finest
One person found this helpful
Helpful
Report</t>
  </si>
  <si>
    <t xml:space="preserve">R3CKIPB3C38Z8W</t>
  </si>
  <si>
    <t xml:space="preserve">the United Kingdom on 28 January 2026</t>
  </si>
  <si>
    <t xml:space="preserve">Emily Dawe
3 out of 5 stars
Bad smell
Reviewed in the United Kingdom on 28 January 2026
Size Name: KingColour Name: White
Verified Purchase
Product arrived quickly. A little disappointed with the quality of the product. It feels scratchy and not how ‘Egyptian cotton’ should feel. It also had an awful fishy smell. I have since washed and it has come out smelling fresh. But I can tell the product won’t last long due to quality.
3 people found this helpful
Helpful
Report</t>
  </si>
  <si>
    <t xml:space="preserve">care_wrinkles; authenticity_material; packaging</t>
  </si>
  <si>
    <t xml:space="preserve">RAYBVQX5GAWER</t>
  </si>
  <si>
    <t xml:space="preserve">the United Kingdom on 10 September 2026</t>
  </si>
  <si>
    <t xml:space="preserve">Linky
4 out of 5 stars
Good but wrong colour
Reviewed in the United Kingdom on 10 September 2026
Size Name: KingColour Name: Grey
Verified Purchase
The covers are really comfortable and feel nice to the touch. My only concern is I ordered a grey duvet cover but it’s actually brown.
One person found this helpful
Helpful
Report</t>
  </si>
  <si>
    <t xml:space="preserve">R25YJNAOV4OT5T</t>
  </si>
  <si>
    <t xml:space="preserve">Italy on 19 October 2016</t>
  </si>
  <si>
    <t xml:space="preserve">HowImetYourCat
5 out of 5 stars
Ottima qualità di tessuto
Reviewed in Italy on 19 October 2016
Size Name: KingColour Name: Black
Verified Purchase
Ho acquistato il set e, nonostante il mio letto sia un 150x200 ho scelto la king size in quanto al momento era l'unica disponibile adatta a non lasciarmi a schiena all'aria. La qualità del cotone è ottima, regge bene ai lavaggi e con i giusti prodotti e temperature non scolorisce nemmeno, e le misure di 220 x 230 sono perfette per coprire a sufficienza ma senza esagerare.
Report
Translate review to English</t>
  </si>
  <si>
    <t xml:space="preserve">fit_sizing; care_wrinkles</t>
  </si>
  <si>
    <t xml:space="preserve">R2SA4T32BWLYO1</t>
  </si>
  <si>
    <t xml:space="preserve">Spain on 30 April 2026</t>
  </si>
  <si>
    <t xml:space="preserve">Amazon Customer
5 out of 5 stars
Very happy with the quality &amp; good price
Reviewed in Spain on 30 April 2026
Size Name: KingColour Name: White
Verified Purchase
Very good quality
Report</t>
  </si>
  <si>
    <t xml:space="preserve">R3CXWSBXC30RKQ</t>
  </si>
  <si>
    <t xml:space="preserve">France on 2 February 2026</t>
  </si>
  <si>
    <t xml:space="preserve">Fannette
5 out of 5 stars
Très bon produit
Reviewed in France on 2 February 2026
Size Name: SingleColour Name: White
Verified Purchase
Description qui manque de précision sur le choix des dimensions je trouve par contre
Report
Translate review to English</t>
  </si>
  <si>
    <t xml:space="preserve">RIJPIJ29K9546</t>
  </si>
  <si>
    <t xml:space="preserve">Germany on 19 December 2017</t>
  </si>
  <si>
    <t xml:space="preserve">Tower
5 out of 5 stars
Endlich ein Bezug, worin die Decke hält
Reviewed in Germany on 19 December 2017
Size Name: DoubleColour Name: Black
Verified Purchase
Wir haben uns irgendwann mal eine große Bettdecke gegönnt (200x200) und alle bisher bestellten Bezüge waren nicht das Wahre, da die Decke darin immer verrutschte. Super nervig.
In diesem Bezug passiert es nicht, juhuu :D
Ich habe keine Ahnung, wovon das abhängig ist, aber wir lieben diesen Bezug und es wird direkt ein weiterer bestellt.
Wie in den anderen Rezensionen zu lesen, haben die Kopfkissenbezüge keine herkömmliche, deutsche Größe. Scheinbar sind die Kissenbezüge für die USA ausgelegt, denn da sind diese Größen ganz typisch. Wie richtig in den Produktfotos abgebildet, sind es längliche Bezüge. Dass eine Seite offen ist, ist für diese "Verschlussart" (oder wie man es nennen möchte) völlig normal - genauso kenne ich diese Bezüge aus der USA.
Na ja, da unsere Daunenkissen eh nicht pralle voll sind, können wir die untere Kante einfach umfalten und dann passen sie perfekt in die Bezüge.
Report
Translate review to English</t>
  </si>
  <si>
    <t xml:space="preserve">RNZ8SKEBPYL8T</t>
  </si>
  <si>
    <t xml:space="preserve">Germany on 17 April 2017</t>
  </si>
  <si>
    <t xml:space="preserve">Sandra
4 out of 5 stars
Super Farbe, passt perfekt, einfach zu verschließen
Reviewed in Germany on 17 April 2017
Size Name: KingColour Name: Aubergine
Verified Purchase
Die Farbe ist wirklich sehr schön, der Stoff ist ziemlich dünn aber mit einer dicken Decke im inneren auch super für kalte Tage.
Durch Druckknöpfe kann man die decke super einfach verschließen, der einzige Mangel ist, das die Decke beim waschen extrem Färbt (das Wasser wird komplett rot), also am besten separat waschen... Aber trotz allem leuchtet die Farbe nach der 5. wäsche noch
Report
Translate review to English</t>
  </si>
  <si>
    <t xml:space="preserve">R14W9THIS5RY2B</t>
  </si>
  <si>
    <t xml:space="preserve">the United Kingdom on 22 August 2026</t>
  </si>
  <si>
    <t xml:space="preserve">SanityGaming
5 out of 5 stars
⭐⭐⭐⭐⭐ 5/5 – Fantastic Quality, Exactly What I'd Expect from Silentnight
Reviewed in the United Kingdom on 22 August 2026
Size Name: SingleSet name: 1 Pack
Verified Purchase
Really pleased with this Silentnight waterproof mattress protector. It's well made, feels good quality and does exactly what I wanted from a mattress protector.
The overall construction feels reassuringly good rather than cheap or flimsy, and it fits nicely on the mattress. It's a simple product, but with something designed to protect your mattress, good materials and construction are exactly what matter.
For me, it's the typical quality I've come to expect from Silentnight. There isn't any unnecessary complication – fit it to the bed and it gets on with doing its job.
Overall, fantastic quality, nicely made and a good way of adding an extra layer of protection to your mattress.
Very happy with it and would happily buy Silentnight again. ⭐⭐⭐⭐⭐
3 people found this helpful
Helpful
Report</t>
  </si>
  <si>
    <t xml:space="preserve">fit_sizing; value; waterproof_noise</t>
  </si>
  <si>
    <t xml:space="preserve">RW4A7MUEE103E</t>
  </si>
  <si>
    <t xml:space="preserve">the United Kingdom on 4 September 2026</t>
  </si>
  <si>
    <t xml:space="preserve">Martin
5 out of 5 stars
A good quality mattress protector
Reviewed in the United Kingdom on 4 September 2026
Size Name: SingleSet name: 1 Pack
Verified Purchase
I really love this waterproof mattress protector. It is good quality for money and it fits the mattress well. It feels really soft and has worked well so far.
2 people found this helpful
Helpful
Report</t>
  </si>
  <si>
    <t xml:space="preserve">comfort_softness; fit_sizing; waterproof_noise</t>
  </si>
  <si>
    <t xml:space="preserve">R4N68MRHRKCDK</t>
  </si>
  <si>
    <t xml:space="preserve">the United Kingdom on 24 June 2026</t>
  </si>
  <si>
    <t xml:space="preserve">Cyprus2021
4 out of 5 stars
Seems ok and just fits the double mattress
Reviewed in the United Kingdom on 24 June 2026
Size Name: DoubleSet name: 1 Pack
Verified Purchase
Quite thin and waterproof one side like a sheet material on the top part that goes on the mattress but the same fabric not two separate ones, well it feels like it anyway, it was cheap but better than Terry towelling in this heat
4 people found this helpful
Helpful
Report</t>
  </si>
  <si>
    <t xml:space="preserve">thermal_breathability; value; waterproof_noise</t>
  </si>
  <si>
    <t xml:space="preserve">R1ZGYQCY9VC3KB</t>
  </si>
  <si>
    <t xml:space="preserve">the United Kingdom on 8 January 2024</t>
  </si>
  <si>
    <t xml:space="preserve">Muhammad Iqbal
5 out of 5 stars
Silentnight Waterproof Mattress Protector - Effective Protection with a Minor Noise Consideration
Reviewed in the United Kingdom on 8 January 2024
Size Name: SingleSet name: 4 Pack
Verified Purchase
The Silentnight Waterproof Mattress Protector has proven to be a valuable addition, offering effective mattress protection. While its waterproof feature is commendable, it's worth noting that it can be a bit noisy when sleeping directly on it. However, this minor concern can be easily mitigated by placing a thicker sheet over it.
Pros:
Effective Waterproofing: The mattress protector successfully safeguards the mattress against spills and stains, providing reliable protection and extending the mattress's lifespan.
Easy to Clean: The waterproof feature makes cleaning a breeze, preventing liquids from seeping into the mattress and simplifying the maintenance process.
Secure Fit: The protector fits well on the mattress, staying securely in place without slipping or bunching during use.
Cons:
Minor Noise Issue: When sleeping directly on the protector, there is a noticeable noise when feet rub against it. This may affect individuals sensitive to sounds during sleep.
Recommendation:
To address the noise concern, I recommend placing another thicker sheet over the Silentnight Waterproof Mattress Protector. This simple solution not only mitigates the noise issue but also enhances overall comfort. The protector remains a valuable investment for preserving the mattress while requiring a small adjustment for noise reduction.
Conclusion:
The Silentnight Waterproof Mattress Protector fulfills its primary purpose of protecting the mattress effectively. While there is a minor noise consideration, this can be easily resolved by layering an additional sheet. Overall, it's a practical choice for maintaining a clean and protected sleeping surface, and I recommend it for those looking for reliable mattress protection.
Read more
65 people found this helpful
Helpful
Report</t>
  </si>
  <si>
    <t xml:space="preserve">comfort_softness; fit_sizing; colour_fading; value; waterproof_noise</t>
  </si>
  <si>
    <t xml:space="preserve">RFB6SMZ7SPC6S</t>
  </si>
  <si>
    <t xml:space="preserve">the United Kingdom on 9 November 2024</t>
  </si>
  <si>
    <t xml:space="preserve">Maggs
5 out of 5 stars
Silentnight waterproof single sheet
Reviewed in the United Kingdom on 9 November 2024
Size Name: SingleSet name: 1 Pack
Verified Purchase
This is a great product bought at a good average price. I had compared lots for price instore and online, eventually choosing this as silent night is a reliable brand and this had decent feedback.
I'm using it on my young child's single bed, it is a good fit with elasticated corners. The mattress is thinner than most as is a bunk bed mattress, this means that the sheet has excess depth but easy enough to tuck under and doesn't cause any issues.
The protector was well packaged on arrival, no weird smell to the sheet on unfolding, some packaged items like these tend to adopt odd scents.
This is virtually noise less, I can hear the tiniest of rusting when there is movement but it is nothing that causes a disturbance. So far no wet nights so cannot comment on its effectiveness but I have faith in the brand.
I've sat on the bed, there is no discomfort from this being under the bedsheets, infact I'd go as far as saying you can't tell it's there to begin with.
Great buy. Would buy again and I recommend it.
Read more
8 people found this helpful
Helpful
Report</t>
  </si>
  <si>
    <t xml:space="preserve">fit_sizing; value; waterproof_noise; packaging</t>
  </si>
  <si>
    <t xml:space="preserve">R17I9N9SE44ADH</t>
  </si>
  <si>
    <t xml:space="preserve">the United Kingdom on 15 July 2026</t>
  </si>
  <si>
    <t xml:space="preserve">katybgood
5 out of 5 stars
Comfy and waterproof
Reviewed in the United Kingdom on 15 July 2026
Size Name: DoubleSet name: 4 Pack
Verified Purchase
This is the second time I’ve bought these mattress protectors. They do what they say, they’re waterproof and they’re comfy. They don’t rustle and sound waterproof like others I’ve tried.
Helpful
Report</t>
  </si>
  <si>
    <t xml:space="preserve">comfort_softness; waterproof_noise</t>
  </si>
  <si>
    <t xml:space="preserve">R2CDCPOR4D8O4I</t>
  </si>
  <si>
    <t xml:space="preserve">the United Kingdom on 20 October 2026</t>
  </si>
  <si>
    <t xml:space="preserve">Joanne beech
5 out of 5 stars
Totally worth the money, great waterproof protector
Reviewed in the United Kingdom on 20 October 2026
Size Name: DoubleSet name: 1 Pack
Verified Purchase
Happy with purchase, can confirm it's waterproof and didn't go through at all,
Helpful
Report</t>
  </si>
  <si>
    <t xml:space="preserve">waterproof_noise</t>
  </si>
  <si>
    <t xml:space="preserve">RZKTZ4VTMNDKS</t>
  </si>
  <si>
    <t xml:space="preserve">the United Kingdom on 24 May 2026</t>
  </si>
  <si>
    <t xml:space="preserve">Faith OJ
3 out of 5 stars
But too plasticky
Reviewed in the United Kingdom on 24 May 2026
Size Name: DoubleSet name: 1 Pack
Verified Purchase
Does what it says on the tin. But a bit too plasticky for my liking. Leading some rustling noise, it’s a bit sweaty and manages to slide off the bed it one corner after a couple nights :(
One person found this helpful
Helpful
Report</t>
  </si>
  <si>
    <t xml:space="preserve">fit_sizing; waterproof_noise</t>
  </si>
  <si>
    <t xml:space="preserve">R1FTSUG7993O4Z</t>
  </si>
  <si>
    <t xml:space="preserve">Spain on 25 July 2025</t>
  </si>
  <si>
    <t xml:space="preserve">joanna
5 out of 5 stars
Completely waterproof
Reviewed in Spain on 25 July 2025
Size Name: DoubleSet name: 1 Pack
Verified Purchase
Completely waterproof unlike others that claim to be. Not made with noisy material either.
Report</t>
  </si>
  <si>
    <t xml:space="preserve">R1KCG4QW1ZKQGU</t>
  </si>
  <si>
    <t xml:space="preserve">Ireland on 3 March 2026</t>
  </si>
  <si>
    <t xml:space="preserve">Amazon Customer
5 out of 5 stars
Arrived in clear plastic
Reviewed in Ireland on 3 March 2026
Size Name: DoubleSet name: 1 Pack
Verified Purchase
Very thin. Arrived in clear packing.
Report</t>
  </si>
  <si>
    <t xml:space="preserve">packaging</t>
  </si>
  <si>
    <t xml:space="preserve">R1LIRQFH5YQ38H</t>
  </si>
  <si>
    <t xml:space="preserve">Ireland on 11 May 2026</t>
  </si>
  <si>
    <t xml:space="preserve">Eamon Mahoney
1 out of 5 stars
Absolutely not waterproof
Reviewed in Ireland on 11 May 2026
Size Name: SingleSet name: 1 Pack
Verified Purchase
Absolutely not waterproof. Urine stains soaked straight through onto the mattress. Have no idea where these other 5 star reviews are coming from
Report</t>
  </si>
  <si>
    <t xml:space="preserve">colour_fading; waterproof_noise</t>
  </si>
  <si>
    <t xml:space="preserve">R9V4LU030QHVB</t>
  </si>
  <si>
    <t xml:space="preserve">Spain on 27 April 2025</t>
  </si>
  <si>
    <t xml:space="preserve">Ismaelmg
5 out of 5 stars
Muy buena elección
Reviewed in Spain on 27 April 2025
Size Name: SingleSet name: 1 Pack
Verified Purchase
Muy buena calidad. Una vez puesto no se nota.Ajusta muy bien.
Report
Translate review to English</t>
  </si>
  <si>
    <t xml:space="preserve">R2F6ISPC51AYDF</t>
  </si>
  <si>
    <t xml:space="preserve">Spain on 11 July 2024</t>
  </si>
  <si>
    <t xml:space="preserve">sara stokes
5 out of 5 stars
Perfecto
Reviewed in Spain on 11 July 2024
Size Name: KingSet name: 1 Pack
Verified Purchase
Funciona muy bien y no se causa el cuerpo sudar, no podemos darnos cuenta de que está en la cama!
Report
Translate review to English</t>
  </si>
  <si>
    <t xml:space="preserve">R37LNLDJDAQE0Q</t>
  </si>
  <si>
    <t xml:space="preserve">the United Kingdom on 4 May 2026</t>
  </si>
  <si>
    <t xml:space="preserve">maggiemoo
5 out of 5 stars
Ample size
Reviewed in the United Kingdom on 4 May 2026
Size Name: QueenColour Name: 02 - White
Verified Purchase
A fantastic set lots of sheet which covers my king size bed
Good value
Helpful
Report</t>
  </si>
  <si>
    <t xml:space="preserve">fit_sizing; value</t>
  </si>
  <si>
    <t xml:space="preserve">R2RCKUVOT3N195</t>
  </si>
  <si>
    <t xml:space="preserve">the United Kingdom on 24 April 2026</t>
  </si>
  <si>
    <t xml:space="preserve">Susan Simpson
5 out of 5 stars
Very soft
Reviewed in the United Kingdom on 24 April 2026
Size Name: QueenColour Name: 12 - Sage
Verified Purchase
Fabulous. Very good fabric.
Helpful
Report</t>
  </si>
  <si>
    <t xml:space="preserve">R3FALCSLBKJA8P</t>
  </si>
  <si>
    <t xml:space="preserve">the United Kingdom on 31 October 2025</t>
  </si>
  <si>
    <t xml:space="preserve">Dalecia Baptiste
5 out of 5 stars
The quality and size is very important.
Reviewed in the United Kingdom on 31 October 2025
Size Name: QueenColour Name: 02 - White
Verified Purchase
Sticks to the perfect size. quality is soft and comfortable.
Helpful
Report</t>
  </si>
  <si>
    <t xml:space="preserve">R3GIDA7WEWI8YJ</t>
  </si>
  <si>
    <t xml:space="preserve">the United Kingdom on 3 April 2025</t>
  </si>
  <si>
    <t xml:space="preserve">Zebroo
4 out of 5 stars
Incorrect sizing
Reviewed in the United Kingdom on 3 April 2025
Size Name: QueenColour Name: 02 - White
Verified Purchase
Really good quality and great price, but incorrect sizing - requested queen but sent double.
Helpful
Report</t>
  </si>
  <si>
    <t xml:space="preserve">R2K9S9TXJLZZ49</t>
  </si>
  <si>
    <t xml:space="preserve">the United Kingdom on 4 April 2026</t>
  </si>
  <si>
    <t xml:space="preserve">sandra wyse
5 out of 5 stars
Good value
Reviewed in the United Kingdom on 4 April 2026
Size Name: QueenColour Name: 02 - White
Verified Purchase
Very comfty
Helpful
Report</t>
  </si>
  <si>
    <t xml:space="preserve">R361PS3D317IZS</t>
  </si>
  <si>
    <t xml:space="preserve">the United Kingdom on 20 December 2025</t>
  </si>
  <si>
    <t xml:space="preserve">phooey
5 out of 5 stars
Bed topper
Reviewed in the United Kingdom on 20 December 2025
Size Name: KingColour Name: Black
Verified Purchase
Very good fits well Very soft
Helpful
Report</t>
  </si>
  <si>
    <t xml:space="preserve">R1NLW8GYT8JECW</t>
  </si>
  <si>
    <t xml:space="preserve">the United Kingdom on 29 November 2025</t>
  </si>
  <si>
    <t xml:space="preserve">Xabier Bustinduy
5 out of 5 stars
Great value
Reviewed in the United Kingdom on 29 November 2025
Size Name: QueenColour Name: 02 - White
Verified Purchase
Very soft
Helpful
Report</t>
  </si>
  <si>
    <t xml:space="preserve">R35V7O4WE8RIDG</t>
  </si>
  <si>
    <t xml:space="preserve">the United Kingdom on 26 November 2025</t>
  </si>
  <si>
    <t xml:space="preserve">Brian, Glasgow
5 out of 5 stars
Utopia bedding
Reviewed in the United Kingdom on 26 November 2025
Size Name: QueenColour Name: 02 - White
Verified Purchase
Excellent value for the money luxury without doubt
Helpful
Report</t>
  </si>
  <si>
    <t xml:space="preserve">R10IMHBP1XK27F</t>
  </si>
  <si>
    <t xml:space="preserve">Singapore on 3 April 2026</t>
  </si>
  <si>
    <t xml:space="preserve">Andrew N.
5 out of 5 stars
Comfortable
Reviewed in Singapore on 3 April 2026
Size Name: TwinColour Name: 02 - White
Verified Purchase
Soft and comfy. Recommend.
Report</t>
  </si>
  <si>
    <t xml:space="preserve">R12D98XKKB2KUT</t>
  </si>
  <si>
    <t xml:space="preserve">Germany on 14 April 2025</t>
  </si>
  <si>
    <t xml:space="preserve">NT
5 out of 5 stars
Soft and Comfortable
Reviewed in Germany on 14 April 2025
Size Name: KingColour Name: 01 - White
Verified Purchase
I love this sheet set. It's soft and comfortable and simply elegant.
Report</t>
  </si>
  <si>
    <t xml:space="preserve">R15QXXRHFBMAHN</t>
  </si>
  <si>
    <t xml:space="preserve">the United States on 3 August 2023</t>
  </si>
  <si>
    <t xml:space="preserve">Shereka Braithwaite
5 out of 5 stars
100% quality
Reviewed in the United States on 3 August 2023
Verified Purchase
Utopia never fails. Always delivering quality sheets and it's the color is case resistant and qhzet is so soft and comfy
Report</t>
  </si>
  <si>
    <t xml:space="preserve">comfort_softness; colour_fading; packaging</t>
  </si>
  <si>
    <t xml:space="preserve">R1AWIBJQVML0SJ</t>
  </si>
  <si>
    <t xml:space="preserve">the United States on 21 June 2026</t>
  </si>
  <si>
    <t xml:space="preserve">Rukhsar
3 out of 5 stars
Good
Reviewed in the United States on 21 June 2026
Verified Purchase
Bedsheet quality is good and soft. Color was nice and price was normal
Report</t>
  </si>
  <si>
    <t xml:space="preserve">comfort_softness; colour_fading; value</t>
  </si>
  <si>
    <t xml:space="preserve">R1C1XUFHGUWQD6</t>
  </si>
  <si>
    <t xml:space="preserve">the United States on 3 October 2022</t>
  </si>
  <si>
    <t xml:space="preserve">Joshua y Marita Smith
5 out of 5 stars
Suave
Reviewed in the United States on 3 October 2022
Verified Purchase
Es muy suave y fácil de lavar.
Llevo usando este producto aproximadamente 1 mes y hasta el momento esta muy bien.
Por el costo estoy muy bien.
La talla es exacta a lo que pedí y no se mancha (derrame café y fue fácil de lavar)
Report
Translate review to English</t>
  </si>
  <si>
    <t xml:space="preserve">care_wrinkles; value</t>
  </si>
  <si>
    <t xml:space="preserve">R1ID61ZG426LW3</t>
  </si>
  <si>
    <t xml:space="preserve">M Baker
5 out of 5 stars
Comfy, soft and worth every penny
Reviewed in the United Kingdom on 5 October 2026
Size Name: Double(137X190cm)
Verified Purchase
Bought for my daughter in uni halls. She says it's so comfortable she looks forward to getting into bed. Buying a second now for when she's home! Totally recommend!
2 people found this helpful
Helpful
Report</t>
  </si>
  <si>
    <t xml:space="preserve">R7WBQF0LHKW3J</t>
  </si>
  <si>
    <t xml:space="preserve">the United Kingdom on 17 October 2026</t>
  </si>
  <si>
    <t xml:space="preserve">raymond hornby
5 out of 5 stars
Excellent so comfy once fitted it never moves
Reviewed in the United Kingdom on 17 October 2026
Size Name: Double(137X190cm)
Verified Purchase
Excellent best mattress topper we have ever had
Helpful
Report</t>
  </si>
  <si>
    <t xml:space="preserve">R22UNAXUXUTDNV</t>
  </si>
  <si>
    <t xml:space="preserve">the United Kingdom on 2 October 2026</t>
  </si>
  <si>
    <t xml:space="preserve">sophia perlin
4 out of 5 stars
Overall very comfortable on top of terrible dorm mattress
Reviewed in the United Kingdom on 2 October 2026
Size Name: Small Double(122X190cm)
Verified Purchase
Very comfy! Could be more sturdy but overall very good.
Helpful
Report</t>
  </si>
  <si>
    <t xml:space="preserve">comfort_softness; durability_pilling</t>
  </si>
  <si>
    <t xml:space="preserve">R2SJ8Y5K3UBCVK</t>
  </si>
  <si>
    <t xml:space="preserve">the United Kingdom on 30 September 2026</t>
  </si>
  <si>
    <t xml:space="preserve">S. J. Law
5 out of 5 stars
Made a uni bed more appealing :)
Reviewed in the United Kingdom on 30 September 2026
Size Name: Single 90 X 190cm
Verified Purchase
Brilliant, thick and comfy with sturdy straps for the corners!
One person found this helpful
Helpful
Report</t>
  </si>
  <si>
    <t xml:space="preserve">comfort_softness; fit_sizing; durability_pilling</t>
  </si>
  <si>
    <t xml:space="preserve">R2BCQDBFMIG9TL</t>
  </si>
  <si>
    <t xml:space="preserve">the United Kingdom on 29 August 2026</t>
  </si>
  <si>
    <t xml:space="preserve">Kerry
5 out of 5 stars
Soft padded topper
Reviewed in the United Kingdom on 29 August 2026
Size Name: Double(137X190cm)
Verified Purchase
Really soft and comfy, feels like a new mattress. Would recommend.
One person found this helpful
Helpful
Report</t>
  </si>
  <si>
    <t xml:space="preserve">R3L5KFNACGDC4N</t>
  </si>
  <si>
    <t xml:space="preserve">the United Kingdom on 3 October 2026</t>
  </si>
  <si>
    <t xml:space="preserve">Leah barrett
3 out of 5 stars
Good item
Reviewed in the United Kingdom on 3 October 2026
Size Name: King(150X200cm)
Verified Purchase
I like this mattress topper it has made my bed more comfortable and able to sleep on this bed.
Helpful
Report</t>
  </si>
  <si>
    <t xml:space="preserve">RP3JXEU9MAY3O</t>
  </si>
  <si>
    <t xml:space="preserve">the United Kingdom on 29 September 2026</t>
  </si>
  <si>
    <t xml:space="preserve">MRS T.
5 out of 5 stars
Very comfortable
Reviewed in the United Kingdom on 29 September 2026
Size Name: Small Double(122X190cm)
Verified Purchase
Fabulous, sooo comfy ❤️
Helpful
Report</t>
  </si>
  <si>
    <t xml:space="preserve">REFN4FQRSWDHK</t>
  </si>
  <si>
    <t xml:space="preserve">the United Kingdom on 23 October 2026</t>
  </si>
  <si>
    <t xml:space="preserve">Heather Warner
5 out of 5 stars
Brilliant
Reviewed in the United Kingdom on 23 October 2026
Size Name: Single 90 X 190cm
Verified Purchase
Brilliant
Helpful
Report</t>
  </si>
  <si>
    <t xml:space="preserve">R1OE3164FBHBHC</t>
  </si>
  <si>
    <t xml:space="preserve">Italy on 9 January 2019</t>
  </si>
  <si>
    <t xml:space="preserve">Stefania pigozzo
5 out of 5 stars
Dormire morbido... Bellissimo
Reviewed in Italy on 9 January 2019
Size Name: King(150X200cm)
Verified Purchase
Arrivato velocissimo, imballato perfetto con la sua custodia. E morbidissimo è caldo, come dormire sulle nuvole.
Report
Translate review to English</t>
  </si>
  <si>
    <t xml:space="preserve">R1RD1ETQV3UQLO</t>
  </si>
  <si>
    <t xml:space="preserve">Italy on 2 August 2018</t>
  </si>
  <si>
    <t xml:space="preserve">lavale
5 out of 5 stars
Sorpresa!
Reviewed in Italy on 2 August 2018
Size Name: Small Double(122X190cm)
Verified Purchase
Ammetto subito che sono partita dal presupposto che non fosse gran chè... Mi sono dovuta ricredere! La differenza si sente, io lo uso su un divano letto molto duro però con questo coprimaterasso diventa veramente più comodo. Buono anche il prezzo rispetto ad altri prodotti che si trovano in giro.
Report
Translate review to English</t>
  </si>
  <si>
    <t xml:space="preserve">R2B868JOBSJXTC</t>
  </si>
  <si>
    <t xml:space="preserve">Italy on 12 July 2019</t>
  </si>
  <si>
    <t xml:space="preserve">donatella
5 out of 5 stars
Ottimo copri materasso
Reviewed in Italy on 12 July 2019
Size Name: Single 90 X 190cm
Verified Purchase
Perfetto
Report
Translate review to English</t>
  </si>
  <si>
    <t xml:space="preserve">R2DOFF516R908E</t>
  </si>
  <si>
    <t xml:space="preserve">France on 4 November 2017</t>
  </si>
  <si>
    <t xml:space="preserve">PATIES
5 out of 5 stars
Sur matelas tout confort
Reviewed in France on 4 November 2017
Size Name: Single 90 X 190cm
Verified Purchase
Doux, très souple les sur matelas sont très confortables c’est un vrai plaisir je le recommande à tous ceux qui aiment les matelas confortables
Report
Translate review to English</t>
  </si>
  <si>
    <t xml:space="preserve">RHFXKCBKBBB1M</t>
  </si>
  <si>
    <t xml:space="preserve">Italy on 30 March 2024</t>
  </si>
  <si>
    <t xml:space="preserve">Vincenzo
3 out of 5 stars
Discreto
Reviewed in Italy on 30 March 2024
Size Name: Double(137X190cm)
Verified Purchase
Profotyo apprezzabile
Report
Translate review to English</t>
  </si>
  <si>
    <t xml:space="preserve">theme</t>
  </si>
  <si>
    <t xml:space="preserve">mentions</t>
  </si>
  <si>
    <t xml:space="preserve">sample_n</t>
  </si>
  <si>
    <t xml:space="preserve">share</t>
  </si>
  <si>
    <t xml:space="preserve">interpretation</t>
  </si>
  <si>
    <t xml:space="preserve">Mention frequency only, not complaint prevalence or population estimate</t>
  </si>
  <si>
    <t xml:space="preserve">durability_pilling</t>
  </si>
  <si>
    <t xml:space="preserve">shrinkage</t>
  </si>
  <si>
    <t xml:space="preserve">authenticity_material</t>
  </si>
  <si>
    <t xml:space="preserve">Market</t>
  </si>
  <si>
    <t xml:space="preserve">Query</t>
  </si>
  <si>
    <t xml:space="preserve">Bucket</t>
  </si>
  <si>
    <t xml:space="preserve">Observed cards</t>
  </si>
  <si>
    <t xml:space="preserve">Sponsored-labelled cards</t>
  </si>
  <si>
    <t xml:space="preserve">Search volume</t>
  </si>
  <si>
    <t xml:space="preserve">Organic rank domestic</t>
  </si>
  <si>
    <t xml:space="preserve">CPC</t>
  </si>
  <si>
    <t xml:space="preserve">CTR</t>
  </si>
  <si>
    <t xml:space="preserve">Order CVR</t>
  </si>
  <si>
    <t xml:space="preserve">ACoS</t>
  </si>
  <si>
    <t xml:space="preserve">ROAS</t>
  </si>
  <si>
    <t xml:space="preserve">TACoS</t>
  </si>
  <si>
    <t xml:space="preserve">Limit</t>
  </si>
  <si>
    <t xml:space="preserve">GAP</t>
  </si>
  <si>
    <t xml:space="preserve">Observed sponsored cards only; absence is not zero ad competition. No search volume, search-share or CPC inferred. UK quilt/comforter must be localized.</t>
  </si>
  <si>
    <t xml:space="preserve">Channel</t>
  </si>
  <si>
    <t xml:space="preserve">Demand proposition</t>
  </si>
  <si>
    <t xml:space="preserve">Acquisition</t>
  </si>
  <si>
    <t xml:space="preserve">Economics/operations</t>
  </si>
  <si>
    <t xml:space="preserve">Suitability</t>
  </si>
  <si>
    <t xml:space="preserve">Large discoverable assortment; fast-fulfilment expectation</t>
  </si>
  <si>
    <t xml:space="preserve">Auction-driven acquisition; CPC/CVR not independently measured</t>
  </si>
  <si>
    <t xml:space="preserve">Referral, fulfilment, storage, returns and ads; strong ratings barriers</t>
  </si>
  <si>
    <t xml:space="preserve">Best to test a measurable point of difference with limited SKUs</t>
  </si>
  <si>
    <t xml:space="preserve">LIVE_US_*; F01</t>
  </si>
  <si>
    <t xml:space="preserve">Smaller addressable country; local fulfilment matters</t>
  </si>
  <si>
    <t xml:space="preserve">Do not assume cheaper CPC than US; unmeasured</t>
  </si>
  <si>
    <t xml:space="preserve">CAD exposure, duty, bilingual labels, dispersed last-mile costs</t>
  </si>
  <si>
    <t xml:space="preserve">Narrow locally-stocked assortment only after duty/landed-cost quote</t>
  </si>
  <si>
    <t xml:space="preserve">LIVE_CA_*; R07; R19; R26</t>
  </si>
  <si>
    <t xml:space="preserve">Price-sensitive sample; native sizes and vocabulary essential</t>
  </si>
  <si>
    <t xml:space="preserve">Head-term acquisition unmeasured; use native fitted/duvet terms</t>
  </si>
  <si>
    <t xml:space="preserve">VAT-inclusive retail and category/price-specific fee thresholds</t>
  </si>
  <si>
    <t xml:space="preserve">Test fitted/replacement and duvet propositions; confirm fee classification</t>
  </si>
  <si>
    <t xml:space="preserve">LIVE_UK_*; F03; R09</t>
  </si>
  <si>
    <t xml:space="preserve">All, separately</t>
  </si>
  <si>
    <t xml:space="preserve">DTC website</t>
  </si>
  <si>
    <t xml:space="preserve">Control education, bundles and email retention</t>
  </si>
  <si>
    <t xml:space="preserve">Paid social/search CAC unknown; organic/creator traffic not free</t>
  </si>
  <si>
    <t xml:space="preserve">No marketplace referral, but payment fees, 3PL, parcel shipping, returns and content CAC</t>
  </si>
  <si>
    <t xml:space="preserve">Useful for differentiated storytelling; standalone pillowcases need basket-building</t>
  </si>
  <si>
    <t xml:space="preserve">D01; channel assessment is analyst judgement</t>
  </si>
  <si>
    <t xml:space="preserve">US/CA/UK</t>
  </si>
  <si>
    <t xml:space="preserve">Other marketplaces</t>
  </si>
  <si>
    <t xml:space="preserve">Walmart/Wayfair/Etsy/eBay are candidate channels, not verified sales pools</t>
  </si>
  <si>
    <t xml:space="preserve">Own platform rules and advertising, not transferable Amazon CVR</t>
  </si>
  <si>
    <t xml:space="preserve">Service levels, commissions, return terms and handmade/resale eligibility vary</t>
  </si>
  <si>
    <t xml:space="preserve">Assess channel fit after product; do not assume all platforms accept a generic imported brand</t>
  </si>
  <si>
    <t xml:space="preserve">Analyst channel shortlist; fee/reach diligence pending</t>
  </si>
  <si>
    <t xml:space="preserve">Retail / wholesale</t>
  </si>
  <si>
    <t xml:space="preserve">Shelf discovery and retailer trust</t>
  </si>
  <si>
    <t xml:space="preserve">Sell-in process replaces some consumer CAC; buyer acquisition still costs</t>
  </si>
  <si>
    <t xml:space="preserve">Wholesale price, trade allowances, chargebacks, terms and assortment commitments</t>
  </si>
  <si>
    <t xml:space="preserve">Only with buyer interest and quote-backed wholesale contribution</t>
  </si>
  <si>
    <t xml:space="preserve">M07-M09; C08</t>
  </si>
  <si>
    <t xml:space="preserve">UK first; US/CA secondary</t>
  </si>
  <si>
    <t xml:space="preserve">Hospitality / institutional</t>
  </si>
  <si>
    <t xml:space="preserve">Repeat replacement and wash performance matter</t>
  </si>
  <si>
    <t xml:space="preserve">Longer B2B selling/sampling cycle; no Amazon review moat</t>
  </si>
  <si>
    <t xml:space="preserve">Contract pricing, laundering validation, credit terms, local inventory and service</t>
  </si>
  <si>
    <t xml:space="preserve">Promising feasibility track for standard white cotton-rich linen; no demand contract secured</t>
  </si>
  <si>
    <t xml:space="preserve">M07-M09; C11-C14</t>
  </si>
  <si>
    <t xml:space="preserve">Private-label / contract manufacture</t>
  </si>
  <si>
    <t xml:space="preserve">Buyer supplies brand/channel; manufacturer supplies specification compliance</t>
  </si>
  <si>
    <t xml:space="preserve">Lower brand marketing burden, concentrated customer risk</t>
  </si>
  <si>
    <t xml:space="preserve">Tight quotes/MOQs, audits, payment risk, quality claims and working capital</t>
  </si>
  <si>
    <t xml:space="preserve">Potential Pakistan sourcing fit; no factory capability or capacity assumed</t>
  </si>
  <si>
    <t xml:space="preserve">C11; C12; C14; R12</t>
  </si>
  <si>
    <t xml:space="preserve">Severity judgement</t>
  </si>
  <si>
    <t xml:space="preserve">Evidence/issue</t>
  </si>
  <si>
    <t xml:space="preserve">Mitigation</t>
  </si>
  <si>
    <t xml:space="preserve">Verification metric</t>
  </si>
  <si>
    <t xml:space="preserve">Demand extrapolation</t>
  </si>
  <si>
    <t xml:space="preserve">High</t>
  </si>
  <si>
    <t xml:space="preserve">Industry totals include mattresses or non-bedding textiles; search pages are not TAM</t>
  </si>
  <si>
    <t xml:space="preserve">Use separate denominators; acquire country/category demand exports</t>
  </si>
  <si>
    <t xml:space="preserve">Independent demand data; 24-36 month series</t>
  </si>
  <si>
    <t xml:space="preserve">M01-M09</t>
  </si>
  <si>
    <t xml:space="preserve">Price/rank sampling</t>
  </si>
  <si>
    <t xml:space="preserve">US/UK overseas destination; mixed configurations and variants; one time point</t>
  </si>
  <si>
    <t xml:space="preserve">Repeat domestic postcode, device and query panels; retain exact child identity</t>
  </si>
  <si>
    <t xml:space="preserve">At least repeated weekly snapshots and normalized size/set comparisons</t>
  </si>
  <si>
    <t xml:space="preserve">LIVE_*</t>
  </si>
  <si>
    <t xml:space="preserve">Advertising and cash burn</t>
  </si>
  <si>
    <t xml:space="preserve">No credible bedding-specific country CPC/CVR benchmark recovered</t>
  </si>
  <si>
    <t xml:space="preserve">Pilot with loss cap and contribution-based CPC ceiling; no inferred competitor spend</t>
  </si>
  <si>
    <t xml:space="preserve">CPC, CTR, order CVR, refund-adjusted contribution, TACoS</t>
  </si>
  <si>
    <t xml:space="preserve">Scenario model</t>
  </si>
  <si>
    <t xml:space="preserve">Tariff and tax</t>
  </si>
  <si>
    <t xml:space="preserve">No single Pakistan duty rate applies to all bedding or all countries</t>
  </si>
  <si>
    <t xml:space="preserve">Broker confirms fibre/construction HS code, origin and current additional duties</t>
  </si>
  <si>
    <t xml:space="preserve">Written landed quote and tax treatment</t>
  </si>
  <si>
    <t xml:space="preserve">R07; R22-R28</t>
  </si>
  <si>
    <t xml:space="preserve">Quality and material claims</t>
  </si>
  <si>
    <t xml:space="preserve">Fit, bleed, membrane failure, shrinkage and fibre-authenticity risk</t>
  </si>
  <si>
    <t xml:space="preserve">Independent testing plus lot inspection and traceability</t>
  </si>
  <si>
    <t xml:space="preserve">Post-wash fit, colourfastness, pilling, leakage, complaint/return reasons</t>
  </si>
  <si>
    <t xml:space="preserve">R01-R04; R19; reviews</t>
  </si>
  <si>
    <t xml:space="preserve">Inventory fragmentation</t>
  </si>
  <si>
    <t xml:space="preserve">Sizes x colours x sets multiply slow stock and replenishment gaps</t>
  </si>
  <si>
    <t xml:space="preserve">Limit assortment; size-level MOQ and reorder model</t>
  </si>
  <si>
    <t xml:space="preserve">DOS, sell-through, forecast error, aged inventory</t>
  </si>
  <si>
    <t xml:space="preserve">Analyst judgement</t>
  </si>
  <si>
    <t xml:space="preserve">Working capital / FX</t>
  </si>
  <si>
    <t xml:space="preserve">PKR manufacturing cost may still be USD-invoiced; CAD/GBP sales and deposits</t>
  </si>
  <si>
    <t xml:space="preserve">Model settlement timing and FX stress; do not double-count inventory as expense</t>
  </si>
  <si>
    <t xml:space="preserve">Cash conversion cycle, deposit exposure, FX +/-10%</t>
  </si>
  <si>
    <t xml:space="preserve">Review interpretation</t>
  </si>
  <si>
    <t xml:space="preserve">Medium-high</t>
  </si>
  <si>
    <t xml:space="preserve">Helpful/top reviews, Vine, imported reviews and variation pooling bias evidence</t>
  </si>
  <si>
    <t xml:space="preserve">Separate reviewer geography, incentives, dates and variant; balanced coding next</t>
  </si>
  <si>
    <t xml:space="preserve">Theme counts and denominators, recent low-star sample</t>
  </si>
  <si>
    <t xml:space="preserve">reviews_coded.json</t>
  </si>
  <si>
    <t xml:space="preserve">Regulatory scope</t>
  </si>
  <si>
    <t xml:space="preserve">Filled pads/toppers, children, heated bedding differ from adult sheets</t>
  </si>
  <si>
    <t xml:space="preserve">Product-specific safety/label/chemical assessment before purchase order</t>
  </si>
  <si>
    <t xml:space="preserve">Test reports, labels, importer records, recall procedure</t>
  </si>
  <si>
    <t xml:space="preserve">R01; R04; R11; R19</t>
  </si>
  <si>
    <t xml:space="preserve">Supplier and transit</t>
  </si>
  <si>
    <t xml:space="preserve">No factory quotation, audit, MOQ, capacity or shipping service verified</t>
  </si>
  <si>
    <t xml:space="preserve">RFQs and sample wash tests; quote Incoterms and local returns provider</t>
  </si>
  <si>
    <t xml:space="preserve">OTIF, defect rate, actual transit/cost, supplier concentration</t>
  </si>
  <si>
    <t xml:space="preserve">C11-C14; R12</t>
  </si>
  <si>
    <t xml:space="preserve">ID</t>
  </si>
  <si>
    <t xml:space="preserve">Opportunity</t>
  </si>
  <si>
    <t xml:space="preserve">Disposition</t>
  </si>
  <si>
    <t xml:space="preserve">Demand</t>
  </si>
  <si>
    <t xml:space="preserve">Growth</t>
  </si>
  <si>
    <t xml:space="preserve">Competition ease</t>
  </si>
  <si>
    <t xml:space="preserve">Differentiation</t>
  </si>
  <si>
    <t xml:space="preserve">Acquisition ease</t>
  </si>
  <si>
    <t xml:space="preserve">Contribution potential</t>
  </si>
  <si>
    <t xml:space="preserve">Manufacturing feasibility</t>
  </si>
  <si>
    <t xml:space="preserve">Capital efficiency</t>
  </si>
  <si>
    <t xml:space="preserve">Risk resilience</t>
  </si>
  <si>
    <t xml:space="preserve">Logic</t>
  </si>
  <si>
    <t xml:space="preserve">Confidence</t>
  </si>
  <si>
    <t xml:space="preserve">Weighted score</t>
  </si>
  <si>
    <t xml:space="preserve">O1</t>
  </si>
  <si>
    <t xml:space="preserve">Hospitality/private-label cotton-rich white linen</t>
  </si>
  <si>
    <t xml:space="preserve">Investigate first</t>
  </si>
  <si>
    <t xml:space="preserve">M08; R22-R25; C11-C14</t>
  </si>
  <si>
    <t xml:space="preserve">Potential origin preference and repeat laundering need; confirm buyer demand and origin before assuming advantage</t>
  </si>
  <si>
    <t xml:space="preserve">Medium-low</t>
  </si>
  <si>
    <t xml:space="preserve">O2</t>
  </si>
  <si>
    <t xml:space="preserve">Wash-tested cotton percale with verified mattress fit</t>
  </si>
  <si>
    <t xml:space="preserve">M07; D01; LIVE_US_sheets; reviews</t>
  </si>
  <si>
    <t xml:space="preserve">Largest country scale in cited series; fit/quality proof needs to beat established cotton offers</t>
  </si>
  <si>
    <t xml:space="preserve">O3</t>
  </si>
  <si>
    <t xml:space="preserve">Native-size easy-fit cotton duvet cover system</t>
  </si>
  <si>
    <t xml:space="preserve">M08; D06; LIVE_UK_duvet; PDP_UK_duvet</t>
  </si>
  <si>
    <t xml:space="preserve">Demonstrate wash-stable sizing and closure convenience; defend price against retail anchors</t>
  </si>
  <si>
    <t xml:space="preserve">O4</t>
  </si>
  <si>
    <t xml:space="preserve">Fit-validated cotton sheets with local replenishment</t>
  </si>
  <si>
    <t xml:space="preserve">Investigate further</t>
  </si>
  <si>
    <t xml:space="preserve">M09; LIVE_CA_sheets; R19; R26; reviews</t>
  </si>
  <si>
    <t xml:space="preserve">Fit complaints support testing, but smaller market and duty/fulfilment can offset pricing</t>
  </si>
  <si>
    <t xml:space="preserve">Low-medium</t>
  </si>
  <si>
    <t xml:space="preserve">O5</t>
  </si>
  <si>
    <t xml:space="preserve">Replacement pillowcase / fitted-sheet bundles</t>
  </si>
  <si>
    <t xml:space="preserve">LIVE_US_fitted; LIVE_US_pillowcase; reviews</t>
  </si>
  <si>
    <t xml:space="preserve">Lower unit/bulk exposure; sell as problem-specific bundle rather than commodity single</t>
  </si>
  <si>
    <t xml:space="preserve">Low</t>
  </si>
  <si>
    <t xml:space="preserve">O6</t>
  </si>
  <si>
    <t xml:space="preserve">Premium linen/lyocell DTC collection</t>
  </si>
  <si>
    <t xml:space="preserve">Postpone</t>
  </si>
  <si>
    <t xml:space="preserve">D06; LIVE_UK_linen; LIVE_UK_lyocell</t>
  </si>
  <si>
    <t xml:space="preserve">Premium story not enough; material cost, local demand and CAC unverified</t>
  </si>
  <si>
    <t xml:space="preserve">O7</t>
  </si>
  <si>
    <t xml:space="preserve">Commodity microfiber sheet set</t>
  </si>
  <si>
    <t xml:space="preserve">Avoid head-on entry</t>
  </si>
  <si>
    <t xml:space="preserve">LIVE_US_sheets; LIVE_US_fitted</t>
  </si>
  <si>
    <t xml:space="preserve">Large demand does not remove mature low-price trust and ad barriers</t>
  </si>
  <si>
    <t xml:space="preserve">Medium</t>
  </si>
  <si>
    <t xml:space="preserve">O8</t>
  </si>
  <si>
    <t xml:space="preserve">Commodity waterproof mattress protector</t>
  </si>
  <si>
    <t xml:space="preserve">LIVE_CA_protector; PDP_CA_protector</t>
  </si>
  <si>
    <t xml:space="preserve">Utopia and others show substantial ratings at low prices; technical validation burden</t>
  </si>
  <si>
    <t xml:space="preserve">O9</t>
  </si>
  <si>
    <t xml:space="preserve">Bulky foam mattress topper</t>
  </si>
  <si>
    <t xml:space="preserve">LIVE_US_topper; R11</t>
  </si>
  <si>
    <t xml:space="preserve">Bulky freight, returns and product safety scope dominate capital risk</t>
  </si>
  <si>
    <t xml:space="preserve">O10</t>
  </si>
  <si>
    <t xml:space="preserve">Commodity comforter / duvet insert</t>
  </si>
  <si>
    <t xml:space="preserve">LIVE_UK_comforter; LIVE_UK_quilt</t>
  </si>
  <si>
    <t xml:space="preserve">Vocabulary and size mismatch plus established warmth/value propositions</t>
  </si>
  <si>
    <t xml:space="preserve">Dimension</t>
  </si>
  <si>
    <t xml:space="preserve">Weight %</t>
  </si>
  <si>
    <t xml:space="preserve">Scale</t>
  </si>
  <si>
    <t xml:space="preserve">1=unattractive/high burden; 3=mixed or unknown; 5=attractive/low burden. Analyst judgement, not measured category score.</t>
  </si>
  <si>
    <t xml:space="preserve">Low to medium-low</t>
  </si>
  <si>
    <t xml:space="preserve">Unknown CAC/quotes scored conservatively; do not interpret 1-5 point total differences as robust. A +/-1 change in a 15%-weight dimension changes total by3 points.</t>
  </si>
  <si>
    <t xml:space="preserve">id</t>
  </si>
  <si>
    <t xml:space="preserve">tier</t>
  </si>
  <si>
    <t xml:space="preserve">concept</t>
  </si>
  <si>
    <t xml:space="preserve">price</t>
  </si>
  <si>
    <t xml:space="preserve">discount</t>
  </si>
  <si>
    <t xml:space="preserve">vat</t>
  </si>
  <si>
    <t xml:space="preserve">returns</t>
  </si>
  <si>
    <t xml:space="preserve">factory_placeholder</t>
  </si>
  <si>
    <t xml:space="preserve">freight</t>
  </si>
  <si>
    <t xml:space="preserve">insurance</t>
  </si>
  <si>
    <t xml:space="preserve">duty_rate</t>
  </si>
  <si>
    <t xml:space="preserve">brokerage</t>
  </si>
  <si>
    <t xml:space="preserve">inbound</t>
  </si>
  <si>
    <t xml:space="preserve">referral</t>
  </si>
  <si>
    <t xml:space="preserve">fulfilment</t>
  </si>
  <si>
    <t xml:space="preserve">storage</t>
  </si>
  <si>
    <t xml:space="preserve">return_handling</t>
  </si>
  <si>
    <t xml:space="preserve">refund_admin</t>
  </si>
  <si>
    <t xml:space="preserve">other_variable</t>
  </si>
  <si>
    <t xml:space="preserve">cpc</t>
  </si>
  <si>
    <t xml:space="preserve">cvr</t>
  </si>
  <si>
    <t xml:space="preserve">paid_order_share</t>
  </si>
  <si>
    <t xml:space="preserve">fixed_monthly</t>
  </si>
  <si>
    <t xml:space="preserve">moq</t>
  </si>
  <si>
    <t xml:space="preserve">launch_setup</t>
  </si>
  <si>
    <t xml:space="preserve">launch_media</t>
  </si>
  <si>
    <t xml:space="preserve">reorder_deposit_fraction</t>
  </si>
  <si>
    <t xml:space="preserve">tax_float</t>
  </si>
  <si>
    <t xml:space="preserve">reserve_rate</t>
  </si>
  <si>
    <t xml:space="preserve">return_recovery</t>
  </si>
  <si>
    <t xml:space="preserve">gross_discounted</t>
  </si>
  <si>
    <t xml:space="preserve">net_order</t>
  </si>
  <si>
    <t xml:space="preserve">retained_revenue</t>
  </si>
  <si>
    <t xml:space="preserve">customs_value_proxy</t>
  </si>
  <si>
    <t xml:space="preserve">duty</t>
  </si>
  <si>
    <t xml:space="preserve">landed</t>
  </si>
  <si>
    <t xml:space="preserve">referral_cost</t>
  </si>
  <si>
    <t xml:space="preserve">pre_ad</t>
  </si>
  <si>
    <t xml:space="preserve">cpa</t>
  </si>
  <si>
    <t xml:space="preserve">ad_order_cm</t>
  </si>
  <si>
    <t xml:space="preserve">blended_cm</t>
  </si>
  <si>
    <t xml:space="preserve">cm_pct</t>
  </si>
  <si>
    <t xml:space="preserve">be_acos</t>
  </si>
  <si>
    <t xml:space="preserve">be_cpc</t>
  </si>
  <si>
    <t xml:space="preserve">acos</t>
  </si>
  <si>
    <t xml:space="preserve">roas</t>
  </si>
  <si>
    <t xml:space="preserve">tacos</t>
  </si>
  <si>
    <t xml:space="preserve">be_units</t>
  </si>
  <si>
    <t xml:space="preserve">be_sales</t>
  </si>
  <si>
    <t xml:space="preserve">inventory_cash</t>
  </si>
  <si>
    <t xml:space="preserve">reorder_cash</t>
  </si>
  <si>
    <t xml:space="preserve">operating_runway</t>
  </si>
  <si>
    <t xml:space="preserve">base_cash</t>
  </si>
  <si>
    <t xml:space="preserve">reserve</t>
  </si>
  <si>
    <t xml:space="preserve">launch_cash</t>
  </si>
  <si>
    <t xml:space="preserve">evidence</t>
  </si>
  <si>
    <t xml:space="preserve">runway_months</t>
  </si>
  <si>
    <t xml:space="preserve">US-Low</t>
  </si>
  <si>
    <t xml:space="preserve">Replacement pair/bundle</t>
  </si>
  <si>
    <t xml:space="preserve">All inputs ASSUMPTION except UK VAT 20% (R09), CA Home/Kitchen referral 15% (F02), and UK Home Products 8% at &lt;=GBP20 otherwise 15% conditional category (F03). US referral15% is planning assumption. CA17% is published cotton bed-linen MFN example R26, application unverified; US20% duty is stress placeholder not legal rate; UK0% conditional DCTS, not clearance quote. Factory numbers are budget test values, NOT estimated actual manufacturing cost. FBA/storage/freight/ads require quotes or trials.</t>
  </si>
  <si>
    <t xml:space="preserve">US-Medium</t>
  </si>
  <si>
    <t xml:space="preserve">Differentiated cotton set/duvet</t>
  </si>
  <si>
    <t xml:space="preserve">US-High</t>
  </si>
  <si>
    <t xml:space="preserve">Broader premium cotton assortment</t>
  </si>
  <si>
    <t xml:space="preserve">CA-Low</t>
  </si>
  <si>
    <t xml:space="preserve">CA-Medium</t>
  </si>
  <si>
    <t xml:space="preserve">CA-High</t>
  </si>
  <si>
    <t xml:space="preserve">UK-Low</t>
  </si>
  <si>
    <t xml:space="preserve">UK-Medium</t>
  </si>
  <si>
    <t xml:space="preserve">UK-High</t>
  </si>
  <si>
    <t xml:space="preserve">Scenario</t>
  </si>
  <si>
    <t xml:space="preserve">Currency</t>
  </si>
  <si>
    <t xml:space="preserve">Variable</t>
  </si>
  <si>
    <t xml:space="preserve">Multiplier</t>
  </si>
  <si>
    <t xml:space="preserve">Base CM</t>
  </si>
  <si>
    <t xml:space="preserve">Stress CM</t>
  </si>
  <si>
    <t xml:space="preserve">Delta</t>
  </si>
  <si>
    <t xml:space="preserve">Method</t>
  </si>
  <si>
    <t xml:space="preserve">One-factor recalculation, all other inputs fixed. UK fee rate held constant; crossing GBP20 requires category/fee recheck.</t>
  </si>
  <si>
    <t xml:space="preserve">Area</t>
  </si>
  <si>
    <t xml:space="preserve">Requirement/plan</t>
  </si>
  <si>
    <t xml:space="preserve">Verification needed</t>
  </si>
  <si>
    <t xml:space="preserve">Pakistan export</t>
  </si>
  <si>
    <t xml:space="preserve">PSW Single Declaration export; commercial invoice, packing list, HS classification, origin evidence; agreed Incoterm and cargo insurance</t>
  </si>
  <si>
    <t xml:space="preserve">R12</t>
  </si>
  <si>
    <t xml:space="preserve">Exporter/broker confirms current documents and bank/export requirements; no supplier selected</t>
  </si>
  <si>
    <t xml:space="preserve">US import</t>
  </si>
  <si>
    <t xml:space="preserve">Importer of record, correct HTS, valuation, bond/entry and applicable additional duties; cotton traceability/UFLPA review</t>
  </si>
  <si>
    <t xml:space="preserve">R27; R28</t>
  </si>
  <si>
    <t xml:space="preserve">Broker quote required; US20% model input is NOT statutory rate</t>
  </si>
  <si>
    <t xml:space="preserve">US labels/safety</t>
  </si>
  <si>
    <t xml:space="preserve">FTC fibre percentages, origin and responsible business; rayon made from bamboo; assess mattress pad 16CFR1632 / mattress1633 scope, state filled-bedding rules and applicable chemicals</t>
  </si>
  <si>
    <t xml:space="preserve">R01; R02; R11</t>
  </si>
  <si>
    <t xml:space="preserve">Do not apply apparel care-label rule blindly to all sheets; care instructions still commercially essential</t>
  </si>
  <si>
    <t xml:space="preserve">Canada import</t>
  </si>
  <si>
    <t xml:space="preserve">Business/importer registration, CARM, classification/valuation, duties/taxes; cotton bed linen6302.21/31 MFN17% published in2026 schedule</t>
  </si>
  <si>
    <t xml:space="preserve">R07; R26</t>
  </si>
  <si>
    <t xml:space="preserve">17% is conditional illustration, not blanket Pakistan rate; no general duty-free assumption</t>
  </si>
  <si>
    <t xml:space="preserve">Canada labels/safety</t>
  </si>
  <si>
    <t xml:space="preserve">Textile fibre disclosure English/French for national sales; dealer identification; assess provincial French requirements and product-specific safety</t>
  </si>
  <si>
    <t xml:space="preserve">R19</t>
  </si>
  <si>
    <t xml:space="preserve">National bilingual design baseline; legal review for final label and product type</t>
  </si>
  <si>
    <t xml:space="preserve">UK import</t>
  </si>
  <si>
    <t xml:space="preserve">EORI/customs and VAT setup; Pakistan Enhanced Preferences under DCTS, origin declaration and product-specific origin rules</t>
  </si>
  <si>
    <t xml:space="preserve">R10; R22-R25</t>
  </si>
  <si>
    <t xml:space="preserve">Potential preference conditional; 2026 origin changes effective Jan1. Check actual HS6302 vs9404 and legal rule, including NI differences</t>
  </si>
  <si>
    <t xml:space="preserve">UK labels/tax</t>
  </si>
  <si>
    <t xml:space="preserve">Fibre composition and component disclosure; VAT standard20%; product safety/UK REACH and filled-item scope; packaging obligations applicability</t>
  </si>
  <si>
    <t xml:space="preserve">R04; R09</t>
  </si>
  <si>
    <t xml:space="preserve">GB/NI regimes not treated as identical; verify importer and final product duties</t>
  </si>
  <si>
    <t xml:space="preserve">Fulfilment</t>
  </si>
  <si>
    <t xml:space="preserve">Pakistan to destination3PL then FBA, direct FBA with compliant prep, or local FBM; domestic return address and disposition</t>
  </si>
  <si>
    <t xml:space="preserve">Analyst route assessment</t>
  </si>
  <si>
    <t xml:space="preserve">Compare end-to-end quotes, not just ocean rate; include destination charges, appointment, drayage and returns</t>
  </si>
  <si>
    <t xml:space="preserve">Lead times</t>
  </si>
  <si>
    <t xml:space="preserve">Planning placeholders: production30-60d; ocean/end-to-end30-60d; customs/receiving7-21d; air faster but quote-dependent</t>
  </si>
  <si>
    <t xml:space="preserve">ASSUMPTION, not carrier schedule</t>
  </si>
  <si>
    <t xml:space="preserve">Seasonal buffers and route-specific transit quote required; sales history absent so no optimized reorder point</t>
  </si>
  <si>
    <t xml:space="preserve">QC</t>
  </si>
  <si>
    <t xml:space="preserve">Preproduction specification, approved golden sample, fibre/weight/construction checks, repeated wash dimensions, pilling/abrasion, colourfastness, seams/closures, protector leak test</t>
  </si>
  <si>
    <t xml:space="preserve">Proposed test plan; review evidence</t>
  </si>
  <si>
    <t xml:space="preserve">Use accredited lab, documented methods and agreed pass limits; certificate verifies tested scope, not every marketing claim</t>
  </si>
  <si>
    <t xml:space="preserve">Replenishment/FX</t>
  </si>
  <si>
    <t xml:space="preserve">Reorder point = expected daily orders x replenishment days + safety stock; MOQ/size assortment; settlement reserves and currency mismatch</t>
  </si>
  <si>
    <t xml:space="preserve">CALC/ASSUMPTION</t>
  </si>
  <si>
    <t xml:space="preserve">No observed sales forecast; model +/-10% supplier/FX cost, CAD/GBP revenue effects separately</t>
  </si>
  <si>
    <t xml:space="preserve">Gap</t>
  </si>
  <si>
    <t xml:space="preserve">Why it matters</t>
  </si>
  <si>
    <t xml:space="preserve">Next evidence</t>
  </si>
  <si>
    <t xml:space="preserve">Domestic country panel</t>
  </si>
  <si>
    <t xml:space="preserve">Not collected</t>
  </si>
  <si>
    <t xml:space="preserve">US/UK postcode selection did not persist; no domestic ranking conclusions</t>
  </si>
  <si>
    <t xml:space="preserve">Repeat fixed domestic postcodes, mobile/desktop, exact sizes and sponsored labels</t>
  </si>
  <si>
    <t xml:space="preserve">Search demand/seasonality</t>
  </si>
  <si>
    <t xml:space="preserve">Not measured</t>
  </si>
  <si>
    <t xml:space="preserve">No paid keyword exports or Amazon market data</t>
  </si>
  <si>
    <t xml:space="preserve">Country-specific 24-36 month query/category history; distinguish indexed trends from volume</t>
  </si>
  <si>
    <t xml:space="preserve">Competitor sales/revenue</t>
  </si>
  <si>
    <t xml:space="preserve">Unavailable</t>
  </si>
  <si>
    <t xml:space="preserve">Badges, rank and ratings are not reliable revenue estimates</t>
  </si>
  <si>
    <t xml:space="preserve">Licensed sales estimate with error model or verified company/category disclosures</t>
  </si>
  <si>
    <t xml:space="preserve">CPC/CTR/CVR/ACoS/TACoS</t>
  </si>
  <si>
    <t xml:space="preserve">Unavailable as market facts</t>
  </si>
  <si>
    <t xml:space="preserve">No credible country x bedding segment dataset recovered</t>
  </si>
  <si>
    <t xml:space="preserve">Quotation-free demand research plus capped live pilot after commercial approval</t>
  </si>
  <si>
    <t xml:space="preserve">Review trends/negative prevalence</t>
  </si>
  <si>
    <t xml:space="preserve">122 visible cards, one snapshot, nonrandom and imported reviews</t>
  </si>
  <si>
    <t xml:space="preserve">Recent stratified local-language reviews by rating and variant; dedupe and double-code</t>
  </si>
  <si>
    <t xml:space="preserve">Supplier/landed costs</t>
  </si>
  <si>
    <t xml:space="preserve">Unquoted</t>
  </si>
  <si>
    <t xml:space="preserve">All factory/logistics/FBA scenario values are assumptions</t>
  </si>
  <si>
    <t xml:space="preserve">Two or more comparable RFQs, lab quote, packed size/weight and broker/forwarder quote</t>
  </si>
  <si>
    <t xml:space="preserve">True competitor concentration</t>
  </si>
  <si>
    <t xml:space="preserve">Brand-resolved search-card concentration only</t>
  </si>
  <si>
    <t xml:space="preserve">Category sales shares from reliable source; no HHI from rank or ratings</t>
  </si>
  <si>
    <t xml:space="preserve">Channel economics</t>
  </si>
  <si>
    <t xml:space="preserve">DTC/B2B/retail CAC and terms unknown</t>
  </si>
  <si>
    <t xml:space="preserve">Buyer interviews, term sheets, parcel/3PL and payment quotations</t>
  </si>
  <si>
    <t xml:space="preserve">Final URL</t>
  </si>
  <si>
    <t xml:space="preserve">Research date</t>
  </si>
  <si>
    <t xml:space="preserve">Method/limits</t>
  </si>
  <si>
    <t xml:space="preserve">Evidence class</t>
  </si>
  <si>
    <t xml:space="preserve">Fetch timestamp</t>
  </si>
  <si>
    <t xml:space="preserve">Title/note</t>
  </si>
  <si>
    <t xml:space="preserve">M01</t>
  </si>
  <si>
    <t xml:space="preserve">https://www.grandviewresearch.com/horizon/outlook/home-bedding-market/united-states</t>
  </si>
  <si>
    <t xml:space="preserve">Fetched page; publisher facts/claims require scope checks</t>
  </si>
  <si>
    <t xml:space="preserve">Publisher estimates</t>
  </si>
  <si>
    <t xml:space="preserve">2026-10-26T16:55:10.423Z</t>
  </si>
  <si>
    <t xml:space="preserve">
&lt;&lt;&lt;EXTERNAL_UNTRUSTED_CONTENT id="33dfd9a31fdcf068"&gt;&gt;&gt;
Source: Web Fetch
---
U.S. Home Bedding Market Size &amp; Outlook
&lt;&lt;&lt;END_EXTERNAL_UNTRUSTED_CONTENT id="33dfd9a31fdcf068"&gt;&gt;&gt;</t>
  </si>
  <si>
    <t xml:space="preserve">M02</t>
  </si>
  <si>
    <t xml:space="preserve">https://www.grandviewresearch.com/horizon/outlook/home-bedding-market/canada</t>
  </si>
  <si>
    <t xml:space="preserve">2026-10-26T16:55:10.705Z</t>
  </si>
  <si>
    <t xml:space="preserve">
&lt;&lt;&lt;EXTERNAL_UNTRUSTED_CONTENT id="9f148df384734bcc"&gt;&gt;&gt;
Source: Web Fetch
---
Canada Home Bedding Market Size &amp; Outlook
&lt;&lt;&lt;END_EXTERNAL_UNTRUSTED_CONTENT id="9f148df384734bcc"&gt;&gt;&gt;</t>
  </si>
  <si>
    <t xml:space="preserve">M03</t>
  </si>
  <si>
    <t xml:space="preserve">https://www.grandviewresearch.com/horizon/outlook/home-bedding-market/uk</t>
  </si>
  <si>
    <t xml:space="preserve">2026-10-26T16:55:10.962Z</t>
  </si>
  <si>
    <t xml:space="preserve">
&lt;&lt;&lt;EXTERNAL_UNTRUSTED_CONTENT id="95e4f2860db95ea7"&gt;&gt;&gt;
Source: Web Fetch
---
U.K. Home Bedding Market Size &amp; Outlook
&lt;&lt;&lt;END_EXTERNAL_UNTRUSTED_CONTENT id="95e4f2860db95ea7"&gt;&gt;&gt;</t>
  </si>
  <si>
    <t xml:space="preserve">M04</t>
  </si>
  <si>
    <t xml:space="preserve">https://www.grandviewresearch.com/horizon/outlook/bed-linen-market/united-states</t>
  </si>
  <si>
    <t xml:space="preserve">https://www.grandviewresearch.com/horizon</t>
  </si>
  <si>
    <t xml:space="preserve">FAILED/REDIRECT: do not use as supporting evidence</t>
  </si>
  <si>
    <t xml:space="preserve">2026-10-26T16:55:11.825Z</t>
  </si>
  <si>
    <t xml:space="preserve">
&lt;&lt;&lt;EXTERNAL_UNTRUSTED_CONTENT id="71a9edefb34af0f6"&gt;&gt;&gt;
Source: Web Fetch
---
Market Reports &amp; Industry Statistics Portal
&lt;&lt;&lt;END_EXTERNAL_UNTRUSTED_CONTENT id="71a9edefb34af0f6"&gt;&gt;&gt;</t>
  </si>
  <si>
    <t xml:space="preserve">M05</t>
  </si>
  <si>
    <t xml:space="preserve">https://www.grandviewresearch.com/horizon/outlook/bed-linen-market/canada</t>
  </si>
  <si>
    <t xml:space="preserve">2026-10-26T16:55:12.461Z</t>
  </si>
  <si>
    <t xml:space="preserve">
&lt;&lt;&lt;EXTERNAL_UNTRUSTED_CONTENT id="8450d5333c104d42"&gt;&gt;&gt;
Source: Web Fetch
---
Market Reports &amp; Industry Statistics Portal
&lt;&lt;&lt;END_EXTERNAL_UNTRUSTED_CONTENT id="8450d5333c104d42"&gt;&gt;&gt;</t>
  </si>
  <si>
    <t xml:space="preserve">M06</t>
  </si>
  <si>
    <t xml:space="preserve">https://www.grandviewresearch.com/horizon/outlook/bed-linen-market/uk</t>
  </si>
  <si>
    <t xml:space="preserve">2026-10-26T16:55:13.067Z</t>
  </si>
  <si>
    <t xml:space="preserve">
&lt;&lt;&lt;EXTERNAL_UNTRUSTED_CONTENT id="72e336a863f18ebb"&gt;&gt;&gt;
Source: Web Fetch
---
Market Reports &amp; Industry Statistics Portal
&lt;&lt;&lt;END_EXTERNAL_UNTRUSTED_CONTENT id="72e336a863f18ebb"&gt;&gt;&gt;</t>
  </si>
  <si>
    <t xml:space="preserve">R01</t>
  </si>
  <si>
    <t xml:space="preserve">https://www.ftc.gov/business-guidance/resources/threading-your-way-through-labeling-requirements-under-textile-wool-acts</t>
  </si>
  <si>
    <t xml:space="preserve">Official</t>
  </si>
  <si>
    <t xml:space="preserve">2026-10-26T16:55:13.514Z</t>
  </si>
  <si>
    <t xml:space="preserve">
&lt;&lt;&lt;EXTERNAL_UNTRUSTED_CONTENT id="8f12b68f909c3d30"&gt;&gt;&gt;
Source: Web Fetch
---
Threading Your Way Through the Labeling Requirements Under the Textile and Wool Acts
&lt;&lt;&lt;END_EXTERNAL_U</t>
  </si>
  <si>
    <t xml:space="preserve">R02</t>
  </si>
  <si>
    <t xml:space="preserve">https://www.ftc.gov/bamboo-textiles</t>
  </si>
  <si>
    <t xml:space="preserve">2026-10-26T16:55:17.874Z</t>
  </si>
  <si>
    <t xml:space="preserve">
&lt;&lt;&lt;EXTERNAL_UNTRUSTED_CONTENT id="01d3e0a3de6b5295"&gt;&gt;&gt;
Source: Web Fetch
---
Bamboo Textiles | Federal Trade Commission
&lt;&lt;&lt;END_EXTERNAL_UNTRUSTED_CONTENT id="01d3e0a3de6b5295"&gt;&gt;&gt;</t>
  </si>
  <si>
    <t xml:space="preserve">R03</t>
  </si>
  <si>
    <t xml:space="preserve">https://competition-bureau.canada.ca/labelling/textile-labelling/guide-textile-labelling-and-advertising-regulations</t>
  </si>
  <si>
    <t xml:space="preserve">Error</t>
  </si>
  <si>
    <t xml:space="preserve">R04</t>
  </si>
  <si>
    <t xml:space="preserve">https://www.gov.uk/guidance/textile-labelling</t>
  </si>
  <si>
    <t xml:space="preserve">2026-10-26T16:55:20.716Z</t>
  </si>
  <si>
    <t xml:space="preserve">
&lt;&lt;&lt;EXTERNAL_UNTRUSTED_CONTENT id="47e53a90d3c93f79"&gt;&gt;&gt;
Source: Web Fetch
---
Textile labelling - GOV.UK
&lt;&lt;&lt;END_EXTERNAL_UNTRUSTED_CONTENT id="47e53a90d3c93f79"&gt;&gt;&gt;</t>
  </si>
  <si>
    <t xml:space="preserve">R05</t>
  </si>
  <si>
    <t xml:space="preserve">https://www.gov.uk/government/collections/trading-with-developing-nations</t>
  </si>
  <si>
    <t xml:space="preserve">2026-10-26T16:55:22.294Z</t>
  </si>
  <si>
    <t xml:space="preserve">
&lt;&lt;&lt;EXTERNAL_UNTRUSTED_CONTENT id="b4870855cf262f83"&gt;&gt;&gt;
Source: Web Fetch
---
Developing Countries Trading Scheme (DCTS)
&lt;&lt;&lt;END_EXTERNAL_UNTRUSTED_CONTENT id="b4870855cf262f83"&gt;&gt;&gt;</t>
  </si>
  <si>
    <t xml:space="preserve">A01</t>
  </si>
  <si>
    <t xml:space="preserve">https://sell.amazon.com/pricing</t>
  </si>
  <si>
    <t xml:space="preserve">Commercial page</t>
  </si>
  <si>
    <t xml:space="preserve">A02</t>
  </si>
  <si>
    <t xml:space="preserve">https://sell.amazon.ca/pricing</t>
  </si>
  <si>
    <t xml:space="preserve">A03</t>
  </si>
  <si>
    <t xml:space="preserve">https://sell.amazon.co.uk/pricing</t>
  </si>
  <si>
    <t xml:space="preserve">R06</t>
  </si>
  <si>
    <t xml:space="preserve">https://www.gov.uk/guidance/claiming-preference-under-the-developing-countries-trading-scheme</t>
  </si>
  <si>
    <t xml:space="preserve">R07</t>
  </si>
  <si>
    <t xml:space="preserve">https://www.cbsa-asfc.gc.ca/import/guide-eng.html</t>
  </si>
  <si>
    <t xml:space="preserve">2026-10-26T16:56:17.622Z</t>
  </si>
  <si>
    <t xml:space="preserve">
&lt;&lt;&lt;EXTERNAL_UNTRUSTED_CONTENT id="871fa269cb66b94c"&gt;&gt;&gt;
Source: Web Fetch
---
Guide to importing commercial goods into Canada
&lt;&lt;&lt;END_EXTERNAL_UNTRUSTED_CONTENT id="871fa269cb66b94c</t>
  </si>
  <si>
    <t xml:space="preserve">R08</t>
  </si>
  <si>
    <t xml:space="preserve">https://www.cbp.gov/trade/basic-import-export/importing-into-united-states</t>
  </si>
  <si>
    <t xml:space="preserve">R09</t>
  </si>
  <si>
    <t xml:space="preserve">https://www.gov.uk/vat-rates</t>
  </si>
  <si>
    <t xml:space="preserve">2026-10-26T16:56:24.071Z</t>
  </si>
  <si>
    <t xml:space="preserve">
&lt;&lt;&lt;EXTERNAL_UNTRUSTED_CONTENT id="b900693fd0cdff17"&gt;&gt;&gt;
Source: Web Fetch
---
VAT rates - GOV.UK
&lt;&lt;&lt;END_EXTERNAL_UNTRUSTED_CONTENT id="b900693fd0cdff17"&gt;&gt;&gt;</t>
  </si>
  <si>
    <t xml:space="preserve">R10</t>
  </si>
  <si>
    <t xml:space="preserve">https://www.gov.uk/import-goods-into-uk</t>
  </si>
  <si>
    <t xml:space="preserve">2026-10-26T16:56:24.635Z</t>
  </si>
  <si>
    <t xml:space="preserve">
&lt;&lt;&lt;EXTERNAL_UNTRUSTED_CONTENT id="ab8cc5d98bb43112"&gt;&gt;&gt;
Source: Web Fetch
---
Import goods into the UK: step by step
&lt;&lt;&lt;END_EXTERNAL_UNTRUSTED_CONTENT id="ab8cc5d98bb43112"&gt;&gt;&gt;</t>
  </si>
  <si>
    <t xml:space="preserve">R11</t>
  </si>
  <si>
    <t xml:space="preserve">https://www.cpsc.gov/Business--Manufacturing/Business-Education/Business-Guidance/Mattresses</t>
  </si>
  <si>
    <t xml:space="preserve">https://www.cpsc.gov/FAQ/Mattresses-Mattress-Pads-Mattress-Sets</t>
  </si>
  <si>
    <t xml:space="preserve">2026-10-26T16:56:25.278Z</t>
  </si>
  <si>
    <t xml:space="preserve">
&lt;&lt;&lt;EXTERNAL_UNTRUSTED_CONTENT id="172a5c055de05140"&gt;&gt;&gt;
Source: Web Fetch
---
Mattresses, Mattress Pads, &amp; Mattress Sets | CPSC.gov
&lt;&lt;&lt;END_EXTERNAL_UNTRUSTED_CONTENT id="172a5c055d</t>
  </si>
  <si>
    <t xml:space="preserve">https://www.psw.gov.pk/single-declaration-export</t>
  </si>
  <si>
    <t xml:space="preserve">2026-10-26T16:56:26.835Z</t>
  </si>
  <si>
    <t xml:space="preserve">
&lt;&lt;&lt;EXTERNAL_UNTRUSTED_CONTENT id="85b327fa8723d9d2"&gt;&gt;&gt;
Source: Web Fetch
---
Pakistan Single Window
&lt;&lt;&lt;END_EXTERNAL_UNTRUSTED_CONTENT id="85b327fa8723d9d2"&gt;&gt;&gt;</t>
  </si>
  <si>
    <t xml:space="preserve">C01</t>
  </si>
  <si>
    <t xml:space="preserve">https://www.brooklinen.com/products/classic-core-sheet-set</t>
  </si>
  <si>
    <t xml:space="preserve">2026-10-26T16:56:27.723Z</t>
  </si>
  <si>
    <t xml:space="preserve">
&lt;&lt;&lt;EXTERNAL_UNTRUSTED_CONTENT id="feb576930d4e9dea"&gt;&gt;&gt;
Source: Web Fetch
---
Classic Percale Sheet Set | Cooling Cotton Sheets | Brooklinen
&lt;&lt;&lt;END_EXTERNAL_UNTRUSTED_CONTENT id="f</t>
  </si>
  <si>
    <t xml:space="preserve">C02</t>
  </si>
  <si>
    <t xml:space="preserve">https://www.thecompanystore.com/comforters</t>
  </si>
  <si>
    <t xml:space="preserve">2026-10-26T16:56:28.692Z</t>
  </si>
  <si>
    <t xml:space="preserve">
&lt;&lt;&lt;EXTERNAL_UNTRUSTED_CONTENT id="5b2078ebf7c43c43"&gt;&gt;&gt;
Source: Web Fetch
---
Luxury Comforters &amp; Bedspreads | Shop Premium Comforters
&lt;&lt;&lt;END_EXTERNAL_UNTRUSTED_CONTENT id="5b2078e</t>
  </si>
  <si>
    <t xml:space="preserve">C03</t>
  </si>
  <si>
    <t xml:space="preserve">https://www.dunelm.com/category/home-and-furniture/bedding/duvet-covers</t>
  </si>
  <si>
    <t xml:space="preserve">C04</t>
  </si>
  <si>
    <t xml:space="preserve">https://www.silkandsnow.com/en-ca/sheets/</t>
  </si>
  <si>
    <t xml:space="preserve">C05</t>
  </si>
  <si>
    <t xml:space="preserve">https://www.amazon.com/s?k=cotton+sheet+set</t>
  </si>
  <si>
    <t xml:space="preserve">2026-10-26T16:56:35.056Z</t>
  </si>
  <si>
    <t xml:space="preserve">
&lt;&lt;&lt;EXTERNAL_UNTRUSTED_CONTENT id="c05e1ef061e31bd5"&gt;&gt;&gt;
Source: Web Fetch
---
Amazon.com : cotton sheet set
&lt;&lt;&lt;END_EXTERNAL_UNTRUSTED_CONTENT id="c05e1ef061e31bd5"&gt;&gt;&gt;</t>
  </si>
  <si>
    <t xml:space="preserve">C06</t>
  </si>
  <si>
    <t xml:space="preserve">https://www.amazon.ca/s?k=cotton+sheet+set</t>
  </si>
  <si>
    <t xml:space="preserve">2026-10-26T16:56:36.493Z</t>
  </si>
  <si>
    <t xml:space="preserve">
&lt;&lt;&lt;EXTERNAL_UNTRUSTED_CONTENT id="8740c9b44c6032ed"&gt;&gt;&gt;
Source: Web Fetch
---
Amazon.ca : cotton sheet set
&lt;&lt;&lt;END_EXTERNAL_UNTRUSTED_CONTENT id="8740c9b44c6032ed"&gt;&gt;&gt;</t>
  </si>
  <si>
    <t xml:space="preserve">C07</t>
  </si>
  <si>
    <t xml:space="preserve">https://www.amazon.co.uk/s?k=cotton+duvet+cover+set</t>
  </si>
  <si>
    <t xml:space="preserve">R13</t>
  </si>
  <si>
    <t xml:space="preserve">R14</t>
  </si>
  <si>
    <t xml:space="preserve">https://competition-bureau.canada.ca/en/labelling/textile-labelling/guide-textile-labelling-and-advertising-regulations</t>
  </si>
  <si>
    <t xml:space="preserve">R15</t>
  </si>
  <si>
    <t xml:space="preserve">https://www.gov.uk/guidance/trading-with-developing-nations</t>
  </si>
  <si>
    <t xml:space="preserve">2026-10-26T16:57:10.775Z</t>
  </si>
  <si>
    <t xml:space="preserve">
&lt;&lt;&lt;EXTERNAL_UNTRUSTED_CONTENT id="0bf888fcd494f1a4"&gt;&gt;&gt;
Source: Web Fetch
---
Developing Countries Trading Scheme (DCTS)
&lt;&lt;&lt;END_EXTERNAL_UNTRUSTED_CONTENT id="0bf888fcd494f1a4"&gt;&gt;&gt;</t>
  </si>
  <si>
    <t xml:space="preserve">R16</t>
  </si>
  <si>
    <t xml:space="preserve">https://www.gov.uk/guidance/developing-countries-trading-scheme-dcts-rules-of-origin</t>
  </si>
  <si>
    <t xml:space="preserve">M07</t>
  </si>
  <si>
    <t xml:space="preserve">https://www.mordorintelligence.com/industry-reports/united-states-home-textile-market</t>
  </si>
  <si>
    <t xml:space="preserve">2026-10-26T16:57:12.646Z</t>
  </si>
  <si>
    <t xml:space="preserve">
&lt;&lt;&lt;EXTERNAL_UNTRUSTED_CONTENT id="aacb875e81c237b4"&gt;&gt;&gt;
Source: Web Fetch
---
US Home Textile Market Analysis
&lt;&lt;&lt;END_EXTERNAL_UNTRUSTED_CONTENT id="aacb875e81c237b4"&gt;&gt;&gt;</t>
  </si>
  <si>
    <t xml:space="preserve">M08</t>
  </si>
  <si>
    <t xml:space="preserve">https://www.mordorintelligence.com/industry-reports/united-kingdom-home-textile-market</t>
  </si>
  <si>
    <t xml:space="preserve">2026-10-26T16:57:13.094Z</t>
  </si>
  <si>
    <t xml:space="preserve">
&lt;&lt;&lt;EXTERNAL_UNTRUSTED_CONTENT id="fb5a663ca3cf76f5"&gt;&gt;&gt;
Source: Web Fetch
---
UK Home Textile Market - Size, Share &amp; Industry Trends
&lt;&lt;&lt;END_EXTERNAL_UNTRUSTED_CONTENT id="fb5a663ca</t>
  </si>
  <si>
    <t xml:space="preserve">M09</t>
  </si>
  <si>
    <t xml:space="preserve">https://www.mordorintelligence.com/industry-reports/canada-home-textile-market</t>
  </si>
  <si>
    <t xml:space="preserve">2026-10-26T16:57:13.546Z</t>
  </si>
  <si>
    <t xml:space="preserve">
&lt;&lt;&lt;EXTERNAL_UNTRUSTED_CONTENT id="bc01255eac07e1a3"&gt;&gt;&gt;
Source: Web Fetch
---
Canada Home Textiles Market - Size, Share &amp; Industry Analysis
&lt;&lt;&lt;END_EXTERNAL_UNTRUSTED_CONTENT id="bc</t>
  </si>
  <si>
    <t xml:space="preserve">C08</t>
  </si>
  <si>
    <t xml:space="preserve">https://corporate.dunelm.com/investors/reports-and-presentations/</t>
  </si>
  <si>
    <t xml:space="preserve">https://corporate.dunelm.com/investors/results-reports-and-presentations/</t>
  </si>
  <si>
    <t xml:space="preserve">2026-10-26T16:57:19.480Z</t>
  </si>
  <si>
    <t xml:space="preserve">
&lt;&lt;&lt;EXTERNAL_UNTRUSTED_CONTENT id="a7718b338644378e"&gt;&gt;&gt;
Source: Web Fetch
---
Dunelm | Results, reports and presentations
&lt;&lt;&lt;END_EXTERNAL_UNTRUSTED_CONTENT id="a7718b338644378e"&gt;&gt;&gt;</t>
  </si>
  <si>
    <t xml:space="preserve">C09</t>
  </si>
  <si>
    <t xml:space="preserve">https://www.brooklinen.com/products/classic-percale-core-sheet-set</t>
  </si>
  <si>
    <t xml:space="preserve">C10</t>
  </si>
  <si>
    <t xml:space="preserve">https://www.quince.com/home/cotton-percale-sheet-set</t>
  </si>
  <si>
    <t xml:space="preserve">R18</t>
  </si>
  <si>
    <t xml:space="preserve">https://ised-isde.canada.ca/site/competition-bureau-canada/en/labelling/textile-labelling/guide-textile-labelling-and-advertising-regulations</t>
  </si>
  <si>
    <t xml:space="preserve">https://laws-lois.justice.gc.ca/eng/regulations/C.R.C.,_c._1551/FullText.html</t>
  </si>
  <si>
    <t xml:space="preserve">2026-10-26T16:58:05.423Z</t>
  </si>
  <si>
    <t xml:space="preserve">
&lt;&lt;&lt;EXTERNAL_UNTRUSTED_CONTENT id="7f795ec1620e257a"&gt;&gt;&gt;
Source: Web Fetch
---
Textile Labelling and Advertising Regulations
&lt;&lt;&lt;END_EXTERNAL_UNTRUSTED_CONTENT id="7f795ec1620e257a"&gt;</t>
  </si>
  <si>
    <t xml:space="preserve">R20</t>
  </si>
  <si>
    <t xml:space="preserve">https://www.gov.uk/government/publications/developing-countries-trading-scheme-dcts-new-policy-report</t>
  </si>
  <si>
    <t xml:space="preserve">2026-10-26T16:58:09.905Z</t>
  </si>
  <si>
    <t xml:space="preserve">
&lt;&lt;&lt;EXTERNAL_UNTRUSTED_CONTENT id="1b7863859cebfc2f"&gt;&gt;&gt;
Source: Web Fetch
---
Developing Countries Trading Scheme (DCTS): new policy report
&lt;&lt;&lt;END_EXTERNAL_UNTRUSTED_CONTENT id="1b</t>
  </si>
  <si>
    <t xml:space="preserve">R21</t>
  </si>
  <si>
    <t xml:space="preserve">https://www.gov.uk/guidance/rules-of-origin-for-goods-imported-and-exported-between-the-uk-and-developing-countries</t>
  </si>
  <si>
    <t xml:space="preserve">C11</t>
  </si>
  <si>
    <t xml:space="preserve">https://www.gulahmed.com/</t>
  </si>
  <si>
    <t xml:space="preserve">https://gulahmed.com/</t>
  </si>
  <si>
    <t xml:space="preserve">2026-10-26T16:58:13.075Z</t>
  </si>
  <si>
    <t xml:space="preserve">
&lt;&lt;&lt;EXTERNAL_UNTRUSTED_CONTENT id="c710e77a31c4ae4a"&gt;&gt;&gt;
Source: Web Fetch
---
Gul Ahmed
&lt;&lt;&lt;END_EXTERNAL_UNTRUSTED_CONTENT id="c710e77a31c4ae4a"&gt;&gt;&gt;</t>
  </si>
  <si>
    <t xml:space="preserve">C12</t>
  </si>
  <si>
    <t xml:space="preserve">https://www.nishatmillsltd.com/</t>
  </si>
  <si>
    <t xml:space="preserve">https://nishatmillsltd.com/</t>
  </si>
  <si>
    <t xml:space="preserve">2026-10-26T16:58:15.892Z</t>
  </si>
  <si>
    <t xml:space="preserve">
&lt;&lt;&lt;EXTERNAL_UNTRUSTED_CONTENT id="2a38cf1f4dc08d32"&gt;&gt;&gt;
Source: Web Fetch
---
Nishat Mills Limited | The flagship company of Nishat Group
&lt;&lt;&lt;END_EXTERNAL_UNTRUSTED_CONTENT id="2a38</t>
  </si>
  <si>
    <t xml:space="preserve">C13</t>
  </si>
  <si>
    <t xml:space="preserve">https://www.standardtextile.com/</t>
  </si>
  <si>
    <t xml:space="preserve">C14</t>
  </si>
  <si>
    <t xml:space="preserve">https://www.welspunliving.com/</t>
  </si>
  <si>
    <t xml:space="preserve">2026-10-26T16:58:17.394Z</t>
  </si>
  <si>
    <t xml:space="preserve">
&lt;&lt;&lt;EXTERNAL_UNTRUSTED_CONTENT id="b15c9f01c621ff4d"&gt;&gt;&gt;
Source: Web Fetch
---
Leading Textile Manufacturing Company in India
&lt;&lt;&lt;END_EXTERNAL_UNTRUSTED_CONTENT id="b15c9f01c621ff4d"</t>
  </si>
  <si>
    <t xml:space="preserve">R22</t>
  </si>
  <si>
    <t xml:space="preserve">https://www.gov.uk/guidance/preference-tiers-under-the-developing-countries-trading-scheme</t>
  </si>
  <si>
    <t xml:space="preserve">2026-10-26T17:03:09.419Z</t>
  </si>
  <si>
    <t xml:space="preserve">
&lt;&lt;&lt;EXTERNAL_UNTRUSTED_CONTENT id="2d8cbd315909031f"&gt;&gt;&gt;
Source: Web Fetch
---
Preference tiers under the Developing Countries Trading Scheme
&lt;&lt;&lt;END_EXTERNAL_UNTRUSTED_CONTENT id="2</t>
  </si>
  <si>
    <t xml:space="preserve">R23</t>
  </si>
  <si>
    <t xml:space="preserve">https://www.gov.uk/guidance/how-to-claim-preferences-under-the-developing-countries-trading-scheme-dcts</t>
  </si>
  <si>
    <t xml:space="preserve">2026-10-26T17:03:10.643Z</t>
  </si>
  <si>
    <t xml:space="preserve">
&lt;&lt;&lt;EXTERNAL_UNTRUSTED_CONTENT id="c7f66a29b8aa559d"&gt;&gt;&gt;
Source: Web Fetch
---
How to claim preferences under the Developing Countries Trading Scheme (DCTS)
&lt;&lt;&lt;END_EXTERNAL_UNTRUSTE</t>
  </si>
  <si>
    <t xml:space="preserve">R24</t>
  </si>
  <si>
    <t xml:space="preserve">https://www.gov.uk/government/publications/rules-of-origin-changes-under-the-developing-countries-trading-scheme-are-now-in-effect</t>
  </si>
  <si>
    <t xml:space="preserve">2026-10-26T17:03:13.019Z</t>
  </si>
  <si>
    <t xml:space="preserve">
&lt;&lt;&lt;EXTERNAL_UNTRUSTED_CONTENT id="ceecbc87a2d937e7"&gt;&gt;&gt;
Source: Web Fetch
---
Rules of origin changes under the Developing Countries Trading Scheme are now in effect
&lt;&lt;&lt;END_EXTERNA</t>
  </si>
  <si>
    <t xml:space="preserve">R25</t>
  </si>
  <si>
    <t xml:space="preserve">https://www.gov.uk/guidance/understanding-rules-of-origin-under-the-developing-countries-trading-scheme</t>
  </si>
  <si>
    <t xml:space="preserve">2026-10-26T17:03:14.531Z</t>
  </si>
  <si>
    <t xml:space="preserve">
&lt;&lt;&lt;EXTERNAL_UNTRUSTED_CONTENT id="2bbb5b43684e83dc"&gt;&gt;&gt;
Source: Web Fetch
---
Understanding rules of origin under the Developing Countries Trading Scheme
&lt;&lt;&lt;END_EXTERNAL_UNTRUSTED_</t>
  </si>
  <si>
    <t xml:space="preserve">R26</t>
  </si>
  <si>
    <t xml:space="preserve">https://www.cbsa-asfc.gc.ca/trade-commerce/tariff-tarif/2026/html/00/ch63-eng.html</t>
  </si>
  <si>
    <t xml:space="preserve">2026-10-26T17:03:15.360Z</t>
  </si>
  <si>
    <t xml:space="preserve">
&lt;&lt;&lt;EXTERNAL_UNTRUSTED_CONTENT id="7b0e6a731e7358b3"&gt;&gt;&gt;
Source: Web Fetch
---
Chapter 63 : T2026
&lt;&lt;&lt;END_EXTERNAL_UNTRUSTED_CONTENT id="7b0e6a731e7358b3"&gt;&gt;&gt;</t>
  </si>
  <si>
    <t xml:space="preserve">R27</t>
  </si>
  <si>
    <t xml:space="preserve">https://hts.usitc.gov/</t>
  </si>
  <si>
    <t xml:space="preserve">2026-10-26T17:03:15.783Z</t>
  </si>
  <si>
    <t xml:space="preserve">
&lt;&lt;&lt;EXTERNAL_UNTRUSTED_CONTENT id="19869441691499aa"&gt;&gt;&gt;
Source: Web Fetch
---
Harmonized Tariff Schedule
&lt;&lt;&lt;END_EXTERNAL_UNTRUSTED_CONTENT id="19869441691499aa"&gt;&gt;&gt;</t>
  </si>
  <si>
    <t xml:space="preserve">R28</t>
  </si>
  <si>
    <t xml:space="preserve">https://www.cbp.gov/trade/forced-labor/UFLPA</t>
  </si>
  <si>
    <t xml:space="preserve">2026-10-26T17:03:16.025Z</t>
  </si>
  <si>
    <t xml:space="preserve">
&lt;&lt;&lt;EXTERNAL_UNTRUSTED_CONTENT id="191986749807619c"&gt;&gt;&gt;
Source: Web Fetch
---
Uyghur Forced Labor Prevention Act
&lt;&lt;&lt;END_EXTERNAL_UNTRUSTED_CONTENT id="191986749807619c"&gt;&gt;&gt;</t>
  </si>
  <si>
    <t xml:space="preserve">https://www.amazon.co.uk/s?k=cotton%20sheet%20set</t>
  </si>
  <si>
    <t xml:space="preserve">Browser</t>
  </si>
  <si>
    <t xml:space="preserve">Capture; see content for access errors or location limits</t>
  </si>
  <si>
    <t xml:space="preserve">Observed seller claims / official fees depending domain</t>
  </si>
  <si>
    <t xml:space="preserve">https://www.amazon.ca/s?k=cotton%20quilt</t>
  </si>
  <si>
    <t xml:space="preserve">https://www.amazon.co.uk/s?k=cotton%20duvet%20cover%20set</t>
  </si>
  <si>
    <t xml:space="preserve">https://www.amazon.com/s?k=comforter%20set</t>
  </si>
  <si>
    <t xml:space="preserve">D01</t>
  </si>
  <si>
    <t xml:space="preserve">https://www.amazon.co.uk/s?k=waterproof%20mattress%20protector</t>
  </si>
  <si>
    <t xml:space="preserve">https://www.amazon.co.uk/s?k=cotton%20pillowcases</t>
  </si>
  <si>
    <t xml:space="preserve">https://www.amazon.co.uk/s?k=deep%20pocket%20fitted%20sheet</t>
  </si>
  <si>
    <t xml:space="preserve">F01</t>
  </si>
  <si>
    <t xml:space="preserve">https://www.amazon.ca/s?k=linen%20sheet%20set</t>
  </si>
  <si>
    <t xml:space="preserve">D07</t>
  </si>
  <si>
    <t xml:space="preserve">https://www.ikea.com/ca/en/cat/sheets-10681/</t>
  </si>
  <si>
    <t xml:space="preserve">https://www.ikea.com/ca/en/cat/bed-sheets-10681/</t>
  </si>
  <si>
    <t xml:space="preserve">G02</t>
  </si>
  <si>
    <t xml:space="preserve">https://www.gov.uk/guidance/overseas-businesses-and-vat</t>
  </si>
  <si>
    <t xml:space="preserve">https://www.amazon.co.uk/s?k=bamboo%20viscose%20sheet%20set</t>
  </si>
  <si>
    <t xml:space="preserve">https://www.amazon.co.uk/s?k=linen%20sheet%20set</t>
  </si>
  <si>
    <t xml:space="preserve">https://www.amazon.ca/s?k=cotton%20pillowcases</t>
  </si>
  <si>
    <t xml:space="preserve">https://www.amazon.ca/s?k=comforter%20set</t>
  </si>
  <si>
    <t xml:space="preserve">https://www.amazon.co.uk/s?k=cotton%20quilt</t>
  </si>
  <si>
    <t xml:space="preserve">D06</t>
  </si>
  <si>
    <t xml:space="preserve">https://www.ikea.com/gb/en/cat/duvet-cover-sets-10680/</t>
  </si>
  <si>
    <t xml:space="preserve">https://www.ikea.com/gb/en/cat/duvet-cover-10680/</t>
  </si>
  <si>
    <t xml:space="preserve">LEADER_CDD</t>
  </si>
  <si>
    <t xml:space="preserve">https://www.amazon.com/checkpoint/continue?token=v1.rOYd66wt_qgdbbhQfnC-yK3lSqVN0bMICOcj7byrPhvW96lQ8ts7TkBndNMFhXSa0Dc0alvzFAsiCYATKVjZfKgk0YQm7zxacYwJ3tAkgMzXG86Aqqmq-_BKDN7NY7CGDH9nNiyH7_5K3qgehEEWQGF5lifPuSZ-tpsHpe_PYQePbfGt1NIuUost0PQGm1NgC0aCXyubggql8rGtoQBo48ZK5r0s1X35zOoZDQYhD24lg1ISwzd9URkgqjUUcYzQJvg</t>
  </si>
  <si>
    <t xml:space="preserve">https://www.amazon.ca/s?k=cotton%20duvet%20cover%20set</t>
  </si>
  <si>
    <t xml:space="preserve">https://www.amazon.co.uk/s?k=mattress%20topper</t>
  </si>
  <si>
    <t xml:space="preserve">https://www.amazon.co.uk/s?k=lyocell%20sheet%20set</t>
  </si>
  <si>
    <t xml:space="preserve">https://www.amazon.com/s?k=mattress%20topper</t>
  </si>
  <si>
    <t xml:space="preserve">D05</t>
  </si>
  <si>
    <t xml:space="preserve">https://www.amazon.co.uk/?currency=GBP</t>
  </si>
  <si>
    <t xml:space="preserve">https://www.amazon.com/s?k=linen%20sheet%20set</t>
  </si>
  <si>
    <t xml:space="preserve">https://www.amazon.com/s?k=lyocell%20sheet%20set</t>
  </si>
  <si>
    <t xml:space="preserve">https://www.amazon.ca/s?k=bamboo%20viscose%20sheet%20set</t>
  </si>
  <si>
    <t xml:space="preserve">LEADER_SAFEREST</t>
  </si>
  <si>
    <t xml:space="preserve">https://www.amazon.com/checkpoint/continue?token=v1.g-m3QJlFa1bAtD6jE9_lDfvWiHAkvyhhuyNY5l_M_LRMHPVA0csWBSxmaEtmTz8DhbRCmW7kf_DhFWpUxcVXvS2FkZj2zP3ZhxTlwq8GWlWRthiLAT6zRkMHtKQ_OCAjzVf_DSi4pETbhdS_amGkun_GCVSAmeD3KvzAfYvuUO-6yXiMMjbKRRE-v9V6KiHMeJAPA8um8pNGEnOtDc-0dYw88pxdVG5K99neuEFvVLCqG_COKij6go-bBXCeDUfHLzOEd9A</t>
  </si>
  <si>
    <t xml:space="preserve">https://www.amazon.com/s?k=cotton%20quilt</t>
  </si>
  <si>
    <t xml:space="preserve">https://www.amazon.com/s?k=bamboo%20viscose%20sheet%20set</t>
  </si>
  <si>
    <t xml:space="preserve">https://www.amazon.ca/s?k=mattress%20topper</t>
  </si>
  <si>
    <t xml:space="preserve">https://www.amazon.co.uk/s?k=comforter%20set</t>
  </si>
  <si>
    <t xml:space="preserve">D04</t>
  </si>
  <si>
    <t xml:space="preserve">https://www.amazon.com/s?k=waterproof%20mattress%20protector</t>
  </si>
  <si>
    <t xml:space="preserve">G01</t>
  </si>
  <si>
    <t xml:space="preserve">https://www.amazon.com/s?k=cotton%20pillowcases</t>
  </si>
  <si>
    <t xml:space="preserve">https://www.amazon.ca/s?k=waterproof%20mattress%20protector</t>
  </si>
  <si>
    <t xml:space="preserve">https://www.amazon.ca/s?k=cotton%20sheet%20set</t>
  </si>
  <si>
    <t xml:space="preserve">https://www.amazon.ca/s?k=lyocell%20sheet%20set</t>
  </si>
  <si>
    <t xml:space="preserve">F02</t>
  </si>
  <si>
    <t xml:space="preserve">LEADER_CGK</t>
  </si>
  <si>
    <t xml:space="preserve">https://www.amazon.com/s?k=deep%20pocket%20fitted%20sheet</t>
  </si>
  <si>
    <t xml:space="preserve">https://www.amazon.com/s?k=cotton%20duvet%20cover%20set</t>
  </si>
  <si>
    <t xml:space="preserve">D02</t>
  </si>
  <si>
    <t xml:space="preserve">F03</t>
  </si>
  <si>
    <t xml:space="preserve">https://www.amazon.ca/s?k=deep%20pocket%20fitted%20sheet</t>
  </si>
  <si>
    <t xml:space="preserve">https://www.amazon.com/s?k=cotton%20sheet%20set</t>
  </si>
  <si>
    <t xml:space="preserve">DUNELM26</t>
  </si>
  <si>
    <t xml:space="preserve">https://corporate.dunelm.com/media/a1nhsx1c/dunelm-annual-report-2026.pdf</t>
  </si>
  <si>
    <t xml:space="preserve">200</t>
  </si>
  <si>
    <t xml:space="preserve">Annual report FY26; share denominator combined homewares and furniture, NOT bedding</t>
  </si>
  <si>
    <t xml:space="preserve">Company disclosure</t>
  </si>
  <si>
    <t xml:space="preserve">Revenue GBP1825m; share7.9%; digital42%</t>
  </si>
</sst>
</file>

<file path=xl/styles.xml><?xml version="1.0" encoding="utf-8"?>
<styleSheet xmlns="http://schemas.openxmlformats.org/spreadsheetml/2006/main">
  <numFmts count="3">
    <numFmt numFmtId="164" formatCode="General"/>
    <numFmt numFmtId="165" formatCode="0.00"/>
    <numFmt numFmtId="166" formatCode="0.0%"/>
  </numFmts>
  <fonts count="9">
    <font>
      <sz val="11"/>
      <color theme="1"/>
      <name val="Calibri"/>
      <family val="2"/>
      <charset val="1"/>
    </font>
    <font>
      <sz val="10"/>
      <name val="Arial"/>
      <family val="0"/>
    </font>
    <font>
      <sz val="10"/>
      <name val="Arial"/>
      <family val="0"/>
    </font>
    <font>
      <sz val="10"/>
      <name val="Arial"/>
      <family val="0"/>
    </font>
    <font>
      <sz val="10"/>
      <color theme="1"/>
      <name val="Arial"/>
      <family val="2"/>
      <charset val="1"/>
    </font>
    <font>
      <b val="true"/>
      <sz val="11"/>
      <color rgb="FFFFFFFF"/>
      <name val="Arial"/>
      <family val="2"/>
      <charset val="1"/>
    </font>
    <font>
      <sz val="10"/>
      <color theme="1"/>
      <name val="Linux Libertine G"/>
      <family val="2"/>
    </font>
    <font>
      <sz val="10"/>
      <color rgb="FF0000FF"/>
      <name val="Arial"/>
      <family val="2"/>
      <charset val="1"/>
    </font>
    <font>
      <sz val="10"/>
      <name val="Arial"/>
      <family val="2"/>
    </font>
  </fonts>
  <fills count="3">
    <fill>
      <patternFill patternType="none"/>
    </fill>
    <fill>
      <patternFill patternType="gray125"/>
    </fill>
    <fill>
      <patternFill patternType="solid">
        <fgColor rgb="FF1B365D"/>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B365D"/>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B36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_rels/drawing20.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7</xdr:col>
      <xdr:colOff>700560</xdr:colOff>
      <xdr:row>15</xdr:row>
      <xdr:rowOff>164520</xdr:rowOff>
    </xdr:to>
    <xdr:pic>
      <xdr:nvPicPr>
        <xdr:cNvPr id="1" name="Picture 1" descr="01_market_scope.png"/>
        <xdr:cNvPicPr/>
      </xdr:nvPicPr>
      <xdr:blipFill>
        <a:blip r:embed="rId1"/>
        <a:stretch/>
      </xdr:blipFill>
      <xdr:spPr>
        <a:xfrm>
          <a:off x="0" y="0"/>
          <a:ext cx="6972480" cy="3022200"/>
        </a:xfrm>
        <a:prstGeom prst="rect">
          <a:avLst/>
        </a:prstGeom>
        <a:noFill/>
        <a:ln w="0">
          <a:noFill/>
        </a:ln>
      </xdr:spPr>
    </xdr:pic>
    <xdr:clientData/>
  </xdr:twoCellAnchor>
  <xdr:twoCellAnchor editAs="oneCell">
    <xdr:from>
      <xdr:col>0</xdr:col>
      <xdr:colOff>0</xdr:colOff>
      <xdr:row>29</xdr:row>
      <xdr:rowOff>0</xdr:rowOff>
    </xdr:from>
    <xdr:to>
      <xdr:col>8</xdr:col>
      <xdr:colOff>437400</xdr:colOff>
      <xdr:row>44</xdr:row>
      <xdr:rowOff>164880</xdr:rowOff>
    </xdr:to>
    <xdr:pic>
      <xdr:nvPicPr>
        <xdr:cNvPr id="2" name="Picture 2" descr="02_price_distributions.png"/>
        <xdr:cNvPicPr/>
      </xdr:nvPicPr>
      <xdr:blipFill>
        <a:blip r:embed="rId2"/>
        <a:stretch/>
      </xdr:blipFill>
      <xdr:spPr>
        <a:xfrm>
          <a:off x="0" y="5524560"/>
          <a:ext cx="7605360" cy="3022200"/>
        </a:xfrm>
        <a:prstGeom prst="rect">
          <a:avLst/>
        </a:prstGeom>
        <a:noFill/>
        <a:ln w="0">
          <a:noFill/>
        </a:ln>
      </xdr:spPr>
    </xdr:pic>
    <xdr:clientData/>
  </xdr:twoCellAnchor>
  <xdr:twoCellAnchor editAs="oneCell">
    <xdr:from>
      <xdr:col>0</xdr:col>
      <xdr:colOff>0</xdr:colOff>
      <xdr:row>58</xdr:row>
      <xdr:rowOff>0</xdr:rowOff>
    </xdr:from>
    <xdr:to>
      <xdr:col>7</xdr:col>
      <xdr:colOff>696960</xdr:colOff>
      <xdr:row>73</xdr:row>
      <xdr:rowOff>154080</xdr:rowOff>
    </xdr:to>
    <xdr:pic>
      <xdr:nvPicPr>
        <xdr:cNvPr id="3" name="Picture 3" descr="03_barriers_concentration.png"/>
        <xdr:cNvPicPr/>
      </xdr:nvPicPr>
      <xdr:blipFill>
        <a:blip r:embed="rId3"/>
        <a:stretch/>
      </xdr:blipFill>
      <xdr:spPr>
        <a:xfrm>
          <a:off x="0" y="11049120"/>
          <a:ext cx="6968880" cy="3011400"/>
        </a:xfrm>
        <a:prstGeom prst="rect">
          <a:avLst/>
        </a:prstGeom>
        <a:noFill/>
        <a:ln w="0">
          <a:noFill/>
        </a:ln>
      </xdr:spPr>
    </xdr:pic>
    <xdr:clientData/>
  </xdr:twoCellAnchor>
  <xdr:twoCellAnchor editAs="oneCell">
    <xdr:from>
      <xdr:col>0</xdr:col>
      <xdr:colOff>0</xdr:colOff>
      <xdr:row>87</xdr:row>
      <xdr:rowOff>0</xdr:rowOff>
    </xdr:from>
    <xdr:to>
      <xdr:col>5</xdr:col>
      <xdr:colOff>227520</xdr:colOff>
      <xdr:row>102</xdr:row>
      <xdr:rowOff>125640</xdr:rowOff>
    </xdr:to>
    <xdr:pic>
      <xdr:nvPicPr>
        <xdr:cNvPr id="4" name="Picture 4" descr="04_ad_economics.png"/>
        <xdr:cNvPicPr/>
      </xdr:nvPicPr>
      <xdr:blipFill>
        <a:blip r:embed="rId4"/>
        <a:stretch/>
      </xdr:blipFill>
      <xdr:spPr>
        <a:xfrm>
          <a:off x="0" y="16573680"/>
          <a:ext cx="4707360" cy="2982960"/>
        </a:xfrm>
        <a:prstGeom prst="rect">
          <a:avLst/>
        </a:prstGeom>
        <a:noFill/>
        <a:ln w="0">
          <a:noFill/>
        </a:ln>
      </xdr:spPr>
    </xdr:pic>
    <xdr:clientData/>
  </xdr:twoCellAnchor>
  <xdr:twoCellAnchor editAs="oneCell">
    <xdr:from>
      <xdr:col>0</xdr:col>
      <xdr:colOff>0</xdr:colOff>
      <xdr:row>116</xdr:row>
      <xdr:rowOff>0</xdr:rowOff>
    </xdr:from>
    <xdr:to>
      <xdr:col>8</xdr:col>
      <xdr:colOff>419760</xdr:colOff>
      <xdr:row>131</xdr:row>
      <xdr:rowOff>164520</xdr:rowOff>
    </xdr:to>
    <xdr:pic>
      <xdr:nvPicPr>
        <xdr:cNvPr id="5" name="Picture 5" descr="05_launch_capital.png"/>
        <xdr:cNvPicPr/>
      </xdr:nvPicPr>
      <xdr:blipFill>
        <a:blip r:embed="rId5"/>
        <a:stretch/>
      </xdr:blipFill>
      <xdr:spPr>
        <a:xfrm>
          <a:off x="0" y="22097880"/>
          <a:ext cx="7587720" cy="3022200"/>
        </a:xfrm>
        <a:prstGeom prst="rect">
          <a:avLst/>
        </a:prstGeom>
        <a:noFill/>
        <a:ln w="0">
          <a:noFill/>
        </a:ln>
      </xdr:spPr>
    </xdr:pic>
    <xdr:clientData/>
  </xdr:twoCellAnchor>
  <xdr:twoCellAnchor editAs="oneCell">
    <xdr:from>
      <xdr:col>0</xdr:col>
      <xdr:colOff>0</xdr:colOff>
      <xdr:row>145</xdr:row>
      <xdr:rowOff>0</xdr:rowOff>
    </xdr:from>
    <xdr:to>
      <xdr:col>7</xdr:col>
      <xdr:colOff>28440</xdr:colOff>
      <xdr:row>162</xdr:row>
      <xdr:rowOff>71640</xdr:rowOff>
    </xdr:to>
    <xdr:pic>
      <xdr:nvPicPr>
        <xdr:cNvPr id="6" name="Picture 6" descr="06_opportunity_scorecard.png"/>
        <xdr:cNvPicPr/>
      </xdr:nvPicPr>
      <xdr:blipFill>
        <a:blip r:embed="rId6"/>
        <a:stretch/>
      </xdr:blipFill>
      <xdr:spPr>
        <a:xfrm>
          <a:off x="0" y="27622440"/>
          <a:ext cx="6300360" cy="33102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hyperlink" Target="https://www.amazon.ca/dp/B0H9QD7RD5" TargetMode="External"/><Relationship Id="rId2" Type="http://schemas.openxmlformats.org/officeDocument/2006/relationships/hyperlink" Target="https://www.amazon.ca/dp/B0CQ2ZWGNQ" TargetMode="External"/><Relationship Id="rId3" Type="http://schemas.openxmlformats.org/officeDocument/2006/relationships/hyperlink" Target="https://www.amazon.ca/dp/B07YKCQBBL" TargetMode="External"/><Relationship Id="rId4" Type="http://schemas.openxmlformats.org/officeDocument/2006/relationships/hyperlink" Target="https://www.amazon.ca/dp/B0H4LQTR5T" TargetMode="External"/><Relationship Id="rId5" Type="http://schemas.openxmlformats.org/officeDocument/2006/relationships/hyperlink" Target="https://www.amazon.ca/dp/B0C3R5NGGQ" TargetMode="External"/><Relationship Id="rId6" Type="http://schemas.openxmlformats.org/officeDocument/2006/relationships/hyperlink" Target="https://www.amazon.ca/dp/B0FT7LV7PP" TargetMode="External"/><Relationship Id="rId7" Type="http://schemas.openxmlformats.org/officeDocument/2006/relationships/hyperlink" Target="https://www.amazon.ca/dp/B0CQ2XQF9N" TargetMode="External"/><Relationship Id="rId8" Type="http://schemas.openxmlformats.org/officeDocument/2006/relationships/hyperlink" Target="https://www.amazon.ca/dp/B0H4LW9WBT" TargetMode="External"/><Relationship Id="rId9" Type="http://schemas.openxmlformats.org/officeDocument/2006/relationships/hyperlink" Target="https://www.amazon.ca/dp/B0CQ33C286" TargetMode="External"/><Relationship Id="rId10" Type="http://schemas.openxmlformats.org/officeDocument/2006/relationships/hyperlink" Target="https://www.amazon.ca/dp/B0F1KK74XH" TargetMode="External"/><Relationship Id="rId11" Type="http://schemas.openxmlformats.org/officeDocument/2006/relationships/hyperlink" Target="https://www.amazon.ca/dp/B0CGZR147P" TargetMode="External"/><Relationship Id="rId12" Type="http://schemas.openxmlformats.org/officeDocument/2006/relationships/hyperlink" Target="https://www.amazon.ca/dp/B0GCZS2W4S" TargetMode="External"/><Relationship Id="rId13" Type="http://schemas.openxmlformats.org/officeDocument/2006/relationships/hyperlink" Target="https://www.amazon.ca/dp/B07XF1NLLW" TargetMode="External"/><Relationship Id="rId14" Type="http://schemas.openxmlformats.org/officeDocument/2006/relationships/hyperlink" Target="https://www.amazon.ca/dp/B0BZPZPGDC" TargetMode="External"/><Relationship Id="rId15" Type="http://schemas.openxmlformats.org/officeDocument/2006/relationships/hyperlink" Target="https://www.amazon.ca/dp/B0DR99Q37Y" TargetMode="External"/><Relationship Id="rId16" Type="http://schemas.openxmlformats.org/officeDocument/2006/relationships/hyperlink" Target="https://www.amazon.ca/dp/B09PYB9C45" TargetMode="External"/><Relationship Id="rId17" Type="http://schemas.openxmlformats.org/officeDocument/2006/relationships/hyperlink" Target="https://www.amazon.ca/dp/B08MJW1N18" TargetMode="External"/><Relationship Id="rId18" Type="http://schemas.openxmlformats.org/officeDocument/2006/relationships/hyperlink" Target="https://www.amazon.ca/dp/B0DL5NCTYF" TargetMode="External"/><Relationship Id="rId19" Type="http://schemas.openxmlformats.org/officeDocument/2006/relationships/hyperlink" Target="https://www.amazon.ca/dp/B0F2HW8MY2" TargetMode="External"/><Relationship Id="rId20" Type="http://schemas.openxmlformats.org/officeDocument/2006/relationships/hyperlink" Target="https://www.amazon.ca/dp/B0GVDDCJVT" TargetMode="External"/><Relationship Id="rId21" Type="http://schemas.openxmlformats.org/officeDocument/2006/relationships/hyperlink" Target="https://www.amazon.ca/dp/B0G34XJ831" TargetMode="External"/><Relationship Id="rId22" Type="http://schemas.openxmlformats.org/officeDocument/2006/relationships/hyperlink" Target="https://www.amazon.ca/dp/B0DJTGXZQF" TargetMode="External"/><Relationship Id="rId23" Type="http://schemas.openxmlformats.org/officeDocument/2006/relationships/hyperlink" Target="https://www.amazon.ca/dp/B01M16WBW1" TargetMode="External"/><Relationship Id="rId24" Type="http://schemas.openxmlformats.org/officeDocument/2006/relationships/hyperlink" Target="https://www.amazon.ca/dp/B0GTYZS5B9" TargetMode="External"/><Relationship Id="rId25" Type="http://schemas.openxmlformats.org/officeDocument/2006/relationships/hyperlink" Target="https://www.amazon.ca/dp/B0FDB3L3Y3" TargetMode="External"/><Relationship Id="rId26" Type="http://schemas.openxmlformats.org/officeDocument/2006/relationships/hyperlink" Target="https://www.amazon.ca/dp/B0DS21FNX6" TargetMode="External"/><Relationship Id="rId27" Type="http://schemas.openxmlformats.org/officeDocument/2006/relationships/hyperlink" Target="https://www.amazon.ca/dp/B0FXWFJ9C1" TargetMode="External"/><Relationship Id="rId28" Type="http://schemas.openxmlformats.org/officeDocument/2006/relationships/hyperlink" Target="https://www.amazon.ca/dp/B0BYPL2QXC" TargetMode="External"/><Relationship Id="rId29" Type="http://schemas.openxmlformats.org/officeDocument/2006/relationships/hyperlink" Target="https://www.amazon.ca/dp/B0CGX4G67T" TargetMode="External"/><Relationship Id="rId30" Type="http://schemas.openxmlformats.org/officeDocument/2006/relationships/hyperlink" Target="https://www.amazon.ca/dp/B0H3BVJ68C" TargetMode="External"/><Relationship Id="rId31" Type="http://schemas.openxmlformats.org/officeDocument/2006/relationships/hyperlink" Target="https://www.amazon.ca/dp/B096BM64KC" TargetMode="External"/><Relationship Id="rId32" Type="http://schemas.openxmlformats.org/officeDocument/2006/relationships/hyperlink" Target="https://www.amazon.ca/dp/B0FCZRHF11" TargetMode="External"/><Relationship Id="rId33" Type="http://schemas.openxmlformats.org/officeDocument/2006/relationships/hyperlink" Target="https://www.amazon.ca/dp/B0DZHJHSNX" TargetMode="External"/><Relationship Id="rId34" Type="http://schemas.openxmlformats.org/officeDocument/2006/relationships/hyperlink" Target="https://www.amazon.ca/dp/B07V49Z6H6" TargetMode="External"/><Relationship Id="rId35" Type="http://schemas.openxmlformats.org/officeDocument/2006/relationships/hyperlink" Target="https://www.amazon.ca/dp/B0DSZMTCL2" TargetMode="External"/><Relationship Id="rId36" Type="http://schemas.openxmlformats.org/officeDocument/2006/relationships/hyperlink" Target="https://www.amazon.ca/dp/B08F3DFWJM" TargetMode="External"/><Relationship Id="rId37" Type="http://schemas.openxmlformats.org/officeDocument/2006/relationships/hyperlink" Target="https://www.amazon.ca/dp/B0F6J9CMW4" TargetMode="External"/><Relationship Id="rId38" Type="http://schemas.openxmlformats.org/officeDocument/2006/relationships/hyperlink" Target="https://www.amazon.ca/dp/B09RJSYCKR" TargetMode="External"/><Relationship Id="rId39" Type="http://schemas.openxmlformats.org/officeDocument/2006/relationships/hyperlink" Target="https://www.amazon.ca/dp/B0DPLJ4BN4" TargetMode="External"/><Relationship Id="rId40" Type="http://schemas.openxmlformats.org/officeDocument/2006/relationships/hyperlink" Target="https://www.amazon.ca/dp/B0C9LS5H2T" TargetMode="External"/><Relationship Id="rId41" Type="http://schemas.openxmlformats.org/officeDocument/2006/relationships/hyperlink" Target="https://www.amazon.ca/dp/B0B8JLLT45" TargetMode="External"/><Relationship Id="rId42" Type="http://schemas.openxmlformats.org/officeDocument/2006/relationships/hyperlink" Target="https://www.amazon.ca/dp/B0H264JWBK" TargetMode="External"/><Relationship Id="rId43" Type="http://schemas.openxmlformats.org/officeDocument/2006/relationships/hyperlink" Target="https://www.amazon.ca/dp/B09KXYHH13" TargetMode="External"/><Relationship Id="rId44" Type="http://schemas.openxmlformats.org/officeDocument/2006/relationships/hyperlink" Target="https://www.amazon.ca/dp/B0B8JHBPJ4" TargetMode="External"/><Relationship Id="rId45" Type="http://schemas.openxmlformats.org/officeDocument/2006/relationships/hyperlink" Target="https://www.amazon.ca/dp/B07Y8TTK9B" TargetMode="External"/><Relationship Id="rId46" Type="http://schemas.openxmlformats.org/officeDocument/2006/relationships/hyperlink" Target="https://www.amazon.ca/dp/B0HFQY2FF3" TargetMode="External"/><Relationship Id="rId47" Type="http://schemas.openxmlformats.org/officeDocument/2006/relationships/hyperlink" Target="https://www.amazon.ca/dp/B01DX29P8O" TargetMode="External"/><Relationship Id="rId48" Type="http://schemas.openxmlformats.org/officeDocument/2006/relationships/hyperlink" Target="https://www.amazon.ca/dp/B0D4ZPFKB3" TargetMode="External"/><Relationship Id="rId49" Type="http://schemas.openxmlformats.org/officeDocument/2006/relationships/hyperlink" Target="https://www.amazon.ca/dp/B0DCCZRNFZ" TargetMode="External"/><Relationship Id="rId50" Type="http://schemas.openxmlformats.org/officeDocument/2006/relationships/hyperlink" Target="https://www.amazon.ca/dp/B0C1ZZHWC7" TargetMode="External"/><Relationship Id="rId51" Type="http://schemas.openxmlformats.org/officeDocument/2006/relationships/hyperlink" Target="https://www.amazon.ca/dp/B0DCDMFTRX" TargetMode="External"/><Relationship Id="rId52" Type="http://schemas.openxmlformats.org/officeDocument/2006/relationships/hyperlink" Target="https://www.amazon.ca/dp/B0C27QM69F" TargetMode="External"/><Relationship Id="rId53" Type="http://schemas.openxmlformats.org/officeDocument/2006/relationships/hyperlink" Target="https://www.amazon.ca/dp/B0CGLP3QSF" TargetMode="External"/><Relationship Id="rId54" Type="http://schemas.openxmlformats.org/officeDocument/2006/relationships/hyperlink" Target="https://www.amazon.ca/dp/B0GSQJLKL5" TargetMode="External"/><Relationship Id="rId55" Type="http://schemas.openxmlformats.org/officeDocument/2006/relationships/hyperlink" Target="https://www.amazon.ca/dp/B0C7K5BTZV" TargetMode="External"/><Relationship Id="rId56" Type="http://schemas.openxmlformats.org/officeDocument/2006/relationships/hyperlink" Target="https://www.amazon.ca/dp/B0GJCF2LY3" TargetMode="External"/><Relationship Id="rId57" Type="http://schemas.openxmlformats.org/officeDocument/2006/relationships/hyperlink" Target="https://www.amazon.ca/dp/B0BLVH5YX3" TargetMode="External"/><Relationship Id="rId58" Type="http://schemas.openxmlformats.org/officeDocument/2006/relationships/hyperlink" Target="https://www.amazon.ca/dp/B0DFPMJWXZ" TargetMode="External"/><Relationship Id="rId59" Type="http://schemas.openxmlformats.org/officeDocument/2006/relationships/hyperlink" Target="https://www.amazon.ca/dp/B0DKCTQ978" TargetMode="External"/><Relationship Id="rId60" Type="http://schemas.openxmlformats.org/officeDocument/2006/relationships/hyperlink" Target="https://www.amazon.ca/dp/B0CGLPC42G" TargetMode="External"/><Relationship Id="rId61" Type="http://schemas.openxmlformats.org/officeDocument/2006/relationships/hyperlink" Target="https://www.amazon.ca/dp/B0CJJT1PT6" TargetMode="External"/><Relationship Id="rId62" Type="http://schemas.openxmlformats.org/officeDocument/2006/relationships/hyperlink" Target="https://www.amazon.ca/dp/B0CQS8N71F" TargetMode="External"/><Relationship Id="rId63" Type="http://schemas.openxmlformats.org/officeDocument/2006/relationships/hyperlink" Target="https://www.amazon.ca/dp/B0DD436JG2" TargetMode="External"/><Relationship Id="rId64" Type="http://schemas.openxmlformats.org/officeDocument/2006/relationships/hyperlink" Target="https://www.amazon.ca/dp/B0F1KLH9LZ" TargetMode="External"/><Relationship Id="rId65" Type="http://schemas.openxmlformats.org/officeDocument/2006/relationships/hyperlink" Target="https://www.amazon.ca/dp/B0C5XQ26SM" TargetMode="External"/><Relationship Id="rId66" Type="http://schemas.openxmlformats.org/officeDocument/2006/relationships/hyperlink" Target="https://www.amazon.ca/dp/B0DK6G1PY1" TargetMode="External"/><Relationship Id="rId67" Type="http://schemas.openxmlformats.org/officeDocument/2006/relationships/hyperlink" Target="https://www.amazon.ca/dp/B0FP4Y68NM" TargetMode="External"/><Relationship Id="rId68" Type="http://schemas.openxmlformats.org/officeDocument/2006/relationships/hyperlink" Target="https://www.amazon.ca/dp/B0DXK4H9GK" TargetMode="External"/><Relationship Id="rId69" Type="http://schemas.openxmlformats.org/officeDocument/2006/relationships/hyperlink" Target="https://www.amazon.ca/dp/B0CD76QM24" TargetMode="External"/><Relationship Id="rId70" Type="http://schemas.openxmlformats.org/officeDocument/2006/relationships/hyperlink" Target="https://www.amazon.ca/dp/B0CMZV1P69" TargetMode="External"/><Relationship Id="rId71" Type="http://schemas.openxmlformats.org/officeDocument/2006/relationships/hyperlink" Target="https://www.amazon.ca/dp/B0BPH4FVRS" TargetMode="External"/><Relationship Id="rId72" Type="http://schemas.openxmlformats.org/officeDocument/2006/relationships/hyperlink" Target="https://www.amazon.ca/dp/B0DFBVHBJT" TargetMode="External"/><Relationship Id="rId73" Type="http://schemas.openxmlformats.org/officeDocument/2006/relationships/hyperlink" Target="https://www.amazon.ca/dp/B0F9XTP4DM" TargetMode="External"/><Relationship Id="rId74" Type="http://schemas.openxmlformats.org/officeDocument/2006/relationships/hyperlink" Target="https://www.amazon.ca/dp/B0GRFNTZT2" TargetMode="External"/><Relationship Id="rId75" Type="http://schemas.openxmlformats.org/officeDocument/2006/relationships/hyperlink" Target="https://www.amazon.ca/dp/B0GZZJVZ5P" TargetMode="External"/><Relationship Id="rId76" Type="http://schemas.openxmlformats.org/officeDocument/2006/relationships/hyperlink" Target="https://www.amazon.ca/dp/B0CMPW8Q9S" TargetMode="External"/><Relationship Id="rId77" Type="http://schemas.openxmlformats.org/officeDocument/2006/relationships/hyperlink" Target="https://www.amazon.ca/dp/B0FQ59RQGF" TargetMode="External"/><Relationship Id="rId78" Type="http://schemas.openxmlformats.org/officeDocument/2006/relationships/hyperlink" Target="https://www.amazon.ca/dp/B0CNXBJG8K" TargetMode="External"/><Relationship Id="rId79" Type="http://schemas.openxmlformats.org/officeDocument/2006/relationships/hyperlink" Target="https://www.amazon.ca/dp/B08JYV9D75" TargetMode="External"/><Relationship Id="rId80" Type="http://schemas.openxmlformats.org/officeDocument/2006/relationships/hyperlink" Target="https://www.amazon.ca/dp/B077N1535Z" TargetMode="External"/><Relationship Id="rId81" Type="http://schemas.openxmlformats.org/officeDocument/2006/relationships/hyperlink" Target="https://www.amazon.ca/dp/B0C2YVBNRV" TargetMode="External"/><Relationship Id="rId82" Type="http://schemas.openxmlformats.org/officeDocument/2006/relationships/hyperlink" Target="https://www.amazon.ca/dp/B0D19CR79M" TargetMode="External"/><Relationship Id="rId83" Type="http://schemas.openxmlformats.org/officeDocument/2006/relationships/hyperlink" Target="https://www.amazon.ca/dp/B09QLXYZKR" TargetMode="External"/><Relationship Id="rId84" Type="http://schemas.openxmlformats.org/officeDocument/2006/relationships/hyperlink" Target="https://www.amazon.ca/dp/B0DX75YHHS" TargetMode="External"/><Relationship Id="rId85" Type="http://schemas.openxmlformats.org/officeDocument/2006/relationships/hyperlink" Target="https://www.amazon.ca/dp/B0H32VRS3K" TargetMode="External"/><Relationship Id="rId86" Type="http://schemas.openxmlformats.org/officeDocument/2006/relationships/hyperlink" Target="https://www.amazon.ca/dp/B07YD83845" TargetMode="External"/><Relationship Id="rId87" Type="http://schemas.openxmlformats.org/officeDocument/2006/relationships/hyperlink" Target="https://www.amazon.ca/dp/B08L66HRVC" TargetMode="External"/><Relationship Id="rId88" Type="http://schemas.openxmlformats.org/officeDocument/2006/relationships/hyperlink" Target="https://www.amazon.ca/dp/B0C8T7NRJC" TargetMode="External"/><Relationship Id="rId89" Type="http://schemas.openxmlformats.org/officeDocument/2006/relationships/hyperlink" Target="https://www.amazon.ca/dp/B0C27RPK94" TargetMode="External"/><Relationship Id="rId90" Type="http://schemas.openxmlformats.org/officeDocument/2006/relationships/hyperlink" Target="https://www.amazon.ca/dp/B09ZTTYFFR" TargetMode="External"/><Relationship Id="rId91" Type="http://schemas.openxmlformats.org/officeDocument/2006/relationships/hyperlink" Target="https://www.amazon.ca/dp/B0D94YVKN3" TargetMode="External"/><Relationship Id="rId92" Type="http://schemas.openxmlformats.org/officeDocument/2006/relationships/hyperlink" Target="https://www.amazon.ca/dp/B0CXPVQ5DK" TargetMode="External"/><Relationship Id="rId93" Type="http://schemas.openxmlformats.org/officeDocument/2006/relationships/hyperlink" Target="https://www.amazon.ca/dp/B08FRHT8L3" TargetMode="External"/><Relationship Id="rId94" Type="http://schemas.openxmlformats.org/officeDocument/2006/relationships/hyperlink" Target="https://www.amazon.ca/dp/B08BZ192N9" TargetMode="External"/><Relationship Id="rId95" Type="http://schemas.openxmlformats.org/officeDocument/2006/relationships/hyperlink" Target="https://www.amazon.ca/dp/B0CZHC7C1S" TargetMode="External"/><Relationship Id="rId96" Type="http://schemas.openxmlformats.org/officeDocument/2006/relationships/hyperlink" Target="https://www.amazon.ca/dp/B0CBPRLJ8Y" TargetMode="External"/><Relationship Id="rId97" Type="http://schemas.openxmlformats.org/officeDocument/2006/relationships/hyperlink" Target="https://www.amazon.ca/dp/B0C699R8B6" TargetMode="External"/><Relationship Id="rId98" Type="http://schemas.openxmlformats.org/officeDocument/2006/relationships/hyperlink" Target="https://www.amazon.ca/dp/B07FN7LNSW" TargetMode="External"/><Relationship Id="rId99" Type="http://schemas.openxmlformats.org/officeDocument/2006/relationships/hyperlink" Target="https://www.amazon.ca/dp/B0B259ZHPQ" TargetMode="External"/><Relationship Id="rId100" Type="http://schemas.openxmlformats.org/officeDocument/2006/relationships/hyperlink" Target="https://www.amazon.ca/dp/B0965LP4FH" TargetMode="External"/><Relationship Id="rId101" Type="http://schemas.openxmlformats.org/officeDocument/2006/relationships/hyperlink" Target="https://www.amazon.ca/dp/B0C6988RX2" TargetMode="External"/><Relationship Id="rId102" Type="http://schemas.openxmlformats.org/officeDocument/2006/relationships/hyperlink" Target="https://www.amazon.ca/dp/B07SN29DSN" TargetMode="External"/><Relationship Id="rId103" Type="http://schemas.openxmlformats.org/officeDocument/2006/relationships/hyperlink" Target="https://www.amazon.ca/dp/B0C6CNVGJW" TargetMode="External"/><Relationship Id="rId104" Type="http://schemas.openxmlformats.org/officeDocument/2006/relationships/hyperlink" Target="https://www.amazon.ca/dp/B0B25FW3X4" TargetMode="External"/><Relationship Id="rId105" Type="http://schemas.openxmlformats.org/officeDocument/2006/relationships/hyperlink" Target="https://www.amazon.ca/dp/B09YM372LR" TargetMode="External"/><Relationship Id="rId106" Type="http://schemas.openxmlformats.org/officeDocument/2006/relationships/hyperlink" Target="https://www.amazon.ca/dp/B09DVKGYMW" TargetMode="External"/><Relationship Id="rId107" Type="http://schemas.openxmlformats.org/officeDocument/2006/relationships/hyperlink" Target="https://www.amazon.ca/dp/B0CNTLDKS7" TargetMode="External"/><Relationship Id="rId108" Type="http://schemas.openxmlformats.org/officeDocument/2006/relationships/hyperlink" Target="https://www.amazon.ca/dp/B0D4Y9TRJP" TargetMode="External"/><Relationship Id="rId109" Type="http://schemas.openxmlformats.org/officeDocument/2006/relationships/hyperlink" Target="https://www.amazon.ca/dp/B01G4RNOAK" TargetMode="External"/><Relationship Id="rId110" Type="http://schemas.openxmlformats.org/officeDocument/2006/relationships/hyperlink" Target="https://www.amazon.ca/dp/B07H7ZJQRQ" TargetMode="External"/><Relationship Id="rId111" Type="http://schemas.openxmlformats.org/officeDocument/2006/relationships/hyperlink" Target="https://www.amazon.ca/dp/B07DN8Z3QK" TargetMode="External"/><Relationship Id="rId112" Type="http://schemas.openxmlformats.org/officeDocument/2006/relationships/hyperlink" Target="https://www.amazon.ca/dp/B078J63K9M" TargetMode="External"/><Relationship Id="rId113" Type="http://schemas.openxmlformats.org/officeDocument/2006/relationships/hyperlink" Target="https://www.amazon.ca/dp/B0D1NWXNM1" TargetMode="External"/><Relationship Id="rId114" Type="http://schemas.openxmlformats.org/officeDocument/2006/relationships/hyperlink" Target="https://www.amazon.ca/dp/B01G4RM6BS" TargetMode="External"/><Relationship Id="rId115" Type="http://schemas.openxmlformats.org/officeDocument/2006/relationships/hyperlink" Target="https://www.amazon.ca/dp/B0CXTC5R6Y" TargetMode="External"/><Relationship Id="rId116" Type="http://schemas.openxmlformats.org/officeDocument/2006/relationships/hyperlink" Target="https://www.amazon.ca/dp/B0DZLX4F6F" TargetMode="External"/><Relationship Id="rId117" Type="http://schemas.openxmlformats.org/officeDocument/2006/relationships/hyperlink" Target="https://www.amazon.ca/dp/B07C9XTYYG" TargetMode="External"/><Relationship Id="rId118" Type="http://schemas.openxmlformats.org/officeDocument/2006/relationships/hyperlink" Target="https://www.amazon.ca/dp/B0D8RFD6FW" TargetMode="External"/><Relationship Id="rId119" Type="http://schemas.openxmlformats.org/officeDocument/2006/relationships/hyperlink" Target="https://www.amazon.ca/dp/B0H1WD5FXP" TargetMode="External"/><Relationship Id="rId120" Type="http://schemas.openxmlformats.org/officeDocument/2006/relationships/hyperlink" Target="https://www.amazon.ca/dp/B0G5YF427W" TargetMode="External"/><Relationship Id="rId121" Type="http://schemas.openxmlformats.org/officeDocument/2006/relationships/hyperlink" Target="https://www.amazon.ca/dp/B07D2GGY55" TargetMode="External"/><Relationship Id="rId122" Type="http://schemas.openxmlformats.org/officeDocument/2006/relationships/hyperlink" Target="https://www.amazon.ca/dp/B0D8FR63YN" TargetMode="External"/><Relationship Id="rId123" Type="http://schemas.openxmlformats.org/officeDocument/2006/relationships/hyperlink" Target="https://www.amazon.ca/dp/B0D78JL7Q4" TargetMode="External"/><Relationship Id="rId124" Type="http://schemas.openxmlformats.org/officeDocument/2006/relationships/hyperlink" Target="https://www.amazon.ca/dp/B0GDW5M4D3" TargetMode="External"/><Relationship Id="rId125" Type="http://schemas.openxmlformats.org/officeDocument/2006/relationships/hyperlink" Target="https://www.amazon.ca/dp/B0F482K29X" TargetMode="External"/><Relationship Id="rId126" Type="http://schemas.openxmlformats.org/officeDocument/2006/relationships/hyperlink" Target="https://www.amazon.ca/dp/B096W5ST3R" TargetMode="External"/><Relationship Id="rId127" Type="http://schemas.openxmlformats.org/officeDocument/2006/relationships/hyperlink" Target="https://www.amazon.ca/dp/B0BZCCTG4D" TargetMode="External"/><Relationship Id="rId128" Type="http://schemas.openxmlformats.org/officeDocument/2006/relationships/hyperlink" Target="https://www.amazon.ca/dp/B0B8J8TNP4" TargetMode="External"/><Relationship Id="rId129" Type="http://schemas.openxmlformats.org/officeDocument/2006/relationships/hyperlink" Target="https://www.amazon.ca/dp/B07CRMCW32" TargetMode="External"/><Relationship Id="rId130" Type="http://schemas.openxmlformats.org/officeDocument/2006/relationships/hyperlink" Target="https://www.amazon.ca/dp/B07RY59C3W" TargetMode="External"/><Relationship Id="rId131" Type="http://schemas.openxmlformats.org/officeDocument/2006/relationships/hyperlink" Target="https://www.amazon.ca/dp/B08NB5S8D8" TargetMode="External"/><Relationship Id="rId132" Type="http://schemas.openxmlformats.org/officeDocument/2006/relationships/hyperlink" Target="https://www.amazon.ca/dp/B08FRS5PRK" TargetMode="External"/><Relationship Id="rId133" Type="http://schemas.openxmlformats.org/officeDocument/2006/relationships/hyperlink" Target="https://www.amazon.ca/dp/B0BBM2K2FJ" TargetMode="External"/><Relationship Id="rId134" Type="http://schemas.openxmlformats.org/officeDocument/2006/relationships/hyperlink" Target="https://www.amazon.ca/dp/B0DP44KT83" TargetMode="External"/><Relationship Id="rId135" Type="http://schemas.openxmlformats.org/officeDocument/2006/relationships/hyperlink" Target="https://www.amazon.ca/dp/B0F9L5Q4L6" TargetMode="External"/><Relationship Id="rId136" Type="http://schemas.openxmlformats.org/officeDocument/2006/relationships/hyperlink" Target="https://www.amazon.ca/dp/B0FNLD5Y5W" TargetMode="External"/><Relationship Id="rId137" Type="http://schemas.openxmlformats.org/officeDocument/2006/relationships/hyperlink" Target="https://www.amazon.ca/dp/B0DX6VMYJ8" TargetMode="External"/><Relationship Id="rId138" Type="http://schemas.openxmlformats.org/officeDocument/2006/relationships/hyperlink" Target="https://www.amazon.ca/dp/B0DX1ZX48T" TargetMode="External"/><Relationship Id="rId139" Type="http://schemas.openxmlformats.org/officeDocument/2006/relationships/hyperlink" Target="https://www.amazon.ca/dp/B0H1F33HZH" TargetMode="External"/><Relationship Id="rId140" Type="http://schemas.openxmlformats.org/officeDocument/2006/relationships/hyperlink" Target="https://www.amazon.ca/dp/B08YVFD73P" TargetMode="External"/><Relationship Id="rId141" Type="http://schemas.openxmlformats.org/officeDocument/2006/relationships/hyperlink" Target="https://www.amazon.ca/dp/B0BMTDPTFS" TargetMode="External"/><Relationship Id="rId142" Type="http://schemas.openxmlformats.org/officeDocument/2006/relationships/hyperlink" Target="https://www.amazon.ca/dp/B0CV4J3SK4" TargetMode="External"/><Relationship Id="rId143" Type="http://schemas.openxmlformats.org/officeDocument/2006/relationships/hyperlink" Target="https://www.amazon.ca/dp/B0C88YMZRS" TargetMode="External"/><Relationship Id="rId144" Type="http://schemas.openxmlformats.org/officeDocument/2006/relationships/hyperlink" Target="https://www.amazon.ca/dp/B01MG2Y5I5" TargetMode="External"/><Relationship Id="rId145" Type="http://schemas.openxmlformats.org/officeDocument/2006/relationships/hyperlink" Target="https://www.amazon.ca/dp/B01IE7P2VW" TargetMode="External"/><Relationship Id="rId146" Type="http://schemas.openxmlformats.org/officeDocument/2006/relationships/hyperlink" Target="https://www.amazon.ca/dp/B0CHFFMX81" TargetMode="External"/><Relationship Id="rId147" Type="http://schemas.openxmlformats.org/officeDocument/2006/relationships/hyperlink" Target="https://www.amazon.ca/dp/B00XK9C0KG" TargetMode="External"/><Relationship Id="rId148" Type="http://schemas.openxmlformats.org/officeDocument/2006/relationships/hyperlink" Target="https://www.amazon.ca/dp/B07QHNC81Z" TargetMode="External"/><Relationship Id="rId149" Type="http://schemas.openxmlformats.org/officeDocument/2006/relationships/hyperlink" Target="https://www.amazon.ca/dp/B0GV2KVRFF" TargetMode="External"/><Relationship Id="rId150" Type="http://schemas.openxmlformats.org/officeDocument/2006/relationships/hyperlink" Target="https://www.amazon.ca/dp/B084MFMCNY" TargetMode="External"/><Relationship Id="rId151" Type="http://schemas.openxmlformats.org/officeDocument/2006/relationships/hyperlink" Target="https://www.amazon.ca/dp/B00XK9CYVG" TargetMode="External"/><Relationship Id="rId152" Type="http://schemas.openxmlformats.org/officeDocument/2006/relationships/hyperlink" Target="https://www.amazon.ca/dp/B0CHFGWKXQ" TargetMode="External"/><Relationship Id="rId153" Type="http://schemas.openxmlformats.org/officeDocument/2006/relationships/hyperlink" Target="https://www.amazon.ca/dp/B07PKT16D9" TargetMode="External"/><Relationship Id="rId154" Type="http://schemas.openxmlformats.org/officeDocument/2006/relationships/hyperlink" Target="https://www.amazon.ca/dp/B0872GW9FD" TargetMode="External"/><Relationship Id="rId155" Type="http://schemas.openxmlformats.org/officeDocument/2006/relationships/hyperlink" Target="https://www.amazon.ca/dp/B0GFFRYVRB" TargetMode="External"/><Relationship Id="rId156" Type="http://schemas.openxmlformats.org/officeDocument/2006/relationships/hyperlink" Target="https://www.amazon.ca/dp/B0DQXYR9MW" TargetMode="External"/><Relationship Id="rId157" Type="http://schemas.openxmlformats.org/officeDocument/2006/relationships/hyperlink" Target="https://www.amazon.ca/dp/B008CMYFNQ" TargetMode="External"/><Relationship Id="rId158" Type="http://schemas.openxmlformats.org/officeDocument/2006/relationships/hyperlink" Target="https://www.amazon.ca/dp/B07F95LC1X" TargetMode="External"/><Relationship Id="rId159" Type="http://schemas.openxmlformats.org/officeDocument/2006/relationships/hyperlink" Target="https://www.amazon.ca/dp/B09KCF6S9G" TargetMode="External"/><Relationship Id="rId160" Type="http://schemas.openxmlformats.org/officeDocument/2006/relationships/hyperlink" Target="https://www.amazon.ca/dp/B01M16WBW1" TargetMode="External"/><Relationship Id="rId161" Type="http://schemas.openxmlformats.org/officeDocument/2006/relationships/hyperlink" Target="https://www.amazon.ca/dp/B096MDX5Z2" TargetMode="External"/><Relationship Id="rId162" Type="http://schemas.openxmlformats.org/officeDocument/2006/relationships/hyperlink" Target="https://www.amazon.ca/dp/B0F3VG4LHQ" TargetMode="External"/><Relationship Id="rId163" Type="http://schemas.openxmlformats.org/officeDocument/2006/relationships/hyperlink" Target="https://www.amazon.ca/dp/B099NGDQ8T" TargetMode="External"/><Relationship Id="rId164" Type="http://schemas.openxmlformats.org/officeDocument/2006/relationships/hyperlink" Target="https://www.amazon.ca/dp/B0F8VLGBQ4" TargetMode="External"/><Relationship Id="rId165" Type="http://schemas.openxmlformats.org/officeDocument/2006/relationships/hyperlink" Target="https://www.amazon.ca/dp/B0CRHT3RF2" TargetMode="External"/><Relationship Id="rId166" Type="http://schemas.openxmlformats.org/officeDocument/2006/relationships/hyperlink" Target="https://www.amazon.ca/dp/B07TLP7RWT" TargetMode="External"/><Relationship Id="rId167" Type="http://schemas.openxmlformats.org/officeDocument/2006/relationships/hyperlink" Target="https://www.amazon.ca/dp/B0758C6GBR" TargetMode="External"/><Relationship Id="rId168" Type="http://schemas.openxmlformats.org/officeDocument/2006/relationships/hyperlink" Target="https://www.amazon.ca/dp/B07NVT5FFR" TargetMode="External"/><Relationship Id="rId169" Type="http://schemas.openxmlformats.org/officeDocument/2006/relationships/hyperlink" Target="https://www.amazon.ca/dp/B09ZKNR7BS" TargetMode="External"/><Relationship Id="rId170" Type="http://schemas.openxmlformats.org/officeDocument/2006/relationships/hyperlink" Target="https://www.amazon.ca/dp/B088GX133Y" TargetMode="External"/><Relationship Id="rId171" Type="http://schemas.openxmlformats.org/officeDocument/2006/relationships/hyperlink" Target="https://www.amazon.ca/dp/B00NX0XMZY" TargetMode="External"/><Relationship Id="rId172" Type="http://schemas.openxmlformats.org/officeDocument/2006/relationships/hyperlink" Target="https://www.amazon.ca/dp/B0DJ1TPNM4" TargetMode="External"/><Relationship Id="rId173" Type="http://schemas.openxmlformats.org/officeDocument/2006/relationships/hyperlink" Target="https://www.amazon.ca/dp/B0FR22PY7Q" TargetMode="External"/><Relationship Id="rId174" Type="http://schemas.openxmlformats.org/officeDocument/2006/relationships/hyperlink" Target="https://www.amazon.ca/dp/B095PBLXD1" TargetMode="External"/><Relationship Id="rId175" Type="http://schemas.openxmlformats.org/officeDocument/2006/relationships/hyperlink" Target="https://www.amazon.ca/dp/B09KCF9VJ4" TargetMode="External"/><Relationship Id="rId176" Type="http://schemas.openxmlformats.org/officeDocument/2006/relationships/hyperlink" Target="https://www.amazon.ca/dp/B08965K9KC" TargetMode="External"/><Relationship Id="rId177" Type="http://schemas.openxmlformats.org/officeDocument/2006/relationships/hyperlink" Target="https://www.amazon.ca/dp/B08966FHV6" TargetMode="External"/><Relationship Id="rId178" Type="http://schemas.openxmlformats.org/officeDocument/2006/relationships/hyperlink" Target="https://www.amazon.ca/dp/B09LH12RFS" TargetMode="External"/><Relationship Id="rId179" Type="http://schemas.openxmlformats.org/officeDocument/2006/relationships/hyperlink" Target="https://www.amazon.ca/dp/B08PZ97BVD" TargetMode="External"/><Relationship Id="rId180" Type="http://schemas.openxmlformats.org/officeDocument/2006/relationships/hyperlink" Target="https://www.amazon.ca/dp/B0GXZMVKS6" TargetMode="External"/><Relationship Id="rId181" Type="http://schemas.openxmlformats.org/officeDocument/2006/relationships/hyperlink" Target="https://www.amazon.ca/dp/B0CDMDM78Y" TargetMode="External"/><Relationship Id="rId182" Type="http://schemas.openxmlformats.org/officeDocument/2006/relationships/hyperlink" Target="https://www.amazon.ca/dp/B0C716G9P8" TargetMode="External"/><Relationship Id="rId183" Type="http://schemas.openxmlformats.org/officeDocument/2006/relationships/hyperlink" Target="https://www.amazon.ca/dp/B0BWBSHBJM" TargetMode="External"/><Relationship Id="rId184" Type="http://schemas.openxmlformats.org/officeDocument/2006/relationships/hyperlink" Target="https://www.amazon.ca/dp/B09JCBTPF9" TargetMode="External"/><Relationship Id="rId185" Type="http://schemas.openxmlformats.org/officeDocument/2006/relationships/hyperlink" Target="https://www.amazon.ca/dp/B086T1ZFCN" TargetMode="External"/><Relationship Id="rId186" Type="http://schemas.openxmlformats.org/officeDocument/2006/relationships/hyperlink" Target="https://www.amazon.ca/dp/B0FJX7CPPS" TargetMode="External"/><Relationship Id="rId187" Type="http://schemas.openxmlformats.org/officeDocument/2006/relationships/hyperlink" Target="https://www.amazon.ca/dp/B0CM315FQN" TargetMode="External"/><Relationship Id="rId188" Type="http://schemas.openxmlformats.org/officeDocument/2006/relationships/hyperlink" Target="https://www.amazon.ca/dp/B0893S3HHF" TargetMode="External"/><Relationship Id="rId189" Type="http://schemas.openxmlformats.org/officeDocument/2006/relationships/hyperlink" Target="https://www.amazon.ca/dp/B07LDSTJM9" TargetMode="External"/><Relationship Id="rId190" Type="http://schemas.openxmlformats.org/officeDocument/2006/relationships/hyperlink" Target="https://www.amazon.ca/dp/B09XJGLHY7" TargetMode="External"/><Relationship Id="rId191" Type="http://schemas.openxmlformats.org/officeDocument/2006/relationships/hyperlink" Target="https://www.amazon.ca/dp/B0CRX64T8G" TargetMode="External"/><Relationship Id="rId192" Type="http://schemas.openxmlformats.org/officeDocument/2006/relationships/hyperlink" Target="https://www.amazon.ca/dp/B019J3R8DA" TargetMode="External"/><Relationship Id="rId193" Type="http://schemas.openxmlformats.org/officeDocument/2006/relationships/hyperlink" Target="https://www.amazon.ca/dp/B09C3HFPX7" TargetMode="External"/><Relationship Id="rId194" Type="http://schemas.openxmlformats.org/officeDocument/2006/relationships/hyperlink" Target="https://www.amazon.ca/dp/B089GQWRTG" TargetMode="External"/><Relationship Id="rId195" Type="http://schemas.openxmlformats.org/officeDocument/2006/relationships/hyperlink" Target="https://www.amazon.ca/dp/B0GHNHHBX5" TargetMode="External"/><Relationship Id="rId196" Type="http://schemas.openxmlformats.org/officeDocument/2006/relationships/hyperlink" Target="https://www.amazon.ca/dp/B0FN73ZR18" TargetMode="External"/><Relationship Id="rId197" Type="http://schemas.openxmlformats.org/officeDocument/2006/relationships/hyperlink" Target="https://www.amazon.ca/dp/B088BLG5DY" TargetMode="External"/><Relationship Id="rId198" Type="http://schemas.openxmlformats.org/officeDocument/2006/relationships/hyperlink" Target="https://www.amazon.ca/dp/B0GG8YMDJ5" TargetMode="External"/><Relationship Id="rId199" Type="http://schemas.openxmlformats.org/officeDocument/2006/relationships/hyperlink" Target="https://www.amazon.ca/dp/B0GTLM1NWZ" TargetMode="External"/><Relationship Id="rId200" Type="http://schemas.openxmlformats.org/officeDocument/2006/relationships/hyperlink" Target="https://www.amazon.ca/dp/B07RZ3NVWZ" TargetMode="External"/><Relationship Id="rId201" Type="http://schemas.openxmlformats.org/officeDocument/2006/relationships/hyperlink" Target="https://www.amazon.ca/dp/B0CCX9413P" TargetMode="External"/><Relationship Id="rId202" Type="http://schemas.openxmlformats.org/officeDocument/2006/relationships/hyperlink" Target="https://www.amazon.ca/dp/B06X9L8R9J" TargetMode="External"/><Relationship Id="rId203" Type="http://schemas.openxmlformats.org/officeDocument/2006/relationships/hyperlink" Target="https://www.amazon.ca/dp/B0DJ32KJ42" TargetMode="External"/><Relationship Id="rId204" Type="http://schemas.openxmlformats.org/officeDocument/2006/relationships/hyperlink" Target="https://www.amazon.ca/dp/B09B2GH9MJ" TargetMode="External"/><Relationship Id="rId205" Type="http://schemas.openxmlformats.org/officeDocument/2006/relationships/hyperlink" Target="https://www.amazon.ca/dp/B09C41GFS7" TargetMode="External"/><Relationship Id="rId206" Type="http://schemas.openxmlformats.org/officeDocument/2006/relationships/hyperlink" Target="https://www.amazon.ca/dp/B07416ZHN9" TargetMode="External"/><Relationship Id="rId207" Type="http://schemas.openxmlformats.org/officeDocument/2006/relationships/hyperlink" Target="https://www.amazon.ca/dp/B0C9Y6BTR3" TargetMode="External"/><Relationship Id="rId208" Type="http://schemas.openxmlformats.org/officeDocument/2006/relationships/hyperlink" Target="https://www.amazon.ca/dp/B0H1JJ633C" TargetMode="External"/><Relationship Id="rId209" Type="http://schemas.openxmlformats.org/officeDocument/2006/relationships/hyperlink" Target="https://www.amazon.ca/dp/B094N34QGJ" TargetMode="External"/><Relationship Id="rId210" Type="http://schemas.openxmlformats.org/officeDocument/2006/relationships/hyperlink" Target="https://www.amazon.ca/dp/B09F71VJND" TargetMode="External"/><Relationship Id="rId211" Type="http://schemas.openxmlformats.org/officeDocument/2006/relationships/hyperlink" Target="https://www.amazon.ca/dp/B0B7GJNSX3" TargetMode="External"/><Relationship Id="rId212" Type="http://schemas.openxmlformats.org/officeDocument/2006/relationships/hyperlink" Target="https://www.amazon.ca/dp/B08J3W1ZD6" TargetMode="External"/><Relationship Id="rId213" Type="http://schemas.openxmlformats.org/officeDocument/2006/relationships/hyperlink" Target="https://www.amazon.ca/dp/B0FJ1XMW24" TargetMode="External"/><Relationship Id="rId214" Type="http://schemas.openxmlformats.org/officeDocument/2006/relationships/hyperlink" Target="https://www.amazon.ca/dp/B00J602FRG" TargetMode="External"/><Relationship Id="rId215" Type="http://schemas.openxmlformats.org/officeDocument/2006/relationships/hyperlink" Target="https://www.amazon.ca/dp/B0779LHFMF" TargetMode="External"/><Relationship Id="rId216" Type="http://schemas.openxmlformats.org/officeDocument/2006/relationships/hyperlink" Target="https://www.amazon.ca/dp/B0F89TNJRF" TargetMode="External"/><Relationship Id="rId217" Type="http://schemas.openxmlformats.org/officeDocument/2006/relationships/hyperlink" Target="https://www.amazon.ca/dp/B073WD5KPX" TargetMode="External"/><Relationship Id="rId218" Type="http://schemas.openxmlformats.org/officeDocument/2006/relationships/hyperlink" Target="https://www.amazon.ca/dp/B07QK9CTXR" TargetMode="External"/><Relationship Id="rId219" Type="http://schemas.openxmlformats.org/officeDocument/2006/relationships/hyperlink" Target="https://www.amazon.ca/dp/B0GC6TXHTZ" TargetMode="External"/><Relationship Id="rId220" Type="http://schemas.openxmlformats.org/officeDocument/2006/relationships/hyperlink" Target="https://www.amazon.ca/dp/B0HKHCM7FZ" TargetMode="External"/><Relationship Id="rId221" Type="http://schemas.openxmlformats.org/officeDocument/2006/relationships/hyperlink" Target="https://www.amazon.ca/dp/B0C2YN3XT9" TargetMode="External"/><Relationship Id="rId222" Type="http://schemas.openxmlformats.org/officeDocument/2006/relationships/hyperlink" Target="https://www.amazon.ca/dp/B0CH8CYXG6" TargetMode="External"/><Relationship Id="rId223" Type="http://schemas.openxmlformats.org/officeDocument/2006/relationships/hyperlink" Target="https://www.amazon.ca/dp/B07XF1K1R3" TargetMode="External"/><Relationship Id="rId224" Type="http://schemas.openxmlformats.org/officeDocument/2006/relationships/hyperlink" Target="https://www.amazon.ca/dp/B0B1G5T512" TargetMode="External"/><Relationship Id="rId225" Type="http://schemas.openxmlformats.org/officeDocument/2006/relationships/hyperlink" Target="https://www.amazon.ca/dp/B0C519F95K" TargetMode="External"/><Relationship Id="rId226" Type="http://schemas.openxmlformats.org/officeDocument/2006/relationships/hyperlink" Target="https://www.amazon.ca/dp/B0DQWB4TWV" TargetMode="External"/><Relationship Id="rId227" Type="http://schemas.openxmlformats.org/officeDocument/2006/relationships/hyperlink" Target="https://www.amazon.ca/dp/B06WLH7VN2" TargetMode="External"/><Relationship Id="rId228" Type="http://schemas.openxmlformats.org/officeDocument/2006/relationships/hyperlink" Target="https://www.amazon.ca/dp/B095PT2XQW" TargetMode="External"/><Relationship Id="rId229" Type="http://schemas.openxmlformats.org/officeDocument/2006/relationships/hyperlink" Target="https://www.amazon.ca/dp/B0C7C64YPG" TargetMode="External"/><Relationship Id="rId230" Type="http://schemas.openxmlformats.org/officeDocument/2006/relationships/hyperlink" Target="https://www.amazon.ca/dp/B0C5W7JTZX" TargetMode="External"/><Relationship Id="rId231" Type="http://schemas.openxmlformats.org/officeDocument/2006/relationships/hyperlink" Target="https://www.amazon.ca/dp/B01N6DL4GQ" TargetMode="External"/><Relationship Id="rId232" Type="http://schemas.openxmlformats.org/officeDocument/2006/relationships/hyperlink" Target="https://www.amazon.ca/dp/B096ZR58SY" TargetMode="External"/><Relationship Id="rId233" Type="http://schemas.openxmlformats.org/officeDocument/2006/relationships/hyperlink" Target="https://www.amazon.ca/dp/B0GR1QQBHG" TargetMode="External"/><Relationship Id="rId234" Type="http://schemas.openxmlformats.org/officeDocument/2006/relationships/hyperlink" Target="https://www.amazon.ca/dp/B0F23WWXNK" TargetMode="External"/><Relationship Id="rId235" Type="http://schemas.openxmlformats.org/officeDocument/2006/relationships/hyperlink" Target="https://www.amazon.ca/dp/B072R7M35K" TargetMode="External"/><Relationship Id="rId236" Type="http://schemas.openxmlformats.org/officeDocument/2006/relationships/hyperlink" Target="https://www.amazon.ca/dp/B0CRRXW7WP" TargetMode="External"/><Relationship Id="rId237" Type="http://schemas.openxmlformats.org/officeDocument/2006/relationships/hyperlink" Target="https://www.amazon.ca/dp/B0D8FR63YN" TargetMode="External"/><Relationship Id="rId238" Type="http://schemas.openxmlformats.org/officeDocument/2006/relationships/hyperlink" Target="https://www.amazon.ca/dp/B0GR233BW4" TargetMode="External"/><Relationship Id="rId239" Type="http://schemas.openxmlformats.org/officeDocument/2006/relationships/hyperlink" Target="https://www.amazon.ca/dp/B0DSP8CS1X" TargetMode="External"/><Relationship Id="rId240" Type="http://schemas.openxmlformats.org/officeDocument/2006/relationships/hyperlink" Target="https://www.amazon.ca/dp/B06XNXBG9X" TargetMode="External"/><Relationship Id="rId241" Type="http://schemas.openxmlformats.org/officeDocument/2006/relationships/hyperlink" Target="https://www.amazon.ca/dp/B0D2H2W9MY" TargetMode="External"/><Relationship Id="rId242" Type="http://schemas.openxmlformats.org/officeDocument/2006/relationships/hyperlink" Target="https://www.amazon.ca/dp/B0D2H1GNY9" TargetMode="External"/><Relationship Id="rId243" Type="http://schemas.openxmlformats.org/officeDocument/2006/relationships/hyperlink" Target="https://www.amazon.ca/dp/B0CNNPY1H8" TargetMode="External"/><Relationship Id="rId244" Type="http://schemas.openxmlformats.org/officeDocument/2006/relationships/hyperlink" Target="https://www.amazon.ca/dp/B0FMK5SFPB" TargetMode="External"/><Relationship Id="rId245" Type="http://schemas.openxmlformats.org/officeDocument/2006/relationships/hyperlink" Target="https://www.amazon.ca/dp/B0GFLZM3S5" TargetMode="External"/><Relationship Id="rId246" Type="http://schemas.openxmlformats.org/officeDocument/2006/relationships/hyperlink" Target="https://www.amazon.ca/dp/B0DYDJB9V7" TargetMode="External"/><Relationship Id="rId247" Type="http://schemas.openxmlformats.org/officeDocument/2006/relationships/hyperlink" Target="https://www.amazon.ca/dp/B0GGHW23N4" TargetMode="External"/><Relationship Id="rId248" Type="http://schemas.openxmlformats.org/officeDocument/2006/relationships/hyperlink" Target="https://www.amazon.ca/dp/B0DV856S56" TargetMode="External"/><Relationship Id="rId249" Type="http://schemas.openxmlformats.org/officeDocument/2006/relationships/hyperlink" Target="https://www.amazon.ca/dp/B07BRT9PR7" TargetMode="External"/><Relationship Id="rId250" Type="http://schemas.openxmlformats.org/officeDocument/2006/relationships/hyperlink" Target="https://www.amazon.ca/dp/B0BXP98KDB" TargetMode="External"/><Relationship Id="rId251" Type="http://schemas.openxmlformats.org/officeDocument/2006/relationships/hyperlink" Target="https://www.amazon.ca/dp/B0CKJ8XXTJ" TargetMode="External"/><Relationship Id="rId252" Type="http://schemas.openxmlformats.org/officeDocument/2006/relationships/hyperlink" Target="https://www.amazon.ca/dp/B07YKCZHGK" TargetMode="External"/><Relationship Id="rId253" Type="http://schemas.openxmlformats.org/officeDocument/2006/relationships/hyperlink" Target="https://www.amazon.ca/dp/B0CMDB2DVP" TargetMode="External"/><Relationship Id="rId254" Type="http://schemas.openxmlformats.org/officeDocument/2006/relationships/hyperlink" Target="https://www.amazon.ca/dp/B0GVGNDV4P" TargetMode="External"/><Relationship Id="rId255" Type="http://schemas.openxmlformats.org/officeDocument/2006/relationships/hyperlink" Target="https://www.amazon.ca/dp/B0BPT3FN4Q" TargetMode="External"/><Relationship Id="rId256" Type="http://schemas.openxmlformats.org/officeDocument/2006/relationships/hyperlink" Target="https://www.amazon.ca/dp/B0GGHNNKK9" TargetMode="External"/><Relationship Id="rId257" Type="http://schemas.openxmlformats.org/officeDocument/2006/relationships/hyperlink" Target="https://www.amazon.ca/dp/B07XBJY2JR" TargetMode="External"/><Relationship Id="rId258" Type="http://schemas.openxmlformats.org/officeDocument/2006/relationships/hyperlink" Target="https://www.amazon.ca/dp/B0CK549PNJ" TargetMode="External"/><Relationship Id="rId259" Type="http://schemas.openxmlformats.org/officeDocument/2006/relationships/hyperlink" Target="https://www.amazon.ca/dp/B0BG2QGZW7" TargetMode="External"/><Relationship Id="rId260" Type="http://schemas.openxmlformats.org/officeDocument/2006/relationships/hyperlink" Target="https://www.amazon.ca/dp/B07RY59C3W" TargetMode="External"/><Relationship Id="rId261" Type="http://schemas.openxmlformats.org/officeDocument/2006/relationships/hyperlink" Target="https://www.amazon.ca/dp/B0DK7227PM" TargetMode="External"/><Relationship Id="rId262" Type="http://schemas.openxmlformats.org/officeDocument/2006/relationships/hyperlink" Target="https://www.amazon.ca/dp/B0H9QD7RD5" TargetMode="External"/><Relationship Id="rId263" Type="http://schemas.openxmlformats.org/officeDocument/2006/relationships/hyperlink" Target="https://www.amazon.ca/dp/B09ZDY94N3" TargetMode="External"/><Relationship Id="rId264" Type="http://schemas.openxmlformats.org/officeDocument/2006/relationships/hyperlink" Target="https://www.amazon.ca/dp/B0CQ3178D7" TargetMode="External"/><Relationship Id="rId265" Type="http://schemas.openxmlformats.org/officeDocument/2006/relationships/hyperlink" Target="https://www.amazon.ca/dp/B0D7LCZ6H9" TargetMode="External"/><Relationship Id="rId266" Type="http://schemas.openxmlformats.org/officeDocument/2006/relationships/hyperlink" Target="https://www.amazon.ca/dp/B0H4WVXHCJ" TargetMode="External"/><Relationship Id="rId267" Type="http://schemas.openxmlformats.org/officeDocument/2006/relationships/hyperlink" Target="https://www.amazon.ca/dp/B0GX5SNMQ5" TargetMode="External"/><Relationship Id="rId268" Type="http://schemas.openxmlformats.org/officeDocument/2006/relationships/hyperlink" Target="https://www.amazon.ca/dp/B09JMBK9DL" TargetMode="External"/><Relationship Id="rId269" Type="http://schemas.openxmlformats.org/officeDocument/2006/relationships/hyperlink" Target="https://www.amazon.ca/dp/B0CXDTP6B2" TargetMode="External"/><Relationship Id="rId270" Type="http://schemas.openxmlformats.org/officeDocument/2006/relationships/hyperlink" Target="https://www.amazon.ca/dp/B09ZB9432N" TargetMode="External"/><Relationship Id="rId271" Type="http://schemas.openxmlformats.org/officeDocument/2006/relationships/hyperlink" Target="https://www.amazon.ca/dp/B0DM2JC349" TargetMode="External"/><Relationship Id="rId272" Type="http://schemas.openxmlformats.org/officeDocument/2006/relationships/hyperlink" Target="https://www.amazon.ca/dp/B0C52J1DXT" TargetMode="External"/><Relationship Id="rId273" Type="http://schemas.openxmlformats.org/officeDocument/2006/relationships/hyperlink" Target="https://www.amazon.ca/dp/B07BRVL2BS" TargetMode="External"/><Relationship Id="rId274" Type="http://schemas.openxmlformats.org/officeDocument/2006/relationships/hyperlink" Target="https://www.amazon.ca/dp/B0HHJ2TT6N" TargetMode="External"/><Relationship Id="rId275" Type="http://schemas.openxmlformats.org/officeDocument/2006/relationships/hyperlink" Target="https://www.amazon.ca/dp/B084ZLD3BT" TargetMode="External"/><Relationship Id="rId276" Type="http://schemas.openxmlformats.org/officeDocument/2006/relationships/hyperlink" Target="https://www.amazon.ca/dp/B0H1RDVPFT" TargetMode="External"/><Relationship Id="rId277" Type="http://schemas.openxmlformats.org/officeDocument/2006/relationships/hyperlink" Target="https://www.amazon.ca/dp/B0C7KLPRPR" TargetMode="External"/><Relationship Id="rId278" Type="http://schemas.openxmlformats.org/officeDocument/2006/relationships/hyperlink" Target="https://www.amazon.ca/dp/B07QCPCHYN" TargetMode="External"/><Relationship Id="rId279" Type="http://schemas.openxmlformats.org/officeDocument/2006/relationships/hyperlink" Target="https://www.amazon.ca/dp/B0F7PD7G9F" TargetMode="External"/><Relationship Id="rId280" Type="http://schemas.openxmlformats.org/officeDocument/2006/relationships/hyperlink" Target="https://www.amazon.ca/dp/B08LK8Q5PZ" TargetMode="External"/><Relationship Id="rId281" Type="http://schemas.openxmlformats.org/officeDocument/2006/relationships/hyperlink" Target="https://www.amazon.ca/dp/B0CFV6XPLD" TargetMode="External"/><Relationship Id="rId282" Type="http://schemas.openxmlformats.org/officeDocument/2006/relationships/hyperlink" Target="https://www.amazon.ca/dp/B0FT7NXWTL" TargetMode="External"/><Relationship Id="rId283" Type="http://schemas.openxmlformats.org/officeDocument/2006/relationships/hyperlink" Target="https://www.amazon.ca/dp/B011PSQLBM" TargetMode="External"/><Relationship Id="rId284" Type="http://schemas.openxmlformats.org/officeDocument/2006/relationships/hyperlink" Target="https://www.amazon.ca/dp/B0D29QBCYX" TargetMode="External"/><Relationship Id="rId285" Type="http://schemas.openxmlformats.org/officeDocument/2006/relationships/hyperlink" Target="https://www.amazon.ca/dp/B0DLKYHPV5" TargetMode="External"/><Relationship Id="rId286" Type="http://schemas.openxmlformats.org/officeDocument/2006/relationships/hyperlink" Target="https://www.amazon.ca/dp/B0F245WBCL" TargetMode="External"/><Relationship Id="rId287" Type="http://schemas.openxmlformats.org/officeDocument/2006/relationships/hyperlink" Target="https://www.amazon.ca/dp/B0HCV3JB5J" TargetMode="External"/><Relationship Id="rId288" Type="http://schemas.openxmlformats.org/officeDocument/2006/relationships/hyperlink" Target="https://www.amazon.ca/dp/B0FQWTCGYM" TargetMode="External"/><Relationship Id="rId289" Type="http://schemas.openxmlformats.org/officeDocument/2006/relationships/hyperlink" Target="https://www.amazon.ca/dp/B0C494LJGS" TargetMode="External"/><Relationship Id="rId290" Type="http://schemas.openxmlformats.org/officeDocument/2006/relationships/hyperlink" Target="https://www.amazon.ca/dp/B01MUDQUN9" TargetMode="External"/><Relationship Id="rId291" Type="http://schemas.openxmlformats.org/officeDocument/2006/relationships/hyperlink" Target="https://www.amazon.ca/dp/B0C4929WC7" TargetMode="External"/><Relationship Id="rId292" Type="http://schemas.openxmlformats.org/officeDocument/2006/relationships/hyperlink" Target="https://www.amazon.ca/dp/B0758C9NPB" TargetMode="External"/><Relationship Id="rId293" Type="http://schemas.openxmlformats.org/officeDocument/2006/relationships/hyperlink" Target="https://www.amazon.ca/dp/B0D835VC38" TargetMode="External"/><Relationship Id="rId294" Type="http://schemas.openxmlformats.org/officeDocument/2006/relationships/hyperlink" Target="https://www.amazon.ca/dp/B09D38SZNH" TargetMode="External"/><Relationship Id="rId295" Type="http://schemas.openxmlformats.org/officeDocument/2006/relationships/hyperlink" Target="https://www.amazon.ca/dp/B01J4K8BXY" TargetMode="External"/><Relationship Id="rId296" Type="http://schemas.openxmlformats.org/officeDocument/2006/relationships/hyperlink" Target="https://www.amazon.ca/dp/B01N6U0UR1" TargetMode="External"/><Relationship Id="rId297" Type="http://schemas.openxmlformats.org/officeDocument/2006/relationships/hyperlink" Target="https://www.amazon.ca/dp/B09PN38Z7L" TargetMode="External"/><Relationship Id="rId298" Type="http://schemas.openxmlformats.org/officeDocument/2006/relationships/hyperlink" Target="https://www.amazon.ca/dp/B07RZRH662" TargetMode="External"/><Relationship Id="rId299" Type="http://schemas.openxmlformats.org/officeDocument/2006/relationships/hyperlink" Target="https://www.amazon.ca/dp/B0C32RQRTD" TargetMode="External"/><Relationship Id="rId300" Type="http://schemas.openxmlformats.org/officeDocument/2006/relationships/hyperlink" Target="https://www.amazon.ca/dp/B0FFMQN248" TargetMode="External"/><Relationship Id="rId301" Type="http://schemas.openxmlformats.org/officeDocument/2006/relationships/hyperlink" Target="https://www.amazon.ca/dp/B0F4YXSD8M" TargetMode="External"/><Relationship Id="rId302" Type="http://schemas.openxmlformats.org/officeDocument/2006/relationships/hyperlink" Target="https://www.amazon.ca/dp/B0BQYY9J68" TargetMode="External"/><Relationship Id="rId303" Type="http://schemas.openxmlformats.org/officeDocument/2006/relationships/hyperlink" Target="https://www.amazon.ca/dp/B01MR93AXL" TargetMode="External"/><Relationship Id="rId304" Type="http://schemas.openxmlformats.org/officeDocument/2006/relationships/hyperlink" Target="https://www.amazon.ca/dp/B0CYX3D2JH" TargetMode="External"/><Relationship Id="rId305" Type="http://schemas.openxmlformats.org/officeDocument/2006/relationships/hyperlink" Target="https://www.amazon.ca/dp/B0BQZ1JRS3" TargetMode="External"/><Relationship Id="rId306" Type="http://schemas.openxmlformats.org/officeDocument/2006/relationships/hyperlink" Target="https://www.amazon.ca/dp/B09TWX6JXG" TargetMode="External"/><Relationship Id="rId307" Type="http://schemas.openxmlformats.org/officeDocument/2006/relationships/hyperlink" Target="https://www.amazon.ca/dp/B082H9MFCY" TargetMode="External"/><Relationship Id="rId308" Type="http://schemas.openxmlformats.org/officeDocument/2006/relationships/hyperlink" Target="https://www.amazon.ca/dp/B0F5BL75VS" TargetMode="External"/><Relationship Id="rId309" Type="http://schemas.openxmlformats.org/officeDocument/2006/relationships/hyperlink" Target="https://www.amazon.ca/dp/B0FHW7WKK3" TargetMode="External"/><Relationship Id="rId310" Type="http://schemas.openxmlformats.org/officeDocument/2006/relationships/hyperlink" Target="https://www.amazon.ca/dp/B09SG6GHD7" TargetMode="External"/><Relationship Id="rId311" Type="http://schemas.openxmlformats.org/officeDocument/2006/relationships/hyperlink" Target="https://www.amazon.ca/dp/B0F32VM9CX" TargetMode="External"/><Relationship Id="rId312" Type="http://schemas.openxmlformats.org/officeDocument/2006/relationships/hyperlink" Target="https://www.amazon.ca/dp/B0C32JFCJ9" TargetMode="External"/><Relationship Id="rId313" Type="http://schemas.openxmlformats.org/officeDocument/2006/relationships/hyperlink" Target="https://www.amazon.ca/dp/B07RT3S2PD" TargetMode="External"/><Relationship Id="rId314" Type="http://schemas.openxmlformats.org/officeDocument/2006/relationships/hyperlink" Target="https://www.amazon.ca/dp/B085Q23CVW" TargetMode="External"/><Relationship Id="rId315" Type="http://schemas.openxmlformats.org/officeDocument/2006/relationships/hyperlink" Target="https://www.amazon.ca/dp/B09T3CZXWJ" TargetMode="External"/><Relationship Id="rId316" Type="http://schemas.openxmlformats.org/officeDocument/2006/relationships/hyperlink" Target="https://www.amazon.ca/dp/B0GN9MQTBS" TargetMode="External"/><Relationship Id="rId317" Type="http://schemas.openxmlformats.org/officeDocument/2006/relationships/hyperlink" Target="https://www.amazon.ca/dp/B0982CNXJN" TargetMode="External"/><Relationship Id="rId318" Type="http://schemas.openxmlformats.org/officeDocument/2006/relationships/hyperlink" Target="https://www.amazon.ca/dp/B07Q6RBKRN" TargetMode="External"/><Relationship Id="rId319" Type="http://schemas.openxmlformats.org/officeDocument/2006/relationships/hyperlink" Target="https://www.amazon.ca/dp/B07KG3D5XH" TargetMode="External"/><Relationship Id="rId320" Type="http://schemas.openxmlformats.org/officeDocument/2006/relationships/hyperlink" Target="https://www.amazon.ca/dp/B01LYAZ8PP" TargetMode="External"/><Relationship Id="rId321" Type="http://schemas.openxmlformats.org/officeDocument/2006/relationships/hyperlink" Target="https://www.amazon.ca/dp/B0CT9WGJJ8" TargetMode="External"/><Relationship Id="rId322" Type="http://schemas.openxmlformats.org/officeDocument/2006/relationships/hyperlink" Target="https://www.amazon.ca/dp/B07T8D2HY2" TargetMode="External"/><Relationship Id="rId323" Type="http://schemas.openxmlformats.org/officeDocument/2006/relationships/hyperlink" Target="https://www.amazon.ca/dp/B0D8J3741S" TargetMode="External"/><Relationship Id="rId324" Type="http://schemas.openxmlformats.org/officeDocument/2006/relationships/hyperlink" Target="https://www.amazon.ca/dp/B0H1WZ2Y5F" TargetMode="External"/><Relationship Id="rId325" Type="http://schemas.openxmlformats.org/officeDocument/2006/relationships/hyperlink" Target="https://www.amazon.ca/dp/B0D1VMHS4R" TargetMode="External"/><Relationship Id="rId326" Type="http://schemas.openxmlformats.org/officeDocument/2006/relationships/hyperlink" Target="https://www.amazon.ca/dp/B0B1P3KGL4" TargetMode="External"/><Relationship Id="rId327" Type="http://schemas.openxmlformats.org/officeDocument/2006/relationships/hyperlink" Target="https://www.amazon.ca/dp/B0DXF24F2Y" TargetMode="External"/><Relationship Id="rId328" Type="http://schemas.openxmlformats.org/officeDocument/2006/relationships/hyperlink" Target="https://www.amazon.ca/dp/B06XWKJNJ1" TargetMode="External"/><Relationship Id="rId329" Type="http://schemas.openxmlformats.org/officeDocument/2006/relationships/hyperlink" Target="https://www.amazon.ca/dp/B0DRYL3JN5" TargetMode="External"/><Relationship Id="rId330" Type="http://schemas.openxmlformats.org/officeDocument/2006/relationships/hyperlink" Target="https://www.amazon.ca/dp/B09ZHS2YHZ" TargetMode="External"/><Relationship Id="rId331" Type="http://schemas.openxmlformats.org/officeDocument/2006/relationships/hyperlink" Target="https://www.amazon.ca/dp/B095PVTK9N" TargetMode="External"/><Relationship Id="rId332" Type="http://schemas.openxmlformats.org/officeDocument/2006/relationships/hyperlink" Target="https://www.amazon.ca/dp/B09YJ4PJ26" TargetMode="External"/><Relationship Id="rId333" Type="http://schemas.openxmlformats.org/officeDocument/2006/relationships/hyperlink" Target="https://www.amazon.ca/dp/B09M9JGNV7" TargetMode="External"/><Relationship Id="rId334" Type="http://schemas.openxmlformats.org/officeDocument/2006/relationships/hyperlink" Target="https://www.amazon.ca/dp/B0DST2X8Q7" TargetMode="External"/><Relationship Id="rId335" Type="http://schemas.openxmlformats.org/officeDocument/2006/relationships/hyperlink" Target="https://www.amazon.ca/dp/B0CPPNZKMG" TargetMode="External"/><Relationship Id="rId336" Type="http://schemas.openxmlformats.org/officeDocument/2006/relationships/hyperlink" Target="https://www.amazon.ca/dp/B0BWMRJSJ7" TargetMode="External"/><Relationship Id="rId337" Type="http://schemas.openxmlformats.org/officeDocument/2006/relationships/hyperlink" Target="https://www.amazon.ca/dp/B01E02DU0U" TargetMode="External"/><Relationship Id="rId338" Type="http://schemas.openxmlformats.org/officeDocument/2006/relationships/hyperlink" Target="https://www.amazon.ca/dp/B01E02DU0K" TargetMode="External"/><Relationship Id="rId339" Type="http://schemas.openxmlformats.org/officeDocument/2006/relationships/hyperlink" Target="https://www.amazon.ca/dp/B0B6P372B8" TargetMode="External"/><Relationship Id="rId340" Type="http://schemas.openxmlformats.org/officeDocument/2006/relationships/hyperlink" Target="https://www.amazon.ca/dp/B00MRHA96O" TargetMode="External"/><Relationship Id="rId341" Type="http://schemas.openxmlformats.org/officeDocument/2006/relationships/hyperlink" Target="https://www.amazon.ca/dp/B0CM315FQN" TargetMode="External"/><Relationship Id="rId342" Type="http://schemas.openxmlformats.org/officeDocument/2006/relationships/hyperlink" Target="https://www.amazon.ca/dp/B0DQKXZHPG" TargetMode="External"/><Relationship Id="rId343" Type="http://schemas.openxmlformats.org/officeDocument/2006/relationships/hyperlink" Target="https://www.amazon.ca/dp/B0C1NNYJGB" TargetMode="External"/><Relationship Id="rId344" Type="http://schemas.openxmlformats.org/officeDocument/2006/relationships/hyperlink" Target="https://www.amazon.ca/dp/B07HC2WHS1" TargetMode="External"/><Relationship Id="rId345" Type="http://schemas.openxmlformats.org/officeDocument/2006/relationships/hyperlink" Target="https://www.amazon.ca/dp/B08BC6G157" TargetMode="External"/><Relationship Id="rId346" Type="http://schemas.openxmlformats.org/officeDocument/2006/relationships/hyperlink" Target="https://www.amazon.ca/dp/B01E02DU6E" TargetMode="External"/><Relationship Id="rId347" Type="http://schemas.openxmlformats.org/officeDocument/2006/relationships/hyperlink" Target="https://www.amazon.ca/dp/B0CM2Y2B5L" TargetMode="External"/><Relationship Id="rId348" Type="http://schemas.openxmlformats.org/officeDocument/2006/relationships/hyperlink" Target="https://www.amazon.ca/dp/B00NESCOY0" TargetMode="External"/><Relationship Id="rId349" Type="http://schemas.openxmlformats.org/officeDocument/2006/relationships/hyperlink" Target="https://www.amazon.ca/dp/B07PK8KS6Z" TargetMode="External"/><Relationship Id="rId350" Type="http://schemas.openxmlformats.org/officeDocument/2006/relationships/hyperlink" Target="https://www.amazon.ca/dp/B0C9MK32CZ" TargetMode="External"/><Relationship Id="rId351" Type="http://schemas.openxmlformats.org/officeDocument/2006/relationships/hyperlink" Target="https://www.amazon.ca/dp/B0CFL5JBG1" TargetMode="External"/><Relationship Id="rId352" Type="http://schemas.openxmlformats.org/officeDocument/2006/relationships/hyperlink" Target="https://www.amazon.ca/dp/B08CD9DLMQ" TargetMode="External"/><Relationship Id="rId353" Type="http://schemas.openxmlformats.org/officeDocument/2006/relationships/hyperlink" Target="https://www.amazon.ca/dp/B0BYYYCXB6" TargetMode="External"/><Relationship Id="rId354" Type="http://schemas.openxmlformats.org/officeDocument/2006/relationships/hyperlink" Target="https://www.amazon.ca/dp/B08ZKQ4NVB" TargetMode="External"/><Relationship Id="rId355" Type="http://schemas.openxmlformats.org/officeDocument/2006/relationships/hyperlink" Target="https://www.amazon.ca/dp/B0BLS9G8S4" TargetMode="External"/><Relationship Id="rId356" Type="http://schemas.openxmlformats.org/officeDocument/2006/relationships/hyperlink" Target="https://www.amazon.ca/dp/B08GKQX9HR" TargetMode="External"/><Relationship Id="rId357" Type="http://schemas.openxmlformats.org/officeDocument/2006/relationships/hyperlink" Target="https://www.amazon.ca/dp/B07TWMLSVM" TargetMode="External"/><Relationship Id="rId358" Type="http://schemas.openxmlformats.org/officeDocument/2006/relationships/hyperlink" Target="https://www.amazon.ca/dp/B0CJ4TW2BC" TargetMode="External"/><Relationship Id="rId359" Type="http://schemas.openxmlformats.org/officeDocument/2006/relationships/hyperlink" Target="https://www.amazon.ca/dp/B07W673P7C" TargetMode="External"/><Relationship Id="rId360" Type="http://schemas.openxmlformats.org/officeDocument/2006/relationships/hyperlink" Target="https://www.amazon.ca/dp/B0F5H3VR7Q" TargetMode="External"/><Relationship Id="rId361" Type="http://schemas.openxmlformats.org/officeDocument/2006/relationships/hyperlink" Target="https://www.amazon.ca/dp/B07Z4L9FV2" TargetMode="External"/><Relationship Id="rId362" Type="http://schemas.openxmlformats.org/officeDocument/2006/relationships/hyperlink" Target="https://www.amazon.ca/dp/B0CBQ5LSQY" TargetMode="External"/><Relationship Id="rId363" Type="http://schemas.openxmlformats.org/officeDocument/2006/relationships/hyperlink" Target="https://www.amazon.ca/dp/B0CYBRVCMQ" TargetMode="External"/><Relationship Id="rId364" Type="http://schemas.openxmlformats.org/officeDocument/2006/relationships/hyperlink" Target="https://www.amazon.ca/dp/B00B1ZRLLY" TargetMode="External"/><Relationship Id="rId365" Type="http://schemas.openxmlformats.org/officeDocument/2006/relationships/hyperlink" Target="https://www.amazon.ca/dp/B0D1C8V3P7" TargetMode="External"/><Relationship Id="rId366" Type="http://schemas.openxmlformats.org/officeDocument/2006/relationships/hyperlink" Target="https://www.amazon.ca/dp/B088FL6LZY" TargetMode="External"/><Relationship Id="rId367" Type="http://schemas.openxmlformats.org/officeDocument/2006/relationships/hyperlink" Target="https://www.amazon.ca/dp/B0C1NM42PN" TargetMode="External"/><Relationship Id="rId368" Type="http://schemas.openxmlformats.org/officeDocument/2006/relationships/hyperlink" Target="https://www.amazon.ca/dp/B0GQT8DSLT" TargetMode="External"/><Relationship Id="rId369" Type="http://schemas.openxmlformats.org/officeDocument/2006/relationships/hyperlink" Target="https://www.amazon.ca/dp/B0GVL4387L" TargetMode="External"/><Relationship Id="rId370" Type="http://schemas.openxmlformats.org/officeDocument/2006/relationships/hyperlink" Target="https://www.amazon.ca/dp/B01KBKHORA" TargetMode="External"/><Relationship Id="rId371" Type="http://schemas.openxmlformats.org/officeDocument/2006/relationships/hyperlink" Target="https://www.amazon.ca/dp/B071VHCJ3B" TargetMode="External"/><Relationship Id="rId372" Type="http://schemas.openxmlformats.org/officeDocument/2006/relationships/hyperlink" Target="https://www.amazon.ca/dp/B0FTBPWVG7" TargetMode="External"/><Relationship Id="rId373" Type="http://schemas.openxmlformats.org/officeDocument/2006/relationships/hyperlink" Target="https://www.amazon.ca/dp/B0H6YJJ296" TargetMode="External"/><Relationship Id="rId374" Type="http://schemas.openxmlformats.org/officeDocument/2006/relationships/hyperlink" Target="https://www.amazon.ca/dp/B0FKGV4N5K" TargetMode="External"/><Relationship Id="rId375" Type="http://schemas.openxmlformats.org/officeDocument/2006/relationships/hyperlink" Target="https://www.amazon.ca/dp/B08CV9MXF6" TargetMode="External"/><Relationship Id="rId376" Type="http://schemas.openxmlformats.org/officeDocument/2006/relationships/hyperlink" Target="https://www.amazon.ca/dp/B000VPMZWU" TargetMode="External"/><Relationship Id="rId377" Type="http://schemas.openxmlformats.org/officeDocument/2006/relationships/hyperlink" Target="https://www.amazon.ca/dp/B07Q58R9CB" TargetMode="External"/><Relationship Id="rId378" Type="http://schemas.openxmlformats.org/officeDocument/2006/relationships/hyperlink" Target="https://www.amazon.ca/dp/B08SY6N9TL" TargetMode="External"/><Relationship Id="rId379" Type="http://schemas.openxmlformats.org/officeDocument/2006/relationships/hyperlink" Target="https://www.amazon.ca/dp/B091DGZ8VV" TargetMode="External"/><Relationship Id="rId380" Type="http://schemas.openxmlformats.org/officeDocument/2006/relationships/hyperlink" Target="https://www.amazon.ca/dp/B0C3VM5SJY" TargetMode="External"/><Relationship Id="rId381" Type="http://schemas.openxmlformats.org/officeDocument/2006/relationships/hyperlink" Target="https://www.amazon.ca/dp/B003E3Z45Q" TargetMode="External"/><Relationship Id="rId382" Type="http://schemas.openxmlformats.org/officeDocument/2006/relationships/hyperlink" Target="https://www.amazon.ca/dp/B0FS3J3QGP" TargetMode="External"/><Relationship Id="rId383" Type="http://schemas.openxmlformats.org/officeDocument/2006/relationships/hyperlink" Target="https://www.amazon.ca/dp/B07FP17TV3" TargetMode="External"/><Relationship Id="rId384" Type="http://schemas.openxmlformats.org/officeDocument/2006/relationships/hyperlink" Target="https://www.amazon.ca/dp/B01JIV5YES" TargetMode="External"/><Relationship Id="rId385" Type="http://schemas.openxmlformats.org/officeDocument/2006/relationships/hyperlink" Target="https://www.amazon.ca/dp/B0DWFLGY8G" TargetMode="External"/><Relationship Id="rId386" Type="http://schemas.openxmlformats.org/officeDocument/2006/relationships/hyperlink" Target="https://www.amazon.ca/dp/B0D1R7D8LV" TargetMode="External"/><Relationship Id="rId387" Type="http://schemas.openxmlformats.org/officeDocument/2006/relationships/hyperlink" Target="https://www.amazon.ca/dp/B0FWBBXNP7" TargetMode="External"/><Relationship Id="rId388" Type="http://schemas.openxmlformats.org/officeDocument/2006/relationships/hyperlink" Target="https://www.amazon.ca/dp/B0H5VDQY62" TargetMode="External"/><Relationship Id="rId389" Type="http://schemas.openxmlformats.org/officeDocument/2006/relationships/hyperlink" Target="https://www.amazon.ca/dp/B0G649LDNP" TargetMode="External"/><Relationship Id="rId390" Type="http://schemas.openxmlformats.org/officeDocument/2006/relationships/hyperlink" Target="https://www.amazon.ca/dp/B0GQ94WKJ2" TargetMode="External"/><Relationship Id="rId391" Type="http://schemas.openxmlformats.org/officeDocument/2006/relationships/hyperlink" Target="https://www.amazon.ca/dp/B0CK213DV2" TargetMode="External"/><Relationship Id="rId392" Type="http://schemas.openxmlformats.org/officeDocument/2006/relationships/hyperlink" Target="https://www.amazon.ca/dp/B0GX6LYTBF" TargetMode="External"/><Relationship Id="rId393" Type="http://schemas.openxmlformats.org/officeDocument/2006/relationships/hyperlink" Target="https://www.amazon.ca/dp/B0GX69G5FT" TargetMode="External"/><Relationship Id="rId394" Type="http://schemas.openxmlformats.org/officeDocument/2006/relationships/hyperlink" Target="https://www.amazon.ca/dp/B0B6H37JLL" TargetMode="External"/><Relationship Id="rId395" Type="http://schemas.openxmlformats.org/officeDocument/2006/relationships/hyperlink" Target="https://www.amazon.ca/dp/B0GX69KNXS" TargetMode="External"/><Relationship Id="rId396" Type="http://schemas.openxmlformats.org/officeDocument/2006/relationships/hyperlink" Target="https://www.amazon.ca/dp/B0FNM6J1FQ" TargetMode="External"/><Relationship Id="rId397" Type="http://schemas.openxmlformats.org/officeDocument/2006/relationships/hyperlink" Target="https://www.amazon.ca/dp/B0CNXJBDSG" TargetMode="External"/><Relationship Id="rId398" Type="http://schemas.openxmlformats.org/officeDocument/2006/relationships/hyperlink" Target="https://www.amazon.ca/dp/B0C745FJ8G" TargetMode="External"/><Relationship Id="rId399" Type="http://schemas.openxmlformats.org/officeDocument/2006/relationships/hyperlink" Target="https://www.amazon.ca/dp/B0DH1WW4BD" TargetMode="External"/><Relationship Id="rId400" Type="http://schemas.openxmlformats.org/officeDocument/2006/relationships/hyperlink" Target="https://www.amazon.ca/dp/B0CQNRT9L5" TargetMode="External"/><Relationship Id="rId401" Type="http://schemas.openxmlformats.org/officeDocument/2006/relationships/hyperlink" Target="https://www.amazon.ca/dp/B0BKZXXWXX" TargetMode="External"/><Relationship Id="rId402" Type="http://schemas.openxmlformats.org/officeDocument/2006/relationships/hyperlink" Target="https://www.amazon.ca/dp/B003G2ZVSA" TargetMode="External"/><Relationship Id="rId403" Type="http://schemas.openxmlformats.org/officeDocument/2006/relationships/hyperlink" Target="https://www.amazon.ca/dp/B09MRZTB3Z" TargetMode="External"/><Relationship Id="rId404" Type="http://schemas.openxmlformats.org/officeDocument/2006/relationships/hyperlink" Target="https://www.amazon.ca/dp/B0F3WS5NSS" TargetMode="External"/><Relationship Id="rId405" Type="http://schemas.openxmlformats.org/officeDocument/2006/relationships/hyperlink" Target="https://www.amazon.ca/dp/B0DRVCQLCP" TargetMode="External"/><Relationship Id="rId406" Type="http://schemas.openxmlformats.org/officeDocument/2006/relationships/hyperlink" Target="https://www.amazon.ca/dp/B0CM6DC5YL" TargetMode="External"/><Relationship Id="rId407" Type="http://schemas.openxmlformats.org/officeDocument/2006/relationships/hyperlink" Target="https://www.amazon.ca/dp/B0D6JB3WZ4" TargetMode="External"/><Relationship Id="rId408" Type="http://schemas.openxmlformats.org/officeDocument/2006/relationships/hyperlink" Target="https://www.amazon.ca/dp/B0GCJRZYKH" TargetMode="External"/><Relationship Id="rId409" Type="http://schemas.openxmlformats.org/officeDocument/2006/relationships/hyperlink" Target="https://www.amazon.ca/dp/B0FSRG3C6N" TargetMode="External"/><Relationship Id="rId410" Type="http://schemas.openxmlformats.org/officeDocument/2006/relationships/hyperlink" Target="https://www.amazon.ca/dp/B0DNNX7M7R" TargetMode="External"/><Relationship Id="rId411" Type="http://schemas.openxmlformats.org/officeDocument/2006/relationships/hyperlink" Target="https://www.amazon.ca/dp/B0GQ991LS1" TargetMode="External"/><Relationship Id="rId412" Type="http://schemas.openxmlformats.org/officeDocument/2006/relationships/hyperlink" Target="https://www.amazon.ca/dp/B06XHHWQ7W" TargetMode="External"/><Relationship Id="rId413" Type="http://schemas.openxmlformats.org/officeDocument/2006/relationships/hyperlink" Target="https://www.amazon.ca/dp/B01JPECQBM" TargetMode="External"/><Relationship Id="rId414" Type="http://schemas.openxmlformats.org/officeDocument/2006/relationships/hyperlink" Target="https://www.amazon.ca/dp/B08NY22Y6P" TargetMode="External"/><Relationship Id="rId415" Type="http://schemas.openxmlformats.org/officeDocument/2006/relationships/hyperlink" Target="https://www.amazon.ca/dp/B09WVN5RYT" TargetMode="External"/><Relationship Id="rId416" Type="http://schemas.openxmlformats.org/officeDocument/2006/relationships/hyperlink" Target="https://www.amazon.ca/dp/B00DPER1OQ" TargetMode="External"/><Relationship Id="rId417" Type="http://schemas.openxmlformats.org/officeDocument/2006/relationships/hyperlink" Target="https://www.amazon.ca/dp/B003G2ZWDE" TargetMode="External"/><Relationship Id="rId418" Type="http://schemas.openxmlformats.org/officeDocument/2006/relationships/hyperlink" Target="https://www.amazon.ca/dp/B0DCGB7GG7" TargetMode="External"/><Relationship Id="rId419" Type="http://schemas.openxmlformats.org/officeDocument/2006/relationships/hyperlink" Target="https://www.amazon.ca/dp/B0GQSSNMTK" TargetMode="External"/><Relationship Id="rId420" Type="http://schemas.openxmlformats.org/officeDocument/2006/relationships/hyperlink" Target="https://www.amazon.ca/dp/B08LDD8HBW" TargetMode="External"/><Relationship Id="rId421" Type="http://schemas.openxmlformats.org/officeDocument/2006/relationships/hyperlink" Target="https://www.amazon.ca/dp/B0CQT8V1T5" TargetMode="External"/><Relationship Id="rId422" Type="http://schemas.openxmlformats.org/officeDocument/2006/relationships/hyperlink" Target="https://www.amazon.ca/dp/B0F8HC3CJD" TargetMode="External"/><Relationship Id="rId423" Type="http://schemas.openxmlformats.org/officeDocument/2006/relationships/hyperlink" Target="https://www.amazon.ca/dp/B092ST9Y42" TargetMode="External"/><Relationship Id="rId424" Type="http://schemas.openxmlformats.org/officeDocument/2006/relationships/hyperlink" Target="https://www.amazon.ca/dp/B0GYP43TJV" TargetMode="External"/><Relationship Id="rId425" Type="http://schemas.openxmlformats.org/officeDocument/2006/relationships/hyperlink" Target="https://www.amazon.ca/dp/B07W6K5ZST" TargetMode="External"/><Relationship Id="rId426" Type="http://schemas.openxmlformats.org/officeDocument/2006/relationships/hyperlink" Target="https://www.amazon.ca/dp/B0DK93ZPJH" TargetMode="External"/><Relationship Id="rId427" Type="http://schemas.openxmlformats.org/officeDocument/2006/relationships/hyperlink" Target="https://www.amazon.ca/dp/B0D6RJFDT3" TargetMode="External"/><Relationship Id="rId428" Type="http://schemas.openxmlformats.org/officeDocument/2006/relationships/hyperlink" Target="https://www.amazon.ca/dp/B0D7CFD3W1" TargetMode="External"/><Relationship Id="rId429" Type="http://schemas.openxmlformats.org/officeDocument/2006/relationships/hyperlink" Target="https://www.amazon.ca/dp/B00DPER1KU" TargetMode="External"/><Relationship Id="rId430" Type="http://schemas.openxmlformats.org/officeDocument/2006/relationships/hyperlink" Target="https://www.amazon.ca/dp/B07L8Y1RNX" TargetMode="External"/><Relationship Id="rId431" Type="http://schemas.openxmlformats.org/officeDocument/2006/relationships/hyperlink" Target="https://www.amazon.ca/dp/B01H1S73HG" TargetMode="External"/><Relationship Id="rId432" Type="http://schemas.openxmlformats.org/officeDocument/2006/relationships/hyperlink" Target="https://www.amazon.ca/dp/B0CCJJNRR6" TargetMode="External"/><Relationship Id="rId433" Type="http://schemas.openxmlformats.org/officeDocument/2006/relationships/hyperlink" Target="https://www.amazon.ca/dp/B0DST3PF14" TargetMode="External"/><Relationship Id="rId434" Type="http://schemas.openxmlformats.org/officeDocument/2006/relationships/hyperlink" Target="https://www.amazon.ca/dp/B09G61NRLY" TargetMode="External"/><Relationship Id="rId435" Type="http://schemas.openxmlformats.org/officeDocument/2006/relationships/hyperlink" Target="https://www.amazon.ca/dp/B0D7PQFTX3" TargetMode="External"/><Relationship Id="rId436" Type="http://schemas.openxmlformats.org/officeDocument/2006/relationships/hyperlink" Target="https://www.amazon.ca/dp/B09QYGBBDV" TargetMode="External"/><Relationship Id="rId437" Type="http://schemas.openxmlformats.org/officeDocument/2006/relationships/hyperlink" Target="https://www.amazon.ca/dp/B06XRH9K2S" TargetMode="External"/><Relationship Id="rId438" Type="http://schemas.openxmlformats.org/officeDocument/2006/relationships/hyperlink" Target="https://www.amazon.ca/dp/B0DSN6Y9NX" TargetMode="External"/><Relationship Id="rId439" Type="http://schemas.openxmlformats.org/officeDocument/2006/relationships/hyperlink" Target="https://www.amazon.ca/dp/B07RY59C3W" TargetMode="External"/><Relationship Id="rId440" Type="http://schemas.openxmlformats.org/officeDocument/2006/relationships/hyperlink" Target="https://www.amazon.ca/dp/B01M16WBW1" TargetMode="External"/><Relationship Id="rId441" Type="http://schemas.openxmlformats.org/officeDocument/2006/relationships/hyperlink" Target="https://www.amazon.ca/dp/B07QGW1CWL" TargetMode="External"/><Relationship Id="rId442" Type="http://schemas.openxmlformats.org/officeDocument/2006/relationships/hyperlink" Target="https://www.amazon.ca/dp/B0GTLTZQ1C" TargetMode="External"/><Relationship Id="rId443" Type="http://schemas.openxmlformats.org/officeDocument/2006/relationships/hyperlink" Target="https://www.amazon.ca/dp/B09C41YS63" TargetMode="External"/><Relationship Id="rId444" Type="http://schemas.openxmlformats.org/officeDocument/2006/relationships/hyperlink" Target="https://www.amazon.ca/dp/B083X763MQ" TargetMode="External"/><Relationship Id="rId445" Type="http://schemas.openxmlformats.org/officeDocument/2006/relationships/hyperlink" Target="https://www.amazon.ca/dp/B0BZMZ2XGQ" TargetMode="External"/><Relationship Id="rId446" Type="http://schemas.openxmlformats.org/officeDocument/2006/relationships/hyperlink" Target="https://www.amazon.ca/dp/B0DSPBXYMG" TargetMode="External"/><Relationship Id="rId447" Type="http://schemas.openxmlformats.org/officeDocument/2006/relationships/hyperlink" Target="https://www.amazon.ca/dp/B09X1P1L9F" TargetMode="External"/><Relationship Id="rId448" Type="http://schemas.openxmlformats.org/officeDocument/2006/relationships/hyperlink" Target="https://www.amazon.ca/dp/B07Z8TGYYL" TargetMode="External"/><Relationship Id="rId449" Type="http://schemas.openxmlformats.org/officeDocument/2006/relationships/hyperlink" Target="https://www.amazon.ca/dp/B0DD7DF3SG" TargetMode="External"/><Relationship Id="rId450" Type="http://schemas.openxmlformats.org/officeDocument/2006/relationships/hyperlink" Target="https://www.amazon.ca/dp/B01BTBS8LG" TargetMode="External"/><Relationship Id="rId451" Type="http://schemas.openxmlformats.org/officeDocument/2006/relationships/hyperlink" Target="https://www.amazon.ca/dp/B07QCPCHYN" TargetMode="External"/><Relationship Id="rId452" Type="http://schemas.openxmlformats.org/officeDocument/2006/relationships/hyperlink" Target="https://www.amazon.ca/dp/B07RY5C88H" TargetMode="External"/><Relationship Id="rId453" Type="http://schemas.openxmlformats.org/officeDocument/2006/relationships/hyperlink" Target="https://www.amazon.ca/dp/B08KWMC6W5" TargetMode="External"/><Relationship Id="rId454" Type="http://schemas.openxmlformats.org/officeDocument/2006/relationships/hyperlink" Target="https://www.amazon.ca/dp/B07417DDJB" TargetMode="External"/><Relationship Id="rId455" Type="http://schemas.openxmlformats.org/officeDocument/2006/relationships/hyperlink" Target="https://www.amazon.ca/dp/B0CRL7WB6Y" TargetMode="External"/><Relationship Id="rId456" Type="http://schemas.openxmlformats.org/officeDocument/2006/relationships/hyperlink" Target="https://www.amazon.ca/dp/B08KWPH3M7" TargetMode="External"/><Relationship Id="rId457" Type="http://schemas.openxmlformats.org/officeDocument/2006/relationships/hyperlink" Target="https://www.amazon.ca/dp/B095PVTK9N" TargetMode="External"/><Relationship Id="rId458" Type="http://schemas.openxmlformats.org/officeDocument/2006/relationships/hyperlink" Target="https://www.amazon.ca/dp/B0BXSK8MYS" TargetMode="External"/><Relationship Id="rId459" Type="http://schemas.openxmlformats.org/officeDocument/2006/relationships/hyperlink" Target="https://www.amazon.ca/dp/B00Q7OAD64" TargetMode="External"/><Relationship Id="rId460" Type="http://schemas.openxmlformats.org/officeDocument/2006/relationships/hyperlink" Target="https://www.amazon.ca/dp/B0DST32BG8" TargetMode="External"/><Relationship Id="rId461" Type="http://schemas.openxmlformats.org/officeDocument/2006/relationships/hyperlink" Target="https://www.amazon.ca/dp/B00NX0WXQI" TargetMode="External"/><Relationship Id="rId462" Type="http://schemas.openxmlformats.org/officeDocument/2006/relationships/hyperlink" Target="https://www.amazon.ca/dp/B07417M881" TargetMode="External"/><Relationship Id="rId463" Type="http://schemas.openxmlformats.org/officeDocument/2006/relationships/hyperlink" Target="https://www.amazon.ca/dp/B09B2HXT9K" TargetMode="External"/><Relationship Id="rId464" Type="http://schemas.openxmlformats.org/officeDocument/2006/relationships/hyperlink" Target="https://www.amazon.ca/dp/B076V6QBWX" TargetMode="External"/><Relationship Id="rId465" Type="http://schemas.openxmlformats.org/officeDocument/2006/relationships/hyperlink" Target="https://www.amazon.ca/dp/B0D1CGL8FJ" TargetMode="External"/><Relationship Id="rId466" Type="http://schemas.openxmlformats.org/officeDocument/2006/relationships/hyperlink" Target="https://www.amazon.ca/dp/B0DNYPMHVQ" TargetMode="External"/><Relationship Id="rId467" Type="http://schemas.openxmlformats.org/officeDocument/2006/relationships/hyperlink" Target="https://www.amazon.ca/dp/B076V682Y8" TargetMode="External"/><Relationship Id="rId468" Type="http://schemas.openxmlformats.org/officeDocument/2006/relationships/hyperlink" Target="https://www.amazon.ca/dp/B07P8R1ZPS" TargetMode="External"/><Relationship Id="rId469" Type="http://schemas.openxmlformats.org/officeDocument/2006/relationships/hyperlink" Target="https://www.amazon.ca/dp/B08HH4DDRP" TargetMode="External"/><Relationship Id="rId470" Type="http://schemas.openxmlformats.org/officeDocument/2006/relationships/hyperlink" Target="https://www.amazon.ca/dp/B0779LHFMF" TargetMode="External"/><Relationship Id="rId471" Type="http://schemas.openxmlformats.org/officeDocument/2006/relationships/hyperlink" Target="https://www.amazon.ca/dp/B075F8TCF2" TargetMode="External"/><Relationship Id="rId472" Type="http://schemas.openxmlformats.org/officeDocument/2006/relationships/hyperlink" Target="https://www.amazon.ca/dp/B0B9MSTHJC" TargetMode="External"/><Relationship Id="rId473" Type="http://schemas.openxmlformats.org/officeDocument/2006/relationships/hyperlink" Target="https://www.amazon.ca/dp/B08ZM7TT87" TargetMode="External"/><Relationship Id="rId474" Type="http://schemas.openxmlformats.org/officeDocument/2006/relationships/hyperlink" Target="https://www.amazon.ca/dp/B07ZH4BWFS" TargetMode="External"/><Relationship Id="rId475" Type="http://schemas.openxmlformats.org/officeDocument/2006/relationships/hyperlink" Target="https://www.amazon.ca/dp/B0C714Q5XY" TargetMode="External"/><Relationship Id="rId476" Type="http://schemas.openxmlformats.org/officeDocument/2006/relationships/hyperlink" Target="https://www.amazon.ca/dp/B07F97N85W" TargetMode="External"/><Relationship Id="rId477" Type="http://schemas.openxmlformats.org/officeDocument/2006/relationships/hyperlink" Target="https://www.amazon.ca/dp/B0CV91WFHF" TargetMode="External"/><Relationship Id="rId478" Type="http://schemas.openxmlformats.org/officeDocument/2006/relationships/hyperlink" Target="https://www.amazon.ca/dp/B0CRL5W8SF" TargetMode="External"/><Relationship Id="rId479" Type="http://schemas.openxmlformats.org/officeDocument/2006/relationships/hyperlink" Target="https://www.amazon.ca/dp/B0DVC6VLT5" TargetMode="External"/><Relationship Id="rId480" Type="http://schemas.openxmlformats.org/officeDocument/2006/relationships/hyperlink" Target="https://www.amazon.ca/dp/B0FLQDQYNZ" TargetMode="External"/><Relationship Id="rId481" Type="http://schemas.openxmlformats.org/officeDocument/2006/relationships/hyperlink" Target="https://www.amazon.ca/dp/B01CF2Z09G" TargetMode="External"/><Relationship Id="rId482" Type="http://schemas.openxmlformats.org/officeDocument/2006/relationships/hyperlink" Target="https://www.amazon.ca/dp/B0H5QJFST9" TargetMode="External"/><Relationship Id="rId483" Type="http://schemas.openxmlformats.org/officeDocument/2006/relationships/hyperlink" Target="https://www.amazon.ca/dp/B0GC6TXHTZ" TargetMode="External"/><Relationship Id="rId484" Type="http://schemas.openxmlformats.org/officeDocument/2006/relationships/hyperlink" Target="https://www.amazon.ca/dp/B0BXQNH9JB" TargetMode="External"/><Relationship Id="rId485" Type="http://schemas.openxmlformats.org/officeDocument/2006/relationships/hyperlink" Target="https://www.amazon.ca/dp/B0GBW74MX4" TargetMode="External"/><Relationship Id="rId486" Type="http://schemas.openxmlformats.org/officeDocument/2006/relationships/hyperlink" Target="https://www.amazon.ca/dp/B084X6YHGR" TargetMode="External"/><Relationship Id="rId487" Type="http://schemas.openxmlformats.org/officeDocument/2006/relationships/hyperlink" Target="https://www.amazon.ca/dp/B0CY9P4Q5Z" TargetMode="External"/><Relationship Id="rId488" Type="http://schemas.openxmlformats.org/officeDocument/2006/relationships/hyperlink" Target="https://www.amazon.ca/dp/B017UWSC7I" TargetMode="External"/><Relationship Id="rId489" Type="http://schemas.openxmlformats.org/officeDocument/2006/relationships/hyperlink" Target="https://www.amazon.ca/dp/B09B2GKL4G" TargetMode="External"/><Relationship Id="rId490" Type="http://schemas.openxmlformats.org/officeDocument/2006/relationships/hyperlink" Target="https://www.amazon.ca/dp/B098LBQ2GD" TargetMode="External"/><Relationship Id="rId491" Type="http://schemas.openxmlformats.org/officeDocument/2006/relationships/hyperlink" Target="https://www.amazon.ca/dp/B07D5DN269" TargetMode="External"/><Relationship Id="rId492" Type="http://schemas.openxmlformats.org/officeDocument/2006/relationships/hyperlink" Target="https://www.amazon.ca/dp/B0FSDKVTQP" TargetMode="External"/><Relationship Id="rId493" Type="http://schemas.openxmlformats.org/officeDocument/2006/relationships/hyperlink" Target="https://www.amazon.ca/dp/B0DR37XNWV" TargetMode="External"/><Relationship Id="rId494" Type="http://schemas.openxmlformats.org/officeDocument/2006/relationships/hyperlink" Target="https://www.amazon.ca/dp/B0C78C6MHR" TargetMode="External"/><Relationship Id="rId495" Type="http://schemas.openxmlformats.org/officeDocument/2006/relationships/hyperlink" Target="https://www.amazon.ca/dp/B0G3GN3NDH" TargetMode="External"/><Relationship Id="rId496" Type="http://schemas.openxmlformats.org/officeDocument/2006/relationships/hyperlink" Target="https://www.amazon.ca/dp/B0C78DBJLJ" TargetMode="External"/><Relationship Id="rId497" Type="http://schemas.openxmlformats.org/officeDocument/2006/relationships/hyperlink" Target="https://www.amazon.ca/dp/B0CG5XSJK6" TargetMode="External"/><Relationship Id="rId498" Type="http://schemas.openxmlformats.org/officeDocument/2006/relationships/hyperlink" Target="https://www.amazon.ca/dp/B0GGV4C945" TargetMode="External"/><Relationship Id="rId499" Type="http://schemas.openxmlformats.org/officeDocument/2006/relationships/hyperlink" Target="https://www.amazon.ca/dp/B0DHGSY96Y" TargetMode="External"/><Relationship Id="rId500" Type="http://schemas.openxmlformats.org/officeDocument/2006/relationships/hyperlink" Target="https://www.amazon.ca/dp/B0DB7T13VM" TargetMode="External"/><Relationship Id="rId501" Type="http://schemas.openxmlformats.org/officeDocument/2006/relationships/hyperlink" Target="https://www.amazon.ca/dp/B0GWKMK9FH" TargetMode="External"/><Relationship Id="rId502" Type="http://schemas.openxmlformats.org/officeDocument/2006/relationships/hyperlink" Target="https://www.amazon.ca/dp/B0F6LGDH96" TargetMode="External"/><Relationship Id="rId503" Type="http://schemas.openxmlformats.org/officeDocument/2006/relationships/hyperlink" Target="https://www.amazon.ca/dp/B0GC9ND6V4" TargetMode="External"/><Relationship Id="rId504" Type="http://schemas.openxmlformats.org/officeDocument/2006/relationships/hyperlink" Target="https://www.amazon.ca/dp/B0HDJPPDBH" TargetMode="External"/><Relationship Id="rId505" Type="http://schemas.openxmlformats.org/officeDocument/2006/relationships/hyperlink" Target="https://www.amazon.ca/dp/B0DJSSNNMX" TargetMode="External"/><Relationship Id="rId506" Type="http://schemas.openxmlformats.org/officeDocument/2006/relationships/hyperlink" Target="https://www.amazon.ca/dp/B0CWLPPVJM" TargetMode="External"/><Relationship Id="rId507" Type="http://schemas.openxmlformats.org/officeDocument/2006/relationships/hyperlink" Target="https://www.amazon.ca/dp/B00NESCOY0" TargetMode="External"/><Relationship Id="rId508" Type="http://schemas.openxmlformats.org/officeDocument/2006/relationships/hyperlink" Target="https://www.amazon.ca/dp/B0HHRDLXRP" TargetMode="External"/><Relationship Id="rId509" Type="http://schemas.openxmlformats.org/officeDocument/2006/relationships/hyperlink" Target="https://www.amazon.ca/dp/B0B9H7QHXQ" TargetMode="External"/><Relationship Id="rId510" Type="http://schemas.openxmlformats.org/officeDocument/2006/relationships/hyperlink" Target="https://www.amazon.ca/dp/B0CCP1FNCG" TargetMode="External"/><Relationship Id="rId511" Type="http://schemas.openxmlformats.org/officeDocument/2006/relationships/hyperlink" Target="https://www.amazon.ca/dp/B0HC6SSVBN" TargetMode="External"/><Relationship Id="rId512" Type="http://schemas.openxmlformats.org/officeDocument/2006/relationships/hyperlink" Target="https://www.amazon.ca/dp/B0DNXZKRL5" TargetMode="External"/><Relationship Id="rId513" Type="http://schemas.openxmlformats.org/officeDocument/2006/relationships/hyperlink" Target="https://www.amazon.ca/dp/B0GWK6RPMX" TargetMode="External"/><Relationship Id="rId514" Type="http://schemas.openxmlformats.org/officeDocument/2006/relationships/hyperlink" Target="https://www.amazon.ca/dp/B0FGW8VL92" TargetMode="External"/><Relationship Id="rId515" Type="http://schemas.openxmlformats.org/officeDocument/2006/relationships/hyperlink" Target="https://www.amazon.ca/dp/B09DCSGK84" TargetMode="External"/><Relationship Id="rId516" Type="http://schemas.openxmlformats.org/officeDocument/2006/relationships/hyperlink" Target="https://www.amazon.ca/dp/B0F6TBB3BN" TargetMode="External"/><Relationship Id="rId517" Type="http://schemas.openxmlformats.org/officeDocument/2006/relationships/hyperlink" Target="https://www.amazon.ca/dp/B07MY2VQC9" TargetMode="External"/><Relationship Id="rId518" Type="http://schemas.openxmlformats.org/officeDocument/2006/relationships/hyperlink" Target="https://www.amazon.ca/dp/B0H416B68B" TargetMode="External"/><Relationship Id="rId519" Type="http://schemas.openxmlformats.org/officeDocument/2006/relationships/hyperlink" Target="https://www.amazon.ca/dp/B0DR35V498" TargetMode="External"/><Relationship Id="rId520" Type="http://schemas.openxmlformats.org/officeDocument/2006/relationships/hyperlink" Target="https://www.amazon.ca/dp/B06XBV6FTY" TargetMode="External"/><Relationship Id="rId521" Type="http://schemas.openxmlformats.org/officeDocument/2006/relationships/hyperlink" Target="https://www.amazon.ca/dp/B0F1YGYZTP" TargetMode="External"/><Relationship Id="rId522" Type="http://schemas.openxmlformats.org/officeDocument/2006/relationships/hyperlink" Target="https://www.amazon.ca/dp/B0H98Z1TK8" TargetMode="External"/><Relationship Id="rId523" Type="http://schemas.openxmlformats.org/officeDocument/2006/relationships/hyperlink" Target="https://www.amazon.ca/dp/B08CD9DLMQ" TargetMode="External"/><Relationship Id="rId524" Type="http://schemas.openxmlformats.org/officeDocument/2006/relationships/hyperlink" Target="https://www.amazon.ca/dp/B0H4R1234Q" TargetMode="External"/><Relationship Id="rId525" Type="http://schemas.openxmlformats.org/officeDocument/2006/relationships/hyperlink" Target="https://www.amazon.ca/dp/B07WFHMD2V" TargetMode="External"/><Relationship Id="rId526" Type="http://schemas.openxmlformats.org/officeDocument/2006/relationships/hyperlink" Target="https://www.amazon.ca/dp/B07G9FPV3R" TargetMode="External"/><Relationship Id="rId527" Type="http://schemas.openxmlformats.org/officeDocument/2006/relationships/hyperlink" Target="https://www.amazon.ca/dp/B0FT3CRXHD" TargetMode="External"/><Relationship Id="rId528" Type="http://schemas.openxmlformats.org/officeDocument/2006/relationships/hyperlink" Target="https://www.amazon.ca/dp/B0HD6RHPJK" TargetMode="External"/><Relationship Id="rId529" Type="http://schemas.openxmlformats.org/officeDocument/2006/relationships/hyperlink" Target="https://www.amazon.ca/dp/B0GZNZ7F5G" TargetMode="External"/><Relationship Id="rId530" Type="http://schemas.openxmlformats.org/officeDocument/2006/relationships/hyperlink" Target="https://www.amazon.ca/dp/B0F6KKLL2C" TargetMode="External"/><Relationship Id="rId531" Type="http://schemas.openxmlformats.org/officeDocument/2006/relationships/hyperlink" Target="https://www.amazon.ca/dp/B0GHKD6LN4" TargetMode="External"/><Relationship Id="rId532" Type="http://schemas.openxmlformats.org/officeDocument/2006/relationships/hyperlink" Target="https://www.amazon.ca/dp/B0DFWB5WRQ" TargetMode="External"/><Relationship Id="rId533" Type="http://schemas.openxmlformats.org/officeDocument/2006/relationships/hyperlink" Target="https://www.amazon.ca/dp/B0DMSFGVH7" TargetMode="External"/><Relationship Id="rId534" Type="http://schemas.openxmlformats.org/officeDocument/2006/relationships/hyperlink" Target="https://www.amazon.ca/dp/B08BNC8V2Q" TargetMode="External"/><Relationship Id="rId535" Type="http://schemas.openxmlformats.org/officeDocument/2006/relationships/hyperlink" Target="https://www.amazon.ca/dp/B0H7MVWQNX" TargetMode="External"/><Relationship Id="rId536" Type="http://schemas.openxmlformats.org/officeDocument/2006/relationships/hyperlink" Target="https://www.amazon.ca/dp/B0FMX2LZ41" TargetMode="External"/><Relationship Id="rId537" Type="http://schemas.openxmlformats.org/officeDocument/2006/relationships/hyperlink" Target="https://www.amazon.ca/dp/B0GFSXXPKD" TargetMode="External"/><Relationship Id="rId538" Type="http://schemas.openxmlformats.org/officeDocument/2006/relationships/hyperlink" Target="https://www.amazon.ca/dp/B0HCW1BCP9" TargetMode="External"/><Relationship Id="rId539" Type="http://schemas.openxmlformats.org/officeDocument/2006/relationships/hyperlink" Target="https://www.amazon.co.uk/dp/B0DN1DDRHR" TargetMode="External"/><Relationship Id="rId540" Type="http://schemas.openxmlformats.org/officeDocument/2006/relationships/hyperlink" Target="https://www.amazon.co.uk/dp/B0DN1H5PQ6" TargetMode="External"/><Relationship Id="rId541" Type="http://schemas.openxmlformats.org/officeDocument/2006/relationships/hyperlink" Target="https://www.amazon.co.uk/dp/B0F4KS65MQ" TargetMode="External"/><Relationship Id="rId542" Type="http://schemas.openxmlformats.org/officeDocument/2006/relationships/hyperlink" Target="https://www.amazon.co.uk/dp/B08L85BQYX" TargetMode="External"/><Relationship Id="rId543" Type="http://schemas.openxmlformats.org/officeDocument/2006/relationships/hyperlink" Target="https://www.amazon.co.uk/dp/B0DJV1K332" TargetMode="External"/><Relationship Id="rId544" Type="http://schemas.openxmlformats.org/officeDocument/2006/relationships/hyperlink" Target="https://www.amazon.co.uk/dp/B0DNG144MT" TargetMode="External"/><Relationship Id="rId545" Type="http://schemas.openxmlformats.org/officeDocument/2006/relationships/hyperlink" Target="https://www.amazon.co.uk/dp/B0DN1DVKH5" TargetMode="External"/><Relationship Id="rId546" Type="http://schemas.openxmlformats.org/officeDocument/2006/relationships/hyperlink" Target="https://www.amazon.co.uk/dp/B0CZVWYZC1" TargetMode="External"/><Relationship Id="rId547" Type="http://schemas.openxmlformats.org/officeDocument/2006/relationships/hyperlink" Target="https://www.amazon.co.uk/dp/B0DJTRBD6F" TargetMode="External"/><Relationship Id="rId548" Type="http://schemas.openxmlformats.org/officeDocument/2006/relationships/hyperlink" Target="https://www.amazon.co.uk/dp/B0CZR6NPB8" TargetMode="External"/><Relationship Id="rId549" Type="http://schemas.openxmlformats.org/officeDocument/2006/relationships/hyperlink" Target="https://www.amazon.co.uk/dp/B0CQ211XX4" TargetMode="External"/><Relationship Id="rId550" Type="http://schemas.openxmlformats.org/officeDocument/2006/relationships/hyperlink" Target="https://www.amazon.co.uk/dp/B0GVDQXR4N" TargetMode="External"/><Relationship Id="rId551" Type="http://schemas.openxmlformats.org/officeDocument/2006/relationships/hyperlink" Target="https://www.amazon.co.uk/dp/B0B59138FW" TargetMode="External"/><Relationship Id="rId552" Type="http://schemas.openxmlformats.org/officeDocument/2006/relationships/hyperlink" Target="https://www.amazon.co.uk/dp/B0CL1RYQ1V" TargetMode="External"/><Relationship Id="rId553" Type="http://schemas.openxmlformats.org/officeDocument/2006/relationships/hyperlink" Target="https://www.amazon.co.uk/dp/B0FD9XHTJJ" TargetMode="External"/><Relationship Id="rId554" Type="http://schemas.openxmlformats.org/officeDocument/2006/relationships/hyperlink" Target="https://www.amazon.co.uk/dp/B0BX9H7SJ7" TargetMode="External"/><Relationship Id="rId555" Type="http://schemas.openxmlformats.org/officeDocument/2006/relationships/hyperlink" Target="https://www.amazon.co.uk/dp/B08TB9TBWZ" TargetMode="External"/><Relationship Id="rId556" Type="http://schemas.openxmlformats.org/officeDocument/2006/relationships/hyperlink" Target="https://www.amazon.co.uk/dp/B0CH7PHV99" TargetMode="External"/><Relationship Id="rId557" Type="http://schemas.openxmlformats.org/officeDocument/2006/relationships/hyperlink" Target="https://www.amazon.co.uk/dp/B0F29F1JM5" TargetMode="External"/><Relationship Id="rId558" Type="http://schemas.openxmlformats.org/officeDocument/2006/relationships/hyperlink" Target="https://www.amazon.co.uk/dp/B087N637G4" TargetMode="External"/><Relationship Id="rId559" Type="http://schemas.openxmlformats.org/officeDocument/2006/relationships/hyperlink" Target="https://www.amazon.co.uk/dp/B0FNQ4JJX7" TargetMode="External"/><Relationship Id="rId560" Type="http://schemas.openxmlformats.org/officeDocument/2006/relationships/hyperlink" Target="https://www.amazon.co.uk/dp/B01DL7JI3S" TargetMode="External"/><Relationship Id="rId561" Type="http://schemas.openxmlformats.org/officeDocument/2006/relationships/hyperlink" Target="https://www.amazon.co.uk/dp/B0CDVSSMZ5" TargetMode="External"/><Relationship Id="rId562" Type="http://schemas.openxmlformats.org/officeDocument/2006/relationships/hyperlink" Target="https://www.amazon.co.uk/dp/B0CHWDJXQY" TargetMode="External"/><Relationship Id="rId563" Type="http://schemas.openxmlformats.org/officeDocument/2006/relationships/hyperlink" Target="https://www.amazon.co.uk/dp/B0CQ2ZWSN7" TargetMode="External"/><Relationship Id="rId564" Type="http://schemas.openxmlformats.org/officeDocument/2006/relationships/hyperlink" Target="https://www.amazon.co.uk/dp/B08BHW3Y3T" TargetMode="External"/><Relationship Id="rId565" Type="http://schemas.openxmlformats.org/officeDocument/2006/relationships/hyperlink" Target="https://www.amazon.co.uk/dp/B00KQIA49I" TargetMode="External"/><Relationship Id="rId566" Type="http://schemas.openxmlformats.org/officeDocument/2006/relationships/hyperlink" Target="https://www.amazon.co.uk/dp/B0HHS3KLN6" TargetMode="External"/><Relationship Id="rId567" Type="http://schemas.openxmlformats.org/officeDocument/2006/relationships/hyperlink" Target="https://www.amazon.co.uk/dp/B00XX0MZB6" TargetMode="External"/><Relationship Id="rId568" Type="http://schemas.openxmlformats.org/officeDocument/2006/relationships/hyperlink" Target="https://www.amazon.co.uk/dp/B08M9BVQKF" TargetMode="External"/><Relationship Id="rId569" Type="http://schemas.openxmlformats.org/officeDocument/2006/relationships/hyperlink" Target="https://www.amazon.co.uk/dp/B0CHN4CJMM" TargetMode="External"/><Relationship Id="rId570" Type="http://schemas.openxmlformats.org/officeDocument/2006/relationships/hyperlink" Target="https://www.amazon.co.uk/dp/B08MVX21KG" TargetMode="External"/><Relationship Id="rId571" Type="http://schemas.openxmlformats.org/officeDocument/2006/relationships/hyperlink" Target="https://www.amazon.co.uk/dp/B01BN4L3CU" TargetMode="External"/><Relationship Id="rId572" Type="http://schemas.openxmlformats.org/officeDocument/2006/relationships/hyperlink" Target="https://www.amazon.co.uk/dp/B0DZ1MJBGK" TargetMode="External"/><Relationship Id="rId573" Type="http://schemas.openxmlformats.org/officeDocument/2006/relationships/hyperlink" Target="https://www.amazon.co.uk/dp/B0F7XXS7KZ" TargetMode="External"/><Relationship Id="rId574" Type="http://schemas.openxmlformats.org/officeDocument/2006/relationships/hyperlink" Target="https://www.amazon.co.uk/dp/B0DJLRKJQQ" TargetMode="External"/><Relationship Id="rId575" Type="http://schemas.openxmlformats.org/officeDocument/2006/relationships/hyperlink" Target="https://www.amazon.co.uk/dp/B0CQ2ZWGNQ" TargetMode="External"/><Relationship Id="rId576" Type="http://schemas.openxmlformats.org/officeDocument/2006/relationships/hyperlink" Target="https://www.amazon.co.uk/dp/B0G84T4WBZ" TargetMode="External"/><Relationship Id="rId577" Type="http://schemas.openxmlformats.org/officeDocument/2006/relationships/hyperlink" Target="https://www.amazon.co.uk/dp/B07YSTZRS4" TargetMode="External"/><Relationship Id="rId578" Type="http://schemas.openxmlformats.org/officeDocument/2006/relationships/hyperlink" Target="https://www.amazon.co.uk/dp/B0GK282TSG" TargetMode="External"/><Relationship Id="rId579" Type="http://schemas.openxmlformats.org/officeDocument/2006/relationships/hyperlink" Target="https://www.amazon.co.uk/dp/B0DN1MFZGG" TargetMode="External"/><Relationship Id="rId580" Type="http://schemas.openxmlformats.org/officeDocument/2006/relationships/hyperlink" Target="https://www.amazon.co.uk/dp/B0G847WBM3" TargetMode="External"/><Relationship Id="rId581" Type="http://schemas.openxmlformats.org/officeDocument/2006/relationships/hyperlink" Target="https://www.amazon.co.uk/dp/B07LGDHDWX" TargetMode="External"/><Relationship Id="rId582" Type="http://schemas.openxmlformats.org/officeDocument/2006/relationships/hyperlink" Target="https://www.amazon.co.uk/dp/B078VNZCHT" TargetMode="External"/><Relationship Id="rId583" Type="http://schemas.openxmlformats.org/officeDocument/2006/relationships/hyperlink" Target="https://www.amazon.co.uk/dp/B0DDTWSK28" TargetMode="External"/><Relationship Id="rId584" Type="http://schemas.openxmlformats.org/officeDocument/2006/relationships/hyperlink" Target="https://www.amazon.co.uk/dp/B0CF2MND41" TargetMode="External"/><Relationship Id="rId585" Type="http://schemas.openxmlformats.org/officeDocument/2006/relationships/hyperlink" Target="https://www.amazon.co.uk/dp/B0CRHZ1CK3" TargetMode="External"/><Relationship Id="rId586" Type="http://schemas.openxmlformats.org/officeDocument/2006/relationships/hyperlink" Target="https://www.amazon.co.uk/dp/B09ZVQLMCM" TargetMode="External"/><Relationship Id="rId587" Type="http://schemas.openxmlformats.org/officeDocument/2006/relationships/hyperlink" Target="https://www.amazon.co.uk/dp/B07CCQCW3S" TargetMode="External"/><Relationship Id="rId588" Type="http://schemas.openxmlformats.org/officeDocument/2006/relationships/hyperlink" Target="https://www.amazon.co.uk/dp/B095M99LXJ" TargetMode="External"/><Relationship Id="rId589" Type="http://schemas.openxmlformats.org/officeDocument/2006/relationships/hyperlink" Target="https://www.amazon.co.uk/dp/B00NWPV6Q2" TargetMode="External"/><Relationship Id="rId590" Type="http://schemas.openxmlformats.org/officeDocument/2006/relationships/hyperlink" Target="https://www.amazon.co.uk/dp/B0DCKH6VV7" TargetMode="External"/><Relationship Id="rId591" Type="http://schemas.openxmlformats.org/officeDocument/2006/relationships/hyperlink" Target="https://www.amazon.co.uk/dp/B09XBNHQQZ" TargetMode="External"/><Relationship Id="rId592" Type="http://schemas.openxmlformats.org/officeDocument/2006/relationships/hyperlink" Target="https://www.amazon.co.uk/dp/B099DK7RYY" TargetMode="External"/><Relationship Id="rId593" Type="http://schemas.openxmlformats.org/officeDocument/2006/relationships/hyperlink" Target="https://www.amazon.co.uk/dp/B0854JMK3W" TargetMode="External"/><Relationship Id="rId594" Type="http://schemas.openxmlformats.org/officeDocument/2006/relationships/hyperlink" Target="https://www.amazon.co.uk/dp/B0B5LDJ7CF" TargetMode="External"/><Relationship Id="rId595" Type="http://schemas.openxmlformats.org/officeDocument/2006/relationships/hyperlink" Target="https://www.amazon.co.uk/dp/B0FQVH5YN3" TargetMode="External"/><Relationship Id="rId596" Type="http://schemas.openxmlformats.org/officeDocument/2006/relationships/hyperlink" Target="https://www.amazon.co.uk/dp/B0794QP2C4" TargetMode="External"/><Relationship Id="rId597" Type="http://schemas.openxmlformats.org/officeDocument/2006/relationships/hyperlink" Target="https://www.amazon.co.uk/dp/B0794QSTDB" TargetMode="External"/><Relationship Id="rId598" Type="http://schemas.openxmlformats.org/officeDocument/2006/relationships/hyperlink" Target="https://www.amazon.co.uk/dp/B0BXL2H1LD" TargetMode="External"/><Relationship Id="rId599" Type="http://schemas.openxmlformats.org/officeDocument/2006/relationships/hyperlink" Target="https://www.amazon.co.uk/dp/B074JF3R3X" TargetMode="External"/><Relationship Id="rId600" Type="http://schemas.openxmlformats.org/officeDocument/2006/relationships/hyperlink" Target="https://www.amazon.co.uk/dp/B086QPF5VZ" TargetMode="External"/><Relationship Id="rId601" Type="http://schemas.openxmlformats.org/officeDocument/2006/relationships/hyperlink" Target="https://www.amazon.co.uk/dp/B0D2P5ZZHF" TargetMode="External"/><Relationship Id="rId602" Type="http://schemas.openxmlformats.org/officeDocument/2006/relationships/hyperlink" Target="https://www.amazon.co.uk/dp/B09NY92QSL" TargetMode="External"/><Relationship Id="rId603" Type="http://schemas.openxmlformats.org/officeDocument/2006/relationships/hyperlink" Target="https://www.amazon.co.uk/dp/B09964YLLX" TargetMode="External"/><Relationship Id="rId604" Type="http://schemas.openxmlformats.org/officeDocument/2006/relationships/hyperlink" Target="https://www.amazon.co.uk/dp/B09DGSZSWK" TargetMode="External"/><Relationship Id="rId605" Type="http://schemas.openxmlformats.org/officeDocument/2006/relationships/hyperlink" Target="https://www.amazon.co.uk/dp/B0CRDMHBVZ" TargetMode="External"/><Relationship Id="rId606" Type="http://schemas.openxmlformats.org/officeDocument/2006/relationships/hyperlink" Target="https://www.amazon.co.uk/dp/B0FDH63KQ2" TargetMode="External"/><Relationship Id="rId607" Type="http://schemas.openxmlformats.org/officeDocument/2006/relationships/hyperlink" Target="https://www.amazon.co.uk/dp/B0DGY2C8K2" TargetMode="External"/><Relationship Id="rId608" Type="http://schemas.openxmlformats.org/officeDocument/2006/relationships/hyperlink" Target="https://www.amazon.co.uk/dp/B0D9QKTPCK" TargetMode="External"/><Relationship Id="rId609" Type="http://schemas.openxmlformats.org/officeDocument/2006/relationships/hyperlink" Target="https://www.amazon.co.uk/dp/B0794P1XWR" TargetMode="External"/><Relationship Id="rId610" Type="http://schemas.openxmlformats.org/officeDocument/2006/relationships/hyperlink" Target="https://www.amazon.co.uk/dp/B09NQYJWXP" TargetMode="External"/><Relationship Id="rId611" Type="http://schemas.openxmlformats.org/officeDocument/2006/relationships/hyperlink" Target="https://www.amazon.co.uk/dp/B0DJ6WWZP2" TargetMode="External"/><Relationship Id="rId612" Type="http://schemas.openxmlformats.org/officeDocument/2006/relationships/hyperlink" Target="https://www.amazon.co.uk/dp/B0DQ97X7VJ" TargetMode="External"/><Relationship Id="rId613" Type="http://schemas.openxmlformats.org/officeDocument/2006/relationships/hyperlink" Target="https://www.amazon.co.uk/dp/B0CLS1R9KN" TargetMode="External"/><Relationship Id="rId614" Type="http://schemas.openxmlformats.org/officeDocument/2006/relationships/hyperlink" Target="https://www.amazon.co.uk/dp/B074JFCR27" TargetMode="External"/><Relationship Id="rId615" Type="http://schemas.openxmlformats.org/officeDocument/2006/relationships/hyperlink" Target="https://www.amazon.co.uk/dp/B07BP99HN6" TargetMode="External"/><Relationship Id="rId616" Type="http://schemas.openxmlformats.org/officeDocument/2006/relationships/hyperlink" Target="https://www.amazon.co.uk/dp/B0B4G73QVJ" TargetMode="External"/><Relationship Id="rId617" Type="http://schemas.openxmlformats.org/officeDocument/2006/relationships/hyperlink" Target="https://www.amazon.co.uk/dp/B07FDXJHWK" TargetMode="External"/><Relationship Id="rId618" Type="http://schemas.openxmlformats.org/officeDocument/2006/relationships/hyperlink" Target="https://www.amazon.co.uk/dp/B0C5C35B6Q" TargetMode="External"/><Relationship Id="rId619" Type="http://schemas.openxmlformats.org/officeDocument/2006/relationships/hyperlink" Target="https://www.amazon.co.uk/dp/B08PHH95JT" TargetMode="External"/><Relationship Id="rId620" Type="http://schemas.openxmlformats.org/officeDocument/2006/relationships/hyperlink" Target="https://www.amazon.co.uk/dp/B0H5X6B215" TargetMode="External"/><Relationship Id="rId621" Type="http://schemas.openxmlformats.org/officeDocument/2006/relationships/hyperlink" Target="https://www.amazon.co.uk/dp/B0CJTJKN4D" TargetMode="External"/><Relationship Id="rId622" Type="http://schemas.openxmlformats.org/officeDocument/2006/relationships/hyperlink" Target="https://www.amazon.co.uk/dp/B0DPVNKRHF" TargetMode="External"/><Relationship Id="rId623" Type="http://schemas.openxmlformats.org/officeDocument/2006/relationships/hyperlink" Target="https://www.amazon.co.uk/dp/B01IVVBS7I" TargetMode="External"/><Relationship Id="rId624" Type="http://schemas.openxmlformats.org/officeDocument/2006/relationships/hyperlink" Target="https://www.amazon.co.uk/dp/B08VGJK7P9" TargetMode="External"/><Relationship Id="rId625" Type="http://schemas.openxmlformats.org/officeDocument/2006/relationships/hyperlink" Target="https://www.amazon.co.uk/dp/B073RJR1XT" TargetMode="External"/><Relationship Id="rId626" Type="http://schemas.openxmlformats.org/officeDocument/2006/relationships/hyperlink" Target="https://www.amazon.co.uk/dp/B0FKTHD5TS" TargetMode="External"/><Relationship Id="rId627" Type="http://schemas.openxmlformats.org/officeDocument/2006/relationships/hyperlink" Target="https://www.amazon.co.uk/dp/B0G6CZGQNR" TargetMode="External"/><Relationship Id="rId628" Type="http://schemas.openxmlformats.org/officeDocument/2006/relationships/hyperlink" Target="https://www.amazon.co.uk/dp/B0H7K2NBCN" TargetMode="External"/><Relationship Id="rId629" Type="http://schemas.openxmlformats.org/officeDocument/2006/relationships/hyperlink" Target="https://www.amazon.co.uk/dp/B0G1MTNQXP" TargetMode="External"/><Relationship Id="rId630" Type="http://schemas.openxmlformats.org/officeDocument/2006/relationships/hyperlink" Target="https://www.amazon.co.uk/dp/B0DMWJPCZG" TargetMode="External"/><Relationship Id="rId631" Type="http://schemas.openxmlformats.org/officeDocument/2006/relationships/hyperlink" Target="https://www.amazon.co.uk/dp/B0D9NXM4QC" TargetMode="External"/><Relationship Id="rId632" Type="http://schemas.openxmlformats.org/officeDocument/2006/relationships/hyperlink" Target="https://www.amazon.co.uk/dp/B0CWRW48CM" TargetMode="External"/><Relationship Id="rId633" Type="http://schemas.openxmlformats.org/officeDocument/2006/relationships/hyperlink" Target="https://www.amazon.co.uk/dp/B0DHN5LNB8" TargetMode="External"/><Relationship Id="rId634" Type="http://schemas.openxmlformats.org/officeDocument/2006/relationships/hyperlink" Target="https://www.amazon.co.uk/dp/B06WVHTTY9" TargetMode="External"/><Relationship Id="rId635" Type="http://schemas.openxmlformats.org/officeDocument/2006/relationships/hyperlink" Target="https://www.amazon.co.uk/dp/B00J4RM850" TargetMode="External"/><Relationship Id="rId636" Type="http://schemas.openxmlformats.org/officeDocument/2006/relationships/hyperlink" Target="https://www.amazon.co.uk/dp/B09X7FH1MR" TargetMode="External"/><Relationship Id="rId637" Type="http://schemas.openxmlformats.org/officeDocument/2006/relationships/hyperlink" Target="https://www.amazon.co.uk/dp/B0724ZYG25" TargetMode="External"/><Relationship Id="rId638" Type="http://schemas.openxmlformats.org/officeDocument/2006/relationships/hyperlink" Target="https://www.amazon.co.uk/dp/B09X7DWRQD" TargetMode="External"/><Relationship Id="rId639" Type="http://schemas.openxmlformats.org/officeDocument/2006/relationships/hyperlink" Target="https://www.amazon.co.uk/dp/B085CTT2B1" TargetMode="External"/><Relationship Id="rId640" Type="http://schemas.openxmlformats.org/officeDocument/2006/relationships/hyperlink" Target="https://www.amazon.co.uk/dp/B013G18WZE" TargetMode="External"/><Relationship Id="rId641" Type="http://schemas.openxmlformats.org/officeDocument/2006/relationships/hyperlink" Target="https://www.amazon.co.uk/dp/B0173PVIM8" TargetMode="External"/><Relationship Id="rId642" Type="http://schemas.openxmlformats.org/officeDocument/2006/relationships/hyperlink" Target="https://www.amazon.co.uk/dp/B01JACUMTM" TargetMode="External"/><Relationship Id="rId643" Type="http://schemas.openxmlformats.org/officeDocument/2006/relationships/hyperlink" Target="https://www.amazon.co.uk/dp/B08S6WDDH7" TargetMode="External"/><Relationship Id="rId644" Type="http://schemas.openxmlformats.org/officeDocument/2006/relationships/hyperlink" Target="https://www.amazon.co.uk/dp/B0H6NNN84S" TargetMode="External"/><Relationship Id="rId645" Type="http://schemas.openxmlformats.org/officeDocument/2006/relationships/hyperlink" Target="https://www.amazon.co.uk/dp/B0D2P5ZZHF" TargetMode="External"/><Relationship Id="rId646" Type="http://schemas.openxmlformats.org/officeDocument/2006/relationships/hyperlink" Target="https://www.amazon.co.uk/dp/B0CH8T7TQV" TargetMode="External"/><Relationship Id="rId647" Type="http://schemas.openxmlformats.org/officeDocument/2006/relationships/hyperlink" Target="https://www.amazon.co.uk/dp/B0173PVJBI" TargetMode="External"/><Relationship Id="rId648" Type="http://schemas.openxmlformats.org/officeDocument/2006/relationships/hyperlink" Target="https://www.amazon.co.uk/dp/B07B32YVHM" TargetMode="External"/><Relationship Id="rId649" Type="http://schemas.openxmlformats.org/officeDocument/2006/relationships/hyperlink" Target="https://www.amazon.co.uk/dp/B0DSPR81GT" TargetMode="External"/><Relationship Id="rId650" Type="http://schemas.openxmlformats.org/officeDocument/2006/relationships/hyperlink" Target="https://www.amazon.co.uk/dp/B08FMNWCK5" TargetMode="External"/><Relationship Id="rId651" Type="http://schemas.openxmlformats.org/officeDocument/2006/relationships/hyperlink" Target="https://www.amazon.co.uk/dp/B08HZF95PJ" TargetMode="External"/><Relationship Id="rId652" Type="http://schemas.openxmlformats.org/officeDocument/2006/relationships/hyperlink" Target="https://www.amazon.co.uk/dp/B07C9V1MGG" TargetMode="External"/><Relationship Id="rId653" Type="http://schemas.openxmlformats.org/officeDocument/2006/relationships/hyperlink" Target="https://www.amazon.co.uk/dp/B0794SN5R6" TargetMode="External"/><Relationship Id="rId654" Type="http://schemas.openxmlformats.org/officeDocument/2006/relationships/hyperlink" Target="https://www.amazon.co.uk/dp/B0D3VBJS6C" TargetMode="External"/><Relationship Id="rId655" Type="http://schemas.openxmlformats.org/officeDocument/2006/relationships/hyperlink" Target="https://www.amazon.co.uk/dp/B0FCXXGNZD" TargetMode="External"/><Relationship Id="rId656" Type="http://schemas.openxmlformats.org/officeDocument/2006/relationships/hyperlink" Target="https://www.amazon.co.uk/dp/B07BPD1561" TargetMode="External"/><Relationship Id="rId657" Type="http://schemas.openxmlformats.org/officeDocument/2006/relationships/hyperlink" Target="https://www.amazon.co.uk/dp/B074WK3JKP" TargetMode="External"/><Relationship Id="rId658" Type="http://schemas.openxmlformats.org/officeDocument/2006/relationships/hyperlink" Target="https://www.amazon.co.uk/dp/B0CG67667B" TargetMode="External"/><Relationship Id="rId659" Type="http://schemas.openxmlformats.org/officeDocument/2006/relationships/hyperlink" Target="https://www.amazon.co.uk/dp/B08D3SH6HG" TargetMode="External"/><Relationship Id="rId660" Type="http://schemas.openxmlformats.org/officeDocument/2006/relationships/hyperlink" Target="https://www.amazon.co.uk/dp/B0GLGSSBL3" TargetMode="External"/><Relationship Id="rId661" Type="http://schemas.openxmlformats.org/officeDocument/2006/relationships/hyperlink" Target="https://www.amazon.co.uk/dp/B0F5WYQ95B" TargetMode="External"/><Relationship Id="rId662" Type="http://schemas.openxmlformats.org/officeDocument/2006/relationships/hyperlink" Target="https://www.amazon.co.uk/dp/B0794W4J8G" TargetMode="External"/><Relationship Id="rId663" Type="http://schemas.openxmlformats.org/officeDocument/2006/relationships/hyperlink" Target="https://www.amazon.co.uk/dp/B0B4G63H2Q" TargetMode="External"/><Relationship Id="rId664" Type="http://schemas.openxmlformats.org/officeDocument/2006/relationships/hyperlink" Target="https://www.amazon.co.uk/dp/B07V1H7CSQ" TargetMode="External"/><Relationship Id="rId665" Type="http://schemas.openxmlformats.org/officeDocument/2006/relationships/hyperlink" Target="https://www.amazon.co.uk/dp/B07D5GJ6GP" TargetMode="External"/><Relationship Id="rId666" Type="http://schemas.openxmlformats.org/officeDocument/2006/relationships/hyperlink" Target="https://www.amazon.co.uk/dp/B07MVR7BSH" TargetMode="External"/><Relationship Id="rId667" Type="http://schemas.openxmlformats.org/officeDocument/2006/relationships/hyperlink" Target="https://www.amazon.co.uk/dp/B0FCYH3NSG" TargetMode="External"/><Relationship Id="rId668" Type="http://schemas.openxmlformats.org/officeDocument/2006/relationships/hyperlink" Target="https://www.amazon.co.uk/dp/B0BXFN9TSC" TargetMode="External"/><Relationship Id="rId669" Type="http://schemas.openxmlformats.org/officeDocument/2006/relationships/hyperlink" Target="https://www.amazon.co.uk/dp/B0H5X8JZ96" TargetMode="External"/><Relationship Id="rId670" Type="http://schemas.openxmlformats.org/officeDocument/2006/relationships/hyperlink" Target="https://www.amazon.co.uk/dp/B0FGJXRWPL" TargetMode="External"/><Relationship Id="rId671" Type="http://schemas.openxmlformats.org/officeDocument/2006/relationships/hyperlink" Target="https://www.amazon.co.uk/dp/B0794P43NN" TargetMode="External"/><Relationship Id="rId672" Type="http://schemas.openxmlformats.org/officeDocument/2006/relationships/hyperlink" Target="https://www.amazon.co.uk/dp/B0731QNC1V" TargetMode="External"/><Relationship Id="rId673" Type="http://schemas.openxmlformats.org/officeDocument/2006/relationships/hyperlink" Target="https://www.amazon.co.uk/dp/B07BTJQS4H" TargetMode="External"/><Relationship Id="rId674" Type="http://schemas.openxmlformats.org/officeDocument/2006/relationships/hyperlink" Target="https://www.amazon.co.uk/dp/B0F8W1X1MW" TargetMode="External"/><Relationship Id="rId675" Type="http://schemas.openxmlformats.org/officeDocument/2006/relationships/hyperlink" Target="https://www.amazon.co.uk/dp/B0FPGKRTBX" TargetMode="External"/><Relationship Id="rId676" Type="http://schemas.openxmlformats.org/officeDocument/2006/relationships/hyperlink" Target="https://www.amazon.co.uk/dp/B08HZFF876" TargetMode="External"/><Relationship Id="rId677" Type="http://schemas.openxmlformats.org/officeDocument/2006/relationships/hyperlink" Target="https://www.amazon.co.uk/dp/B0CH3SHRHQ" TargetMode="External"/><Relationship Id="rId678" Type="http://schemas.openxmlformats.org/officeDocument/2006/relationships/hyperlink" Target="https://www.amazon.co.uk/dp/B087944NKB" TargetMode="External"/><Relationship Id="rId679" Type="http://schemas.openxmlformats.org/officeDocument/2006/relationships/hyperlink" Target="https://www.amazon.co.uk/dp/B0B5Q2S56P" TargetMode="External"/><Relationship Id="rId680" Type="http://schemas.openxmlformats.org/officeDocument/2006/relationships/hyperlink" Target="https://www.amazon.co.uk/dp/B07PGK5MCS" TargetMode="External"/><Relationship Id="rId681" Type="http://schemas.openxmlformats.org/officeDocument/2006/relationships/hyperlink" Target="https://www.amazon.co.uk/dp/B0GK1QGFLT" TargetMode="External"/><Relationship Id="rId682" Type="http://schemas.openxmlformats.org/officeDocument/2006/relationships/hyperlink" Target="https://www.amazon.co.uk/dp/B0GVF4VPFV" TargetMode="External"/><Relationship Id="rId683" Type="http://schemas.openxmlformats.org/officeDocument/2006/relationships/hyperlink" Target="https://www.amazon.co.uk/dp/B0CHFGWKXQ" TargetMode="External"/><Relationship Id="rId684" Type="http://schemas.openxmlformats.org/officeDocument/2006/relationships/hyperlink" Target="https://www.amazon.co.uk/dp/B0CHFFMX81" TargetMode="External"/><Relationship Id="rId685" Type="http://schemas.openxmlformats.org/officeDocument/2006/relationships/hyperlink" Target="https://www.amazon.co.uk/dp/B01IE7P2VW" TargetMode="External"/><Relationship Id="rId686" Type="http://schemas.openxmlformats.org/officeDocument/2006/relationships/hyperlink" Target="https://www.amazon.co.uk/dp/B0D9LPK18D" TargetMode="External"/><Relationship Id="rId687" Type="http://schemas.openxmlformats.org/officeDocument/2006/relationships/hyperlink" Target="https://www.amazon.co.uk/dp/B01E6XAZFG" TargetMode="External"/><Relationship Id="rId688" Type="http://schemas.openxmlformats.org/officeDocument/2006/relationships/hyperlink" Target="https://www.amazon.co.uk/dp/B0FGDJXY15" TargetMode="External"/><Relationship Id="rId689" Type="http://schemas.openxmlformats.org/officeDocument/2006/relationships/hyperlink" Target="https://www.amazon.co.uk/dp/B01E6XAT4S" TargetMode="External"/><Relationship Id="rId690" Type="http://schemas.openxmlformats.org/officeDocument/2006/relationships/hyperlink" Target="https://www.amazon.co.uk/dp/B00Q4TMOCS" TargetMode="External"/><Relationship Id="rId691" Type="http://schemas.openxmlformats.org/officeDocument/2006/relationships/hyperlink" Target="https://www.amazon.co.uk/dp/B09R3NYK49" TargetMode="External"/><Relationship Id="rId692" Type="http://schemas.openxmlformats.org/officeDocument/2006/relationships/hyperlink" Target="https://www.amazon.co.uk/dp/B083Q2KF3G" TargetMode="External"/><Relationship Id="rId693" Type="http://schemas.openxmlformats.org/officeDocument/2006/relationships/hyperlink" Target="https://www.amazon.co.uk/dp/B01N6OBPE0" TargetMode="External"/><Relationship Id="rId694" Type="http://schemas.openxmlformats.org/officeDocument/2006/relationships/hyperlink" Target="https://www.amazon.co.uk/dp/B083PQTB45" TargetMode="External"/><Relationship Id="rId695" Type="http://schemas.openxmlformats.org/officeDocument/2006/relationships/hyperlink" Target="https://www.amazon.co.uk/dp/B09KS3713C" TargetMode="External"/><Relationship Id="rId696" Type="http://schemas.openxmlformats.org/officeDocument/2006/relationships/hyperlink" Target="https://www.amazon.co.uk/dp/B01FG45TSC" TargetMode="External"/><Relationship Id="rId697" Type="http://schemas.openxmlformats.org/officeDocument/2006/relationships/hyperlink" Target="https://www.amazon.co.uk/dp/B01CIWTB4S" TargetMode="External"/><Relationship Id="rId698" Type="http://schemas.openxmlformats.org/officeDocument/2006/relationships/hyperlink" Target="https://www.amazon.co.uk/dp/B09KW64HPJ" TargetMode="External"/><Relationship Id="rId699" Type="http://schemas.openxmlformats.org/officeDocument/2006/relationships/hyperlink" Target="https://www.amazon.co.uk/dp/B07QNV6K89" TargetMode="External"/><Relationship Id="rId700" Type="http://schemas.openxmlformats.org/officeDocument/2006/relationships/hyperlink" Target="https://www.amazon.co.uk/dp/B0DS21STFS" TargetMode="External"/><Relationship Id="rId701" Type="http://schemas.openxmlformats.org/officeDocument/2006/relationships/hyperlink" Target="https://www.amazon.co.uk/dp/B0DZTJD3NZ" TargetMode="External"/><Relationship Id="rId702" Type="http://schemas.openxmlformats.org/officeDocument/2006/relationships/hyperlink" Target="https://www.amazon.co.uk/dp/B09VF21LPX" TargetMode="External"/><Relationship Id="rId703" Type="http://schemas.openxmlformats.org/officeDocument/2006/relationships/hyperlink" Target="https://www.amazon.co.uk/dp/B07VKCWHVQ" TargetMode="External"/><Relationship Id="rId704" Type="http://schemas.openxmlformats.org/officeDocument/2006/relationships/hyperlink" Target="https://www.amazon.co.uk/dp/B0G9B97JH8" TargetMode="External"/><Relationship Id="rId705" Type="http://schemas.openxmlformats.org/officeDocument/2006/relationships/hyperlink" Target="https://www.amazon.co.uk/dp/B09XJJ24ZL" TargetMode="External"/><Relationship Id="rId706" Type="http://schemas.openxmlformats.org/officeDocument/2006/relationships/hyperlink" Target="https://www.amazon.co.uk/dp/B0C61TR8KK" TargetMode="External"/><Relationship Id="rId707" Type="http://schemas.openxmlformats.org/officeDocument/2006/relationships/hyperlink" Target="https://www.amazon.co.uk/dp/B09NQCL54G" TargetMode="External"/><Relationship Id="rId708" Type="http://schemas.openxmlformats.org/officeDocument/2006/relationships/hyperlink" Target="https://www.amazon.co.uk/dp/B01FR5GYNY" TargetMode="External"/><Relationship Id="rId709" Type="http://schemas.openxmlformats.org/officeDocument/2006/relationships/hyperlink" Target="https://www.amazon.co.uk/dp/B078LXLMN1" TargetMode="External"/><Relationship Id="rId710" Type="http://schemas.openxmlformats.org/officeDocument/2006/relationships/hyperlink" Target="https://www.amazon.co.uk/dp/B083PW4MFP" TargetMode="External"/><Relationship Id="rId711" Type="http://schemas.openxmlformats.org/officeDocument/2006/relationships/hyperlink" Target="https://www.amazon.co.uk/dp/B0FGJTNL26" TargetMode="External"/><Relationship Id="rId712" Type="http://schemas.openxmlformats.org/officeDocument/2006/relationships/hyperlink" Target="https://www.amazon.co.uk/dp/B01MT1G4RZ" TargetMode="External"/><Relationship Id="rId713" Type="http://schemas.openxmlformats.org/officeDocument/2006/relationships/hyperlink" Target="https://www.amazon.co.uk/dp/B0DJDV9ZFC" TargetMode="External"/><Relationship Id="rId714" Type="http://schemas.openxmlformats.org/officeDocument/2006/relationships/hyperlink" Target="https://www.amazon.co.uk/dp/B00XK9CO16" TargetMode="External"/><Relationship Id="rId715" Type="http://schemas.openxmlformats.org/officeDocument/2006/relationships/hyperlink" Target="https://www.amazon.co.uk/dp/B0F6NKBZ4H" TargetMode="External"/><Relationship Id="rId716" Type="http://schemas.openxmlformats.org/officeDocument/2006/relationships/hyperlink" Target="https://www.amazon.co.uk/dp/B0DF6Q75GY" TargetMode="External"/><Relationship Id="rId717" Type="http://schemas.openxmlformats.org/officeDocument/2006/relationships/hyperlink" Target="https://www.amazon.co.uk/dp/B0GHV7LW4T" TargetMode="External"/><Relationship Id="rId718" Type="http://schemas.openxmlformats.org/officeDocument/2006/relationships/hyperlink" Target="https://www.amazon.co.uk/dp/B01JAI4KEY" TargetMode="External"/><Relationship Id="rId719" Type="http://schemas.openxmlformats.org/officeDocument/2006/relationships/hyperlink" Target="https://www.amazon.co.uk/dp/B08TBW9DMB" TargetMode="External"/><Relationship Id="rId720" Type="http://schemas.openxmlformats.org/officeDocument/2006/relationships/hyperlink" Target="https://www.amazon.co.uk/dp/B094CPFBNN" TargetMode="External"/><Relationship Id="rId721" Type="http://schemas.openxmlformats.org/officeDocument/2006/relationships/hyperlink" Target="https://www.amazon.co.uk/dp/B095RR777V" TargetMode="External"/><Relationship Id="rId722" Type="http://schemas.openxmlformats.org/officeDocument/2006/relationships/hyperlink" Target="https://www.amazon.co.uk/dp/B0FR44N2BL" TargetMode="External"/><Relationship Id="rId723" Type="http://schemas.openxmlformats.org/officeDocument/2006/relationships/hyperlink" Target="https://www.amazon.co.uk/dp/B01N6OBPTF" TargetMode="External"/><Relationship Id="rId724" Type="http://schemas.openxmlformats.org/officeDocument/2006/relationships/hyperlink" Target="https://www.amazon.co.uk/dp/B07HHGRPQ4" TargetMode="External"/><Relationship Id="rId725" Type="http://schemas.openxmlformats.org/officeDocument/2006/relationships/hyperlink" Target="https://www.amazon.co.uk/dp/B0G4XCLXNF" TargetMode="External"/><Relationship Id="rId726" Type="http://schemas.openxmlformats.org/officeDocument/2006/relationships/hyperlink" Target="https://www.amazon.co.uk/dp/B0DSW8MSXQ" TargetMode="External"/><Relationship Id="rId727" Type="http://schemas.openxmlformats.org/officeDocument/2006/relationships/hyperlink" Target="https://www.amazon.co.uk/dp/B08RBDYGLY" TargetMode="External"/><Relationship Id="rId728" Type="http://schemas.openxmlformats.org/officeDocument/2006/relationships/hyperlink" Target="https://www.amazon.co.uk/dp/B0H4HX8648" TargetMode="External"/><Relationship Id="rId729" Type="http://schemas.openxmlformats.org/officeDocument/2006/relationships/hyperlink" Target="https://www.amazon.co.uk/dp/B09WRHV3GZ" TargetMode="External"/><Relationship Id="rId730" Type="http://schemas.openxmlformats.org/officeDocument/2006/relationships/hyperlink" Target="https://www.amazon.co.uk/dp/B078LQRS4V" TargetMode="External"/><Relationship Id="rId731" Type="http://schemas.openxmlformats.org/officeDocument/2006/relationships/hyperlink" Target="https://www.amazon.co.uk/dp/B0C8THY237" TargetMode="External"/><Relationship Id="rId732" Type="http://schemas.openxmlformats.org/officeDocument/2006/relationships/hyperlink" Target="https://www.amazon.co.uk/dp/B0CG8KDPYJ" TargetMode="External"/><Relationship Id="rId733" Type="http://schemas.openxmlformats.org/officeDocument/2006/relationships/hyperlink" Target="https://www.amazon.co.uk/dp/B0CG8QQJTS" TargetMode="External"/><Relationship Id="rId734" Type="http://schemas.openxmlformats.org/officeDocument/2006/relationships/hyperlink" Target="https://www.amazon.co.uk/dp/B0887RSZY7" TargetMode="External"/><Relationship Id="rId735" Type="http://schemas.openxmlformats.org/officeDocument/2006/relationships/hyperlink" Target="https://www.amazon.co.uk/dp/B0BX9F1VS5" TargetMode="External"/><Relationship Id="rId736" Type="http://schemas.openxmlformats.org/officeDocument/2006/relationships/hyperlink" Target="https://www.amazon.co.uk/dp/B09DZ5D271" TargetMode="External"/><Relationship Id="rId737" Type="http://schemas.openxmlformats.org/officeDocument/2006/relationships/hyperlink" Target="https://www.amazon.co.uk/dp/B01CQNN7F8" TargetMode="External"/><Relationship Id="rId738" Type="http://schemas.openxmlformats.org/officeDocument/2006/relationships/hyperlink" Target="https://www.amazon.co.uk/dp/B0DDPVP527" TargetMode="External"/><Relationship Id="rId739" Type="http://schemas.openxmlformats.org/officeDocument/2006/relationships/hyperlink" Target="https://www.amazon.co.uk/dp/B0767B5PGY" TargetMode="External"/><Relationship Id="rId740" Type="http://schemas.openxmlformats.org/officeDocument/2006/relationships/hyperlink" Target="https://www.amazon.co.uk/dp/B0CGJGRFW9" TargetMode="External"/><Relationship Id="rId741" Type="http://schemas.openxmlformats.org/officeDocument/2006/relationships/hyperlink" Target="https://www.amazon.co.uk/dp/B0CJC85HL6" TargetMode="External"/><Relationship Id="rId742" Type="http://schemas.openxmlformats.org/officeDocument/2006/relationships/hyperlink" Target="https://www.amazon.co.uk/dp/B07678R3S8" TargetMode="External"/><Relationship Id="rId743" Type="http://schemas.openxmlformats.org/officeDocument/2006/relationships/hyperlink" Target="https://www.amazon.co.uk/dp/B0CW5RTMXW" TargetMode="External"/><Relationship Id="rId744" Type="http://schemas.openxmlformats.org/officeDocument/2006/relationships/hyperlink" Target="https://www.amazon.co.uk/dp/B073P1FN3R" TargetMode="External"/><Relationship Id="rId745" Type="http://schemas.openxmlformats.org/officeDocument/2006/relationships/hyperlink" Target="https://www.amazon.co.uk/dp/B085CTT2B1" TargetMode="External"/><Relationship Id="rId746" Type="http://schemas.openxmlformats.org/officeDocument/2006/relationships/hyperlink" Target="https://www.amazon.co.uk/dp/B07238WW4N" TargetMode="External"/><Relationship Id="rId747" Type="http://schemas.openxmlformats.org/officeDocument/2006/relationships/hyperlink" Target="https://www.amazon.co.uk/dp/B09DZSDMBZ" TargetMode="External"/><Relationship Id="rId748" Type="http://schemas.openxmlformats.org/officeDocument/2006/relationships/hyperlink" Target="https://www.amazon.co.uk/dp/B09DZ48TCY" TargetMode="External"/><Relationship Id="rId749" Type="http://schemas.openxmlformats.org/officeDocument/2006/relationships/hyperlink" Target="https://www.amazon.co.uk/dp/B0748MT9ZB" TargetMode="External"/><Relationship Id="rId750" Type="http://schemas.openxmlformats.org/officeDocument/2006/relationships/hyperlink" Target="https://www.amazon.co.uk/dp/B0B5L32M85" TargetMode="External"/><Relationship Id="rId751" Type="http://schemas.openxmlformats.org/officeDocument/2006/relationships/hyperlink" Target="https://www.amazon.co.uk/dp/B0C5W72XPZ" TargetMode="External"/><Relationship Id="rId752" Type="http://schemas.openxmlformats.org/officeDocument/2006/relationships/hyperlink" Target="https://www.amazon.co.uk/dp/B07VKCWHVQ" TargetMode="External"/><Relationship Id="rId753" Type="http://schemas.openxmlformats.org/officeDocument/2006/relationships/hyperlink" Target="https://www.amazon.co.uk/dp/B076F8MXPR" TargetMode="External"/><Relationship Id="rId754" Type="http://schemas.openxmlformats.org/officeDocument/2006/relationships/hyperlink" Target="https://www.amazon.co.uk/dp/B0DNG144MT" TargetMode="External"/><Relationship Id="rId755" Type="http://schemas.openxmlformats.org/officeDocument/2006/relationships/hyperlink" Target="https://www.amazon.co.uk/dp/B07678R57N" TargetMode="External"/><Relationship Id="rId756" Type="http://schemas.openxmlformats.org/officeDocument/2006/relationships/hyperlink" Target="https://www.amazon.co.uk/dp/B072DS2C9S" TargetMode="External"/><Relationship Id="rId757" Type="http://schemas.openxmlformats.org/officeDocument/2006/relationships/hyperlink" Target="https://www.amazon.co.uk/dp/B0DQ963WYG" TargetMode="External"/><Relationship Id="rId758" Type="http://schemas.openxmlformats.org/officeDocument/2006/relationships/hyperlink" Target="https://www.amazon.co.uk/dp/B0FLY6LMD8" TargetMode="External"/><Relationship Id="rId759" Type="http://schemas.openxmlformats.org/officeDocument/2006/relationships/hyperlink" Target="https://www.amazon.co.uk/dp/B0DCL5M8MH" TargetMode="External"/><Relationship Id="rId760" Type="http://schemas.openxmlformats.org/officeDocument/2006/relationships/hyperlink" Target="https://www.amazon.co.uk/dp/B0CFVYCXWV" TargetMode="External"/><Relationship Id="rId761" Type="http://schemas.openxmlformats.org/officeDocument/2006/relationships/hyperlink" Target="https://www.amazon.co.uk/dp/B06XYH5B9H" TargetMode="External"/><Relationship Id="rId762" Type="http://schemas.openxmlformats.org/officeDocument/2006/relationships/hyperlink" Target="https://www.amazon.co.uk/dp/B073CY3BLN" TargetMode="External"/><Relationship Id="rId763" Type="http://schemas.openxmlformats.org/officeDocument/2006/relationships/hyperlink" Target="https://www.amazon.co.uk/dp/B00AV4OGIC" TargetMode="External"/><Relationship Id="rId764" Type="http://schemas.openxmlformats.org/officeDocument/2006/relationships/hyperlink" Target="https://www.amazon.co.uk/dp/B018UG4VVO" TargetMode="External"/><Relationship Id="rId765" Type="http://schemas.openxmlformats.org/officeDocument/2006/relationships/hyperlink" Target="https://www.amazon.co.uk/dp/B09DT8PPPJ" TargetMode="External"/><Relationship Id="rId766" Type="http://schemas.openxmlformats.org/officeDocument/2006/relationships/hyperlink" Target="https://www.amazon.co.uk/dp/B0CGDH9K3K" TargetMode="External"/><Relationship Id="rId767" Type="http://schemas.openxmlformats.org/officeDocument/2006/relationships/hyperlink" Target="https://www.amazon.co.uk/dp/B0CSB4XNYV" TargetMode="External"/><Relationship Id="rId768" Type="http://schemas.openxmlformats.org/officeDocument/2006/relationships/hyperlink" Target="https://www.amazon.co.uk/dp/B0C5WFZS5P" TargetMode="External"/><Relationship Id="rId769" Type="http://schemas.openxmlformats.org/officeDocument/2006/relationships/hyperlink" Target="https://www.amazon.co.uk/dp/B01A65OAR2" TargetMode="External"/><Relationship Id="rId770" Type="http://schemas.openxmlformats.org/officeDocument/2006/relationships/hyperlink" Target="https://www.amazon.co.uk/dp/B0C3MSQNGP" TargetMode="External"/><Relationship Id="rId771" Type="http://schemas.openxmlformats.org/officeDocument/2006/relationships/hyperlink" Target="https://www.amazon.co.uk/dp/B0CFWCBJWH" TargetMode="External"/><Relationship Id="rId772" Type="http://schemas.openxmlformats.org/officeDocument/2006/relationships/hyperlink" Target="https://www.amazon.co.uk/dp/B08PHX4S82" TargetMode="External"/><Relationship Id="rId773" Type="http://schemas.openxmlformats.org/officeDocument/2006/relationships/hyperlink" Target="https://www.amazon.co.uk/dp/B0H71DB5M5" TargetMode="External"/><Relationship Id="rId774" Type="http://schemas.openxmlformats.org/officeDocument/2006/relationships/hyperlink" Target="https://www.amazon.co.uk/dp/B0CH7C5V67" TargetMode="External"/><Relationship Id="rId775" Type="http://schemas.openxmlformats.org/officeDocument/2006/relationships/hyperlink" Target="https://www.amazon.co.uk/dp/B07Q69PM93" TargetMode="External"/><Relationship Id="rId776" Type="http://schemas.openxmlformats.org/officeDocument/2006/relationships/hyperlink" Target="https://www.amazon.co.uk/dp/B0DKP9XCFT" TargetMode="External"/><Relationship Id="rId777" Type="http://schemas.openxmlformats.org/officeDocument/2006/relationships/hyperlink" Target="https://www.amazon.co.uk/dp/B0CK4MSW4V" TargetMode="External"/><Relationship Id="rId778" Type="http://schemas.openxmlformats.org/officeDocument/2006/relationships/hyperlink" Target="https://www.amazon.co.uk/dp/B09B7S6Q1Z" TargetMode="External"/><Relationship Id="rId779" Type="http://schemas.openxmlformats.org/officeDocument/2006/relationships/hyperlink" Target="https://www.amazon.co.uk/dp/B0F9YW12PJ" TargetMode="External"/><Relationship Id="rId780" Type="http://schemas.openxmlformats.org/officeDocument/2006/relationships/hyperlink" Target="https://www.amazon.co.uk/dp/B09NY7NLQ3" TargetMode="External"/><Relationship Id="rId781" Type="http://schemas.openxmlformats.org/officeDocument/2006/relationships/hyperlink" Target="https://www.amazon.co.uk/dp/B0GFLZK8RP" TargetMode="External"/><Relationship Id="rId782" Type="http://schemas.openxmlformats.org/officeDocument/2006/relationships/hyperlink" Target="https://www.amazon.co.uk/dp/B0GVH4D3MM" TargetMode="External"/><Relationship Id="rId783" Type="http://schemas.openxmlformats.org/officeDocument/2006/relationships/hyperlink" Target="https://www.amazon.co.uk/dp/B0GFLQBC63" TargetMode="External"/><Relationship Id="rId784" Type="http://schemas.openxmlformats.org/officeDocument/2006/relationships/hyperlink" Target="https://www.amazon.co.uk/dp/B0D8ZSZZV2" TargetMode="External"/><Relationship Id="rId785" Type="http://schemas.openxmlformats.org/officeDocument/2006/relationships/hyperlink" Target="https://www.amazon.co.uk/dp/B0F2W8X2SL" TargetMode="External"/><Relationship Id="rId786" Type="http://schemas.openxmlformats.org/officeDocument/2006/relationships/hyperlink" Target="https://www.amazon.co.uk/dp/B0GFLW4VRZ" TargetMode="External"/><Relationship Id="rId787" Type="http://schemas.openxmlformats.org/officeDocument/2006/relationships/hyperlink" Target="https://www.amazon.co.uk/dp/B0FN713X4Z" TargetMode="External"/><Relationship Id="rId788" Type="http://schemas.openxmlformats.org/officeDocument/2006/relationships/hyperlink" Target="https://www.amazon.co.uk/dp/B0HBXG8YK1" TargetMode="External"/><Relationship Id="rId789" Type="http://schemas.openxmlformats.org/officeDocument/2006/relationships/hyperlink" Target="https://www.amazon.co.uk/dp/B0DV8K7KNM" TargetMode="External"/><Relationship Id="rId790" Type="http://schemas.openxmlformats.org/officeDocument/2006/relationships/hyperlink" Target="https://www.amazon.co.uk/dp/B0FM1XFPJ4" TargetMode="External"/><Relationship Id="rId791" Type="http://schemas.openxmlformats.org/officeDocument/2006/relationships/hyperlink" Target="https://www.amazon.co.uk/dp/B0D312S11W" TargetMode="External"/><Relationship Id="rId792" Type="http://schemas.openxmlformats.org/officeDocument/2006/relationships/hyperlink" Target="https://www.amazon.co.uk/dp/B0BPT4PYZL" TargetMode="External"/><Relationship Id="rId793" Type="http://schemas.openxmlformats.org/officeDocument/2006/relationships/hyperlink" Target="https://www.amazon.co.uk/dp/B0FM1Y7G2C" TargetMode="External"/><Relationship Id="rId794" Type="http://schemas.openxmlformats.org/officeDocument/2006/relationships/hyperlink" Target="https://www.amazon.co.uk/dp/B0HJ5Q19KM" TargetMode="External"/><Relationship Id="rId795" Type="http://schemas.openxmlformats.org/officeDocument/2006/relationships/hyperlink" Target="https://www.amazon.co.uk/dp/B0BPT46W1X" TargetMode="External"/><Relationship Id="rId796" Type="http://schemas.openxmlformats.org/officeDocument/2006/relationships/hyperlink" Target="https://www.amazon.co.uk/dp/B0H28HTCPY" TargetMode="External"/><Relationship Id="rId797" Type="http://schemas.openxmlformats.org/officeDocument/2006/relationships/hyperlink" Target="https://www.amazon.co.uk/dp/B0D31239G6" TargetMode="External"/><Relationship Id="rId798" Type="http://schemas.openxmlformats.org/officeDocument/2006/relationships/hyperlink" Target="https://www.amazon.co.uk/dp/B084RMYZ6N" TargetMode="External"/><Relationship Id="rId799" Type="http://schemas.openxmlformats.org/officeDocument/2006/relationships/hyperlink" Target="https://www.amazon.co.uk/dp/B0D314839K" TargetMode="External"/><Relationship Id="rId800" Type="http://schemas.openxmlformats.org/officeDocument/2006/relationships/hyperlink" Target="https://www.amazon.co.uk/dp/B0FMK3NKP6" TargetMode="External"/><Relationship Id="rId801" Type="http://schemas.openxmlformats.org/officeDocument/2006/relationships/hyperlink" Target="https://www.amazon.co.uk/dp/B0HHJBWZ7T" TargetMode="External"/><Relationship Id="rId802" Type="http://schemas.openxmlformats.org/officeDocument/2006/relationships/hyperlink" Target="https://www.amazon.co.uk/dp/B0CG285MLH" TargetMode="External"/><Relationship Id="rId803" Type="http://schemas.openxmlformats.org/officeDocument/2006/relationships/hyperlink" Target="https://www.amazon.co.uk/dp/B0HLZ3MC5X" TargetMode="External"/><Relationship Id="rId804" Type="http://schemas.openxmlformats.org/officeDocument/2006/relationships/hyperlink" Target="https://www.amazon.co.uk/dp/B079NRFHVR" TargetMode="External"/><Relationship Id="rId805" Type="http://schemas.openxmlformats.org/officeDocument/2006/relationships/hyperlink" Target="https://www.amazon.co.uk/dp/B0HF89SNLP" TargetMode="External"/><Relationship Id="rId806" Type="http://schemas.openxmlformats.org/officeDocument/2006/relationships/hyperlink" Target="https://www.amazon.co.uk/dp/B0DK722ML4" TargetMode="External"/><Relationship Id="rId807" Type="http://schemas.openxmlformats.org/officeDocument/2006/relationships/hyperlink" Target="https://www.amazon.co.uk/dp/B0FY6QHS7T" TargetMode="External"/><Relationship Id="rId808" Type="http://schemas.openxmlformats.org/officeDocument/2006/relationships/hyperlink" Target="https://www.amazon.co.uk/dp/B0D313T243" TargetMode="External"/><Relationship Id="rId809" Type="http://schemas.openxmlformats.org/officeDocument/2006/relationships/hyperlink" Target="https://www.amazon.co.uk/dp/B0F1YBF31P" TargetMode="External"/><Relationship Id="rId810" Type="http://schemas.openxmlformats.org/officeDocument/2006/relationships/hyperlink" Target="https://www.amazon.co.uk/dp/B0BPT4PF98" TargetMode="External"/><Relationship Id="rId811" Type="http://schemas.openxmlformats.org/officeDocument/2006/relationships/hyperlink" Target="https://www.amazon.co.uk/dp/B0BPT2L84Q" TargetMode="External"/><Relationship Id="rId812" Type="http://schemas.openxmlformats.org/officeDocument/2006/relationships/hyperlink" Target="https://www.amazon.co.uk/dp/B0HCV3JB5J" TargetMode="External"/><Relationship Id="rId813" Type="http://schemas.openxmlformats.org/officeDocument/2006/relationships/hyperlink" Target="https://www.amazon.co.uk/dp/B0FKMH5DSL" TargetMode="External"/><Relationship Id="rId814" Type="http://schemas.openxmlformats.org/officeDocument/2006/relationships/hyperlink" Target="https://www.amazon.co.uk/dp/B0DJTRBD6F" TargetMode="External"/><Relationship Id="rId815" Type="http://schemas.openxmlformats.org/officeDocument/2006/relationships/hyperlink" Target="https://www.amazon.co.uk/dp/B0HCV5H9K2" TargetMode="External"/><Relationship Id="rId816" Type="http://schemas.openxmlformats.org/officeDocument/2006/relationships/hyperlink" Target="https://www.amazon.co.uk/dp/B0BX9H7SJ7" TargetMode="External"/><Relationship Id="rId817" Type="http://schemas.openxmlformats.org/officeDocument/2006/relationships/hyperlink" Target="https://www.amazon.co.uk/dp/B0BPT39ZF2" TargetMode="External"/><Relationship Id="rId818" Type="http://schemas.openxmlformats.org/officeDocument/2006/relationships/hyperlink" Target="https://www.amazon.co.uk/dp/B0DCZLFHJS" TargetMode="External"/><Relationship Id="rId819" Type="http://schemas.openxmlformats.org/officeDocument/2006/relationships/hyperlink" Target="https://www.amazon.co.uk/dp/B09WQL1X8Z" TargetMode="External"/><Relationship Id="rId820" Type="http://schemas.openxmlformats.org/officeDocument/2006/relationships/hyperlink" Target="https://www.amazon.co.uk/dp/B0DC2T1K5P" TargetMode="External"/><Relationship Id="rId821" Type="http://schemas.openxmlformats.org/officeDocument/2006/relationships/hyperlink" Target="https://www.amazon.co.uk/dp/B0DYY5NFB5" TargetMode="External"/><Relationship Id="rId822" Type="http://schemas.openxmlformats.org/officeDocument/2006/relationships/hyperlink" Target="https://www.amazon.co.uk/dp/B0C3MS3LY2" TargetMode="External"/><Relationship Id="rId823" Type="http://schemas.openxmlformats.org/officeDocument/2006/relationships/hyperlink" Target="https://www.amazon.co.uk/dp/B07VSLJDF8" TargetMode="External"/><Relationship Id="rId824" Type="http://schemas.openxmlformats.org/officeDocument/2006/relationships/hyperlink" Target="https://www.amazon.co.uk/dp/B0BPT3P3G3" TargetMode="External"/><Relationship Id="rId825" Type="http://schemas.openxmlformats.org/officeDocument/2006/relationships/hyperlink" Target="https://www.amazon.co.uk/dp/B0FFG1BMYP" TargetMode="External"/><Relationship Id="rId826" Type="http://schemas.openxmlformats.org/officeDocument/2006/relationships/hyperlink" Target="https://www.amazon.co.uk/dp/B0HJ7ZRJ7K" TargetMode="External"/><Relationship Id="rId827" Type="http://schemas.openxmlformats.org/officeDocument/2006/relationships/hyperlink" Target="https://www.amazon.co.uk/dp/B01JACUN8W" TargetMode="External"/><Relationship Id="rId828" Type="http://schemas.openxmlformats.org/officeDocument/2006/relationships/hyperlink" Target="https://www.amazon.co.uk/dp/B0GKG7GWXM" TargetMode="External"/><Relationship Id="rId829" Type="http://schemas.openxmlformats.org/officeDocument/2006/relationships/hyperlink" Target="https://www.amazon.co.uk/dp/B01JAI4KJ4" TargetMode="External"/><Relationship Id="rId830" Type="http://schemas.openxmlformats.org/officeDocument/2006/relationships/hyperlink" Target="https://www.amazon.co.uk/dp/B0BNGGJKBB" TargetMode="External"/><Relationship Id="rId831" Type="http://schemas.openxmlformats.org/officeDocument/2006/relationships/hyperlink" Target="https://www.amazon.co.uk/dp/B07TDRSZNY" TargetMode="External"/><Relationship Id="rId832" Type="http://schemas.openxmlformats.org/officeDocument/2006/relationships/hyperlink" Target="https://www.amazon.co.uk/dp/B0BS72Q98S" TargetMode="External"/><Relationship Id="rId833" Type="http://schemas.openxmlformats.org/officeDocument/2006/relationships/hyperlink" Target="https://www.amazon.co.uk/dp/B09B68FS2W" TargetMode="External"/><Relationship Id="rId834" Type="http://schemas.openxmlformats.org/officeDocument/2006/relationships/hyperlink" Target="https://www.amazon.co.uk/dp/B01JACUSQ4" TargetMode="External"/><Relationship Id="rId835" Type="http://schemas.openxmlformats.org/officeDocument/2006/relationships/hyperlink" Target="https://www.amazon.co.uk/dp/B0DQ9BMWY3" TargetMode="External"/><Relationship Id="rId836" Type="http://schemas.openxmlformats.org/officeDocument/2006/relationships/hyperlink" Target="https://www.amazon.co.uk/dp/B0CRVRJNTM" TargetMode="External"/><Relationship Id="rId837" Type="http://schemas.openxmlformats.org/officeDocument/2006/relationships/hyperlink" Target="https://www.amazon.co.uk/dp/B0FYTFXB4R" TargetMode="External"/><Relationship Id="rId838" Type="http://schemas.openxmlformats.org/officeDocument/2006/relationships/hyperlink" Target="https://www.amazon.co.uk/dp/B0B67KTKYY" TargetMode="External"/><Relationship Id="rId839" Type="http://schemas.openxmlformats.org/officeDocument/2006/relationships/hyperlink" Target="https://www.amazon.co.uk/dp/B078LZ5X1T" TargetMode="External"/><Relationship Id="rId840" Type="http://schemas.openxmlformats.org/officeDocument/2006/relationships/hyperlink" Target="https://www.amazon.co.uk/dp/B0B5NDH15M" TargetMode="External"/><Relationship Id="rId841" Type="http://schemas.openxmlformats.org/officeDocument/2006/relationships/hyperlink" Target="https://www.amazon.co.uk/dp/B082QN2HYS" TargetMode="External"/><Relationship Id="rId842" Type="http://schemas.openxmlformats.org/officeDocument/2006/relationships/hyperlink" Target="https://www.amazon.co.uk/dp/B0BPSSBW3G" TargetMode="External"/><Relationship Id="rId843" Type="http://schemas.openxmlformats.org/officeDocument/2006/relationships/hyperlink" Target="https://www.amazon.co.uk/dp/B06X3V5R4J" TargetMode="External"/><Relationship Id="rId844" Type="http://schemas.openxmlformats.org/officeDocument/2006/relationships/hyperlink" Target="https://www.amazon.co.uk/dp/B086RYB61T" TargetMode="External"/><Relationship Id="rId845" Type="http://schemas.openxmlformats.org/officeDocument/2006/relationships/hyperlink" Target="https://www.amazon.co.uk/dp/B0DQ99P8J7" TargetMode="External"/><Relationship Id="rId846" Type="http://schemas.openxmlformats.org/officeDocument/2006/relationships/hyperlink" Target="https://www.amazon.co.uk/dp/B015IX8IYI" TargetMode="External"/><Relationship Id="rId847" Type="http://schemas.openxmlformats.org/officeDocument/2006/relationships/hyperlink" Target="https://www.amazon.co.uk/dp/B075JJNFBK" TargetMode="External"/><Relationship Id="rId848" Type="http://schemas.openxmlformats.org/officeDocument/2006/relationships/hyperlink" Target="https://www.amazon.co.uk/dp/B075ZXJ89W" TargetMode="External"/><Relationship Id="rId849" Type="http://schemas.openxmlformats.org/officeDocument/2006/relationships/hyperlink" Target="https://www.amazon.co.uk/dp/B09G5T2ZFZ" TargetMode="External"/><Relationship Id="rId850" Type="http://schemas.openxmlformats.org/officeDocument/2006/relationships/hyperlink" Target="https://www.amazon.co.uk/dp/B0D67BBGX5" TargetMode="External"/><Relationship Id="rId851" Type="http://schemas.openxmlformats.org/officeDocument/2006/relationships/hyperlink" Target="https://www.amazon.co.uk/dp/B0DQQ3ZLNP" TargetMode="External"/><Relationship Id="rId852" Type="http://schemas.openxmlformats.org/officeDocument/2006/relationships/hyperlink" Target="https://www.amazon.co.uk/dp/B08LR2R345" TargetMode="External"/><Relationship Id="rId853" Type="http://schemas.openxmlformats.org/officeDocument/2006/relationships/hyperlink" Target="https://www.amazon.co.uk/dp/B0C3RX4S57" TargetMode="External"/><Relationship Id="rId854" Type="http://schemas.openxmlformats.org/officeDocument/2006/relationships/hyperlink" Target="https://www.amazon.co.uk/dp/B014VHB222" TargetMode="External"/><Relationship Id="rId855" Type="http://schemas.openxmlformats.org/officeDocument/2006/relationships/hyperlink" Target="https://www.amazon.co.uk/dp/B074QWW239" TargetMode="External"/><Relationship Id="rId856" Type="http://schemas.openxmlformats.org/officeDocument/2006/relationships/hyperlink" Target="https://www.amazon.co.uk/dp/B08SLJQB63" TargetMode="External"/><Relationship Id="rId857" Type="http://schemas.openxmlformats.org/officeDocument/2006/relationships/hyperlink" Target="https://www.amazon.co.uk/dp/B0BV6LYXZT" TargetMode="External"/><Relationship Id="rId858" Type="http://schemas.openxmlformats.org/officeDocument/2006/relationships/hyperlink" Target="https://www.amazon.co.uk/dp/B09N7HBCYY" TargetMode="External"/><Relationship Id="rId859" Type="http://schemas.openxmlformats.org/officeDocument/2006/relationships/hyperlink" Target="https://www.amazon.co.uk/dp/B0876B4CGD" TargetMode="External"/><Relationship Id="rId860" Type="http://schemas.openxmlformats.org/officeDocument/2006/relationships/hyperlink" Target="https://www.amazon.co.uk/dp/B0CJCCQHQK" TargetMode="External"/><Relationship Id="rId861" Type="http://schemas.openxmlformats.org/officeDocument/2006/relationships/hyperlink" Target="https://www.amazon.co.uk/dp/B07FYVKYJ9" TargetMode="External"/><Relationship Id="rId862" Type="http://schemas.openxmlformats.org/officeDocument/2006/relationships/hyperlink" Target="https://www.amazon.co.uk/dp/B0CJC3XN74" TargetMode="External"/><Relationship Id="rId863" Type="http://schemas.openxmlformats.org/officeDocument/2006/relationships/hyperlink" Target="https://www.amazon.co.uk/dp/B0D67BHKZW" TargetMode="External"/><Relationship Id="rId864" Type="http://schemas.openxmlformats.org/officeDocument/2006/relationships/hyperlink" Target="https://www.amazon.co.uk/dp/B09QT58DC2" TargetMode="External"/><Relationship Id="rId865" Type="http://schemas.openxmlformats.org/officeDocument/2006/relationships/hyperlink" Target="https://www.amazon.co.uk/dp/B08ZJLS11Q" TargetMode="External"/><Relationship Id="rId866" Type="http://schemas.openxmlformats.org/officeDocument/2006/relationships/hyperlink" Target="https://www.amazon.co.uk/dp/B0982CQ53N" TargetMode="External"/><Relationship Id="rId867" Type="http://schemas.openxmlformats.org/officeDocument/2006/relationships/hyperlink" Target="https://www.amazon.co.uk/dp/B09BVZCKP3" TargetMode="External"/><Relationship Id="rId868" Type="http://schemas.openxmlformats.org/officeDocument/2006/relationships/hyperlink" Target="https://www.amazon.co.uk/dp/B07QX72BBQ" TargetMode="External"/><Relationship Id="rId869" Type="http://schemas.openxmlformats.org/officeDocument/2006/relationships/hyperlink" Target="https://www.amazon.co.uk/dp/B0DNJYK2W5" TargetMode="External"/><Relationship Id="rId870" Type="http://schemas.openxmlformats.org/officeDocument/2006/relationships/hyperlink" Target="https://www.amazon.co.uk/dp/B00LCU0FB6" TargetMode="External"/><Relationship Id="rId871" Type="http://schemas.openxmlformats.org/officeDocument/2006/relationships/hyperlink" Target="https://www.amazon.co.uk/dp/B01N90ZB9K" TargetMode="External"/><Relationship Id="rId872" Type="http://schemas.openxmlformats.org/officeDocument/2006/relationships/hyperlink" Target="https://www.amazon.co.uk/dp/B084Q8X4ZN" TargetMode="External"/><Relationship Id="rId873" Type="http://schemas.openxmlformats.org/officeDocument/2006/relationships/hyperlink" Target="https://www.amazon.co.uk/dp/B0756Z596L" TargetMode="External"/><Relationship Id="rId874" Type="http://schemas.openxmlformats.org/officeDocument/2006/relationships/hyperlink" Target="https://www.amazon.co.uk/dp/B0FQ2J17K1" TargetMode="External"/><Relationship Id="rId875" Type="http://schemas.openxmlformats.org/officeDocument/2006/relationships/hyperlink" Target="https://www.amazon.co.uk/dp/B08FRKXJ9R" TargetMode="External"/><Relationship Id="rId876" Type="http://schemas.openxmlformats.org/officeDocument/2006/relationships/hyperlink" Target="https://www.amazon.co.uk/dp/B0D26JFSB5" TargetMode="External"/><Relationship Id="rId877" Type="http://schemas.openxmlformats.org/officeDocument/2006/relationships/hyperlink" Target="https://www.amazon.co.uk/dp/B0DHD3LQLN" TargetMode="External"/><Relationship Id="rId878" Type="http://schemas.openxmlformats.org/officeDocument/2006/relationships/hyperlink" Target="https://www.amazon.co.uk/dp/B08FRFKTSN" TargetMode="External"/><Relationship Id="rId879" Type="http://schemas.openxmlformats.org/officeDocument/2006/relationships/hyperlink" Target="https://www.amazon.co.uk/dp/B0DHD5BDV9" TargetMode="External"/><Relationship Id="rId880" Type="http://schemas.openxmlformats.org/officeDocument/2006/relationships/hyperlink" Target="https://www.amazon.co.uk/dp/B0D278Q9V7" TargetMode="External"/><Relationship Id="rId881" Type="http://schemas.openxmlformats.org/officeDocument/2006/relationships/hyperlink" Target="https://www.amazon.co.uk/dp/B08FRH3NFR" TargetMode="External"/><Relationship Id="rId882" Type="http://schemas.openxmlformats.org/officeDocument/2006/relationships/hyperlink" Target="https://www.amazon.co.uk/dp/B0DQKXVMX4" TargetMode="External"/><Relationship Id="rId883" Type="http://schemas.openxmlformats.org/officeDocument/2006/relationships/hyperlink" Target="https://www.amazon.co.uk/dp/B00CLSPGVM" TargetMode="External"/><Relationship Id="rId884" Type="http://schemas.openxmlformats.org/officeDocument/2006/relationships/hyperlink" Target="https://www.amazon.co.uk/dp/B0B5L22F67" TargetMode="External"/><Relationship Id="rId885" Type="http://schemas.openxmlformats.org/officeDocument/2006/relationships/hyperlink" Target="https://www.amazon.co.uk/dp/B01DZN0ERC" TargetMode="External"/><Relationship Id="rId886" Type="http://schemas.openxmlformats.org/officeDocument/2006/relationships/hyperlink" Target="https://www.amazon.co.uk/dp/B0BLWBN338" TargetMode="External"/><Relationship Id="rId887" Type="http://schemas.openxmlformats.org/officeDocument/2006/relationships/hyperlink" Target="https://www.amazon.co.uk/dp/B01K3EHCNU" TargetMode="External"/><Relationship Id="rId888" Type="http://schemas.openxmlformats.org/officeDocument/2006/relationships/hyperlink" Target="https://www.amazon.co.uk/dp/B0F4KW2PZ4" TargetMode="External"/><Relationship Id="rId889" Type="http://schemas.openxmlformats.org/officeDocument/2006/relationships/hyperlink" Target="https://www.amazon.co.uk/dp/B0DVD42246" TargetMode="External"/><Relationship Id="rId890" Type="http://schemas.openxmlformats.org/officeDocument/2006/relationships/hyperlink" Target="https://www.amazon.co.uk/dp/B01L012MMG" TargetMode="External"/><Relationship Id="rId891" Type="http://schemas.openxmlformats.org/officeDocument/2006/relationships/hyperlink" Target="https://www.amazon.co.uk/dp/B0C3RGRCBB" TargetMode="External"/><Relationship Id="rId892" Type="http://schemas.openxmlformats.org/officeDocument/2006/relationships/hyperlink" Target="https://www.amazon.co.uk/dp/B0GJV5V3LL" TargetMode="External"/><Relationship Id="rId893" Type="http://schemas.openxmlformats.org/officeDocument/2006/relationships/hyperlink" Target="https://www.amazon.co.uk/dp/B0CHMTYBCC" TargetMode="External"/><Relationship Id="rId894" Type="http://schemas.openxmlformats.org/officeDocument/2006/relationships/hyperlink" Target="https://www.amazon.co.uk/dp/B08MBL7SQL" TargetMode="External"/><Relationship Id="rId895" Type="http://schemas.openxmlformats.org/officeDocument/2006/relationships/hyperlink" Target="https://www.amazon.co.uk/dp/B0152HSA8O" TargetMode="External"/><Relationship Id="rId896" Type="http://schemas.openxmlformats.org/officeDocument/2006/relationships/hyperlink" Target="https://www.amazon.co.uk/dp/B0DQKY8GYL" TargetMode="External"/><Relationship Id="rId897" Type="http://schemas.openxmlformats.org/officeDocument/2006/relationships/hyperlink" Target="https://www.amazon.co.uk/dp/B06Y5RHZHR" TargetMode="External"/><Relationship Id="rId898" Type="http://schemas.openxmlformats.org/officeDocument/2006/relationships/hyperlink" Target="https://www.amazon.co.uk/dp/B0C6QPPZS2" TargetMode="External"/><Relationship Id="rId899" Type="http://schemas.openxmlformats.org/officeDocument/2006/relationships/hyperlink" Target="https://www.amazon.co.uk/dp/B0GQ6JTL9N" TargetMode="External"/><Relationship Id="rId900" Type="http://schemas.openxmlformats.org/officeDocument/2006/relationships/hyperlink" Target="https://www.amazon.co.uk/dp/B008645BP6" TargetMode="External"/><Relationship Id="rId901" Type="http://schemas.openxmlformats.org/officeDocument/2006/relationships/hyperlink" Target="https://www.amazon.co.uk/dp/B06ZZ789XV" TargetMode="External"/><Relationship Id="rId902" Type="http://schemas.openxmlformats.org/officeDocument/2006/relationships/hyperlink" Target="https://www.amazon.co.uk/dp/B0DS6D18FC" TargetMode="External"/><Relationship Id="rId903" Type="http://schemas.openxmlformats.org/officeDocument/2006/relationships/hyperlink" Target="https://www.amazon.co.uk/dp/B09X5YYP5Y" TargetMode="External"/><Relationship Id="rId904" Type="http://schemas.openxmlformats.org/officeDocument/2006/relationships/hyperlink" Target="https://www.amazon.co.uk/dp/B0B4WW1WLF" TargetMode="External"/><Relationship Id="rId905" Type="http://schemas.openxmlformats.org/officeDocument/2006/relationships/hyperlink" Target="https://www.amazon.co.uk/dp/B076HBJS5K" TargetMode="External"/><Relationship Id="rId906" Type="http://schemas.openxmlformats.org/officeDocument/2006/relationships/hyperlink" Target="https://www.amazon.co.uk/dp/B08D7SS4J7" TargetMode="External"/><Relationship Id="rId907" Type="http://schemas.openxmlformats.org/officeDocument/2006/relationships/hyperlink" Target="https://www.amazon.co.uk/dp/B07DWG91BJ" TargetMode="External"/><Relationship Id="rId908" Type="http://schemas.openxmlformats.org/officeDocument/2006/relationships/hyperlink" Target="https://www.amazon.co.uk/dp/B0BSLJRD42" TargetMode="External"/><Relationship Id="rId909" Type="http://schemas.openxmlformats.org/officeDocument/2006/relationships/hyperlink" Target="https://www.amazon.co.uk/dp/B00MW50FKG" TargetMode="External"/><Relationship Id="rId910" Type="http://schemas.openxmlformats.org/officeDocument/2006/relationships/hyperlink" Target="https://www.amazon.co.uk/dp/B0FPRM8K98" TargetMode="External"/><Relationship Id="rId911" Type="http://schemas.openxmlformats.org/officeDocument/2006/relationships/hyperlink" Target="https://www.amazon.co.uk/dp/B01N774ZJ3" TargetMode="External"/><Relationship Id="rId912" Type="http://schemas.openxmlformats.org/officeDocument/2006/relationships/hyperlink" Target="https://www.amazon.co.uk/dp/B0B1WMVJMJ" TargetMode="External"/><Relationship Id="rId913" Type="http://schemas.openxmlformats.org/officeDocument/2006/relationships/hyperlink" Target="https://www.amazon.co.uk/dp/B07BFH1G3D" TargetMode="External"/><Relationship Id="rId914" Type="http://schemas.openxmlformats.org/officeDocument/2006/relationships/hyperlink" Target="https://www.amazon.co.uk/dp/B07PT4CG1X" TargetMode="External"/><Relationship Id="rId915" Type="http://schemas.openxmlformats.org/officeDocument/2006/relationships/hyperlink" Target="https://www.amazon.co.uk/dp/B06XHX2C76" TargetMode="External"/><Relationship Id="rId916" Type="http://schemas.openxmlformats.org/officeDocument/2006/relationships/hyperlink" Target="https://www.amazon.co.uk/dp/B01LW1ZOI3" TargetMode="External"/><Relationship Id="rId917" Type="http://schemas.openxmlformats.org/officeDocument/2006/relationships/hyperlink" Target="https://www.amazon.co.uk/dp/B0D9LM6KG3" TargetMode="External"/><Relationship Id="rId918" Type="http://schemas.openxmlformats.org/officeDocument/2006/relationships/hyperlink" Target="https://www.amazon.co.uk/dp/B0HCVLMXLS" TargetMode="External"/><Relationship Id="rId919" Type="http://schemas.openxmlformats.org/officeDocument/2006/relationships/hyperlink" Target="https://www.amazon.co.uk/dp/B0DHY7MV6X" TargetMode="External"/><Relationship Id="rId920" Type="http://schemas.openxmlformats.org/officeDocument/2006/relationships/hyperlink" Target="https://www.amazon.co.uk/dp/B0DNQT2SQC" TargetMode="External"/><Relationship Id="rId921" Type="http://schemas.openxmlformats.org/officeDocument/2006/relationships/hyperlink" Target="https://www.amazon.co.uk/dp/B0FXHH421K" TargetMode="External"/><Relationship Id="rId922" Type="http://schemas.openxmlformats.org/officeDocument/2006/relationships/hyperlink" Target="https://www.amazon.co.uk/dp/B0FHRPBZGR" TargetMode="External"/><Relationship Id="rId923" Type="http://schemas.openxmlformats.org/officeDocument/2006/relationships/hyperlink" Target="https://www.amazon.co.uk/dp/B08LTNXN26" TargetMode="External"/><Relationship Id="rId924" Type="http://schemas.openxmlformats.org/officeDocument/2006/relationships/hyperlink" Target="https://www.amazon.co.uk/dp/B0H2MTWJ38" TargetMode="External"/><Relationship Id="rId925" Type="http://schemas.openxmlformats.org/officeDocument/2006/relationships/hyperlink" Target="https://www.amazon.co.uk/dp/B0B3MNSXDC" TargetMode="External"/><Relationship Id="rId926" Type="http://schemas.openxmlformats.org/officeDocument/2006/relationships/hyperlink" Target="https://www.amazon.co.uk/dp/B08HJ2ZMX1" TargetMode="External"/><Relationship Id="rId927" Type="http://schemas.openxmlformats.org/officeDocument/2006/relationships/hyperlink" Target="https://www.amazon.co.uk/dp/B00JL9I6FC" TargetMode="External"/><Relationship Id="rId928" Type="http://schemas.openxmlformats.org/officeDocument/2006/relationships/hyperlink" Target="https://www.amazon.co.uk/dp/B08LTQSMDX" TargetMode="External"/><Relationship Id="rId929" Type="http://schemas.openxmlformats.org/officeDocument/2006/relationships/hyperlink" Target="https://www.amazon.co.uk/dp/B0DB2P2S2K" TargetMode="External"/><Relationship Id="rId930" Type="http://schemas.openxmlformats.org/officeDocument/2006/relationships/hyperlink" Target="https://www.amazon.co.uk/dp/B07FRW5QRP" TargetMode="External"/><Relationship Id="rId931" Type="http://schemas.openxmlformats.org/officeDocument/2006/relationships/hyperlink" Target="https://www.amazon.co.uk/dp/B071153ZMV" TargetMode="External"/><Relationship Id="rId932" Type="http://schemas.openxmlformats.org/officeDocument/2006/relationships/hyperlink" Target="https://www.amazon.co.uk/dp/B0GWMPZQCK" TargetMode="External"/><Relationship Id="rId933" Type="http://schemas.openxmlformats.org/officeDocument/2006/relationships/hyperlink" Target="https://www.amazon.co.uk/dp/B0DFYFJSVQ" TargetMode="External"/><Relationship Id="rId934" Type="http://schemas.openxmlformats.org/officeDocument/2006/relationships/hyperlink" Target="https://www.amazon.co.uk/dp/B003U3QT2C" TargetMode="External"/><Relationship Id="rId935" Type="http://schemas.openxmlformats.org/officeDocument/2006/relationships/hyperlink" Target="https://www.amazon.co.uk/dp/B08RXH994R" TargetMode="External"/><Relationship Id="rId936" Type="http://schemas.openxmlformats.org/officeDocument/2006/relationships/hyperlink" Target="https://www.amazon.co.uk/dp/B0BVHYVBB3" TargetMode="External"/><Relationship Id="rId937" Type="http://schemas.openxmlformats.org/officeDocument/2006/relationships/hyperlink" Target="https://www.amazon.co.uk/dp/B08YNXVJWH" TargetMode="External"/><Relationship Id="rId938" Type="http://schemas.openxmlformats.org/officeDocument/2006/relationships/hyperlink" Target="https://www.amazon.co.uk/dp/B003UCBHES" TargetMode="External"/><Relationship Id="rId939" Type="http://schemas.openxmlformats.org/officeDocument/2006/relationships/hyperlink" Target="https://www.amazon.co.uk/dp/B00J4RM86Y" TargetMode="External"/><Relationship Id="rId940" Type="http://schemas.openxmlformats.org/officeDocument/2006/relationships/hyperlink" Target="https://www.amazon.co.uk/dp/B071DKQ4H9" TargetMode="External"/><Relationship Id="rId941" Type="http://schemas.openxmlformats.org/officeDocument/2006/relationships/hyperlink" Target="https://www.amazon.co.uk/dp/B0DMWKLSWD" TargetMode="External"/><Relationship Id="rId942" Type="http://schemas.openxmlformats.org/officeDocument/2006/relationships/hyperlink" Target="https://www.amazon.co.uk/dp/B0FB419K85" TargetMode="External"/><Relationship Id="rId943" Type="http://schemas.openxmlformats.org/officeDocument/2006/relationships/hyperlink" Target="https://www.amazon.co.uk/dp/B081V6WJ4H" TargetMode="External"/><Relationship Id="rId944" Type="http://schemas.openxmlformats.org/officeDocument/2006/relationships/hyperlink" Target="https://www.amazon.co.uk/dp/B083YTMXGN" TargetMode="External"/><Relationship Id="rId945" Type="http://schemas.openxmlformats.org/officeDocument/2006/relationships/hyperlink" Target="https://www.amazon.co.uk/dp/B0794QSTDB" TargetMode="External"/><Relationship Id="rId946" Type="http://schemas.openxmlformats.org/officeDocument/2006/relationships/hyperlink" Target="https://www.amazon.co.uk/dp/B00J4RM8B4" TargetMode="External"/><Relationship Id="rId947" Type="http://schemas.openxmlformats.org/officeDocument/2006/relationships/hyperlink" Target="https://www.amazon.co.uk/dp/B08D3SH6HG" TargetMode="External"/><Relationship Id="rId948" Type="http://schemas.openxmlformats.org/officeDocument/2006/relationships/hyperlink" Target="https://www.amazon.co.uk/dp/B0FCYH3NSG" TargetMode="External"/><Relationship Id="rId949" Type="http://schemas.openxmlformats.org/officeDocument/2006/relationships/hyperlink" Target="https://www.amazon.co.uk/dp/B08S6WDDH7" TargetMode="External"/><Relationship Id="rId950" Type="http://schemas.openxmlformats.org/officeDocument/2006/relationships/hyperlink" Target="https://www.amazon.co.uk/dp/B01FMHF2OY" TargetMode="External"/><Relationship Id="rId951" Type="http://schemas.openxmlformats.org/officeDocument/2006/relationships/hyperlink" Target="https://www.amazon.co.uk/dp/B0D26CBXZ7" TargetMode="External"/><Relationship Id="rId952" Type="http://schemas.openxmlformats.org/officeDocument/2006/relationships/hyperlink" Target="https://www.amazon.co.uk/dp/B08PDG7SS7" TargetMode="External"/><Relationship Id="rId953" Type="http://schemas.openxmlformats.org/officeDocument/2006/relationships/hyperlink" Target="https://www.amazon.co.uk/dp/B01CJQ425Q" TargetMode="External"/><Relationship Id="rId954" Type="http://schemas.openxmlformats.org/officeDocument/2006/relationships/hyperlink" Target="https://www.amazon.co.uk/dp/B087944NKB" TargetMode="External"/><Relationship Id="rId955" Type="http://schemas.openxmlformats.org/officeDocument/2006/relationships/hyperlink" Target="https://www.amazon.co.uk/dp/B01JACUQ66" TargetMode="External"/><Relationship Id="rId956" Type="http://schemas.openxmlformats.org/officeDocument/2006/relationships/hyperlink" Target="https://www.amazon.co.uk/dp/B00I4YYAS2" TargetMode="External"/><Relationship Id="rId957" Type="http://schemas.openxmlformats.org/officeDocument/2006/relationships/hyperlink" Target="https://www.amazon.co.uk/dp/B0DP4N85Z9" TargetMode="External"/><Relationship Id="rId958" Type="http://schemas.openxmlformats.org/officeDocument/2006/relationships/hyperlink" Target="https://www.amazon.co.uk/dp/B0D3H8CV78" TargetMode="External"/><Relationship Id="rId959" Type="http://schemas.openxmlformats.org/officeDocument/2006/relationships/hyperlink" Target="https://www.amazon.co.uk/dp/B0DBLZKF6P" TargetMode="External"/><Relationship Id="rId960" Type="http://schemas.openxmlformats.org/officeDocument/2006/relationships/hyperlink" Target="https://www.amazon.co.uk/dp/B01C7IUMTQ" TargetMode="External"/><Relationship Id="rId961" Type="http://schemas.openxmlformats.org/officeDocument/2006/relationships/hyperlink" Target="https://www.amazon.co.uk/dp/B0F5WZJZ6L" TargetMode="External"/><Relationship Id="rId962" Type="http://schemas.openxmlformats.org/officeDocument/2006/relationships/hyperlink" Target="https://www.amazon.co.uk/dp/B0CHB8HWN6" TargetMode="External"/><Relationship Id="rId963" Type="http://schemas.openxmlformats.org/officeDocument/2006/relationships/hyperlink" Target="https://www.amazon.co.uk/dp/B07PGK5MCS" TargetMode="External"/><Relationship Id="rId964" Type="http://schemas.openxmlformats.org/officeDocument/2006/relationships/hyperlink" Target="https://www.amazon.co.uk/dp/B0D9D6XYQ4" TargetMode="External"/><Relationship Id="rId965" Type="http://schemas.openxmlformats.org/officeDocument/2006/relationships/hyperlink" Target="https://www.amazon.co.uk/dp/B0FGJWS678" TargetMode="External"/><Relationship Id="rId966" Type="http://schemas.openxmlformats.org/officeDocument/2006/relationships/hyperlink" Target="https://www.amazon.co.uk/dp/B07VCTFH4H" TargetMode="External"/><Relationship Id="rId967" Type="http://schemas.openxmlformats.org/officeDocument/2006/relationships/hyperlink" Target="https://www.amazon.co.uk/dp/B0FR9MFCRH" TargetMode="External"/><Relationship Id="rId968" Type="http://schemas.openxmlformats.org/officeDocument/2006/relationships/hyperlink" Target="https://www.amazon.co.uk/dp/B0B5Q2S56P" TargetMode="External"/><Relationship Id="rId969" Type="http://schemas.openxmlformats.org/officeDocument/2006/relationships/hyperlink" Target="https://www.amazon.co.uk/dp/B0B4G63H2Q" TargetMode="External"/><Relationship Id="rId970" Type="http://schemas.openxmlformats.org/officeDocument/2006/relationships/hyperlink" Target="https://www.amazon.co.uk/dp/B075X1QXK6" TargetMode="External"/><Relationship Id="rId971" Type="http://schemas.openxmlformats.org/officeDocument/2006/relationships/hyperlink" Target="https://www.amazon.co.uk/dp/B0CGJGRFW9" TargetMode="External"/><Relationship Id="rId972" Type="http://schemas.openxmlformats.org/officeDocument/2006/relationships/hyperlink" Target="https://www.amazon.co.uk/dp/B09RX1GD9V" TargetMode="External"/><Relationship Id="rId973" Type="http://schemas.openxmlformats.org/officeDocument/2006/relationships/hyperlink" Target="https://www.amazon.co.uk/dp/B07678R3S8" TargetMode="External"/><Relationship Id="rId974" Type="http://schemas.openxmlformats.org/officeDocument/2006/relationships/hyperlink" Target="https://www.amazon.co.uk/dp/B0FL5NF476" TargetMode="External"/><Relationship Id="rId975" Type="http://schemas.openxmlformats.org/officeDocument/2006/relationships/hyperlink" Target="https://www.amazon.co.uk/dp/B08PJ79V1T" TargetMode="External"/><Relationship Id="rId976" Type="http://schemas.openxmlformats.org/officeDocument/2006/relationships/hyperlink" Target="https://www.amazon.co.uk/dp/B08PS3ZFFF" TargetMode="External"/><Relationship Id="rId977" Type="http://schemas.openxmlformats.org/officeDocument/2006/relationships/hyperlink" Target="https://www.amazon.co.uk/dp/B09DZ5D271" TargetMode="External"/><Relationship Id="rId978" Type="http://schemas.openxmlformats.org/officeDocument/2006/relationships/hyperlink" Target="https://www.amazon.co.uk/dp/B0FDB8JKXM" TargetMode="External"/><Relationship Id="rId979" Type="http://schemas.openxmlformats.org/officeDocument/2006/relationships/hyperlink" Target="https://www.amazon.co.uk/dp/B0748MT9ZB" TargetMode="External"/><Relationship Id="rId980" Type="http://schemas.openxmlformats.org/officeDocument/2006/relationships/hyperlink" Target="https://www.amazon.co.uk/dp/B018UG4VVO" TargetMode="External"/><Relationship Id="rId981" Type="http://schemas.openxmlformats.org/officeDocument/2006/relationships/hyperlink" Target="https://www.amazon.co.uk/dp/B06XPFW75C" TargetMode="External"/><Relationship Id="rId982" Type="http://schemas.openxmlformats.org/officeDocument/2006/relationships/hyperlink" Target="https://www.amazon.co.uk/dp/B00AV4OGIC" TargetMode="External"/><Relationship Id="rId983" Type="http://schemas.openxmlformats.org/officeDocument/2006/relationships/hyperlink" Target="https://www.amazon.co.uk/dp/B01CQNN7F8" TargetMode="External"/><Relationship Id="rId984" Type="http://schemas.openxmlformats.org/officeDocument/2006/relationships/hyperlink" Target="https://www.amazon.co.uk/dp/B013P4YJ9K" TargetMode="External"/><Relationship Id="rId985" Type="http://schemas.openxmlformats.org/officeDocument/2006/relationships/hyperlink" Target="https://www.amazon.co.uk/dp/B0FLY6LMD8" TargetMode="External"/><Relationship Id="rId986" Type="http://schemas.openxmlformats.org/officeDocument/2006/relationships/hyperlink" Target="https://www.amazon.co.uk/dp/B06XWGVZ5R" TargetMode="External"/><Relationship Id="rId987" Type="http://schemas.openxmlformats.org/officeDocument/2006/relationships/hyperlink" Target="https://www.amazon.co.uk/dp/B0748NW2RC" TargetMode="External"/><Relationship Id="rId988" Type="http://schemas.openxmlformats.org/officeDocument/2006/relationships/hyperlink" Target="https://www.amazon.co.uk/dp/B0FLY7DGLH" TargetMode="External"/><Relationship Id="rId989" Type="http://schemas.openxmlformats.org/officeDocument/2006/relationships/hyperlink" Target="https://www.amazon.co.uk/dp/B09Q94H15H" TargetMode="External"/><Relationship Id="rId990" Type="http://schemas.openxmlformats.org/officeDocument/2006/relationships/hyperlink" Target="https://www.amazon.co.uk/dp/B08ZM8WSD3" TargetMode="External"/><Relationship Id="rId991" Type="http://schemas.openxmlformats.org/officeDocument/2006/relationships/hyperlink" Target="https://www.amazon.co.uk/dp/B083K6XB83" TargetMode="External"/><Relationship Id="rId992" Type="http://schemas.openxmlformats.org/officeDocument/2006/relationships/hyperlink" Target="https://www.amazon.co.uk/dp/B07WHJ4PXX" TargetMode="External"/><Relationship Id="rId993" Type="http://schemas.openxmlformats.org/officeDocument/2006/relationships/hyperlink" Target="https://www.amazon.co.uk/dp/B072DS2C9S" TargetMode="External"/><Relationship Id="rId994" Type="http://schemas.openxmlformats.org/officeDocument/2006/relationships/hyperlink" Target="https://www.amazon.co.uk/dp/B0F4HLKJFL" TargetMode="External"/><Relationship Id="rId995" Type="http://schemas.openxmlformats.org/officeDocument/2006/relationships/hyperlink" Target="https://www.amazon.co.uk/dp/B0CFVYCXWV" TargetMode="External"/><Relationship Id="rId996" Type="http://schemas.openxmlformats.org/officeDocument/2006/relationships/hyperlink" Target="https://www.amazon.co.uk/dp/B08HJ6V5RD" TargetMode="External"/><Relationship Id="rId997" Type="http://schemas.openxmlformats.org/officeDocument/2006/relationships/hyperlink" Target="https://www.amazon.co.uk/dp/B0CFW3GG1R" TargetMode="External"/><Relationship Id="rId998" Type="http://schemas.openxmlformats.org/officeDocument/2006/relationships/hyperlink" Target="https://www.amazon.co.uk/dp/B07QL1J9BY" TargetMode="External"/><Relationship Id="rId999" Type="http://schemas.openxmlformats.org/officeDocument/2006/relationships/hyperlink" Target="https://www.amazon.co.uk/dp/B0B752BYBV" TargetMode="External"/><Relationship Id="rId1000" Type="http://schemas.openxmlformats.org/officeDocument/2006/relationships/hyperlink" Target="https://www.amazon.co.uk/dp/B0GYTF4QG8" TargetMode="External"/><Relationship Id="rId1001" Type="http://schemas.openxmlformats.org/officeDocument/2006/relationships/hyperlink" Target="https://www.amazon.co.uk/dp/B0C3MR1Z2Q" TargetMode="External"/><Relationship Id="rId1002" Type="http://schemas.openxmlformats.org/officeDocument/2006/relationships/hyperlink" Target="https://www.amazon.co.uk/dp/B0C3MVX52C" TargetMode="External"/><Relationship Id="rId1003" Type="http://schemas.openxmlformats.org/officeDocument/2006/relationships/hyperlink" Target="https://www.amazon.co.uk/dp/B01076C7VQ" TargetMode="External"/><Relationship Id="rId1004" Type="http://schemas.openxmlformats.org/officeDocument/2006/relationships/hyperlink" Target="https://www.amazon.co.uk/dp/B0CY9ZNYYD" TargetMode="External"/><Relationship Id="rId1005" Type="http://schemas.openxmlformats.org/officeDocument/2006/relationships/hyperlink" Target="https://www.amazon.co.uk/dp/B0CQPFJKGM" TargetMode="External"/><Relationship Id="rId1006" Type="http://schemas.openxmlformats.org/officeDocument/2006/relationships/hyperlink" Target="https://www.amazon.co.uk/dp/B0CQKLJY1Q" TargetMode="External"/><Relationship Id="rId1007" Type="http://schemas.openxmlformats.org/officeDocument/2006/relationships/hyperlink" Target="https://www.amazon.co.uk/dp/B0B17HHHQD" TargetMode="External"/><Relationship Id="rId1008" Type="http://schemas.openxmlformats.org/officeDocument/2006/relationships/hyperlink" Target="https://www.amazon.co.uk/dp/B0BX9H7SJ7" TargetMode="External"/><Relationship Id="rId1009" Type="http://schemas.openxmlformats.org/officeDocument/2006/relationships/hyperlink" Target="https://www.amazon.co.uk/dp/B07ZNVLN4R" TargetMode="External"/><Relationship Id="rId1010" Type="http://schemas.openxmlformats.org/officeDocument/2006/relationships/hyperlink" Target="https://www.amazon.co.uk/dp/B0CV6XDBHJ" TargetMode="External"/><Relationship Id="rId1011" Type="http://schemas.openxmlformats.org/officeDocument/2006/relationships/hyperlink" Target="https://www.amazon.co.uk/dp/B076Z6MS3F" TargetMode="External"/><Relationship Id="rId1012" Type="http://schemas.openxmlformats.org/officeDocument/2006/relationships/hyperlink" Target="https://www.amazon.co.uk/dp/B0CY9Q6KDW" TargetMode="External"/><Relationship Id="rId1013" Type="http://schemas.openxmlformats.org/officeDocument/2006/relationships/hyperlink" Target="https://www.amazon.co.uk/dp/B07DVYN14P" TargetMode="External"/><Relationship Id="rId1014" Type="http://schemas.openxmlformats.org/officeDocument/2006/relationships/hyperlink" Target="https://www.amazon.co.uk/dp/B0FJQGBCWM" TargetMode="External"/><Relationship Id="rId1015" Type="http://schemas.openxmlformats.org/officeDocument/2006/relationships/hyperlink" Target="https://www.amazon.co.uk/dp/B0B4F78QZX" TargetMode="External"/><Relationship Id="rId1016" Type="http://schemas.openxmlformats.org/officeDocument/2006/relationships/hyperlink" Target="https://www.amazon.co.uk/dp/B0CTTXR745" TargetMode="External"/><Relationship Id="rId1017" Type="http://schemas.openxmlformats.org/officeDocument/2006/relationships/hyperlink" Target="https://www.amazon.co.uk/dp/B085CTT2B1" TargetMode="External"/><Relationship Id="rId1018" Type="http://schemas.openxmlformats.org/officeDocument/2006/relationships/hyperlink" Target="https://www.amazon.co.uk/dp/B00J4RM850" TargetMode="External"/><Relationship Id="rId1019" Type="http://schemas.openxmlformats.org/officeDocument/2006/relationships/hyperlink" Target="https://www.amazon.co.uk/dp/B0H2MSHZFY" TargetMode="External"/><Relationship Id="rId1020" Type="http://schemas.openxmlformats.org/officeDocument/2006/relationships/hyperlink" Target="https://www.amazon.co.uk/dp/B0B1J9SL32" TargetMode="External"/><Relationship Id="rId1021" Type="http://schemas.openxmlformats.org/officeDocument/2006/relationships/hyperlink" Target="https://www.amazon.co.uk/dp/B00FDTEIO2" TargetMode="External"/><Relationship Id="rId1022" Type="http://schemas.openxmlformats.org/officeDocument/2006/relationships/hyperlink" Target="https://www.amazon.co.uk/dp/B0C9TZ5LZV" TargetMode="External"/><Relationship Id="rId1023" Type="http://schemas.openxmlformats.org/officeDocument/2006/relationships/hyperlink" Target="https://www.amazon.co.uk/dp/B09J94DB5H" TargetMode="External"/><Relationship Id="rId1024" Type="http://schemas.openxmlformats.org/officeDocument/2006/relationships/hyperlink" Target="https://www.amazon.co.uk/dp/B072M5ZT78" TargetMode="External"/><Relationship Id="rId1025" Type="http://schemas.openxmlformats.org/officeDocument/2006/relationships/hyperlink" Target="https://www.amazon.co.uk/dp/B0GZ7H55DG" TargetMode="External"/><Relationship Id="rId1026" Type="http://schemas.openxmlformats.org/officeDocument/2006/relationships/hyperlink" Target="https://www.amazon.co.uk/dp/B07MNPNDVW" TargetMode="External"/><Relationship Id="rId1027" Type="http://schemas.openxmlformats.org/officeDocument/2006/relationships/hyperlink" Target="https://www.amazon.co.uk/dp/B08NXZHCD4" TargetMode="External"/><Relationship Id="rId1028" Type="http://schemas.openxmlformats.org/officeDocument/2006/relationships/hyperlink" Target="https://www.amazon.co.uk/dp/B07M9RG9TT" TargetMode="External"/><Relationship Id="rId1029" Type="http://schemas.openxmlformats.org/officeDocument/2006/relationships/hyperlink" Target="https://www.amazon.co.uk/dp/B07ZHW1DK2" TargetMode="External"/><Relationship Id="rId1030" Type="http://schemas.openxmlformats.org/officeDocument/2006/relationships/hyperlink" Target="https://www.amazon.co.uk/dp/B07XC3L1H7" TargetMode="External"/><Relationship Id="rId1031" Type="http://schemas.openxmlformats.org/officeDocument/2006/relationships/hyperlink" Target="https://www.amazon.co.uk/dp/B076HGVP88" TargetMode="External"/><Relationship Id="rId1032" Type="http://schemas.openxmlformats.org/officeDocument/2006/relationships/hyperlink" Target="https://www.amazon.co.uk/dp/B0GJTZXT8Y" TargetMode="External"/><Relationship Id="rId1033" Type="http://schemas.openxmlformats.org/officeDocument/2006/relationships/hyperlink" Target="https://www.amazon.co.uk/dp/B076M25714" TargetMode="External"/><Relationship Id="rId1034" Type="http://schemas.openxmlformats.org/officeDocument/2006/relationships/hyperlink" Target="https://www.amazon.co.uk/dp/B0GPDCDV6K" TargetMode="External"/><Relationship Id="rId1035" Type="http://schemas.openxmlformats.org/officeDocument/2006/relationships/hyperlink" Target="https://www.amazon.co.uk/dp/B0DF1W1ZBY" TargetMode="External"/><Relationship Id="rId1036" Type="http://schemas.openxmlformats.org/officeDocument/2006/relationships/hyperlink" Target="https://www.amazon.co.uk/dp/B071FRV3Q1" TargetMode="External"/><Relationship Id="rId1037" Type="http://schemas.openxmlformats.org/officeDocument/2006/relationships/hyperlink" Target="https://www.amazon.co.uk/dp/B00GAXK1L4" TargetMode="External"/><Relationship Id="rId1038" Type="http://schemas.openxmlformats.org/officeDocument/2006/relationships/hyperlink" Target="https://www.amazon.co.uk/dp/B08DJ73WYQ" TargetMode="External"/><Relationship Id="rId1039" Type="http://schemas.openxmlformats.org/officeDocument/2006/relationships/hyperlink" Target="https://www.amazon.co.uk/dp/B0FPRHZPC9" TargetMode="External"/><Relationship Id="rId1040" Type="http://schemas.openxmlformats.org/officeDocument/2006/relationships/hyperlink" Target="https://www.amazon.co.uk/dp/B0H1CTSDM4" TargetMode="External"/><Relationship Id="rId1041" Type="http://schemas.openxmlformats.org/officeDocument/2006/relationships/hyperlink" Target="https://www.amazon.co.uk/dp/B0GZ7PN79W" TargetMode="External"/><Relationship Id="rId1042" Type="http://schemas.openxmlformats.org/officeDocument/2006/relationships/hyperlink" Target="https://www.amazon.co.uk/dp/B013TVZDXK" TargetMode="External"/><Relationship Id="rId1043" Type="http://schemas.openxmlformats.org/officeDocument/2006/relationships/hyperlink" Target="https://www.amazon.co.uk/dp/B0DP7TKRJ9" TargetMode="External"/><Relationship Id="rId1044" Type="http://schemas.openxmlformats.org/officeDocument/2006/relationships/hyperlink" Target="https://www.amazon.co.uk/dp/B01MYQ448Z" TargetMode="External"/><Relationship Id="rId1045" Type="http://schemas.openxmlformats.org/officeDocument/2006/relationships/hyperlink" Target="https://www.amazon.co.uk/dp/B0D4ZJCW48" TargetMode="External"/><Relationship Id="rId1046" Type="http://schemas.openxmlformats.org/officeDocument/2006/relationships/hyperlink" Target="https://www.amazon.co.uk/dp/B0H2MZGPPR" TargetMode="External"/><Relationship Id="rId1047" Type="http://schemas.openxmlformats.org/officeDocument/2006/relationships/hyperlink" Target="https://www.amazon.co.uk/dp/B0CQWD4KP6" TargetMode="External"/><Relationship Id="rId1048" Type="http://schemas.openxmlformats.org/officeDocument/2006/relationships/hyperlink" Target="https://www.amazon.co.uk/dp/B09LMDSS4D" TargetMode="External"/><Relationship Id="rId1049" Type="http://schemas.openxmlformats.org/officeDocument/2006/relationships/hyperlink" Target="https://www.amazon.co.uk/dp/B09C6HRPJ2" TargetMode="External"/><Relationship Id="rId1050" Type="http://schemas.openxmlformats.org/officeDocument/2006/relationships/hyperlink" Target="https://www.amazon.co.uk/dp/B01FZHB65A" TargetMode="External"/><Relationship Id="rId1051" Type="http://schemas.openxmlformats.org/officeDocument/2006/relationships/hyperlink" Target="https://www.amazon.co.uk/dp/B0B2FSX1MD" TargetMode="External"/><Relationship Id="rId1052" Type="http://schemas.openxmlformats.org/officeDocument/2006/relationships/hyperlink" Target="https://www.amazon.co.uk/dp/B07XF9BHG4" TargetMode="External"/><Relationship Id="rId1053" Type="http://schemas.openxmlformats.org/officeDocument/2006/relationships/hyperlink" Target="https://www.amazon.co.uk/dp/B01N537CYD" TargetMode="External"/><Relationship Id="rId1054" Type="http://schemas.openxmlformats.org/officeDocument/2006/relationships/hyperlink" Target="https://www.amazon.co.uk/dp/B0DZXRF743" TargetMode="External"/><Relationship Id="rId1055" Type="http://schemas.openxmlformats.org/officeDocument/2006/relationships/hyperlink" Target="https://www.amazon.co.uk/dp/B0CPHGBNGR" TargetMode="External"/><Relationship Id="rId1056" Type="http://schemas.openxmlformats.org/officeDocument/2006/relationships/hyperlink" Target="https://www.amazon.co.uk/dp/B0CKJ9QH91" TargetMode="External"/><Relationship Id="rId1057" Type="http://schemas.openxmlformats.org/officeDocument/2006/relationships/hyperlink" Target="https://www.amazon.co.uk/dp/B0D9LLSVC4" TargetMode="External"/><Relationship Id="rId1058" Type="http://schemas.openxmlformats.org/officeDocument/2006/relationships/hyperlink" Target="https://www.amazon.co.uk/dp/B0BMW25HYV" TargetMode="External"/><Relationship Id="rId1059" Type="http://schemas.openxmlformats.org/officeDocument/2006/relationships/hyperlink" Target="https://www.amazon.co.uk/dp/B0GDV1J184" TargetMode="External"/><Relationship Id="rId1060" Type="http://schemas.openxmlformats.org/officeDocument/2006/relationships/hyperlink" Target="https://www.amazon.co.uk/dp/B0D9LM8GJJ" TargetMode="External"/><Relationship Id="rId1061" Type="http://schemas.openxmlformats.org/officeDocument/2006/relationships/hyperlink" Target="https://www.amazon.co.uk/dp/B0D9LJHJBK" TargetMode="External"/><Relationship Id="rId1062" Type="http://schemas.openxmlformats.org/officeDocument/2006/relationships/hyperlink" Target="https://www.amazon.co.uk/dp/B071WJ74F4" TargetMode="External"/><Relationship Id="rId1063" Type="http://schemas.openxmlformats.org/officeDocument/2006/relationships/hyperlink" Target="https://www.amazon.co.uk/dp/B0H26RT1W3" TargetMode="External"/><Relationship Id="rId1064" Type="http://schemas.openxmlformats.org/officeDocument/2006/relationships/hyperlink" Target="https://www.amazon.co.uk/dp/B08TCCZ345" TargetMode="External"/><Relationship Id="rId1065" Type="http://schemas.openxmlformats.org/officeDocument/2006/relationships/hyperlink" Target="https://www.amazon.co.uk/dp/B0871VP4JX" TargetMode="External"/><Relationship Id="rId1066" Type="http://schemas.openxmlformats.org/officeDocument/2006/relationships/hyperlink" Target="https://www.amazon.co.uk/dp/B07L8VZNS9" TargetMode="External"/><Relationship Id="rId1067" Type="http://schemas.openxmlformats.org/officeDocument/2006/relationships/hyperlink" Target="https://www.amazon.co.uk/dp/B076HGVP89" TargetMode="External"/><Relationship Id="rId1068" Type="http://schemas.openxmlformats.org/officeDocument/2006/relationships/hyperlink" Target="https://www.amazon.co.uk/dp/B0F6728X3T" TargetMode="External"/><Relationship Id="rId1069" Type="http://schemas.openxmlformats.org/officeDocument/2006/relationships/hyperlink" Target="https://www.amazon.co.uk/dp/B09TFR2RGQ" TargetMode="External"/><Relationship Id="rId1070" Type="http://schemas.openxmlformats.org/officeDocument/2006/relationships/hyperlink" Target="https://www.amazon.co.uk/dp/B01N97ZO4S" TargetMode="External"/><Relationship Id="rId1071" Type="http://schemas.openxmlformats.org/officeDocument/2006/relationships/hyperlink" Target="https://www.amazon.co.uk/dp/B0CN72Q7PX" TargetMode="External"/><Relationship Id="rId1072" Type="http://schemas.openxmlformats.org/officeDocument/2006/relationships/hyperlink" Target="https://www.amazon.co.uk/dp/B07T1DVCM2" TargetMode="External"/><Relationship Id="rId1073" Type="http://schemas.openxmlformats.org/officeDocument/2006/relationships/hyperlink" Target="https://www.amazon.co.uk/dp/B0DBZSFVSJ" TargetMode="External"/><Relationship Id="rId1074" Type="http://schemas.openxmlformats.org/officeDocument/2006/relationships/hyperlink" Target="https://www.amazon.co.uk/dp/B07J1SC7NZ" TargetMode="External"/><Relationship Id="rId1075" Type="http://schemas.openxmlformats.org/officeDocument/2006/relationships/hyperlink" Target="https://www.amazon.co.uk/dp/B0GRVLLQWT" TargetMode="External"/><Relationship Id="rId1076" Type="http://schemas.openxmlformats.org/officeDocument/2006/relationships/hyperlink" Target="https://www.amazon.co.uk/dp/B0DBJ5SZDM" TargetMode="External"/><Relationship Id="rId1077" Type="http://schemas.openxmlformats.org/officeDocument/2006/relationships/hyperlink" Target="https://www.amazon.co.uk/dp/B0FDB9Z726" TargetMode="External"/><Relationship Id="rId1078" Type="http://schemas.openxmlformats.org/officeDocument/2006/relationships/hyperlink" Target="https://www.amazon.co.uk/dp/B01N1VZFXV" TargetMode="External"/><Relationship Id="rId1079" Type="http://schemas.openxmlformats.org/officeDocument/2006/relationships/hyperlink" Target="https://www.amazon.com/dp/B0F29F1JM5" TargetMode="External"/><Relationship Id="rId1080" Type="http://schemas.openxmlformats.org/officeDocument/2006/relationships/hyperlink" Target="https://www.amazon.com/dp/B0DN1DVKH5" TargetMode="External"/><Relationship Id="rId1081" Type="http://schemas.openxmlformats.org/officeDocument/2006/relationships/hyperlink" Target="https://www.amazon.com/dp/B0DN1H6C88" TargetMode="External"/><Relationship Id="rId1082" Type="http://schemas.openxmlformats.org/officeDocument/2006/relationships/hyperlink" Target="https://www.amazon.com/dp/B0FT7LV7PP" TargetMode="External"/><Relationship Id="rId1083" Type="http://schemas.openxmlformats.org/officeDocument/2006/relationships/hyperlink" Target="https://www.amazon.com/dp/B07DZTQ4JC" TargetMode="External"/><Relationship Id="rId1084" Type="http://schemas.openxmlformats.org/officeDocument/2006/relationships/hyperlink" Target="https://www.amazon.com/dp/B0FT7LZ2CD" TargetMode="External"/><Relationship Id="rId1085" Type="http://schemas.openxmlformats.org/officeDocument/2006/relationships/hyperlink" Target="https://www.amazon.com/dp/B0GFHGS4DP" TargetMode="External"/><Relationship Id="rId1086" Type="http://schemas.openxmlformats.org/officeDocument/2006/relationships/hyperlink" Target="https://www.amazon.com/dp/B07YKCZHGK" TargetMode="External"/><Relationship Id="rId1087" Type="http://schemas.openxmlformats.org/officeDocument/2006/relationships/hyperlink" Target="https://www.amazon.com/dp/B0H4SZWRK8" TargetMode="External"/><Relationship Id="rId1088" Type="http://schemas.openxmlformats.org/officeDocument/2006/relationships/hyperlink" Target="https://www.amazon.com/dp/B0FT7LB4HT" TargetMode="External"/><Relationship Id="rId1089" Type="http://schemas.openxmlformats.org/officeDocument/2006/relationships/hyperlink" Target="https://www.amazon.com/dp/B01N9L2O9P" TargetMode="External"/><Relationship Id="rId1090" Type="http://schemas.openxmlformats.org/officeDocument/2006/relationships/hyperlink" Target="https://www.amazon.com/dp/B0DNSGPQCZ" TargetMode="External"/><Relationship Id="rId1091" Type="http://schemas.openxmlformats.org/officeDocument/2006/relationships/hyperlink" Target="https://www.amazon.com/dp/B0DNSSYC77" TargetMode="External"/><Relationship Id="rId1092" Type="http://schemas.openxmlformats.org/officeDocument/2006/relationships/hyperlink" Target="https://www.amazon.com/dp/B0FT7NXWTL" TargetMode="External"/><Relationship Id="rId1093" Type="http://schemas.openxmlformats.org/officeDocument/2006/relationships/hyperlink" Target="https://www.amazon.com/dp/B0F9DZ8P6K" TargetMode="External"/><Relationship Id="rId1094" Type="http://schemas.openxmlformats.org/officeDocument/2006/relationships/hyperlink" Target="https://www.amazon.com/dp/B0B8JLLT45" TargetMode="External"/><Relationship Id="rId1095" Type="http://schemas.openxmlformats.org/officeDocument/2006/relationships/hyperlink" Target="https://www.amazon.com/dp/B0DN1D4YKB" TargetMode="External"/><Relationship Id="rId1096" Type="http://schemas.openxmlformats.org/officeDocument/2006/relationships/hyperlink" Target="https://www.amazon.com/dp/B0DN1H5PQ6" TargetMode="External"/><Relationship Id="rId1097" Type="http://schemas.openxmlformats.org/officeDocument/2006/relationships/hyperlink" Target="https://www.amazon.com/dp/B0HJ5LB5JL" TargetMode="External"/><Relationship Id="rId1098" Type="http://schemas.openxmlformats.org/officeDocument/2006/relationships/hyperlink" Target="https://www.amazon.com/dp/B0HF3WVG8L" TargetMode="External"/><Relationship Id="rId1099" Type="http://schemas.openxmlformats.org/officeDocument/2006/relationships/hyperlink" Target="https://www.amazon.com/dp/B01M16WBW1" TargetMode="External"/><Relationship Id="rId1100" Type="http://schemas.openxmlformats.org/officeDocument/2006/relationships/hyperlink" Target="https://www.amazon.com/dp/B0GT8Z4X5D" TargetMode="External"/><Relationship Id="rId1101" Type="http://schemas.openxmlformats.org/officeDocument/2006/relationships/hyperlink" Target="https://www.amazon.com/dp/B0G3NPXJTQ" TargetMode="External"/><Relationship Id="rId1102" Type="http://schemas.openxmlformats.org/officeDocument/2006/relationships/hyperlink" Target="https://www.amazon.com/dp/B0GX15Y7TT" TargetMode="External"/><Relationship Id="rId1103" Type="http://schemas.openxmlformats.org/officeDocument/2006/relationships/hyperlink" Target="https://www.amazon.com/dp/B0GK7YYHY7" TargetMode="External"/><Relationship Id="rId1104" Type="http://schemas.openxmlformats.org/officeDocument/2006/relationships/hyperlink" Target="https://www.amazon.com/dp/B0FT7M48XV" TargetMode="External"/><Relationship Id="rId1105" Type="http://schemas.openxmlformats.org/officeDocument/2006/relationships/hyperlink" Target="https://www.amazon.com/dp/B0FB8XR43Q" TargetMode="External"/><Relationship Id="rId1106" Type="http://schemas.openxmlformats.org/officeDocument/2006/relationships/hyperlink" Target="https://www.amazon.com/dp/B0GTZ8J8DJ" TargetMode="External"/><Relationship Id="rId1107" Type="http://schemas.openxmlformats.org/officeDocument/2006/relationships/hyperlink" Target="https://www.amazon.com/dp/B09PYKYCCF" TargetMode="External"/><Relationship Id="rId1108" Type="http://schemas.openxmlformats.org/officeDocument/2006/relationships/hyperlink" Target="https://www.amazon.com/dp/B07MZ4GKZH" TargetMode="External"/><Relationship Id="rId1109" Type="http://schemas.openxmlformats.org/officeDocument/2006/relationships/hyperlink" Target="https://www.amazon.com/dp/B07MZ9223H" TargetMode="External"/><Relationship Id="rId1110" Type="http://schemas.openxmlformats.org/officeDocument/2006/relationships/hyperlink" Target="https://www.amazon.com/dp/B07YK8VTJV" TargetMode="External"/><Relationship Id="rId1111" Type="http://schemas.openxmlformats.org/officeDocument/2006/relationships/hyperlink" Target="https://www.amazon.com/dp/B0FT7Q2PLM" TargetMode="External"/><Relationship Id="rId1112" Type="http://schemas.openxmlformats.org/officeDocument/2006/relationships/hyperlink" Target="https://www.amazon.com/dp/B07YKCQBBL" TargetMode="External"/><Relationship Id="rId1113" Type="http://schemas.openxmlformats.org/officeDocument/2006/relationships/hyperlink" Target="https://www.amazon.com/dp/B0C97CQNRK" TargetMode="External"/><Relationship Id="rId1114" Type="http://schemas.openxmlformats.org/officeDocument/2006/relationships/hyperlink" Target="https://www.amazon.com/dp/B0DR987TQH" TargetMode="External"/><Relationship Id="rId1115" Type="http://schemas.openxmlformats.org/officeDocument/2006/relationships/hyperlink" Target="https://www.amazon.com/dp/B0DSZTLBV1" TargetMode="External"/><Relationship Id="rId1116" Type="http://schemas.openxmlformats.org/officeDocument/2006/relationships/hyperlink" Target="https://www.amazon.com/dp/B0H5W8TD2W" TargetMode="External"/><Relationship Id="rId1117" Type="http://schemas.openxmlformats.org/officeDocument/2006/relationships/hyperlink" Target="https://www.amazon.com/dp/B0F29HFNNS" TargetMode="External"/><Relationship Id="rId1118" Type="http://schemas.openxmlformats.org/officeDocument/2006/relationships/hyperlink" Target="https://www.amazon.com/dp/B0F4KP9QQG" TargetMode="External"/><Relationship Id="rId1119" Type="http://schemas.openxmlformats.org/officeDocument/2006/relationships/hyperlink" Target="https://www.amazon.com/dp/B0G1N8QS55" TargetMode="External"/><Relationship Id="rId1120" Type="http://schemas.openxmlformats.org/officeDocument/2006/relationships/hyperlink" Target="https://www.amazon.com/dp/B07YKCB6GL" TargetMode="External"/><Relationship Id="rId1121" Type="http://schemas.openxmlformats.org/officeDocument/2006/relationships/hyperlink" Target="https://www.amazon.com/dp/B0F486YPLG" TargetMode="External"/><Relationship Id="rId1122" Type="http://schemas.openxmlformats.org/officeDocument/2006/relationships/hyperlink" Target="https://www.amazon.com/dp/B0DD6KM2BW" TargetMode="External"/><Relationship Id="rId1123" Type="http://schemas.openxmlformats.org/officeDocument/2006/relationships/hyperlink" Target="https://www.amazon.com/dp/B0H1M9LYGP" TargetMode="External"/><Relationship Id="rId1124" Type="http://schemas.openxmlformats.org/officeDocument/2006/relationships/hyperlink" Target="https://www.amazon.com/dp/B0CQ2XQF9N" TargetMode="External"/><Relationship Id="rId1125" Type="http://schemas.openxmlformats.org/officeDocument/2006/relationships/hyperlink" Target="https://www.amazon.com/dp/B0H9QD7RD5" TargetMode="External"/><Relationship Id="rId1126" Type="http://schemas.openxmlformats.org/officeDocument/2006/relationships/hyperlink" Target="https://www.amazon.com/dp/B0H23DX2WS" TargetMode="External"/><Relationship Id="rId1127" Type="http://schemas.openxmlformats.org/officeDocument/2006/relationships/hyperlink" Target="https://www.amazon.com/dp/B08CRJYM55" TargetMode="External"/><Relationship Id="rId1128" Type="http://schemas.openxmlformats.org/officeDocument/2006/relationships/hyperlink" Target="https://www.amazon.com/dp/B0B7JRZ6LX" TargetMode="External"/><Relationship Id="rId1129" Type="http://schemas.openxmlformats.org/officeDocument/2006/relationships/hyperlink" Target="https://www.amazon.com/dp/B0HBQ4JJ21" TargetMode="External"/><Relationship Id="rId1130" Type="http://schemas.openxmlformats.org/officeDocument/2006/relationships/hyperlink" Target="https://www.amazon.com/dp/B0BNJDPSF7" TargetMode="External"/><Relationship Id="rId1131" Type="http://schemas.openxmlformats.org/officeDocument/2006/relationships/hyperlink" Target="https://www.amazon.com/dp/B0CJJT1PT6" TargetMode="External"/><Relationship Id="rId1132" Type="http://schemas.openxmlformats.org/officeDocument/2006/relationships/hyperlink" Target="https://www.amazon.com/dp/B0DQ8CZ187" TargetMode="External"/><Relationship Id="rId1133" Type="http://schemas.openxmlformats.org/officeDocument/2006/relationships/hyperlink" Target="https://www.amazon.com/dp/B0CXPVQ5DK" TargetMode="External"/><Relationship Id="rId1134" Type="http://schemas.openxmlformats.org/officeDocument/2006/relationships/hyperlink" Target="https://www.amazon.com/dp/B0DX75YHHS" TargetMode="External"/><Relationship Id="rId1135" Type="http://schemas.openxmlformats.org/officeDocument/2006/relationships/hyperlink" Target="https://www.amazon.com/dp/B08CRNCJFC" TargetMode="External"/><Relationship Id="rId1136" Type="http://schemas.openxmlformats.org/officeDocument/2006/relationships/hyperlink" Target="https://www.amazon.com/dp/B08P4SLD52" TargetMode="External"/><Relationship Id="rId1137" Type="http://schemas.openxmlformats.org/officeDocument/2006/relationships/hyperlink" Target="https://www.amazon.com/dp/B0DM637LTF" TargetMode="External"/><Relationship Id="rId1138" Type="http://schemas.openxmlformats.org/officeDocument/2006/relationships/hyperlink" Target="https://www.amazon.com/dp/B0DXK4H9GK" TargetMode="External"/><Relationship Id="rId1139" Type="http://schemas.openxmlformats.org/officeDocument/2006/relationships/hyperlink" Target="https://www.amazon.com/dp/B0C4GJSJ9M" TargetMode="External"/><Relationship Id="rId1140" Type="http://schemas.openxmlformats.org/officeDocument/2006/relationships/hyperlink" Target="https://www.amazon.com/dp/B09R93GGS4" TargetMode="External"/><Relationship Id="rId1141" Type="http://schemas.openxmlformats.org/officeDocument/2006/relationships/hyperlink" Target="https://www.amazon.com/dp/B0F2168H6R" TargetMode="External"/><Relationship Id="rId1142" Type="http://schemas.openxmlformats.org/officeDocument/2006/relationships/hyperlink" Target="https://www.amazon.com/dp/B0CPDMH1C7" TargetMode="External"/><Relationship Id="rId1143" Type="http://schemas.openxmlformats.org/officeDocument/2006/relationships/hyperlink" Target="https://www.amazon.com/dp/B07NYR18X4" TargetMode="External"/><Relationship Id="rId1144" Type="http://schemas.openxmlformats.org/officeDocument/2006/relationships/hyperlink" Target="https://www.amazon.com/dp/B0DRP4NB2D" TargetMode="External"/><Relationship Id="rId1145" Type="http://schemas.openxmlformats.org/officeDocument/2006/relationships/hyperlink" Target="https://www.amazon.com/dp/B0CN35M4F4" TargetMode="External"/><Relationship Id="rId1146" Type="http://schemas.openxmlformats.org/officeDocument/2006/relationships/hyperlink" Target="https://www.amazon.com/dp/B0D14L8P87" TargetMode="External"/><Relationship Id="rId1147" Type="http://schemas.openxmlformats.org/officeDocument/2006/relationships/hyperlink" Target="https://www.amazon.com/dp/B0CVVJ5D94" TargetMode="External"/><Relationship Id="rId1148" Type="http://schemas.openxmlformats.org/officeDocument/2006/relationships/hyperlink" Target="https://www.amazon.com/dp/B0CMZX4425" TargetMode="External"/><Relationship Id="rId1149" Type="http://schemas.openxmlformats.org/officeDocument/2006/relationships/hyperlink" Target="https://www.amazon.com/dp/B0DW3CLZSY" TargetMode="External"/><Relationship Id="rId1150" Type="http://schemas.openxmlformats.org/officeDocument/2006/relationships/hyperlink" Target="https://www.amazon.com/dp/B0C5398TC4" TargetMode="External"/><Relationship Id="rId1151" Type="http://schemas.openxmlformats.org/officeDocument/2006/relationships/hyperlink" Target="https://www.amazon.com/dp/B0CBPRLJ8Y" TargetMode="External"/><Relationship Id="rId1152" Type="http://schemas.openxmlformats.org/officeDocument/2006/relationships/hyperlink" Target="https://www.amazon.com/dp/B076DD56XT" TargetMode="External"/><Relationship Id="rId1153" Type="http://schemas.openxmlformats.org/officeDocument/2006/relationships/hyperlink" Target="https://www.amazon.com/dp/B0C7Q6LFQ5" TargetMode="External"/><Relationship Id="rId1154" Type="http://schemas.openxmlformats.org/officeDocument/2006/relationships/hyperlink" Target="https://www.amazon.com/dp/B0FNMXV7CF" TargetMode="External"/><Relationship Id="rId1155" Type="http://schemas.openxmlformats.org/officeDocument/2006/relationships/hyperlink" Target="https://www.amazon.com/dp/B0BLVH5YX3" TargetMode="External"/><Relationship Id="rId1156" Type="http://schemas.openxmlformats.org/officeDocument/2006/relationships/hyperlink" Target="https://www.amazon.com/dp/B0D78WSGV8" TargetMode="External"/><Relationship Id="rId1157" Type="http://schemas.openxmlformats.org/officeDocument/2006/relationships/hyperlink" Target="https://www.amazon.com/dp/B0CFLJZ7B1" TargetMode="External"/><Relationship Id="rId1158" Type="http://schemas.openxmlformats.org/officeDocument/2006/relationships/hyperlink" Target="https://www.amazon.com/dp/B0CMTT1WPV" TargetMode="External"/><Relationship Id="rId1159" Type="http://schemas.openxmlformats.org/officeDocument/2006/relationships/hyperlink" Target="https://www.amazon.com/dp/B0CZ94J4N9" TargetMode="External"/><Relationship Id="rId1160" Type="http://schemas.openxmlformats.org/officeDocument/2006/relationships/hyperlink" Target="https://www.amazon.com/dp/B0CJJRHGGB" TargetMode="External"/><Relationship Id="rId1161" Type="http://schemas.openxmlformats.org/officeDocument/2006/relationships/hyperlink" Target="https://www.amazon.com/dp/B0F9PHMHSM" TargetMode="External"/><Relationship Id="rId1162" Type="http://schemas.openxmlformats.org/officeDocument/2006/relationships/hyperlink" Target="https://www.amazon.com/dp/B0CM3H9MRY" TargetMode="External"/><Relationship Id="rId1163" Type="http://schemas.openxmlformats.org/officeDocument/2006/relationships/hyperlink" Target="https://www.amazon.com/dp/B0G4RN1DQB" TargetMode="External"/><Relationship Id="rId1164" Type="http://schemas.openxmlformats.org/officeDocument/2006/relationships/hyperlink" Target="https://www.amazon.com/dp/B0CGLPC42G" TargetMode="External"/><Relationship Id="rId1165" Type="http://schemas.openxmlformats.org/officeDocument/2006/relationships/hyperlink" Target="https://www.amazon.com/dp/B0FFGG2LRT" TargetMode="External"/><Relationship Id="rId1166" Type="http://schemas.openxmlformats.org/officeDocument/2006/relationships/hyperlink" Target="https://www.amazon.com/dp/B08YXKR996" TargetMode="External"/><Relationship Id="rId1167" Type="http://schemas.openxmlformats.org/officeDocument/2006/relationships/hyperlink" Target="https://www.amazon.com/dp/B07R4659ZY" TargetMode="External"/><Relationship Id="rId1168" Type="http://schemas.openxmlformats.org/officeDocument/2006/relationships/hyperlink" Target="https://www.amazon.com/dp/B08LDD8HBW" TargetMode="External"/><Relationship Id="rId1169" Type="http://schemas.openxmlformats.org/officeDocument/2006/relationships/hyperlink" Target="https://www.amazon.com/dp/B0DB6Q5LB6" TargetMode="External"/><Relationship Id="rId1170" Type="http://schemas.openxmlformats.org/officeDocument/2006/relationships/hyperlink" Target="https://www.amazon.com/dp/B01MAY5GMK" TargetMode="External"/><Relationship Id="rId1171" Type="http://schemas.openxmlformats.org/officeDocument/2006/relationships/hyperlink" Target="https://www.amazon.com/dp/B0D1Q8SMMQ" TargetMode="External"/><Relationship Id="rId1172" Type="http://schemas.openxmlformats.org/officeDocument/2006/relationships/hyperlink" Target="https://www.amazon.com/dp/B0C81BFLY3" TargetMode="External"/><Relationship Id="rId1173" Type="http://schemas.openxmlformats.org/officeDocument/2006/relationships/hyperlink" Target="https://www.amazon.com/dp/B0D14NLG98" TargetMode="External"/><Relationship Id="rId1174" Type="http://schemas.openxmlformats.org/officeDocument/2006/relationships/hyperlink" Target="https://www.amazon.com/dp/B09P9T7SDH" TargetMode="External"/><Relationship Id="rId1175" Type="http://schemas.openxmlformats.org/officeDocument/2006/relationships/hyperlink" Target="https://www.amazon.com/dp/B0BP6DZ862" TargetMode="External"/><Relationship Id="rId1176" Type="http://schemas.openxmlformats.org/officeDocument/2006/relationships/hyperlink" Target="https://www.amazon.com/dp/B0CVVJP4S2" TargetMode="External"/><Relationship Id="rId1177" Type="http://schemas.openxmlformats.org/officeDocument/2006/relationships/hyperlink" Target="https://www.amazon.com/dp/B096VJGR9P" TargetMode="External"/><Relationship Id="rId1178" Type="http://schemas.openxmlformats.org/officeDocument/2006/relationships/hyperlink" Target="https://www.amazon.com/dp/B07SN29DSN" TargetMode="External"/><Relationship Id="rId1179" Type="http://schemas.openxmlformats.org/officeDocument/2006/relationships/hyperlink" Target="https://www.amazon.com/dp/B07QK9CTXR" TargetMode="External"/><Relationship Id="rId1180" Type="http://schemas.openxmlformats.org/officeDocument/2006/relationships/hyperlink" Target="https://www.amazon.com/dp/B0BBR7RRQN" TargetMode="External"/><Relationship Id="rId1181" Type="http://schemas.openxmlformats.org/officeDocument/2006/relationships/hyperlink" Target="https://www.amazon.com/dp/B0CMDCQP95" TargetMode="External"/><Relationship Id="rId1182" Type="http://schemas.openxmlformats.org/officeDocument/2006/relationships/hyperlink" Target="https://www.amazon.com/dp/B0878F2QBG" TargetMode="External"/><Relationship Id="rId1183" Type="http://schemas.openxmlformats.org/officeDocument/2006/relationships/hyperlink" Target="https://www.amazon.com/dp/B0F1JS324L" TargetMode="External"/><Relationship Id="rId1184" Type="http://schemas.openxmlformats.org/officeDocument/2006/relationships/hyperlink" Target="https://www.amazon.com/dp/B089DF5522" TargetMode="External"/><Relationship Id="rId1185" Type="http://schemas.openxmlformats.org/officeDocument/2006/relationships/hyperlink" Target="https://www.amazon.com/dp/B0DYNW3MG5" TargetMode="External"/><Relationship Id="rId1186" Type="http://schemas.openxmlformats.org/officeDocument/2006/relationships/hyperlink" Target="https://www.amazon.com/dp/B0BP71XHBF" TargetMode="External"/><Relationship Id="rId1187" Type="http://schemas.openxmlformats.org/officeDocument/2006/relationships/hyperlink" Target="https://www.amazon.com/dp/B07DN8Z3QK" TargetMode="External"/><Relationship Id="rId1188" Type="http://schemas.openxmlformats.org/officeDocument/2006/relationships/hyperlink" Target="https://www.amazon.com/dp/B08CXNGZFJ" TargetMode="External"/><Relationship Id="rId1189" Type="http://schemas.openxmlformats.org/officeDocument/2006/relationships/hyperlink" Target="https://www.amazon.com/dp/B0GYZ7QW64" TargetMode="External"/><Relationship Id="rId1190" Type="http://schemas.openxmlformats.org/officeDocument/2006/relationships/hyperlink" Target="https://www.amazon.com/dp/B0DPM2RZ7K" TargetMode="External"/><Relationship Id="rId1191" Type="http://schemas.openxmlformats.org/officeDocument/2006/relationships/hyperlink" Target="https://www.amazon.com/dp/B0F1Y1KXWL" TargetMode="External"/><Relationship Id="rId1192" Type="http://schemas.openxmlformats.org/officeDocument/2006/relationships/hyperlink" Target="https://www.amazon.com/dp/B0CG5Z9ZQL" TargetMode="External"/><Relationship Id="rId1193" Type="http://schemas.openxmlformats.org/officeDocument/2006/relationships/hyperlink" Target="https://www.amazon.com/dp/B0FDGP8PTK" TargetMode="External"/><Relationship Id="rId1194" Type="http://schemas.openxmlformats.org/officeDocument/2006/relationships/hyperlink" Target="https://www.amazon.com/dp/B0B134Z3B8" TargetMode="External"/><Relationship Id="rId1195" Type="http://schemas.openxmlformats.org/officeDocument/2006/relationships/hyperlink" Target="https://www.amazon.com/dp/B0BX99W4NY" TargetMode="External"/><Relationship Id="rId1196" Type="http://schemas.openxmlformats.org/officeDocument/2006/relationships/hyperlink" Target="https://www.amazon.com/dp/B0DSG7PSD1" TargetMode="External"/><Relationship Id="rId1197" Type="http://schemas.openxmlformats.org/officeDocument/2006/relationships/hyperlink" Target="https://www.amazon.com/dp/B0BP68H7H2" TargetMode="External"/><Relationship Id="rId1198" Type="http://schemas.openxmlformats.org/officeDocument/2006/relationships/hyperlink" Target="https://www.amazon.com/dp/B0DPHHDMXY" TargetMode="External"/><Relationship Id="rId1199" Type="http://schemas.openxmlformats.org/officeDocument/2006/relationships/hyperlink" Target="https://www.amazon.com/dp/B0CG63F3JH" TargetMode="External"/><Relationship Id="rId1200" Type="http://schemas.openxmlformats.org/officeDocument/2006/relationships/hyperlink" Target="https://www.amazon.com/dp/B0F6LQVY6N" TargetMode="External"/><Relationship Id="rId1201" Type="http://schemas.openxmlformats.org/officeDocument/2006/relationships/hyperlink" Target="https://www.amazon.com/dp/B0BLYJM6JP" TargetMode="External"/><Relationship Id="rId1202" Type="http://schemas.openxmlformats.org/officeDocument/2006/relationships/hyperlink" Target="https://www.amazon.com/dp/B0GCFG328J" TargetMode="External"/><Relationship Id="rId1203" Type="http://schemas.openxmlformats.org/officeDocument/2006/relationships/hyperlink" Target="https://www.amazon.com/dp/B0FN7L9FPZ" TargetMode="External"/><Relationship Id="rId1204" Type="http://schemas.openxmlformats.org/officeDocument/2006/relationships/hyperlink" Target="https://www.amazon.com/dp/B0CV4JLMJ1" TargetMode="External"/><Relationship Id="rId1205" Type="http://schemas.openxmlformats.org/officeDocument/2006/relationships/hyperlink" Target="https://www.amazon.com/dp/B08CXCMWXL" TargetMode="External"/><Relationship Id="rId1206" Type="http://schemas.openxmlformats.org/officeDocument/2006/relationships/hyperlink" Target="https://www.amazon.com/dp/B07D2G8C9Q" TargetMode="External"/><Relationship Id="rId1207" Type="http://schemas.openxmlformats.org/officeDocument/2006/relationships/hyperlink" Target="https://www.amazon.com/dp/B01M1N9M29" TargetMode="External"/><Relationship Id="rId1208" Type="http://schemas.openxmlformats.org/officeDocument/2006/relationships/hyperlink" Target="https://www.amazon.com/dp/B0FNM6J1FQ" TargetMode="External"/><Relationship Id="rId1209" Type="http://schemas.openxmlformats.org/officeDocument/2006/relationships/hyperlink" Target="https://www.amazon.com/dp/B08FRS5PRK" TargetMode="External"/><Relationship Id="rId1210" Type="http://schemas.openxmlformats.org/officeDocument/2006/relationships/hyperlink" Target="https://www.amazon.com/dp/B089161BPR" TargetMode="External"/><Relationship Id="rId1211" Type="http://schemas.openxmlformats.org/officeDocument/2006/relationships/hyperlink" Target="https://www.amazon.com/dp/B0DXBYCVNV" TargetMode="External"/><Relationship Id="rId1212" Type="http://schemas.openxmlformats.org/officeDocument/2006/relationships/hyperlink" Target="https://www.amazon.com/dp/B0FPCGNSXB" TargetMode="External"/><Relationship Id="rId1213" Type="http://schemas.openxmlformats.org/officeDocument/2006/relationships/hyperlink" Target="https://www.amazon.com/dp/B0DS1SDZSC" TargetMode="External"/><Relationship Id="rId1214" Type="http://schemas.openxmlformats.org/officeDocument/2006/relationships/hyperlink" Target="https://www.amazon.com/dp/B0DPYLT65B" TargetMode="External"/><Relationship Id="rId1215" Type="http://schemas.openxmlformats.org/officeDocument/2006/relationships/hyperlink" Target="https://www.amazon.com/dp/B07MQ8GQ11" TargetMode="External"/><Relationship Id="rId1216" Type="http://schemas.openxmlformats.org/officeDocument/2006/relationships/hyperlink" Target="https://www.amazon.com/dp/B0GKFM1Z6G" TargetMode="External"/><Relationship Id="rId1217" Type="http://schemas.openxmlformats.org/officeDocument/2006/relationships/hyperlink" Target="https://www.amazon.com/dp/B0GVDZLFS5" TargetMode="External"/><Relationship Id="rId1218" Type="http://schemas.openxmlformats.org/officeDocument/2006/relationships/hyperlink" Target="https://www.amazon.com/dp/B0GYZ4CSJJ" TargetMode="External"/><Relationship Id="rId1219" Type="http://schemas.openxmlformats.org/officeDocument/2006/relationships/hyperlink" Target="https://www.amazon.com/dp/B0GGZCJQJL" TargetMode="External"/><Relationship Id="rId1220" Type="http://schemas.openxmlformats.org/officeDocument/2006/relationships/hyperlink" Target="https://www.amazon.com/dp/B0FDGQXWL5" TargetMode="External"/><Relationship Id="rId1221" Type="http://schemas.openxmlformats.org/officeDocument/2006/relationships/hyperlink" Target="https://www.amazon.com/dp/B0DL9STLQV" TargetMode="External"/><Relationship Id="rId1222" Type="http://schemas.openxmlformats.org/officeDocument/2006/relationships/hyperlink" Target="https://www.amazon.com/dp/B0CPDMH1C7" TargetMode="External"/><Relationship Id="rId1223" Type="http://schemas.openxmlformats.org/officeDocument/2006/relationships/hyperlink" Target="https://www.amazon.com/dp/B07QHNC81Z" TargetMode="External"/><Relationship Id="rId1224" Type="http://schemas.openxmlformats.org/officeDocument/2006/relationships/hyperlink" Target="https://www.amazon.com/dp/B07QHKSFQX" TargetMode="External"/><Relationship Id="rId1225" Type="http://schemas.openxmlformats.org/officeDocument/2006/relationships/hyperlink" Target="https://www.amazon.com/dp/B07QDB7NXR" TargetMode="External"/><Relationship Id="rId1226" Type="http://schemas.openxmlformats.org/officeDocument/2006/relationships/hyperlink" Target="https://www.amazon.com/dp/B0872GW9FD" TargetMode="External"/><Relationship Id="rId1227" Type="http://schemas.openxmlformats.org/officeDocument/2006/relationships/hyperlink" Target="https://www.amazon.com/dp/B0FQW7HK45" TargetMode="External"/><Relationship Id="rId1228" Type="http://schemas.openxmlformats.org/officeDocument/2006/relationships/hyperlink" Target="https://www.amazon.com/dp/B07QDB7DSZ" TargetMode="External"/><Relationship Id="rId1229" Type="http://schemas.openxmlformats.org/officeDocument/2006/relationships/hyperlink" Target="https://www.amazon.com/dp/B07QHH91VJ" TargetMode="External"/><Relationship Id="rId1230" Type="http://schemas.openxmlformats.org/officeDocument/2006/relationships/hyperlink" Target="https://www.amazon.com/dp/B0F23QNHJS" TargetMode="External"/><Relationship Id="rId1231" Type="http://schemas.openxmlformats.org/officeDocument/2006/relationships/hyperlink" Target="https://www.amazon.com/dp/B00XK9CO16" TargetMode="External"/><Relationship Id="rId1232" Type="http://schemas.openxmlformats.org/officeDocument/2006/relationships/hyperlink" Target="https://www.amazon.com/dp/B07QCCH7YM" TargetMode="External"/><Relationship Id="rId1233" Type="http://schemas.openxmlformats.org/officeDocument/2006/relationships/hyperlink" Target="https://www.amazon.com/dp/B0CXTX9VRB" TargetMode="External"/><Relationship Id="rId1234" Type="http://schemas.openxmlformats.org/officeDocument/2006/relationships/hyperlink" Target="https://www.amazon.com/dp/B0BY47T7M2" TargetMode="External"/><Relationship Id="rId1235" Type="http://schemas.openxmlformats.org/officeDocument/2006/relationships/hyperlink" Target="https://www.amazon.com/dp/B08LG7ZYL5" TargetMode="External"/><Relationship Id="rId1236" Type="http://schemas.openxmlformats.org/officeDocument/2006/relationships/hyperlink" Target="https://www.amazon.com/dp/B00XK9CCBI" TargetMode="External"/><Relationship Id="rId1237" Type="http://schemas.openxmlformats.org/officeDocument/2006/relationships/hyperlink" Target="https://www.amazon.com/dp/B07PDTN281" TargetMode="External"/><Relationship Id="rId1238" Type="http://schemas.openxmlformats.org/officeDocument/2006/relationships/hyperlink" Target="https://www.amazon.com/dp/B0758CB6VM" TargetMode="External"/><Relationship Id="rId1239" Type="http://schemas.openxmlformats.org/officeDocument/2006/relationships/hyperlink" Target="https://www.amazon.com/dp/B0953X2JY3" TargetMode="External"/><Relationship Id="rId1240" Type="http://schemas.openxmlformats.org/officeDocument/2006/relationships/hyperlink" Target="https://www.amazon.com/dp/B07QBCQLKP" TargetMode="External"/><Relationship Id="rId1241" Type="http://schemas.openxmlformats.org/officeDocument/2006/relationships/hyperlink" Target="https://www.amazon.com/dp/B0C5FNB9R4" TargetMode="External"/><Relationship Id="rId1242" Type="http://schemas.openxmlformats.org/officeDocument/2006/relationships/hyperlink" Target="https://www.amazon.com/dp/B083PQH4TZ" TargetMode="External"/><Relationship Id="rId1243" Type="http://schemas.openxmlformats.org/officeDocument/2006/relationships/hyperlink" Target="https://www.amazon.com/dp/B08HRRG4KM" TargetMode="External"/><Relationship Id="rId1244" Type="http://schemas.openxmlformats.org/officeDocument/2006/relationships/hyperlink" Target="https://www.amazon.com/dp/B06WWRCZXX" TargetMode="External"/><Relationship Id="rId1245" Type="http://schemas.openxmlformats.org/officeDocument/2006/relationships/hyperlink" Target="https://www.amazon.com/dp/B07PFRGWN1" TargetMode="External"/><Relationship Id="rId1246" Type="http://schemas.openxmlformats.org/officeDocument/2006/relationships/hyperlink" Target="https://www.amazon.com/dp/B072BQV256" TargetMode="External"/><Relationship Id="rId1247" Type="http://schemas.openxmlformats.org/officeDocument/2006/relationships/hyperlink" Target="https://www.amazon.com/dp/B09FG3YCJ6" TargetMode="External"/><Relationship Id="rId1248" Type="http://schemas.openxmlformats.org/officeDocument/2006/relationships/hyperlink" Target="https://www.amazon.com/dp/B0CXJBZV1N" TargetMode="External"/><Relationship Id="rId1249" Type="http://schemas.openxmlformats.org/officeDocument/2006/relationships/hyperlink" Target="https://www.amazon.com/dp/B0BF56KDYN" TargetMode="External"/><Relationship Id="rId1250" Type="http://schemas.openxmlformats.org/officeDocument/2006/relationships/hyperlink" Target="https://www.amazon.com/dp/B07F97MPYT" TargetMode="External"/><Relationship Id="rId1251" Type="http://schemas.openxmlformats.org/officeDocument/2006/relationships/hyperlink" Target="https://www.amazon.com/dp/B0DJDVFH46" TargetMode="External"/><Relationship Id="rId1252" Type="http://schemas.openxmlformats.org/officeDocument/2006/relationships/hyperlink" Target="https://www.amazon.com/dp/B0BFB5ZF94" TargetMode="External"/><Relationship Id="rId1253" Type="http://schemas.openxmlformats.org/officeDocument/2006/relationships/hyperlink" Target="https://www.amazon.com/dp/B07SYF15F5" TargetMode="External"/><Relationship Id="rId1254" Type="http://schemas.openxmlformats.org/officeDocument/2006/relationships/hyperlink" Target="https://www.amazon.com/dp/B07TNTHGWH" TargetMode="External"/><Relationship Id="rId1255" Type="http://schemas.openxmlformats.org/officeDocument/2006/relationships/hyperlink" Target="https://www.amazon.com/dp/B0BWJ4MLLZ" TargetMode="External"/><Relationship Id="rId1256" Type="http://schemas.openxmlformats.org/officeDocument/2006/relationships/hyperlink" Target="https://www.amazon.com/dp/B0F9KFBCFH" TargetMode="External"/><Relationship Id="rId1257" Type="http://schemas.openxmlformats.org/officeDocument/2006/relationships/hyperlink" Target="https://www.amazon.com/dp/B0B3HYD7SM" TargetMode="External"/><Relationship Id="rId1258" Type="http://schemas.openxmlformats.org/officeDocument/2006/relationships/hyperlink" Target="https://www.amazon.com/dp/B0FKGL4ZWB" TargetMode="External"/><Relationship Id="rId1259" Type="http://schemas.openxmlformats.org/officeDocument/2006/relationships/hyperlink" Target="https://www.amazon.com/dp/B09XJGLHY7" TargetMode="External"/><Relationship Id="rId1260" Type="http://schemas.openxmlformats.org/officeDocument/2006/relationships/hyperlink" Target="https://www.amazon.com/dp/B0DSVWNY2W" TargetMode="External"/><Relationship Id="rId1261" Type="http://schemas.openxmlformats.org/officeDocument/2006/relationships/hyperlink" Target="https://www.amazon.com/dp/B01LWMWAXV" TargetMode="External"/><Relationship Id="rId1262" Type="http://schemas.openxmlformats.org/officeDocument/2006/relationships/hyperlink" Target="https://www.amazon.com/dp/B0F3X4X4XV" TargetMode="External"/><Relationship Id="rId1263" Type="http://schemas.openxmlformats.org/officeDocument/2006/relationships/hyperlink" Target="https://www.amazon.com/dp/B0B6P8YLQ7" TargetMode="External"/><Relationship Id="rId1264" Type="http://schemas.openxmlformats.org/officeDocument/2006/relationships/hyperlink" Target="https://www.amazon.com/dp/B07KQYKX46" TargetMode="External"/><Relationship Id="rId1265" Type="http://schemas.openxmlformats.org/officeDocument/2006/relationships/hyperlink" Target="https://www.amazon.com/dp/B01G4AEUQ4" TargetMode="External"/><Relationship Id="rId1266" Type="http://schemas.openxmlformats.org/officeDocument/2006/relationships/hyperlink" Target="https://www.amazon.com/dp/B01M16WBW1" TargetMode="External"/><Relationship Id="rId1267" Type="http://schemas.openxmlformats.org/officeDocument/2006/relationships/hyperlink" Target="https://www.amazon.com/dp/B019J3R8EO" TargetMode="External"/><Relationship Id="rId1268" Type="http://schemas.openxmlformats.org/officeDocument/2006/relationships/hyperlink" Target="https://www.amazon.com/dp/B09P2X7PTW" TargetMode="External"/><Relationship Id="rId1269" Type="http://schemas.openxmlformats.org/officeDocument/2006/relationships/hyperlink" Target="https://www.amazon.com/dp/B07F946VMJ" TargetMode="External"/><Relationship Id="rId1270" Type="http://schemas.openxmlformats.org/officeDocument/2006/relationships/hyperlink" Target="https://www.amazon.com/dp/B0D8432Q67" TargetMode="External"/><Relationship Id="rId1271" Type="http://schemas.openxmlformats.org/officeDocument/2006/relationships/hyperlink" Target="https://www.amazon.com/dp/B0CJC85HL6" TargetMode="External"/><Relationship Id="rId1272" Type="http://schemas.openxmlformats.org/officeDocument/2006/relationships/hyperlink" Target="https://www.amazon.com/dp/B0CG8QQJTS" TargetMode="External"/><Relationship Id="rId1273" Type="http://schemas.openxmlformats.org/officeDocument/2006/relationships/hyperlink" Target="https://www.amazon.com/dp/B0GQBSWRT7" TargetMode="External"/><Relationship Id="rId1274" Type="http://schemas.openxmlformats.org/officeDocument/2006/relationships/hyperlink" Target="https://www.amazon.com/dp/B0DJ32KJ42" TargetMode="External"/><Relationship Id="rId1275" Type="http://schemas.openxmlformats.org/officeDocument/2006/relationships/hyperlink" Target="https://www.amazon.com/dp/B0DHCYFKY7" TargetMode="External"/><Relationship Id="rId1276" Type="http://schemas.openxmlformats.org/officeDocument/2006/relationships/hyperlink" Target="https://www.amazon.com/dp/B07RY59C3W" TargetMode="External"/><Relationship Id="rId1277" Type="http://schemas.openxmlformats.org/officeDocument/2006/relationships/hyperlink" Target="https://www.amazon.com/dp/B0F5B3KNKB" TargetMode="External"/><Relationship Id="rId1278" Type="http://schemas.openxmlformats.org/officeDocument/2006/relationships/hyperlink" Target="https://www.amazon.com/dp/B0CG8KDPYJ" TargetMode="External"/><Relationship Id="rId1279" Type="http://schemas.openxmlformats.org/officeDocument/2006/relationships/hyperlink" Target="https://www.amazon.com/dp/B0FZC1ZGWC" TargetMode="External"/><Relationship Id="rId1280" Type="http://schemas.openxmlformats.org/officeDocument/2006/relationships/hyperlink" Target="https://www.amazon.com/dp/B0FQBV6TFR" TargetMode="External"/><Relationship Id="rId1281" Type="http://schemas.openxmlformats.org/officeDocument/2006/relationships/hyperlink" Target="https://www.amazon.com/dp/B0DJ32DF26" TargetMode="External"/><Relationship Id="rId1282" Type="http://schemas.openxmlformats.org/officeDocument/2006/relationships/hyperlink" Target="https://www.amazon.com/dp/B06WLH7VN2" TargetMode="External"/><Relationship Id="rId1283" Type="http://schemas.openxmlformats.org/officeDocument/2006/relationships/hyperlink" Target="https://www.amazon.com/dp/B0F5B15XHM" TargetMode="External"/><Relationship Id="rId1284" Type="http://schemas.openxmlformats.org/officeDocument/2006/relationships/hyperlink" Target="https://www.amazon.com/dp/B0DS8D5Q48" TargetMode="External"/><Relationship Id="rId1285" Type="http://schemas.openxmlformats.org/officeDocument/2006/relationships/hyperlink" Target="https://www.amazon.com/dp/B0FQBYL35F" TargetMode="External"/><Relationship Id="rId1286" Type="http://schemas.openxmlformats.org/officeDocument/2006/relationships/hyperlink" Target="https://www.amazon.com/dp/B06WLHKKBG" TargetMode="External"/><Relationship Id="rId1287" Type="http://schemas.openxmlformats.org/officeDocument/2006/relationships/hyperlink" Target="https://www.amazon.com/dp/B0D8SZWW1P" TargetMode="External"/><Relationship Id="rId1288" Type="http://schemas.openxmlformats.org/officeDocument/2006/relationships/hyperlink" Target="https://www.amazon.com/dp/B0FBWP5DWB" TargetMode="External"/><Relationship Id="rId1289" Type="http://schemas.openxmlformats.org/officeDocument/2006/relationships/hyperlink" Target="https://www.amazon.com/dp/B0F23BHYXQ" TargetMode="External"/><Relationship Id="rId1290" Type="http://schemas.openxmlformats.org/officeDocument/2006/relationships/hyperlink" Target="https://www.amazon.com/dp/B0BV2HPPT4" TargetMode="External"/><Relationship Id="rId1291" Type="http://schemas.openxmlformats.org/officeDocument/2006/relationships/hyperlink" Target="https://www.amazon.com/dp/B0H3T4DV45" TargetMode="External"/><Relationship Id="rId1292" Type="http://schemas.openxmlformats.org/officeDocument/2006/relationships/hyperlink" Target="https://www.amazon.com/dp/B0DCBP5T2Z" TargetMode="External"/><Relationship Id="rId1293" Type="http://schemas.openxmlformats.org/officeDocument/2006/relationships/hyperlink" Target="https://www.amazon.com/dp/B0HMR976K2" TargetMode="External"/><Relationship Id="rId1294" Type="http://schemas.openxmlformats.org/officeDocument/2006/relationships/hyperlink" Target="https://www.amazon.com/dp/B06WWRCZXX" TargetMode="External"/><Relationship Id="rId1295" Type="http://schemas.openxmlformats.org/officeDocument/2006/relationships/hyperlink" Target="https://www.amazon.com/dp/B00VLE32Y0" TargetMode="External"/><Relationship Id="rId1296" Type="http://schemas.openxmlformats.org/officeDocument/2006/relationships/hyperlink" Target="https://www.amazon.com/dp/B0HHDRLCPP" TargetMode="External"/><Relationship Id="rId1297" Type="http://schemas.openxmlformats.org/officeDocument/2006/relationships/hyperlink" Target="https://www.amazon.com/dp/B073WD5KPX" TargetMode="External"/><Relationship Id="rId1298" Type="http://schemas.openxmlformats.org/officeDocument/2006/relationships/hyperlink" Target="https://www.amazon.com/dp/B0CG85DVTD" TargetMode="External"/><Relationship Id="rId1299" Type="http://schemas.openxmlformats.org/officeDocument/2006/relationships/hyperlink" Target="https://www.amazon.com/dp/B0FBWNVY29" TargetMode="External"/><Relationship Id="rId1300" Type="http://schemas.openxmlformats.org/officeDocument/2006/relationships/hyperlink" Target="https://www.amazon.com/dp/B0FZBWLKTV" TargetMode="External"/><Relationship Id="rId1301" Type="http://schemas.openxmlformats.org/officeDocument/2006/relationships/hyperlink" Target="https://www.amazon.com/dp/B0HFMY5NJ1" TargetMode="External"/><Relationship Id="rId1302" Type="http://schemas.openxmlformats.org/officeDocument/2006/relationships/hyperlink" Target="https://www.amazon.com/dp/B0CJCC5BSS" TargetMode="External"/><Relationship Id="rId1303" Type="http://schemas.openxmlformats.org/officeDocument/2006/relationships/hyperlink" Target="https://www.amazon.com/dp/B0F6KRRDDR" TargetMode="External"/><Relationship Id="rId1304" Type="http://schemas.openxmlformats.org/officeDocument/2006/relationships/hyperlink" Target="https://www.amazon.com/dp/B0CGDH9K3K" TargetMode="External"/><Relationship Id="rId1305" Type="http://schemas.openxmlformats.org/officeDocument/2006/relationships/hyperlink" Target="https://www.amazon.com/dp/B0F5B6M2P4" TargetMode="External"/><Relationship Id="rId1306" Type="http://schemas.openxmlformats.org/officeDocument/2006/relationships/hyperlink" Target="https://www.amazon.com/dp/B0H36KKGPB" TargetMode="External"/><Relationship Id="rId1307" Type="http://schemas.openxmlformats.org/officeDocument/2006/relationships/hyperlink" Target="https://www.amazon.com/dp/B0FNN1FD31" TargetMode="External"/><Relationship Id="rId1308" Type="http://schemas.openxmlformats.org/officeDocument/2006/relationships/hyperlink" Target="https://www.amazon.com/dp/B0BX33VTLQ" TargetMode="External"/><Relationship Id="rId1309" Type="http://schemas.openxmlformats.org/officeDocument/2006/relationships/hyperlink" Target="https://www.amazon.com/dp/B0C8THY237" TargetMode="External"/><Relationship Id="rId1310" Type="http://schemas.openxmlformats.org/officeDocument/2006/relationships/hyperlink" Target="https://www.amazon.com/dp/B0FBR1ZTCV" TargetMode="External"/><Relationship Id="rId1311" Type="http://schemas.openxmlformats.org/officeDocument/2006/relationships/hyperlink" Target="https://www.amazon.com/dp/B0D8SZDMSH" TargetMode="External"/><Relationship Id="rId1312" Type="http://schemas.openxmlformats.org/officeDocument/2006/relationships/hyperlink" Target="https://www.amazon.com/dp/B0FDF4T5H6" TargetMode="External"/><Relationship Id="rId1313" Type="http://schemas.openxmlformats.org/officeDocument/2006/relationships/hyperlink" Target="https://www.amazon.com/dp/B073WDLYCG" TargetMode="External"/><Relationship Id="rId1314" Type="http://schemas.openxmlformats.org/officeDocument/2006/relationships/hyperlink" Target="https://www.amazon.com/dp/B0BLVBG31W" TargetMode="External"/><Relationship Id="rId1315" Type="http://schemas.openxmlformats.org/officeDocument/2006/relationships/hyperlink" Target="https://www.amazon.com/dp/B0G23YJBJY" TargetMode="External"/><Relationship Id="rId1316" Type="http://schemas.openxmlformats.org/officeDocument/2006/relationships/hyperlink" Target="https://www.amazon.com/dp/B0GGN7F725" TargetMode="External"/><Relationship Id="rId1317" Type="http://schemas.openxmlformats.org/officeDocument/2006/relationships/hyperlink" Target="https://www.amazon.com/dp/B0FNR66213" TargetMode="External"/><Relationship Id="rId1318" Type="http://schemas.openxmlformats.org/officeDocument/2006/relationships/hyperlink" Target="https://www.amazon.com/dp/B01M7Z2F53" TargetMode="External"/><Relationship Id="rId1319" Type="http://schemas.openxmlformats.org/officeDocument/2006/relationships/hyperlink" Target="https://www.amazon.com/dp/B0HBXG8YK1" TargetMode="External"/><Relationship Id="rId1320" Type="http://schemas.openxmlformats.org/officeDocument/2006/relationships/hyperlink" Target="https://www.amazon.com/dp/B0HCV3JB5J" TargetMode="External"/><Relationship Id="rId1321" Type="http://schemas.openxmlformats.org/officeDocument/2006/relationships/hyperlink" Target="https://www.amazon.com/dp/B0GGHW23N4" TargetMode="External"/><Relationship Id="rId1322" Type="http://schemas.openxmlformats.org/officeDocument/2006/relationships/hyperlink" Target="https://www.amazon.com/dp/B0GFLSRNWL" TargetMode="External"/><Relationship Id="rId1323" Type="http://schemas.openxmlformats.org/officeDocument/2006/relationships/hyperlink" Target="https://www.amazon.com/dp/B0HF8HHN46" TargetMode="External"/><Relationship Id="rId1324" Type="http://schemas.openxmlformats.org/officeDocument/2006/relationships/hyperlink" Target="https://www.amazon.com/dp/B0HJ5Q19KM" TargetMode="External"/><Relationship Id="rId1325" Type="http://schemas.openxmlformats.org/officeDocument/2006/relationships/hyperlink" Target="https://www.amazon.com/dp/B0GFMRBQKM" TargetMode="External"/><Relationship Id="rId1326" Type="http://schemas.openxmlformats.org/officeDocument/2006/relationships/hyperlink" Target="https://www.amazon.com/dp/B0HBX793L8" TargetMode="External"/><Relationship Id="rId1327" Type="http://schemas.openxmlformats.org/officeDocument/2006/relationships/hyperlink" Target="https://www.amazon.com/dp/B0HF3WVG8L" TargetMode="External"/><Relationship Id="rId1328" Type="http://schemas.openxmlformats.org/officeDocument/2006/relationships/hyperlink" Target="https://www.amazon.com/dp/B07YKCZHGK" TargetMode="External"/><Relationship Id="rId1329" Type="http://schemas.openxmlformats.org/officeDocument/2006/relationships/hyperlink" Target="https://www.amazon.com/dp/B0GVGQMMPM" TargetMode="External"/><Relationship Id="rId1330" Type="http://schemas.openxmlformats.org/officeDocument/2006/relationships/hyperlink" Target="https://www.amazon.com/dp/B0D2ZZ4MBM" TargetMode="External"/><Relationship Id="rId1331" Type="http://schemas.openxmlformats.org/officeDocument/2006/relationships/hyperlink" Target="https://www.amazon.com/dp/B0FMK5SFPB" TargetMode="External"/><Relationship Id="rId1332" Type="http://schemas.openxmlformats.org/officeDocument/2006/relationships/hyperlink" Target="https://www.amazon.com/dp/B0FMK4RRDT" TargetMode="External"/><Relationship Id="rId1333" Type="http://schemas.openxmlformats.org/officeDocument/2006/relationships/hyperlink" Target="https://www.amazon.com/dp/B0HMK9N65K" TargetMode="External"/><Relationship Id="rId1334" Type="http://schemas.openxmlformats.org/officeDocument/2006/relationships/hyperlink" Target="https://www.amazon.com/dp/B0GFLQBC63" TargetMode="External"/><Relationship Id="rId1335" Type="http://schemas.openxmlformats.org/officeDocument/2006/relationships/hyperlink" Target="https://www.amazon.com/dp/B0H28B9YX5" TargetMode="External"/><Relationship Id="rId1336" Type="http://schemas.openxmlformats.org/officeDocument/2006/relationships/hyperlink" Target="https://www.amazon.com/dp/B0HJYPDB6R" TargetMode="External"/><Relationship Id="rId1337" Type="http://schemas.openxmlformats.org/officeDocument/2006/relationships/hyperlink" Target="https://www.amazon.com/dp/B0D313RMST" TargetMode="External"/><Relationship Id="rId1338" Type="http://schemas.openxmlformats.org/officeDocument/2006/relationships/hyperlink" Target="https://www.amazon.com/dp/B0DYDBQ46X" TargetMode="External"/><Relationship Id="rId1339" Type="http://schemas.openxmlformats.org/officeDocument/2006/relationships/hyperlink" Target="https://www.amazon.com/dp/B0F7H6G68K" TargetMode="External"/><Relationship Id="rId1340" Type="http://schemas.openxmlformats.org/officeDocument/2006/relationships/hyperlink" Target="https://www.amazon.com/dp/B0H1RCSJ2Z" TargetMode="External"/><Relationship Id="rId1341" Type="http://schemas.openxmlformats.org/officeDocument/2006/relationships/hyperlink" Target="https://www.amazon.com/dp/B0GFLZDJQY" TargetMode="External"/><Relationship Id="rId1342" Type="http://schemas.openxmlformats.org/officeDocument/2006/relationships/hyperlink" Target="https://www.amazon.com/dp/B0GX631BCR" TargetMode="External"/><Relationship Id="rId1343" Type="http://schemas.openxmlformats.org/officeDocument/2006/relationships/hyperlink" Target="https://www.amazon.com/dp/B0D3137R61" TargetMode="External"/><Relationship Id="rId1344" Type="http://schemas.openxmlformats.org/officeDocument/2006/relationships/hyperlink" Target="https://www.amazon.com/dp/B0H9VP8HCN" TargetMode="External"/><Relationship Id="rId1345" Type="http://schemas.openxmlformats.org/officeDocument/2006/relationships/hyperlink" Target="https://www.amazon.com/dp/B01LWMWAXV" TargetMode="External"/><Relationship Id="rId1346" Type="http://schemas.openxmlformats.org/officeDocument/2006/relationships/hyperlink" Target="https://www.amazon.com/dp/B0GX5YWXGJ" TargetMode="External"/><Relationship Id="rId1347" Type="http://schemas.openxmlformats.org/officeDocument/2006/relationships/hyperlink" Target="https://www.amazon.com/dp/B0GLM9JHRZ" TargetMode="External"/><Relationship Id="rId1348" Type="http://schemas.openxmlformats.org/officeDocument/2006/relationships/hyperlink" Target="https://www.amazon.com/dp/B0DV856S56" TargetMode="External"/><Relationship Id="rId1349" Type="http://schemas.openxmlformats.org/officeDocument/2006/relationships/hyperlink" Target="https://www.amazon.com/dp/B0GK8W4D3W" TargetMode="External"/><Relationship Id="rId1350" Type="http://schemas.openxmlformats.org/officeDocument/2006/relationships/hyperlink" Target="https://www.amazon.com/dp/B082MS6MFF" TargetMode="External"/><Relationship Id="rId1351" Type="http://schemas.openxmlformats.org/officeDocument/2006/relationships/hyperlink" Target="https://www.amazon.com/dp/B0DN1DVKH5" TargetMode="External"/><Relationship Id="rId1352" Type="http://schemas.openxmlformats.org/officeDocument/2006/relationships/hyperlink" Target="https://www.amazon.com/dp/B0GX5SNMQ5" TargetMode="External"/><Relationship Id="rId1353" Type="http://schemas.openxmlformats.org/officeDocument/2006/relationships/hyperlink" Target="https://www.amazon.com/dp/B0CKJ9Z4FK" TargetMode="External"/><Relationship Id="rId1354" Type="http://schemas.openxmlformats.org/officeDocument/2006/relationships/hyperlink" Target="https://www.amazon.com/dp/B07YVN1Z95" TargetMode="External"/><Relationship Id="rId1355" Type="http://schemas.openxmlformats.org/officeDocument/2006/relationships/hyperlink" Target="https://www.amazon.com/dp/B0DCZPZ8J9" TargetMode="External"/><Relationship Id="rId1356" Type="http://schemas.openxmlformats.org/officeDocument/2006/relationships/hyperlink" Target="https://www.amazon.com/dp/B084RCWSC5" TargetMode="External"/><Relationship Id="rId1357" Type="http://schemas.openxmlformats.org/officeDocument/2006/relationships/hyperlink" Target="https://www.amazon.com/dp/B0HKTTSZB2" TargetMode="External"/><Relationship Id="rId1358" Type="http://schemas.openxmlformats.org/officeDocument/2006/relationships/hyperlink" Target="https://www.amazon.com/dp/B0FT7LV7PP" TargetMode="External"/><Relationship Id="rId1359" Type="http://schemas.openxmlformats.org/officeDocument/2006/relationships/hyperlink" Target="https://www.amazon.com/dp/B0F9YWB41B" TargetMode="External"/><Relationship Id="rId1360" Type="http://schemas.openxmlformats.org/officeDocument/2006/relationships/hyperlink" Target="https://www.amazon.com/dp/B0DRPDHXRT" TargetMode="External"/><Relationship Id="rId1361" Type="http://schemas.openxmlformats.org/officeDocument/2006/relationships/hyperlink" Target="https://www.amazon.com/dp/B08T8ZBFMT" TargetMode="External"/><Relationship Id="rId1362" Type="http://schemas.openxmlformats.org/officeDocument/2006/relationships/hyperlink" Target="https://www.amazon.com/dp/B0DC5J24YC" TargetMode="External"/><Relationship Id="rId1363" Type="http://schemas.openxmlformats.org/officeDocument/2006/relationships/hyperlink" Target="https://www.amazon.com/dp/B0GX15Y7TT" TargetMode="External"/><Relationship Id="rId1364" Type="http://schemas.openxmlformats.org/officeDocument/2006/relationships/hyperlink" Target="https://www.amazon.com/dp/B0F3XR6WCM" TargetMode="External"/><Relationship Id="rId1365" Type="http://schemas.openxmlformats.org/officeDocument/2006/relationships/hyperlink" Target="https://www.amazon.com/dp/B09JV1NG9R" TargetMode="External"/><Relationship Id="rId1366" Type="http://schemas.openxmlformats.org/officeDocument/2006/relationships/hyperlink" Target="https://www.amazon.com/dp/B0CFV87Z7H" TargetMode="External"/><Relationship Id="rId1367" Type="http://schemas.openxmlformats.org/officeDocument/2006/relationships/hyperlink" Target="https://www.amazon.com/dp/B0H1H9XRLF" TargetMode="External"/><Relationship Id="rId1368" Type="http://schemas.openxmlformats.org/officeDocument/2006/relationships/hyperlink" Target="https://www.amazon.com/dp/B0G1YDDMCG" TargetMode="External"/><Relationship Id="rId1369" Type="http://schemas.openxmlformats.org/officeDocument/2006/relationships/hyperlink" Target="https://www.amazon.com/dp/B07YBKW2XP" TargetMode="External"/><Relationship Id="rId1370" Type="http://schemas.openxmlformats.org/officeDocument/2006/relationships/hyperlink" Target="https://www.amazon.com/dp/B01N6LRCZ5" TargetMode="External"/><Relationship Id="rId1371" Type="http://schemas.openxmlformats.org/officeDocument/2006/relationships/hyperlink" Target="https://www.amazon.com/dp/B092CR2V5N" TargetMode="External"/><Relationship Id="rId1372" Type="http://schemas.openxmlformats.org/officeDocument/2006/relationships/hyperlink" Target="https://www.amazon.com/dp/B09ZHS2YHZ" TargetMode="External"/><Relationship Id="rId1373" Type="http://schemas.openxmlformats.org/officeDocument/2006/relationships/hyperlink" Target="https://www.amazon.com/dp/B0H5W4T644" TargetMode="External"/><Relationship Id="rId1374" Type="http://schemas.openxmlformats.org/officeDocument/2006/relationships/hyperlink" Target="https://www.amazon.com/dp/B0CW66LT8P" TargetMode="External"/><Relationship Id="rId1375" Type="http://schemas.openxmlformats.org/officeDocument/2006/relationships/hyperlink" Target="https://www.amazon.com/dp/B0982CNXJN" TargetMode="External"/><Relationship Id="rId1376" Type="http://schemas.openxmlformats.org/officeDocument/2006/relationships/hyperlink" Target="https://www.amazon.com/dp/B07RT3R7VL" TargetMode="External"/><Relationship Id="rId1377" Type="http://schemas.openxmlformats.org/officeDocument/2006/relationships/hyperlink" Target="https://www.amazon.com/dp/B0FR4Q8XXS" TargetMode="External"/><Relationship Id="rId1378" Type="http://schemas.openxmlformats.org/officeDocument/2006/relationships/hyperlink" Target="https://www.amazon.com/dp/B0GWZQB6GD" TargetMode="External"/><Relationship Id="rId1379" Type="http://schemas.openxmlformats.org/officeDocument/2006/relationships/hyperlink" Target="https://www.amazon.com/dp/B09ZF3F5FW" TargetMode="External"/><Relationship Id="rId1380" Type="http://schemas.openxmlformats.org/officeDocument/2006/relationships/hyperlink" Target="https://www.amazon.com/dp/B0C4929WC7" TargetMode="External"/><Relationship Id="rId1381" Type="http://schemas.openxmlformats.org/officeDocument/2006/relationships/hyperlink" Target="https://www.amazon.com/dp/B0F1K46L51" TargetMode="External"/><Relationship Id="rId1382" Type="http://schemas.openxmlformats.org/officeDocument/2006/relationships/hyperlink" Target="https://www.amazon.com/dp/B09PFN7SYV" TargetMode="External"/><Relationship Id="rId1383" Type="http://schemas.openxmlformats.org/officeDocument/2006/relationships/hyperlink" Target="https://www.amazon.com/dp/B0CS9T5V6Z" TargetMode="External"/><Relationship Id="rId1384" Type="http://schemas.openxmlformats.org/officeDocument/2006/relationships/hyperlink" Target="https://www.amazon.com/dp/B0DDKKW9LQ" TargetMode="External"/><Relationship Id="rId1385" Type="http://schemas.openxmlformats.org/officeDocument/2006/relationships/hyperlink" Target="https://www.amazon.com/dp/B0H5BXPGH3" TargetMode="External"/><Relationship Id="rId1386" Type="http://schemas.openxmlformats.org/officeDocument/2006/relationships/hyperlink" Target="https://www.amazon.com/dp/B0FFM8XY9K" TargetMode="External"/><Relationship Id="rId1387" Type="http://schemas.openxmlformats.org/officeDocument/2006/relationships/hyperlink" Target="https://www.amazon.com/dp/B0B1PLSX35" TargetMode="External"/><Relationship Id="rId1388" Type="http://schemas.openxmlformats.org/officeDocument/2006/relationships/hyperlink" Target="https://www.amazon.com/dp/B0965CHD74" TargetMode="External"/><Relationship Id="rId1389" Type="http://schemas.openxmlformats.org/officeDocument/2006/relationships/hyperlink" Target="https://www.amazon.com/dp/B09BW21GTN" TargetMode="External"/><Relationship Id="rId1390" Type="http://schemas.openxmlformats.org/officeDocument/2006/relationships/hyperlink" Target="https://www.amazon.com/dp/B09N7HBCYY" TargetMode="External"/><Relationship Id="rId1391" Type="http://schemas.openxmlformats.org/officeDocument/2006/relationships/hyperlink" Target="https://www.amazon.com/dp/B0BSGLVF4D" TargetMode="External"/><Relationship Id="rId1392" Type="http://schemas.openxmlformats.org/officeDocument/2006/relationships/hyperlink" Target="https://www.amazon.com/dp/B0982CQ53N" TargetMode="External"/><Relationship Id="rId1393" Type="http://schemas.openxmlformats.org/officeDocument/2006/relationships/hyperlink" Target="https://www.amazon.com/dp/B0B1P3KGL4" TargetMode="External"/><Relationship Id="rId1394" Type="http://schemas.openxmlformats.org/officeDocument/2006/relationships/hyperlink" Target="https://www.amazon.com/dp/B079WZCN7Q" TargetMode="External"/><Relationship Id="rId1395" Type="http://schemas.openxmlformats.org/officeDocument/2006/relationships/hyperlink" Target="https://www.amazon.com/dp/B0BWXYKDV7" TargetMode="External"/><Relationship Id="rId1396" Type="http://schemas.openxmlformats.org/officeDocument/2006/relationships/hyperlink" Target="https://www.amazon.com/dp/B07FYJPG94" TargetMode="External"/><Relationship Id="rId1397" Type="http://schemas.openxmlformats.org/officeDocument/2006/relationships/hyperlink" Target="https://www.amazon.com/dp/B0F5BSCN1L" TargetMode="External"/><Relationship Id="rId1398" Type="http://schemas.openxmlformats.org/officeDocument/2006/relationships/hyperlink" Target="https://www.amazon.com/dp/B084YVCQLN" TargetMode="External"/><Relationship Id="rId1399" Type="http://schemas.openxmlformats.org/officeDocument/2006/relationships/hyperlink" Target="https://www.amazon.com/dp/B07J9SGRY3" TargetMode="External"/><Relationship Id="rId1400" Type="http://schemas.openxmlformats.org/officeDocument/2006/relationships/hyperlink" Target="https://www.amazon.com/dp/B09PN38Z7L" TargetMode="External"/><Relationship Id="rId1401" Type="http://schemas.openxmlformats.org/officeDocument/2006/relationships/hyperlink" Target="https://www.amazon.com/dp/B0CS9Q87G1" TargetMode="External"/><Relationship Id="rId1402" Type="http://schemas.openxmlformats.org/officeDocument/2006/relationships/hyperlink" Target="https://www.amazon.com/dp/B092CVBTLT" TargetMode="External"/><Relationship Id="rId1403" Type="http://schemas.openxmlformats.org/officeDocument/2006/relationships/hyperlink" Target="https://www.amazon.com/dp/B09RX1MDMR" TargetMode="External"/><Relationship Id="rId1404" Type="http://schemas.openxmlformats.org/officeDocument/2006/relationships/hyperlink" Target="https://www.amazon.com/dp/B0BQCR3WTM" TargetMode="External"/><Relationship Id="rId1405" Type="http://schemas.openxmlformats.org/officeDocument/2006/relationships/hyperlink" Target="https://www.amazon.com/dp/B07PFWC5F2" TargetMode="External"/><Relationship Id="rId1406" Type="http://schemas.openxmlformats.org/officeDocument/2006/relationships/hyperlink" Target="https://www.amazon.com/dp/B0D2RLSZ1M" TargetMode="External"/><Relationship Id="rId1407" Type="http://schemas.openxmlformats.org/officeDocument/2006/relationships/hyperlink" Target="https://www.amazon.com/dp/B0758C9NPB" TargetMode="External"/><Relationship Id="rId1408" Type="http://schemas.openxmlformats.org/officeDocument/2006/relationships/hyperlink" Target="https://www.amazon.com/dp/B0FRGRH97Y" TargetMode="External"/><Relationship Id="rId1409" Type="http://schemas.openxmlformats.org/officeDocument/2006/relationships/hyperlink" Target="https://www.amazon.com/dp/B07JNY68LD" TargetMode="External"/><Relationship Id="rId1410" Type="http://schemas.openxmlformats.org/officeDocument/2006/relationships/hyperlink" Target="https://www.amazon.com/dp/B0CBFKP26S" TargetMode="External"/><Relationship Id="rId1411" Type="http://schemas.openxmlformats.org/officeDocument/2006/relationships/hyperlink" Target="https://www.amazon.com/dp/B0DM2GRQ4P" TargetMode="External"/><Relationship Id="rId1412" Type="http://schemas.openxmlformats.org/officeDocument/2006/relationships/hyperlink" Target="https://www.amazon.com/dp/B0DVT2JTRN" TargetMode="External"/><Relationship Id="rId1413" Type="http://schemas.openxmlformats.org/officeDocument/2006/relationships/hyperlink" Target="https://www.amazon.com/dp/B0BQYY9J68" TargetMode="External"/><Relationship Id="rId1414" Type="http://schemas.openxmlformats.org/officeDocument/2006/relationships/hyperlink" Target="https://www.amazon.com/dp/B07BXCSQB6" TargetMode="External"/><Relationship Id="rId1415" Type="http://schemas.openxmlformats.org/officeDocument/2006/relationships/hyperlink" Target="https://www.amazon.com/dp/B08C9RPMPS" TargetMode="External"/><Relationship Id="rId1416" Type="http://schemas.openxmlformats.org/officeDocument/2006/relationships/hyperlink" Target="https://www.amazon.com/dp/B07Q1K4G91" TargetMode="External"/><Relationship Id="rId1417" Type="http://schemas.openxmlformats.org/officeDocument/2006/relationships/hyperlink" Target="https://www.amazon.com/dp/B079WYYYS8" TargetMode="External"/><Relationship Id="rId1418" Type="http://schemas.openxmlformats.org/officeDocument/2006/relationships/hyperlink" Target="https://www.amazon.com/dp/B0GKXKMQLK" TargetMode="External"/><Relationship Id="rId1419" Type="http://schemas.openxmlformats.org/officeDocument/2006/relationships/hyperlink" Target="https://www.amazon.com/dp/B0DR5VM9NS" TargetMode="External"/><Relationship Id="rId1420" Type="http://schemas.openxmlformats.org/officeDocument/2006/relationships/hyperlink" Target="https://www.amazon.com/dp/B09Y97KHHL" TargetMode="External"/><Relationship Id="rId1421" Type="http://schemas.openxmlformats.org/officeDocument/2006/relationships/hyperlink" Target="https://www.amazon.com/dp/B071SG5WVQ" TargetMode="External"/><Relationship Id="rId1422" Type="http://schemas.openxmlformats.org/officeDocument/2006/relationships/hyperlink" Target="https://www.amazon.com/dp/B0758CJ7X9" TargetMode="External"/><Relationship Id="rId1423" Type="http://schemas.openxmlformats.org/officeDocument/2006/relationships/hyperlink" Target="https://www.amazon.com/dp/B09PFMZCZQ" TargetMode="External"/><Relationship Id="rId1424" Type="http://schemas.openxmlformats.org/officeDocument/2006/relationships/hyperlink" Target="https://www.amazon.com/dp/B09PFM895L" TargetMode="External"/><Relationship Id="rId1425" Type="http://schemas.openxmlformats.org/officeDocument/2006/relationships/hyperlink" Target="https://www.amazon.com/dp/B01LVU7THF" TargetMode="External"/><Relationship Id="rId1426" Type="http://schemas.openxmlformats.org/officeDocument/2006/relationships/hyperlink" Target="https://www.amazon.com/dp/B07HC2WHS1" TargetMode="External"/><Relationship Id="rId1427" Type="http://schemas.openxmlformats.org/officeDocument/2006/relationships/hyperlink" Target="https://www.amazon.com/dp/B003PWNH4Q" TargetMode="External"/><Relationship Id="rId1428" Type="http://schemas.openxmlformats.org/officeDocument/2006/relationships/hyperlink" Target="https://www.amazon.com/dp/B07H71SBC4" TargetMode="External"/><Relationship Id="rId1429" Type="http://schemas.openxmlformats.org/officeDocument/2006/relationships/hyperlink" Target="https://www.amazon.com/dp/B00MRHA96O" TargetMode="External"/><Relationship Id="rId1430" Type="http://schemas.openxmlformats.org/officeDocument/2006/relationships/hyperlink" Target="https://www.amazon.com/dp/B0BXWJLG9W" TargetMode="External"/><Relationship Id="rId1431" Type="http://schemas.openxmlformats.org/officeDocument/2006/relationships/hyperlink" Target="https://www.amazon.com/dp/B0DQKZ5W6T" TargetMode="External"/><Relationship Id="rId1432" Type="http://schemas.openxmlformats.org/officeDocument/2006/relationships/hyperlink" Target="https://www.amazon.com/dp/B0HMH64XTD" TargetMode="External"/><Relationship Id="rId1433" Type="http://schemas.openxmlformats.org/officeDocument/2006/relationships/hyperlink" Target="https://www.amazon.com/dp/B0BXWG6F6J" TargetMode="External"/><Relationship Id="rId1434" Type="http://schemas.openxmlformats.org/officeDocument/2006/relationships/hyperlink" Target="https://www.amazon.com/dp/B003PWK2A8" TargetMode="External"/><Relationship Id="rId1435" Type="http://schemas.openxmlformats.org/officeDocument/2006/relationships/hyperlink" Target="https://www.amazon.com/dp/B00U6HREPQ" TargetMode="External"/><Relationship Id="rId1436" Type="http://schemas.openxmlformats.org/officeDocument/2006/relationships/hyperlink" Target="https://www.amazon.com/dp/B07HC4X8DJ" TargetMode="External"/><Relationship Id="rId1437" Type="http://schemas.openxmlformats.org/officeDocument/2006/relationships/hyperlink" Target="https://www.amazon.com/dp/B08ZKQ4NVB" TargetMode="External"/><Relationship Id="rId1438" Type="http://schemas.openxmlformats.org/officeDocument/2006/relationships/hyperlink" Target="https://www.amazon.com/dp/B00MW50754" TargetMode="External"/><Relationship Id="rId1439" Type="http://schemas.openxmlformats.org/officeDocument/2006/relationships/hyperlink" Target="https://www.amazon.com/dp/B08BLYJX9N" TargetMode="External"/><Relationship Id="rId1440" Type="http://schemas.openxmlformats.org/officeDocument/2006/relationships/hyperlink" Target="https://www.amazon.com/dp/B0BG24Q1TB" TargetMode="External"/><Relationship Id="rId1441" Type="http://schemas.openxmlformats.org/officeDocument/2006/relationships/hyperlink" Target="https://www.amazon.com/dp/B00MW50FKG" TargetMode="External"/><Relationship Id="rId1442" Type="http://schemas.openxmlformats.org/officeDocument/2006/relationships/hyperlink" Target="https://www.amazon.com/dp/B003PWNGQU" TargetMode="External"/><Relationship Id="rId1443" Type="http://schemas.openxmlformats.org/officeDocument/2006/relationships/hyperlink" Target="https://www.amazon.com/dp/B0FKSMCZSH" TargetMode="External"/><Relationship Id="rId1444" Type="http://schemas.openxmlformats.org/officeDocument/2006/relationships/hyperlink" Target="https://www.amazon.com/dp/B071VHCJ3B" TargetMode="External"/><Relationship Id="rId1445" Type="http://schemas.openxmlformats.org/officeDocument/2006/relationships/hyperlink" Target="https://www.amazon.com/dp/B00EJOYNBA" TargetMode="External"/><Relationship Id="rId1446" Type="http://schemas.openxmlformats.org/officeDocument/2006/relationships/hyperlink" Target="https://www.amazon.com/dp/B0CFG5JX4L" TargetMode="External"/><Relationship Id="rId1447" Type="http://schemas.openxmlformats.org/officeDocument/2006/relationships/hyperlink" Target="https://www.amazon.com/dp/B0H2YPDGDB" TargetMode="External"/><Relationship Id="rId1448" Type="http://schemas.openxmlformats.org/officeDocument/2006/relationships/hyperlink" Target="https://www.amazon.com/dp/B0D45FTFM8" TargetMode="External"/><Relationship Id="rId1449" Type="http://schemas.openxmlformats.org/officeDocument/2006/relationships/hyperlink" Target="https://www.amazon.com/dp/B00SVHTFPU" TargetMode="External"/><Relationship Id="rId1450" Type="http://schemas.openxmlformats.org/officeDocument/2006/relationships/hyperlink" Target="https://www.amazon.com/dp/B081D74NWK" TargetMode="External"/><Relationship Id="rId1451" Type="http://schemas.openxmlformats.org/officeDocument/2006/relationships/hyperlink" Target="https://www.amazon.com/dp/B0F3C3Q1MQ" TargetMode="External"/><Relationship Id="rId1452" Type="http://schemas.openxmlformats.org/officeDocument/2006/relationships/hyperlink" Target="https://www.amazon.com/dp/B0H7HQ8T4L" TargetMode="External"/><Relationship Id="rId1453" Type="http://schemas.openxmlformats.org/officeDocument/2006/relationships/hyperlink" Target="https://www.amazon.com/dp/B0CFG3HMDJ" TargetMode="External"/><Relationship Id="rId1454" Type="http://schemas.openxmlformats.org/officeDocument/2006/relationships/hyperlink" Target="https://www.amazon.com/dp/B01N4L4KLV" TargetMode="External"/><Relationship Id="rId1455" Type="http://schemas.openxmlformats.org/officeDocument/2006/relationships/hyperlink" Target="https://www.amazon.com/dp/B07YP7ZB2D" TargetMode="External"/><Relationship Id="rId1456" Type="http://schemas.openxmlformats.org/officeDocument/2006/relationships/hyperlink" Target="https://www.amazon.com/dp/B0CFG448PX" TargetMode="External"/><Relationship Id="rId1457" Type="http://schemas.openxmlformats.org/officeDocument/2006/relationships/hyperlink" Target="https://www.amazon.com/dp/B07HBW81W6" TargetMode="External"/><Relationship Id="rId1458" Type="http://schemas.openxmlformats.org/officeDocument/2006/relationships/hyperlink" Target="https://www.amazon.com/dp/B0CL4LYMFM" TargetMode="External"/><Relationship Id="rId1459" Type="http://schemas.openxmlformats.org/officeDocument/2006/relationships/hyperlink" Target="https://www.amazon.com/dp/B01LR99P44" TargetMode="External"/><Relationship Id="rId1460" Type="http://schemas.openxmlformats.org/officeDocument/2006/relationships/hyperlink" Target="https://www.amazon.com/dp/B0GTMZ2LCN" TargetMode="External"/><Relationship Id="rId1461" Type="http://schemas.openxmlformats.org/officeDocument/2006/relationships/hyperlink" Target="https://www.amazon.com/dp/B0CJB4XKQQ" TargetMode="External"/><Relationship Id="rId1462" Type="http://schemas.openxmlformats.org/officeDocument/2006/relationships/hyperlink" Target="https://www.amazon.com/dp/B0CC8XMKD9" TargetMode="External"/><Relationship Id="rId1463" Type="http://schemas.openxmlformats.org/officeDocument/2006/relationships/hyperlink" Target="https://www.amazon.com/dp/B004L9BGSG" TargetMode="External"/><Relationship Id="rId1464" Type="http://schemas.openxmlformats.org/officeDocument/2006/relationships/hyperlink" Target="https://www.amazon.com/dp/B0HDRSYXBQ" TargetMode="External"/><Relationship Id="rId1465" Type="http://schemas.openxmlformats.org/officeDocument/2006/relationships/hyperlink" Target="https://www.amazon.com/dp/B07H71Q7ZS" TargetMode="External"/><Relationship Id="rId1466" Type="http://schemas.openxmlformats.org/officeDocument/2006/relationships/hyperlink" Target="https://www.amazon.com/dp/B098TTDPZV" TargetMode="External"/><Relationship Id="rId1467" Type="http://schemas.openxmlformats.org/officeDocument/2006/relationships/hyperlink" Target="https://www.amazon.com/dp/B0CRLFTLF4" TargetMode="External"/><Relationship Id="rId1468" Type="http://schemas.openxmlformats.org/officeDocument/2006/relationships/hyperlink" Target="https://www.amazon.com/dp/B07ZJ59SZZ" TargetMode="External"/><Relationship Id="rId1469" Type="http://schemas.openxmlformats.org/officeDocument/2006/relationships/hyperlink" Target="https://www.amazon.com/dp/B003PWS9AI" TargetMode="External"/><Relationship Id="rId1470" Type="http://schemas.openxmlformats.org/officeDocument/2006/relationships/hyperlink" Target="https://www.amazon.com/dp/B07K311J41" TargetMode="External"/><Relationship Id="rId1471" Type="http://schemas.openxmlformats.org/officeDocument/2006/relationships/hyperlink" Target="https://www.amazon.com/dp/B07H6ZL63C" TargetMode="External"/><Relationship Id="rId1472" Type="http://schemas.openxmlformats.org/officeDocument/2006/relationships/hyperlink" Target="https://www.amazon.com/dp/B000PKTWPO" TargetMode="External"/><Relationship Id="rId1473" Type="http://schemas.openxmlformats.org/officeDocument/2006/relationships/hyperlink" Target="https://www.amazon.com/dp/B0DBM4DW3S" TargetMode="External"/><Relationship Id="rId1474" Type="http://schemas.openxmlformats.org/officeDocument/2006/relationships/hyperlink" Target="https://www.amazon.com/dp/B0F1T7DBCQ" TargetMode="External"/><Relationship Id="rId1475" Type="http://schemas.openxmlformats.org/officeDocument/2006/relationships/hyperlink" Target="https://www.amazon.com/dp/B0F99B96ZY" TargetMode="External"/><Relationship Id="rId1476" Type="http://schemas.openxmlformats.org/officeDocument/2006/relationships/hyperlink" Target="https://www.amazon.com/dp/B0CJTDS7KL" TargetMode="External"/><Relationship Id="rId1477" Type="http://schemas.openxmlformats.org/officeDocument/2006/relationships/hyperlink" Target="https://www.amazon.com/dp/B0GJ4QZV7M" TargetMode="External"/><Relationship Id="rId1478" Type="http://schemas.openxmlformats.org/officeDocument/2006/relationships/hyperlink" Target="https://www.amazon.com/dp/B0FNM6J1FQ" TargetMode="External"/><Relationship Id="rId1479" Type="http://schemas.openxmlformats.org/officeDocument/2006/relationships/hyperlink" Target="https://www.amazon.com/dp/B0DK93ZPJH" TargetMode="External"/><Relationship Id="rId1480" Type="http://schemas.openxmlformats.org/officeDocument/2006/relationships/hyperlink" Target="https://www.amazon.com/dp/B0HCV8PTQV" TargetMode="External"/><Relationship Id="rId1481" Type="http://schemas.openxmlformats.org/officeDocument/2006/relationships/hyperlink" Target="https://www.amazon.com/dp/B0G6K2SN4C" TargetMode="External"/><Relationship Id="rId1482" Type="http://schemas.openxmlformats.org/officeDocument/2006/relationships/hyperlink" Target="https://www.amazon.com/dp/B0CSFVY5ZQ" TargetMode="External"/><Relationship Id="rId1483" Type="http://schemas.openxmlformats.org/officeDocument/2006/relationships/hyperlink" Target="https://www.amazon.com/dp/B0F248W129" TargetMode="External"/><Relationship Id="rId1484" Type="http://schemas.openxmlformats.org/officeDocument/2006/relationships/hyperlink" Target="https://www.amazon.com/dp/B0CW3DZVP7" TargetMode="External"/><Relationship Id="rId1485" Type="http://schemas.openxmlformats.org/officeDocument/2006/relationships/hyperlink" Target="https://www.amazon.com/dp/B0CSFM63LK" TargetMode="External"/><Relationship Id="rId1486" Type="http://schemas.openxmlformats.org/officeDocument/2006/relationships/hyperlink" Target="https://www.amazon.com/dp/B0FB2XY32K" TargetMode="External"/><Relationship Id="rId1487" Type="http://schemas.openxmlformats.org/officeDocument/2006/relationships/hyperlink" Target="https://www.amazon.com/dp/B0CPBYVQ8M" TargetMode="External"/><Relationship Id="rId1488" Type="http://schemas.openxmlformats.org/officeDocument/2006/relationships/hyperlink" Target="https://www.amazon.com/dp/B0F9886RP7" TargetMode="External"/><Relationship Id="rId1489" Type="http://schemas.openxmlformats.org/officeDocument/2006/relationships/hyperlink" Target="https://www.amazon.com/dp/B091CBXCF8" TargetMode="External"/><Relationship Id="rId1490" Type="http://schemas.openxmlformats.org/officeDocument/2006/relationships/hyperlink" Target="https://www.amazon.com/dp/B08LDD8HBW" TargetMode="External"/><Relationship Id="rId1491" Type="http://schemas.openxmlformats.org/officeDocument/2006/relationships/hyperlink" Target="https://www.amazon.com/dp/B0DK94R5C1" TargetMode="External"/><Relationship Id="rId1492" Type="http://schemas.openxmlformats.org/officeDocument/2006/relationships/hyperlink" Target="https://www.amazon.com/dp/B0BZT47RGP" TargetMode="External"/><Relationship Id="rId1493" Type="http://schemas.openxmlformats.org/officeDocument/2006/relationships/hyperlink" Target="https://www.amazon.com/dp/B0GX69G5FT" TargetMode="External"/><Relationship Id="rId1494" Type="http://schemas.openxmlformats.org/officeDocument/2006/relationships/hyperlink" Target="https://www.amazon.com/dp/B0G436DMDY" TargetMode="External"/><Relationship Id="rId1495" Type="http://schemas.openxmlformats.org/officeDocument/2006/relationships/hyperlink" Target="https://www.amazon.com/dp/B0HFR6L6NH" TargetMode="External"/><Relationship Id="rId1496" Type="http://schemas.openxmlformats.org/officeDocument/2006/relationships/hyperlink" Target="https://www.amazon.com/dp/B0CMQ7G5TH" TargetMode="External"/><Relationship Id="rId1497" Type="http://schemas.openxmlformats.org/officeDocument/2006/relationships/hyperlink" Target="https://www.amazon.com/dp/B07D4CQC61" TargetMode="External"/><Relationship Id="rId1498" Type="http://schemas.openxmlformats.org/officeDocument/2006/relationships/hyperlink" Target="https://www.amazon.com/dp/B0F99BBHRW" TargetMode="External"/><Relationship Id="rId1499" Type="http://schemas.openxmlformats.org/officeDocument/2006/relationships/hyperlink" Target="https://www.amazon.com/dp/B0FVSB1BB7" TargetMode="External"/><Relationship Id="rId1500" Type="http://schemas.openxmlformats.org/officeDocument/2006/relationships/hyperlink" Target="https://www.amazon.com/dp/B0H2H9T3QH" TargetMode="External"/><Relationship Id="rId1501" Type="http://schemas.openxmlformats.org/officeDocument/2006/relationships/hyperlink" Target="https://www.amazon.com/dp/B084T6XKTK" TargetMode="External"/><Relationship Id="rId1502" Type="http://schemas.openxmlformats.org/officeDocument/2006/relationships/hyperlink" Target="https://www.amazon.com/dp/B0G6JMSYTQ" TargetMode="External"/><Relationship Id="rId1503" Type="http://schemas.openxmlformats.org/officeDocument/2006/relationships/hyperlink" Target="https://www.amazon.com/dp/B0DXQ6LVS7" TargetMode="External"/><Relationship Id="rId1504" Type="http://schemas.openxmlformats.org/officeDocument/2006/relationships/hyperlink" Target="https://www.amazon.com/dp/B0DK949HHC" TargetMode="External"/><Relationship Id="rId1505" Type="http://schemas.openxmlformats.org/officeDocument/2006/relationships/hyperlink" Target="https://www.amazon.com/dp/B0CGZRD1TB" TargetMode="External"/><Relationship Id="rId1506" Type="http://schemas.openxmlformats.org/officeDocument/2006/relationships/hyperlink" Target="https://www.amazon.com/dp/B0B938WC1Q" TargetMode="External"/><Relationship Id="rId1507" Type="http://schemas.openxmlformats.org/officeDocument/2006/relationships/hyperlink" Target="https://www.amazon.com/dp/B0DK91ZCTB" TargetMode="External"/><Relationship Id="rId1508" Type="http://schemas.openxmlformats.org/officeDocument/2006/relationships/hyperlink" Target="https://www.amazon.com/dp/B0FH6MB3FQ" TargetMode="External"/><Relationship Id="rId1509" Type="http://schemas.openxmlformats.org/officeDocument/2006/relationships/hyperlink" Target="https://www.amazon.com/dp/B0G6KD5C6S" TargetMode="External"/><Relationship Id="rId1510" Type="http://schemas.openxmlformats.org/officeDocument/2006/relationships/hyperlink" Target="https://www.amazon.com/dp/B0CM3CM3V7" TargetMode="External"/><Relationship Id="rId1511" Type="http://schemas.openxmlformats.org/officeDocument/2006/relationships/hyperlink" Target="https://www.amazon.com/dp/B0DJWWRG6H" TargetMode="External"/><Relationship Id="rId1512" Type="http://schemas.openxmlformats.org/officeDocument/2006/relationships/hyperlink" Target="https://www.amazon.com/dp/B0GFMT4B45" TargetMode="External"/><Relationship Id="rId1513" Type="http://schemas.openxmlformats.org/officeDocument/2006/relationships/hyperlink" Target="https://www.amazon.com/dp/B0G6K6YW5C" TargetMode="External"/><Relationship Id="rId1514" Type="http://schemas.openxmlformats.org/officeDocument/2006/relationships/hyperlink" Target="https://www.amazon.com/dp/B0FZV5FXNW" TargetMode="External"/><Relationship Id="rId1515" Type="http://schemas.openxmlformats.org/officeDocument/2006/relationships/hyperlink" Target="https://www.amazon.com/dp/B083Z7R9VG" TargetMode="External"/><Relationship Id="rId1516" Type="http://schemas.openxmlformats.org/officeDocument/2006/relationships/hyperlink" Target="https://www.amazon.com/dp/B0G6JY2FBX" TargetMode="External"/><Relationship Id="rId1517" Type="http://schemas.openxmlformats.org/officeDocument/2006/relationships/hyperlink" Target="https://www.amazon.com/dp/B0B5LF9YXF" TargetMode="External"/><Relationship Id="rId1518" Type="http://schemas.openxmlformats.org/officeDocument/2006/relationships/hyperlink" Target="https://www.amazon.com/dp/B0DH29B3QW" TargetMode="External"/><Relationship Id="rId1519" Type="http://schemas.openxmlformats.org/officeDocument/2006/relationships/hyperlink" Target="https://www.amazon.com/dp/B0GYNHN6XM" TargetMode="External"/><Relationship Id="rId1520" Type="http://schemas.openxmlformats.org/officeDocument/2006/relationships/hyperlink" Target="https://www.amazon.com/dp/B0DN6XCXJ9" TargetMode="External"/><Relationship Id="rId1521" Type="http://schemas.openxmlformats.org/officeDocument/2006/relationships/hyperlink" Target="https://www.amazon.com/dp/B003U3QT2C" TargetMode="External"/><Relationship Id="rId1522" Type="http://schemas.openxmlformats.org/officeDocument/2006/relationships/hyperlink" Target="https://www.amazon.com/dp/B01K6OCGWE" TargetMode="External"/><Relationship Id="rId1523" Type="http://schemas.openxmlformats.org/officeDocument/2006/relationships/hyperlink" Target="https://www.amazon.com/dp/B0H2DWKTGB" TargetMode="External"/><Relationship Id="rId1524" Type="http://schemas.openxmlformats.org/officeDocument/2006/relationships/hyperlink" Target="https://www.amazon.com/dp/B083DKPHTP" TargetMode="External"/><Relationship Id="rId1525" Type="http://schemas.openxmlformats.org/officeDocument/2006/relationships/hyperlink" Target="https://www.amazon.com/dp/B0G4VGR2T1" TargetMode="External"/><Relationship Id="rId1526" Type="http://schemas.openxmlformats.org/officeDocument/2006/relationships/hyperlink" Target="https://www.amazon.com/dp/B0GDFS35ZW" TargetMode="External"/><Relationship Id="rId1527" Type="http://schemas.openxmlformats.org/officeDocument/2006/relationships/hyperlink" Target="https://www.amazon.com/dp/B0CH3RBV26" TargetMode="External"/><Relationship Id="rId1528" Type="http://schemas.openxmlformats.org/officeDocument/2006/relationships/hyperlink" Target="https://www.amazon.com/dp/B0G6K2VWG7" TargetMode="External"/><Relationship Id="rId1529" Type="http://schemas.openxmlformats.org/officeDocument/2006/relationships/hyperlink" Target="https://www.amazon.com/dp/B071Z3DF7Y" TargetMode="External"/><Relationship Id="rId1530" Type="http://schemas.openxmlformats.org/officeDocument/2006/relationships/hyperlink" Target="https://www.amazon.com/dp/B0C7G6MDW2" TargetMode="External"/><Relationship Id="rId1531" Type="http://schemas.openxmlformats.org/officeDocument/2006/relationships/hyperlink" Target="https://www.amazon.com/dp/B0BTTTVD7N" TargetMode="External"/><Relationship Id="rId1532" Type="http://schemas.openxmlformats.org/officeDocument/2006/relationships/hyperlink" Target="https://www.amazon.com/dp/B07RY59C3W" TargetMode="External"/><Relationship Id="rId1533" Type="http://schemas.openxmlformats.org/officeDocument/2006/relationships/hyperlink" Target="https://www.amazon.com/dp/B0DTSZH19S" TargetMode="External"/><Relationship Id="rId1534" Type="http://schemas.openxmlformats.org/officeDocument/2006/relationships/hyperlink" Target="https://www.amazon.com/dp/B06XS1P6NG" TargetMode="External"/><Relationship Id="rId1535" Type="http://schemas.openxmlformats.org/officeDocument/2006/relationships/hyperlink" Target="https://www.amazon.com/dp/B0CW61SC1H" TargetMode="External"/><Relationship Id="rId1536" Type="http://schemas.openxmlformats.org/officeDocument/2006/relationships/hyperlink" Target="https://www.amazon.com/dp/B07RZ3NVWZ" TargetMode="External"/><Relationship Id="rId1537" Type="http://schemas.openxmlformats.org/officeDocument/2006/relationships/hyperlink" Target="https://www.amazon.com/dp/B01M16WBW1" TargetMode="External"/><Relationship Id="rId1538" Type="http://schemas.openxmlformats.org/officeDocument/2006/relationships/hyperlink" Target="https://www.amazon.com/dp/B06WWRCZXX" TargetMode="External"/><Relationship Id="rId1539" Type="http://schemas.openxmlformats.org/officeDocument/2006/relationships/hyperlink" Target="https://www.amazon.com/dp/B09X1P1L9F" TargetMode="External"/><Relationship Id="rId1540" Type="http://schemas.openxmlformats.org/officeDocument/2006/relationships/hyperlink" Target="https://www.amazon.com/dp/B0DTT67SPY" TargetMode="External"/><Relationship Id="rId1541" Type="http://schemas.openxmlformats.org/officeDocument/2006/relationships/hyperlink" Target="https://www.amazon.com/dp/B076TTFM9W" TargetMode="External"/><Relationship Id="rId1542" Type="http://schemas.openxmlformats.org/officeDocument/2006/relationships/hyperlink" Target="https://www.amazon.com/dp/B08ZM7TT87" TargetMode="External"/><Relationship Id="rId1543" Type="http://schemas.openxmlformats.org/officeDocument/2006/relationships/hyperlink" Target="https://www.amazon.com/dp/B0DXCC6P1Z" TargetMode="External"/><Relationship Id="rId1544" Type="http://schemas.openxmlformats.org/officeDocument/2006/relationships/hyperlink" Target="https://www.amazon.com/dp/B0FNN1FD31" TargetMode="External"/><Relationship Id="rId1545" Type="http://schemas.openxmlformats.org/officeDocument/2006/relationships/hyperlink" Target="https://www.amazon.com/dp/B0CGDH9K3K" TargetMode="External"/><Relationship Id="rId1546" Type="http://schemas.openxmlformats.org/officeDocument/2006/relationships/hyperlink" Target="https://www.amazon.com/dp/B0CW5YYRH1" TargetMode="External"/><Relationship Id="rId1547" Type="http://schemas.openxmlformats.org/officeDocument/2006/relationships/hyperlink" Target="https://www.amazon.com/dp/B0H1HM9QJS" TargetMode="External"/><Relationship Id="rId1548" Type="http://schemas.openxmlformats.org/officeDocument/2006/relationships/hyperlink" Target="https://www.amazon.com/dp/B0CS9RTSXW" TargetMode="External"/><Relationship Id="rId1549" Type="http://schemas.openxmlformats.org/officeDocument/2006/relationships/hyperlink" Target="https://www.amazon.com/dp/B01LWMWAXV" TargetMode="External"/><Relationship Id="rId1550" Type="http://schemas.openxmlformats.org/officeDocument/2006/relationships/hyperlink" Target="https://www.amazon.com/dp/B0FDF4T5H6" TargetMode="External"/><Relationship Id="rId1551" Type="http://schemas.openxmlformats.org/officeDocument/2006/relationships/hyperlink" Target="https://www.amazon.com/dp/B0753KSRC6" TargetMode="External"/><Relationship Id="rId1552" Type="http://schemas.openxmlformats.org/officeDocument/2006/relationships/hyperlink" Target="https://www.amazon.com/dp/B01LXM2UWT" TargetMode="External"/><Relationship Id="rId1553" Type="http://schemas.openxmlformats.org/officeDocument/2006/relationships/hyperlink" Target="https://www.amazon.com/dp/B075F8TCF2" TargetMode="External"/><Relationship Id="rId1554" Type="http://schemas.openxmlformats.org/officeDocument/2006/relationships/hyperlink" Target="https://www.amazon.com/dp/B0DNYQ4Q2M" TargetMode="External"/><Relationship Id="rId1555" Type="http://schemas.openxmlformats.org/officeDocument/2006/relationships/hyperlink" Target="https://www.amazon.com/dp/B0DSP46TJT" TargetMode="External"/><Relationship Id="rId1556" Type="http://schemas.openxmlformats.org/officeDocument/2006/relationships/hyperlink" Target="https://www.amazon.com/dp/B0H7566P6G" TargetMode="External"/><Relationship Id="rId1557" Type="http://schemas.openxmlformats.org/officeDocument/2006/relationships/hyperlink" Target="https://www.amazon.com/dp/B0DFWBPL32" TargetMode="External"/><Relationship Id="rId1558" Type="http://schemas.openxmlformats.org/officeDocument/2006/relationships/hyperlink" Target="https://www.amazon.com/dp/B0DFG9DPL1" TargetMode="External"/><Relationship Id="rId1559" Type="http://schemas.openxmlformats.org/officeDocument/2006/relationships/hyperlink" Target="https://www.amazon.com/dp/B08FYCBBWB" TargetMode="External"/><Relationship Id="rId1560" Type="http://schemas.openxmlformats.org/officeDocument/2006/relationships/hyperlink" Target="https://www.amazon.com/dp/B0FNR66213" TargetMode="External"/><Relationship Id="rId1561" Type="http://schemas.openxmlformats.org/officeDocument/2006/relationships/hyperlink" Target="https://www.amazon.com/dp/B09X1Q23X4" TargetMode="External"/><Relationship Id="rId1562" Type="http://schemas.openxmlformats.org/officeDocument/2006/relationships/hyperlink" Target="https://www.amazon.com/dp/B00YGJ9FTS" TargetMode="External"/><Relationship Id="rId1563" Type="http://schemas.openxmlformats.org/officeDocument/2006/relationships/hyperlink" Target="https://www.amazon.com/dp/B0DTTP3ZV3" TargetMode="External"/><Relationship Id="rId1564" Type="http://schemas.openxmlformats.org/officeDocument/2006/relationships/hyperlink" Target="https://www.amazon.com/dp/B09X1P1PNC" TargetMode="External"/><Relationship Id="rId1565" Type="http://schemas.openxmlformats.org/officeDocument/2006/relationships/hyperlink" Target="https://www.amazon.com/dp/B0CW5RTMXW" TargetMode="External"/><Relationship Id="rId1566" Type="http://schemas.openxmlformats.org/officeDocument/2006/relationships/hyperlink" Target="https://www.amazon.com/dp/B00NLLUMOE" TargetMode="External"/><Relationship Id="rId1567" Type="http://schemas.openxmlformats.org/officeDocument/2006/relationships/hyperlink" Target="https://www.amazon.com/dp/B09DT8PPPJ" TargetMode="External"/><Relationship Id="rId1568" Type="http://schemas.openxmlformats.org/officeDocument/2006/relationships/hyperlink" Target="https://www.amazon.com/dp/B0GGGQCLXS" TargetMode="External"/><Relationship Id="rId1569" Type="http://schemas.openxmlformats.org/officeDocument/2006/relationships/hyperlink" Target="https://www.amazon.com/dp/B01JLMX1N0" TargetMode="External"/><Relationship Id="rId1570" Type="http://schemas.openxmlformats.org/officeDocument/2006/relationships/hyperlink" Target="https://www.amazon.com/dp/B06XWKZ4JZ" TargetMode="External"/><Relationship Id="rId1571" Type="http://schemas.openxmlformats.org/officeDocument/2006/relationships/hyperlink" Target="https://www.amazon.com/dp/B0CW5WCKVV" TargetMode="External"/><Relationship Id="rId1572" Type="http://schemas.openxmlformats.org/officeDocument/2006/relationships/hyperlink" Target="https://www.amazon.com/dp/B0BZMYN1RB" TargetMode="External"/><Relationship Id="rId1573" Type="http://schemas.openxmlformats.org/officeDocument/2006/relationships/hyperlink" Target="https://www.amazon.com/dp/B00LZKCK34" TargetMode="External"/><Relationship Id="rId1574" Type="http://schemas.openxmlformats.org/officeDocument/2006/relationships/hyperlink" Target="https://www.amazon.com/dp/B0BXSKSJHY" TargetMode="External"/><Relationship Id="rId1575" Type="http://schemas.openxmlformats.org/officeDocument/2006/relationships/hyperlink" Target="https://www.amazon.com/dp/B0789W3KKK" TargetMode="External"/><Relationship Id="rId1576" Type="http://schemas.openxmlformats.org/officeDocument/2006/relationships/hyperlink" Target="https://www.amazon.com/dp/B0CS9LXBG3" TargetMode="External"/><Relationship Id="rId1577" Type="http://schemas.openxmlformats.org/officeDocument/2006/relationships/hyperlink" Target="https://www.amazon.com/dp/B07QL61STL" TargetMode="External"/><Relationship Id="rId1578" Type="http://schemas.openxmlformats.org/officeDocument/2006/relationships/hyperlink" Target="https://www.amazon.com/dp/B0CLK671YC" TargetMode="External"/><Relationship Id="rId1579" Type="http://schemas.openxmlformats.org/officeDocument/2006/relationships/hyperlink" Target="https://www.amazon.com/dp/B0GRVJJMSJ" TargetMode="External"/><Relationship Id="rId1580" Type="http://schemas.openxmlformats.org/officeDocument/2006/relationships/hyperlink" Target="https://www.amazon.com/dp/B073ZY6XH3" TargetMode="External"/><Relationship Id="rId1581" Type="http://schemas.openxmlformats.org/officeDocument/2006/relationships/hyperlink" Target="https://www.amazon.com/dp/B0HF7T3TRW" TargetMode="External"/><Relationship Id="rId1582" Type="http://schemas.openxmlformats.org/officeDocument/2006/relationships/hyperlink" Target="https://www.amazon.com/dp/B0H3234VZD" TargetMode="External"/><Relationship Id="rId1583" Type="http://schemas.openxmlformats.org/officeDocument/2006/relationships/hyperlink" Target="https://www.amazon.com/dp/B01MYN9K5B" TargetMode="External"/><Relationship Id="rId1584" Type="http://schemas.openxmlformats.org/officeDocument/2006/relationships/hyperlink" Target="https://www.amazon.com/dp/B0GCD1F8DZ" TargetMode="External"/><Relationship Id="rId1585" Type="http://schemas.openxmlformats.org/officeDocument/2006/relationships/hyperlink" Target="https://www.amazon.com/dp/B0HHJ2PRRY" TargetMode="External"/><Relationship Id="rId1586" Type="http://schemas.openxmlformats.org/officeDocument/2006/relationships/hyperlink" Target="https://www.amazon.com/dp/B0GZYB34M3" TargetMode="External"/><Relationship Id="rId1587" Type="http://schemas.openxmlformats.org/officeDocument/2006/relationships/hyperlink" Target="https://www.amazon.com/dp/B0H49SMLJ6" TargetMode="External"/><Relationship Id="rId1588" Type="http://schemas.openxmlformats.org/officeDocument/2006/relationships/hyperlink" Target="https://www.amazon.com/dp/B07MY34QH7" TargetMode="External"/><Relationship Id="rId1589" Type="http://schemas.openxmlformats.org/officeDocument/2006/relationships/hyperlink" Target="https://www.amazon.com/dp/B09DCSGK84" TargetMode="External"/><Relationship Id="rId1590" Type="http://schemas.openxmlformats.org/officeDocument/2006/relationships/hyperlink" Target="https://www.amazon.com/dp/B0CS6JRNPW" TargetMode="External"/><Relationship Id="rId1591" Type="http://schemas.openxmlformats.org/officeDocument/2006/relationships/hyperlink" Target="https://www.amazon.com/dp/B07413BLNN" TargetMode="External"/><Relationship Id="rId1592" Type="http://schemas.openxmlformats.org/officeDocument/2006/relationships/hyperlink" Target="https://www.amazon.com/dp/B07V5K36FL" TargetMode="External"/><Relationship Id="rId1593" Type="http://schemas.openxmlformats.org/officeDocument/2006/relationships/hyperlink" Target="https://www.amazon.com/dp/B0HFHD4ZCK" TargetMode="External"/><Relationship Id="rId1594" Type="http://schemas.openxmlformats.org/officeDocument/2006/relationships/hyperlink" Target="https://www.amazon.com/dp/B0HF81XXVJ" TargetMode="External"/><Relationship Id="rId1595" Type="http://schemas.openxmlformats.org/officeDocument/2006/relationships/hyperlink" Target="https://www.amazon.com/dp/B0DK35TTHV" TargetMode="External"/><Relationship Id="rId1596" Type="http://schemas.openxmlformats.org/officeDocument/2006/relationships/hyperlink" Target="https://www.amazon.com/dp/B01MRL0H2B" TargetMode="External"/><Relationship Id="rId1597" Type="http://schemas.openxmlformats.org/officeDocument/2006/relationships/hyperlink" Target="https://www.amazon.com/dp/B07MY2VQC9" TargetMode="External"/><Relationship Id="rId1598" Type="http://schemas.openxmlformats.org/officeDocument/2006/relationships/hyperlink" Target="https://www.amazon.com/dp/B0G3WPRFSL" TargetMode="External"/><Relationship Id="rId1599" Type="http://schemas.openxmlformats.org/officeDocument/2006/relationships/hyperlink" Target="https://www.amazon.com/dp/B0FVXTCBJP" TargetMode="External"/><Relationship Id="rId1600" Type="http://schemas.openxmlformats.org/officeDocument/2006/relationships/hyperlink" Target="https://www.amazon.com/dp/B0CCVBPNBT" TargetMode="External"/><Relationship Id="rId1601" Type="http://schemas.openxmlformats.org/officeDocument/2006/relationships/hyperlink" Target="https://www.amazon.com/dp/B0H9K7RH1X" TargetMode="External"/><Relationship Id="rId1602" Type="http://schemas.openxmlformats.org/officeDocument/2006/relationships/hyperlink" Target="https://www.amazon.com/dp/B0HF7QRG8Q" TargetMode="External"/><Relationship Id="rId1603" Type="http://schemas.openxmlformats.org/officeDocument/2006/relationships/hyperlink" Target="https://www.amazon.com/dp/B0HKFTTRS6" TargetMode="External"/><Relationship Id="rId1604" Type="http://schemas.openxmlformats.org/officeDocument/2006/relationships/hyperlink" Target="https://www.amazon.com/dp/B08LQD3FPP" TargetMode="External"/><Relationship Id="rId1605" Type="http://schemas.openxmlformats.org/officeDocument/2006/relationships/hyperlink" Target="https://www.amazon.com/dp/B0741222B8" TargetMode="External"/><Relationship Id="rId1606" Type="http://schemas.openxmlformats.org/officeDocument/2006/relationships/hyperlink" Target="https://www.amazon.com/dp/B0H7RQLZ4B" TargetMode="External"/><Relationship Id="rId1607" Type="http://schemas.openxmlformats.org/officeDocument/2006/relationships/hyperlink" Target="https://www.amazon.com/dp/B0BZ87ZQ7W" TargetMode="External"/><Relationship Id="rId1608" Type="http://schemas.openxmlformats.org/officeDocument/2006/relationships/hyperlink" Target="https://www.amazon.com/dp/B0CB5MJ1YC" TargetMode="External"/><Relationship Id="rId1609" Type="http://schemas.openxmlformats.org/officeDocument/2006/relationships/hyperlink" Target="https://www.amazon.com/dp/B0GX1B4VYP" TargetMode="External"/><Relationship Id="rId1610" Type="http://schemas.openxmlformats.org/officeDocument/2006/relationships/hyperlink" Target="https://www.amazon.com/dp/B0HF3MTSXS" TargetMode="External"/><Relationship Id="rId1611" Type="http://schemas.openxmlformats.org/officeDocument/2006/relationships/hyperlink" Target="https://www.amazon.com/dp/B0HFMVS6FC" TargetMode="External"/><Relationship Id="rId1612" Type="http://schemas.openxmlformats.org/officeDocument/2006/relationships/hyperlink" Target="https://www.amazon.com/dp/B0HKG76456" TargetMode="External"/><Relationship Id="rId1613" Type="http://schemas.openxmlformats.org/officeDocument/2006/relationships/hyperlink" Target="https://www.amazon.com/dp/B01H2OCWC0" TargetMode="External"/><Relationship Id="rId1614" Type="http://schemas.openxmlformats.org/officeDocument/2006/relationships/hyperlink" Target="https://www.amazon.com/dp/B0HHDVSF4H" TargetMode="External"/><Relationship Id="rId1615" Type="http://schemas.openxmlformats.org/officeDocument/2006/relationships/hyperlink" Target="https://www.amazon.com/dp/B0BVZ6NSLS" TargetMode="External"/><Relationship Id="rId1616" Type="http://schemas.openxmlformats.org/officeDocument/2006/relationships/hyperlink" Target="https://www.amazon.com/dp/B0D9WWJ3B3" TargetMode="External"/><Relationship Id="rId1617" Type="http://schemas.openxmlformats.org/officeDocument/2006/relationships/hyperlink" Target="https://www.amazon.com/dp/B01MSL0UA3" TargetMode="External"/><Relationship Id="rId1618" Type="http://schemas.openxmlformats.org/officeDocument/2006/relationships/hyperlink" Target="https://www.amazon.com/dp/B0DP671FYP" TargetMode="External"/><Relationship Id="rId1619" Type="http://schemas.openxmlformats.org/officeDocument/2006/relationships/hyperlink" Target="https://www.amazon.com/dp/B0GCCZ81T5" TargetMode="External"/><Relationship Id="rId1620" Type="http://schemas.openxmlformats.org/officeDocument/2006/relationships/hyperlink" Target="https://www.amazon.com/dp/B01N41IPPI" TargetMode="External"/><Relationship Id="rId1621" Type="http://schemas.openxmlformats.org/officeDocument/2006/relationships/hyperlink" Target="https://www.amazon.com/dp/B0GSDNRZLT" TargetMode="External"/><Relationship Id="rId1622" Type="http://schemas.openxmlformats.org/officeDocument/2006/relationships/hyperlink" Target="https://www.amazon.com/dp/B0D22QFVJV" TargetMode="External"/><Relationship Id="rId1623" Type="http://schemas.openxmlformats.org/officeDocument/2006/relationships/hyperlink" Target="https://www.amazon.com/dp/B0HFHBPMY6" TargetMode="External"/><Relationship Id="rId1624" Type="http://schemas.openxmlformats.org/officeDocument/2006/relationships/hyperlink" Target="https://www.amazon.com/dp/B0HDN3RMM3" TargetMode="External"/><Relationship Id="rId1625" Type="http://schemas.openxmlformats.org/officeDocument/2006/relationships/hyperlink" Target="https://www.amazon.com/dp/B0GF1K8HXK" TargetMode="External"/><Relationship Id="rId1626" Type="http://schemas.openxmlformats.org/officeDocument/2006/relationships/hyperlink" Target="https://www.amazon.com/dp/B08YQXH8HD" TargetMode="External"/><Relationship Id="rId1627" Type="http://schemas.openxmlformats.org/officeDocument/2006/relationships/hyperlink" Target="https://www.amazon.com/dp/B07MY1YW3Q" TargetMode="External"/><Relationship Id="rId1628"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hyperlink" Target="https://www.amazon.ca/dp/B0C699R8B6" TargetMode="External"/><Relationship Id="rId2" Type="http://schemas.openxmlformats.org/officeDocument/2006/relationships/hyperlink" Target="https://www.amazon.co.uk/dp/B072M5ZT78" TargetMode="External"/><Relationship Id="rId3" Type="http://schemas.openxmlformats.org/officeDocument/2006/relationships/hyperlink" Target="https://www.amazon.co.uk/dp/B08FRKXJ9R" TargetMode="External"/><Relationship Id="rId4" Type="http://schemas.openxmlformats.org/officeDocument/2006/relationships/hyperlink" Target="https://www.amazon.co.uk/dp/B0DN1DDRHR" TargetMode="External"/><Relationship Id="rId5" Type="http://schemas.openxmlformats.org/officeDocument/2006/relationships/hyperlink" Target="https://www.amazon.co.uk/dp/B0CGJGRFW9" TargetMode="External"/><Relationship Id="rId6" Type="http://schemas.openxmlformats.org/officeDocument/2006/relationships/hyperlink" Target="https://www.amazon.co.uk/dp/B00J4RM850" TargetMode="External"/><Relationship Id="rId7" Type="http://schemas.openxmlformats.org/officeDocument/2006/relationships/hyperlink" Target="https://www.amazon.com/dp/B07HC2WHS1" TargetMode="External"/><Relationship Id="rId8" Type="http://schemas.openxmlformats.org/officeDocument/2006/relationships/hyperlink" Target="https://www.amazon.com/dp/B07RY59C3W" TargetMode="External"/><Relationship Id="rId9" Type="http://schemas.openxmlformats.org/officeDocument/2006/relationships/hyperlink" Target="https://www.amazon.ca/dp/B0DST3PF14" TargetMode="External"/><Relationship Id="rId10" Type="http://schemas.openxmlformats.org/officeDocument/2006/relationships/hyperlink" Target="https://www.amazon.com/dp/B0BP6DZ862" TargetMode="External"/><Relationship Id="rId11" Type="http://schemas.openxmlformats.org/officeDocument/2006/relationships/hyperlink" Target="https://www.amazon.com/dp/B0F29F1JM5" TargetMode="External"/><Relationship Id="rId12" Type="http://schemas.openxmlformats.org/officeDocument/2006/relationships/hyperlink" Target="https://www.amazon.ca/dp/B07D5DN269" TargetMode="External"/><Relationship Id="rId13" Type="http://schemas.openxmlformats.org/officeDocument/2006/relationships/hyperlink" Target="https://www.amazon.com/dp/B073ZY6XH3" TargetMode="External"/><Relationship Id="rId14" Type="http://schemas.openxmlformats.org/officeDocument/2006/relationships/hyperlink" Target="https://www.amazon.ca/dp/B01E02DU0U" TargetMode="External"/><Relationship Id="rId15" Type="http://schemas.openxmlformats.org/officeDocument/2006/relationships/hyperlink" Target="https://www.amazon.ca/dp/B0H9QD7RD5" TargetMode="External"/><Relationship Id="rId16"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5.xml"/><Relationship Id="rId3" Type="http://schemas.openxmlformats.org/officeDocument/2006/relationships/vmlDrawing" Target="../drawings/vmlDrawing1.v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hyperlink" Target="https://www.grandviewresearch.com/horizon/outlook/home-bedding-market/united-states" TargetMode="External"/><Relationship Id="rId2" Type="http://schemas.openxmlformats.org/officeDocument/2006/relationships/hyperlink" Target="https://www.grandviewresearch.com/horizon/outlook/home-bedding-market/united-states" TargetMode="External"/><Relationship Id="rId3" Type="http://schemas.openxmlformats.org/officeDocument/2006/relationships/hyperlink" Target="https://www.grandviewresearch.com/horizon/outlook/home-bedding-market/canada" TargetMode="External"/><Relationship Id="rId4" Type="http://schemas.openxmlformats.org/officeDocument/2006/relationships/hyperlink" Target="https://www.grandviewresearch.com/horizon/outlook/home-bedding-market/canada" TargetMode="External"/><Relationship Id="rId5" Type="http://schemas.openxmlformats.org/officeDocument/2006/relationships/hyperlink" Target="https://www.grandviewresearch.com/horizon/outlook/home-bedding-market/uk" TargetMode="External"/><Relationship Id="rId6" Type="http://schemas.openxmlformats.org/officeDocument/2006/relationships/hyperlink" Target="https://www.grandviewresearch.com/horizon/outlook/home-bedding-market/uk" TargetMode="External"/><Relationship Id="rId7" Type="http://schemas.openxmlformats.org/officeDocument/2006/relationships/hyperlink" Target="https://www.grandviewresearch.com/horizon/outlook/bed-linen-market/united-states" TargetMode="External"/><Relationship Id="rId8" Type="http://schemas.openxmlformats.org/officeDocument/2006/relationships/hyperlink" Target="https://www.grandviewresearch.com/horizon" TargetMode="External"/><Relationship Id="rId9" Type="http://schemas.openxmlformats.org/officeDocument/2006/relationships/hyperlink" Target="https://www.grandviewresearch.com/horizon/outlook/bed-linen-market/canada" TargetMode="External"/><Relationship Id="rId10" Type="http://schemas.openxmlformats.org/officeDocument/2006/relationships/hyperlink" Target="https://www.grandviewresearch.com/horizon" TargetMode="External"/><Relationship Id="rId11" Type="http://schemas.openxmlformats.org/officeDocument/2006/relationships/hyperlink" Target="https://www.grandviewresearch.com/horizon/outlook/bed-linen-market/uk" TargetMode="External"/><Relationship Id="rId12" Type="http://schemas.openxmlformats.org/officeDocument/2006/relationships/hyperlink" Target="https://www.grandviewresearch.com/horizon" TargetMode="External"/><Relationship Id="rId13" Type="http://schemas.openxmlformats.org/officeDocument/2006/relationships/hyperlink" Target="https://www.ftc.gov/business-guidance/resources/threading-your-way-through-labeling-requirements-under-textile-wool-acts" TargetMode="External"/><Relationship Id="rId14" Type="http://schemas.openxmlformats.org/officeDocument/2006/relationships/hyperlink" Target="https://www.ftc.gov/business-guidance/resources/threading-your-way-through-labeling-requirements-under-textile-wool-acts" TargetMode="External"/><Relationship Id="rId15" Type="http://schemas.openxmlformats.org/officeDocument/2006/relationships/hyperlink" Target="https://www.ftc.gov/bamboo-textiles" TargetMode="External"/><Relationship Id="rId16" Type="http://schemas.openxmlformats.org/officeDocument/2006/relationships/hyperlink" Target="https://www.ftc.gov/bamboo-textiles" TargetMode="External"/><Relationship Id="rId17" Type="http://schemas.openxmlformats.org/officeDocument/2006/relationships/hyperlink" Target="https://competition-bureau.canada.ca/labelling/textile-labelling/guide-textile-labelling-and-advertising-regulations" TargetMode="External"/><Relationship Id="rId18" Type="http://schemas.openxmlformats.org/officeDocument/2006/relationships/hyperlink" Target="https://www.gov.uk/guidance/textile-labelling" TargetMode="External"/><Relationship Id="rId19" Type="http://schemas.openxmlformats.org/officeDocument/2006/relationships/hyperlink" Target="https://www.gov.uk/guidance/textile-labelling" TargetMode="External"/><Relationship Id="rId20" Type="http://schemas.openxmlformats.org/officeDocument/2006/relationships/hyperlink" Target="https://www.gov.uk/government/collections/trading-with-developing-nations" TargetMode="External"/><Relationship Id="rId21" Type="http://schemas.openxmlformats.org/officeDocument/2006/relationships/hyperlink" Target="https://www.gov.uk/government/collections/trading-with-developing-nations" TargetMode="External"/><Relationship Id="rId22" Type="http://schemas.openxmlformats.org/officeDocument/2006/relationships/hyperlink" Target="https://sell.amazon.com/pricing" TargetMode="External"/><Relationship Id="rId23" Type="http://schemas.openxmlformats.org/officeDocument/2006/relationships/hyperlink" Target="https://sell.amazon.ca/pricing" TargetMode="External"/><Relationship Id="rId24" Type="http://schemas.openxmlformats.org/officeDocument/2006/relationships/hyperlink" Target="https://sell.amazon.co.uk/pricing" TargetMode="External"/><Relationship Id="rId25" Type="http://schemas.openxmlformats.org/officeDocument/2006/relationships/hyperlink" Target="https://www.gov.uk/guidance/claiming-preference-under-the-developing-countries-trading-scheme" TargetMode="External"/><Relationship Id="rId26" Type="http://schemas.openxmlformats.org/officeDocument/2006/relationships/hyperlink" Target="https://www.cbsa-asfc.gc.ca/import/guide-eng.html" TargetMode="External"/><Relationship Id="rId27" Type="http://schemas.openxmlformats.org/officeDocument/2006/relationships/hyperlink" Target="https://www.cbsa-asfc.gc.ca/import/guide-eng.html" TargetMode="External"/><Relationship Id="rId28" Type="http://schemas.openxmlformats.org/officeDocument/2006/relationships/hyperlink" Target="https://www.cbp.gov/trade/basic-import-export/importing-into-united-states" TargetMode="External"/><Relationship Id="rId29" Type="http://schemas.openxmlformats.org/officeDocument/2006/relationships/hyperlink" Target="https://www.gov.uk/vat-rates" TargetMode="External"/><Relationship Id="rId30" Type="http://schemas.openxmlformats.org/officeDocument/2006/relationships/hyperlink" Target="https://www.gov.uk/vat-rates" TargetMode="External"/><Relationship Id="rId31" Type="http://schemas.openxmlformats.org/officeDocument/2006/relationships/hyperlink" Target="https://www.gov.uk/import-goods-into-uk" TargetMode="External"/><Relationship Id="rId32" Type="http://schemas.openxmlformats.org/officeDocument/2006/relationships/hyperlink" Target="https://www.gov.uk/import-goods-into-uk" TargetMode="External"/><Relationship Id="rId33" Type="http://schemas.openxmlformats.org/officeDocument/2006/relationships/hyperlink" Target="https://www.cpsc.gov/Business--Manufacturing/Business-Education/Business-Guidance/Mattresses" TargetMode="External"/><Relationship Id="rId34" Type="http://schemas.openxmlformats.org/officeDocument/2006/relationships/hyperlink" Target="https://www.cpsc.gov/FAQ/Mattresses-Mattress-Pads-Mattress-Sets" TargetMode="External"/><Relationship Id="rId35" Type="http://schemas.openxmlformats.org/officeDocument/2006/relationships/hyperlink" Target="https://www.psw.gov.pk/single-declaration-export" TargetMode="External"/><Relationship Id="rId36" Type="http://schemas.openxmlformats.org/officeDocument/2006/relationships/hyperlink" Target="https://www.psw.gov.pk/single-declaration-export" TargetMode="External"/><Relationship Id="rId37" Type="http://schemas.openxmlformats.org/officeDocument/2006/relationships/hyperlink" Target="https://www.brooklinen.com/products/classic-core-sheet-set" TargetMode="External"/><Relationship Id="rId38" Type="http://schemas.openxmlformats.org/officeDocument/2006/relationships/hyperlink" Target="https://www.brooklinen.com/products/classic-core-sheet-set" TargetMode="External"/><Relationship Id="rId39" Type="http://schemas.openxmlformats.org/officeDocument/2006/relationships/hyperlink" Target="https://www.thecompanystore.com/comforters" TargetMode="External"/><Relationship Id="rId40" Type="http://schemas.openxmlformats.org/officeDocument/2006/relationships/hyperlink" Target="https://www.thecompanystore.com/comforters" TargetMode="External"/><Relationship Id="rId41" Type="http://schemas.openxmlformats.org/officeDocument/2006/relationships/hyperlink" Target="https://www.dunelm.com/category/home-and-furniture/bedding/duvet-covers" TargetMode="External"/><Relationship Id="rId42" Type="http://schemas.openxmlformats.org/officeDocument/2006/relationships/hyperlink" Target="https://www.silkandsnow.com/en-ca/sheets/" TargetMode="External"/><Relationship Id="rId43" Type="http://schemas.openxmlformats.org/officeDocument/2006/relationships/hyperlink" Target="https://www.amazon.com/s?k=cotton+sheet+set" TargetMode="External"/><Relationship Id="rId44" Type="http://schemas.openxmlformats.org/officeDocument/2006/relationships/hyperlink" Target="https://www.amazon.com/s?k=cotton+sheet+set" TargetMode="External"/><Relationship Id="rId45" Type="http://schemas.openxmlformats.org/officeDocument/2006/relationships/hyperlink" Target="https://www.amazon.ca/s?k=cotton+sheet+set" TargetMode="External"/><Relationship Id="rId46" Type="http://schemas.openxmlformats.org/officeDocument/2006/relationships/hyperlink" Target="https://www.amazon.ca/s?k=cotton+sheet+set" TargetMode="External"/><Relationship Id="rId47" Type="http://schemas.openxmlformats.org/officeDocument/2006/relationships/hyperlink" Target="https://www.amazon.co.uk/s?k=cotton+duvet+cover+set" TargetMode="External"/><Relationship Id="rId48" Type="http://schemas.openxmlformats.org/officeDocument/2006/relationships/hyperlink" Target="https://competition-bureau.canada.ca/labelling/textile-labelling/guide-textile-labelling-and-advertising-regulations" TargetMode="External"/><Relationship Id="rId49" Type="http://schemas.openxmlformats.org/officeDocument/2006/relationships/hyperlink" Target="https://competition-bureau.canada.ca/en/labelling/textile-labelling/guide-textile-labelling-and-advertising-regulations" TargetMode="External"/><Relationship Id="rId50" Type="http://schemas.openxmlformats.org/officeDocument/2006/relationships/hyperlink" Target="https://www.gov.uk/guidance/trading-with-developing-nations" TargetMode="External"/><Relationship Id="rId51" Type="http://schemas.openxmlformats.org/officeDocument/2006/relationships/hyperlink" Target="https://www.gov.uk/government/collections/trading-with-developing-nations" TargetMode="External"/><Relationship Id="rId52" Type="http://schemas.openxmlformats.org/officeDocument/2006/relationships/hyperlink" Target="https://www.gov.uk/guidance/developing-countries-trading-scheme-dcts-rules-of-origin" TargetMode="External"/><Relationship Id="rId53" Type="http://schemas.openxmlformats.org/officeDocument/2006/relationships/hyperlink" Target="https://www.mordorintelligence.com/industry-reports/united-states-home-textile-market" TargetMode="External"/><Relationship Id="rId54" Type="http://schemas.openxmlformats.org/officeDocument/2006/relationships/hyperlink" Target="https://www.mordorintelligence.com/industry-reports/united-states-home-textile-market" TargetMode="External"/><Relationship Id="rId55" Type="http://schemas.openxmlformats.org/officeDocument/2006/relationships/hyperlink" Target="https://www.mordorintelligence.com/industry-reports/united-kingdom-home-textile-market" TargetMode="External"/><Relationship Id="rId56" Type="http://schemas.openxmlformats.org/officeDocument/2006/relationships/hyperlink" Target="https://www.mordorintelligence.com/industry-reports/united-kingdom-home-textile-market" TargetMode="External"/><Relationship Id="rId57" Type="http://schemas.openxmlformats.org/officeDocument/2006/relationships/hyperlink" Target="https://www.mordorintelligence.com/industry-reports/canada-home-textile-market" TargetMode="External"/><Relationship Id="rId58" Type="http://schemas.openxmlformats.org/officeDocument/2006/relationships/hyperlink" Target="https://www.mordorintelligence.com/industry-reports/canada-home-textile-market" TargetMode="External"/><Relationship Id="rId59" Type="http://schemas.openxmlformats.org/officeDocument/2006/relationships/hyperlink" Target="https://corporate.dunelm.com/investors/reports-and-presentations/" TargetMode="External"/><Relationship Id="rId60" Type="http://schemas.openxmlformats.org/officeDocument/2006/relationships/hyperlink" Target="https://corporate.dunelm.com/investors/results-reports-and-presentations/" TargetMode="External"/><Relationship Id="rId61" Type="http://schemas.openxmlformats.org/officeDocument/2006/relationships/hyperlink" Target="https://www.brooklinen.com/products/classic-percale-core-sheet-set" TargetMode="External"/><Relationship Id="rId62" Type="http://schemas.openxmlformats.org/officeDocument/2006/relationships/hyperlink" Target="https://www.quince.com/home/cotton-percale-sheet-set" TargetMode="External"/><Relationship Id="rId63" Type="http://schemas.openxmlformats.org/officeDocument/2006/relationships/hyperlink" Target="https://ised-isde.canada.ca/site/competition-bureau-canada/en/labelling/textile-labelling/guide-textile-labelling-and-advertising-regulations" TargetMode="External"/><Relationship Id="rId64" Type="http://schemas.openxmlformats.org/officeDocument/2006/relationships/hyperlink" Target="https://laws-lois.justice.gc.ca/eng/regulations/C.R.C.,_c._1551/FullText.html" TargetMode="External"/><Relationship Id="rId65" Type="http://schemas.openxmlformats.org/officeDocument/2006/relationships/hyperlink" Target="https://laws-lois.justice.gc.ca/eng/regulations/C.R.C.,_c._1551/FullText.html" TargetMode="External"/><Relationship Id="rId66" Type="http://schemas.openxmlformats.org/officeDocument/2006/relationships/hyperlink" Target="https://www.gov.uk/government/publications/developing-countries-trading-scheme-dcts-new-policy-report" TargetMode="External"/><Relationship Id="rId67" Type="http://schemas.openxmlformats.org/officeDocument/2006/relationships/hyperlink" Target="https://www.gov.uk/government/publications/developing-countries-trading-scheme-dcts-new-policy-report" TargetMode="External"/><Relationship Id="rId68" Type="http://schemas.openxmlformats.org/officeDocument/2006/relationships/hyperlink" Target="https://www.gov.uk/guidance/rules-of-origin-for-goods-imported-and-exported-between-the-uk-and-developing-countries" TargetMode="External"/><Relationship Id="rId69" Type="http://schemas.openxmlformats.org/officeDocument/2006/relationships/hyperlink" Target="https://www.gulahmed.com/" TargetMode="External"/><Relationship Id="rId70" Type="http://schemas.openxmlformats.org/officeDocument/2006/relationships/hyperlink" Target="https://gulahmed.com/" TargetMode="External"/><Relationship Id="rId71" Type="http://schemas.openxmlformats.org/officeDocument/2006/relationships/hyperlink" Target="https://www.nishatmillsltd.com/" TargetMode="External"/><Relationship Id="rId72" Type="http://schemas.openxmlformats.org/officeDocument/2006/relationships/hyperlink" Target="https://nishatmillsltd.com/" TargetMode="External"/><Relationship Id="rId73" Type="http://schemas.openxmlformats.org/officeDocument/2006/relationships/hyperlink" Target="https://www.standardtextile.com/" TargetMode="External"/><Relationship Id="rId74" Type="http://schemas.openxmlformats.org/officeDocument/2006/relationships/hyperlink" Target="https://www.welspunliving.com/" TargetMode="External"/><Relationship Id="rId75" Type="http://schemas.openxmlformats.org/officeDocument/2006/relationships/hyperlink" Target="https://www.welspunliving.com/" TargetMode="External"/><Relationship Id="rId76" Type="http://schemas.openxmlformats.org/officeDocument/2006/relationships/hyperlink" Target="https://www.gov.uk/guidance/preference-tiers-under-the-developing-countries-trading-scheme" TargetMode="External"/><Relationship Id="rId77" Type="http://schemas.openxmlformats.org/officeDocument/2006/relationships/hyperlink" Target="https://www.gov.uk/guidance/preference-tiers-under-the-developing-countries-trading-scheme" TargetMode="External"/><Relationship Id="rId78" Type="http://schemas.openxmlformats.org/officeDocument/2006/relationships/hyperlink" Target="https://www.gov.uk/guidance/how-to-claim-preferences-under-the-developing-countries-trading-scheme-dcts" TargetMode="External"/><Relationship Id="rId79" Type="http://schemas.openxmlformats.org/officeDocument/2006/relationships/hyperlink" Target="https://www.gov.uk/guidance/how-to-claim-preferences-under-the-developing-countries-trading-scheme-dcts" TargetMode="External"/><Relationship Id="rId80" Type="http://schemas.openxmlformats.org/officeDocument/2006/relationships/hyperlink" Target="https://www.gov.uk/government/publications/rules-of-origin-changes-under-the-developing-countries-trading-scheme-are-now-in-effect" TargetMode="External"/><Relationship Id="rId81" Type="http://schemas.openxmlformats.org/officeDocument/2006/relationships/hyperlink" Target="https://www.gov.uk/government/publications/rules-of-origin-changes-under-the-developing-countries-trading-scheme-are-now-in-effect" TargetMode="External"/><Relationship Id="rId82" Type="http://schemas.openxmlformats.org/officeDocument/2006/relationships/hyperlink" Target="https://www.gov.uk/guidance/understanding-rules-of-origin-under-the-developing-countries-trading-scheme" TargetMode="External"/><Relationship Id="rId83" Type="http://schemas.openxmlformats.org/officeDocument/2006/relationships/hyperlink" Target="https://www.gov.uk/guidance/understanding-rules-of-origin-under-the-developing-countries-trading-scheme" TargetMode="External"/><Relationship Id="rId84" Type="http://schemas.openxmlformats.org/officeDocument/2006/relationships/hyperlink" Target="https://www.cbsa-asfc.gc.ca/trade-commerce/tariff-tarif/2026/html/00/ch63-eng.html" TargetMode="External"/><Relationship Id="rId85" Type="http://schemas.openxmlformats.org/officeDocument/2006/relationships/hyperlink" Target="https://www.cbsa-asfc.gc.ca/trade-commerce/tariff-tarif/2026/html/00/ch63-eng.html" TargetMode="External"/><Relationship Id="rId86" Type="http://schemas.openxmlformats.org/officeDocument/2006/relationships/hyperlink" Target="https://hts.usitc.gov/" TargetMode="External"/><Relationship Id="rId87" Type="http://schemas.openxmlformats.org/officeDocument/2006/relationships/hyperlink" Target="https://hts.usitc.gov/" TargetMode="External"/><Relationship Id="rId88" Type="http://schemas.openxmlformats.org/officeDocument/2006/relationships/hyperlink" Target="https://www.cbp.gov/trade/forced-labor/UFLPA" TargetMode="External"/><Relationship Id="rId89" Type="http://schemas.openxmlformats.org/officeDocument/2006/relationships/hyperlink" Target="https://www.cbp.gov/trade/forced-labor/UFLPA" TargetMode="External"/><Relationship Id="rId90" Type="http://schemas.openxmlformats.org/officeDocument/2006/relationships/hyperlink" Target="https://www.amazon.co.uk/s?k=cotton%20sheet%20set" TargetMode="External"/><Relationship Id="rId91" Type="http://schemas.openxmlformats.org/officeDocument/2006/relationships/hyperlink" Target="https://www.amazon.co.uk/s?k=cotton%20sheet%20set" TargetMode="External"/><Relationship Id="rId92" Type="http://schemas.openxmlformats.org/officeDocument/2006/relationships/hyperlink" Target="https://www.amazon.ca/s?k=cotton%20quilt" TargetMode="External"/><Relationship Id="rId93" Type="http://schemas.openxmlformats.org/officeDocument/2006/relationships/hyperlink" Target="https://www.amazon.ca/s?k=cotton%20quilt" TargetMode="External"/><Relationship Id="rId94" Type="http://schemas.openxmlformats.org/officeDocument/2006/relationships/hyperlink" Target="https://www.amazon.co.uk/s?k=cotton%20duvet%20cover%20set" TargetMode="External"/><Relationship Id="rId95" Type="http://schemas.openxmlformats.org/officeDocument/2006/relationships/hyperlink" Target="https://www.amazon.co.uk/s?k=cotton%20duvet%20cover%20set" TargetMode="External"/><Relationship Id="rId96" Type="http://schemas.openxmlformats.org/officeDocument/2006/relationships/hyperlink" Target="https://www.amazon.com/s?k=comforter%20set" TargetMode="External"/><Relationship Id="rId97" Type="http://schemas.openxmlformats.org/officeDocument/2006/relationships/hyperlink" Target="https://www.amazon.com/s?k=comforter%20set" TargetMode="External"/><Relationship Id="rId98" Type="http://schemas.openxmlformats.org/officeDocument/2006/relationships/hyperlink" Target="https://www.amazon.ca/dp/B0C699R8B6" TargetMode="External"/><Relationship Id="rId99" Type="http://schemas.openxmlformats.org/officeDocument/2006/relationships/hyperlink" Target="https://www.amazon.ca/dp/B0C699R8B6" TargetMode="External"/><Relationship Id="rId100" Type="http://schemas.openxmlformats.org/officeDocument/2006/relationships/hyperlink" Target="https://www.brooklinen.com/products/classic-core-sheet-set" TargetMode="External"/><Relationship Id="rId101" Type="http://schemas.openxmlformats.org/officeDocument/2006/relationships/hyperlink" Target="https://www.brooklinen.com/products/classic-core-sheet-set" TargetMode="External"/><Relationship Id="rId102" Type="http://schemas.openxmlformats.org/officeDocument/2006/relationships/hyperlink" Target="https://www.amazon.co.uk/s?k=waterproof%20mattress%20protector" TargetMode="External"/><Relationship Id="rId103" Type="http://schemas.openxmlformats.org/officeDocument/2006/relationships/hyperlink" Target="https://www.amazon.co.uk/s?k=waterproof%20mattress%20protector" TargetMode="External"/><Relationship Id="rId104" Type="http://schemas.openxmlformats.org/officeDocument/2006/relationships/hyperlink" Target="https://www.amazon.co.uk/s?k=cotton%20pillowcases" TargetMode="External"/><Relationship Id="rId105" Type="http://schemas.openxmlformats.org/officeDocument/2006/relationships/hyperlink" Target="https://www.amazon.co.uk/s?k=cotton%20pillowcases" TargetMode="External"/><Relationship Id="rId106" Type="http://schemas.openxmlformats.org/officeDocument/2006/relationships/hyperlink" Target="https://www.amazon.co.uk/dp/B072M5ZT78" TargetMode="External"/><Relationship Id="rId107" Type="http://schemas.openxmlformats.org/officeDocument/2006/relationships/hyperlink" Target="https://www.amazon.co.uk/dp/B072M5ZT78" TargetMode="External"/><Relationship Id="rId108" Type="http://schemas.openxmlformats.org/officeDocument/2006/relationships/hyperlink" Target="https://www.amazon.co.uk/s?k=deep%20pocket%20fitted%20sheet" TargetMode="External"/><Relationship Id="rId109" Type="http://schemas.openxmlformats.org/officeDocument/2006/relationships/hyperlink" Target="https://www.amazon.co.uk/s?k=deep%20pocket%20fitted%20sheet" TargetMode="External"/><Relationship Id="rId110" Type="http://schemas.openxmlformats.org/officeDocument/2006/relationships/hyperlink" Target="https://sell.amazon.com/pricing" TargetMode="External"/><Relationship Id="rId111" Type="http://schemas.openxmlformats.org/officeDocument/2006/relationships/hyperlink" Target="https://sell.amazon.com/pricing" TargetMode="External"/><Relationship Id="rId112" Type="http://schemas.openxmlformats.org/officeDocument/2006/relationships/hyperlink" Target="https://www.amazon.ca/s?k=linen%20sheet%20set" TargetMode="External"/><Relationship Id="rId113" Type="http://schemas.openxmlformats.org/officeDocument/2006/relationships/hyperlink" Target="https://www.amazon.ca/s?k=linen%20sheet%20set" TargetMode="External"/><Relationship Id="rId114" Type="http://schemas.openxmlformats.org/officeDocument/2006/relationships/hyperlink" Target="https://www.amazon.co.uk/dp/B08FRKXJ9R" TargetMode="External"/><Relationship Id="rId115" Type="http://schemas.openxmlformats.org/officeDocument/2006/relationships/hyperlink" Target="https://www.amazon.co.uk/dp/B08FRKXJ9R" TargetMode="External"/><Relationship Id="rId116" Type="http://schemas.openxmlformats.org/officeDocument/2006/relationships/hyperlink" Target="https://www.amazon.co.uk/dp/B0DN1DDRHR" TargetMode="External"/><Relationship Id="rId117" Type="http://schemas.openxmlformats.org/officeDocument/2006/relationships/hyperlink" Target="https://www.amazon.co.uk/dp/B0DN1DDRHR" TargetMode="External"/><Relationship Id="rId118" Type="http://schemas.openxmlformats.org/officeDocument/2006/relationships/hyperlink" Target="https://www.ikea.com/ca/en/cat/sheets-10681/" TargetMode="External"/><Relationship Id="rId119" Type="http://schemas.openxmlformats.org/officeDocument/2006/relationships/hyperlink" Target="https://www.ikea.com/ca/en/cat/bed-sheets-10681/" TargetMode="External"/><Relationship Id="rId120" Type="http://schemas.openxmlformats.org/officeDocument/2006/relationships/hyperlink" Target="https://www.gov.uk/guidance/overseas-businesses-and-vat" TargetMode="External"/><Relationship Id="rId121" Type="http://schemas.openxmlformats.org/officeDocument/2006/relationships/hyperlink" Target="https://www.gov.uk/guidance/overseas-businesses-and-vat" TargetMode="External"/><Relationship Id="rId122" Type="http://schemas.openxmlformats.org/officeDocument/2006/relationships/hyperlink" Target="https://www.amazon.co.uk/s?k=bamboo%20viscose%20sheet%20set" TargetMode="External"/><Relationship Id="rId123" Type="http://schemas.openxmlformats.org/officeDocument/2006/relationships/hyperlink" Target="https://www.amazon.co.uk/s?k=bamboo%20viscose%20sheet%20set" TargetMode="External"/><Relationship Id="rId124" Type="http://schemas.openxmlformats.org/officeDocument/2006/relationships/hyperlink" Target="https://www.amazon.co.uk/s?k=linen%20sheet%20set" TargetMode="External"/><Relationship Id="rId125" Type="http://schemas.openxmlformats.org/officeDocument/2006/relationships/hyperlink" Target="https://www.amazon.co.uk/s?k=linen%20sheet%20set" TargetMode="External"/><Relationship Id="rId126" Type="http://schemas.openxmlformats.org/officeDocument/2006/relationships/hyperlink" Target="https://www.amazon.co.uk/dp/B0CGJGRFW9" TargetMode="External"/><Relationship Id="rId127" Type="http://schemas.openxmlformats.org/officeDocument/2006/relationships/hyperlink" Target="https://www.amazon.co.uk/dp/B0CGJGRFW9" TargetMode="External"/><Relationship Id="rId128" Type="http://schemas.openxmlformats.org/officeDocument/2006/relationships/hyperlink" Target="https://www.amazon.co.uk/dp/B00J4RM850" TargetMode="External"/><Relationship Id="rId129" Type="http://schemas.openxmlformats.org/officeDocument/2006/relationships/hyperlink" Target="https://www.amazon.co.uk/dp/B00J4RM850" TargetMode="External"/><Relationship Id="rId130" Type="http://schemas.openxmlformats.org/officeDocument/2006/relationships/hyperlink" Target="https://www.amazon.ca/s?k=cotton%20pillowcases" TargetMode="External"/><Relationship Id="rId131" Type="http://schemas.openxmlformats.org/officeDocument/2006/relationships/hyperlink" Target="https://www.amazon.ca/s?k=cotton%20pillowcases" TargetMode="External"/><Relationship Id="rId132" Type="http://schemas.openxmlformats.org/officeDocument/2006/relationships/hyperlink" Target="https://www.amazon.ca/s?k=comforter%20set" TargetMode="External"/><Relationship Id="rId133" Type="http://schemas.openxmlformats.org/officeDocument/2006/relationships/hyperlink" Target="https://www.amazon.ca/s?k=comforter%20set" TargetMode="External"/><Relationship Id="rId134" Type="http://schemas.openxmlformats.org/officeDocument/2006/relationships/hyperlink" Target="https://www.amazon.co.uk/s?k=cotton%20quilt" TargetMode="External"/><Relationship Id="rId135" Type="http://schemas.openxmlformats.org/officeDocument/2006/relationships/hyperlink" Target="https://www.amazon.co.uk/s?k=cotton%20quilt" TargetMode="External"/><Relationship Id="rId136" Type="http://schemas.openxmlformats.org/officeDocument/2006/relationships/hyperlink" Target="https://www.ikea.com/gb/en/cat/duvet-cover-sets-10680/" TargetMode="External"/><Relationship Id="rId137" Type="http://schemas.openxmlformats.org/officeDocument/2006/relationships/hyperlink" Target="https://www.ikea.com/gb/en/cat/duvet-cover-10680/" TargetMode="External"/><Relationship Id="rId138" Type="http://schemas.openxmlformats.org/officeDocument/2006/relationships/hyperlink" Target="https://www.amazon.com/dp/B06XS1P6NG" TargetMode="External"/><Relationship Id="rId139" Type="http://schemas.openxmlformats.org/officeDocument/2006/relationships/hyperlink" Target="https://www.amazon.com/checkpoint/continue?token=v1.rOYd66wt_qgdbbhQfnC-yK3lSqVN0bMICOcj7byrPhvW96lQ8ts7TkBndNMFhXSa0Dc0alvzFAsiCYATKVjZfKgk0YQm7zxacYwJ3tAkgMzXG86Aqqmq-_BKDN7NY7CGDH9nNiyH7_5K3qgehEEWQGF5lifPuSZ-tpsHpe_PYQePbfGt1NIuUost0PQGm1NgC0aCXyubggql8rGtoQBo48ZK5r0s1X35zOoZDQYhD24lg1ISwzd9URkgqjUUcYzQJvg" TargetMode="External"/><Relationship Id="rId140" Type="http://schemas.openxmlformats.org/officeDocument/2006/relationships/hyperlink" Target="https://www.amazon.ca/s?k=cotton%20duvet%20cover%20set" TargetMode="External"/><Relationship Id="rId141" Type="http://schemas.openxmlformats.org/officeDocument/2006/relationships/hyperlink" Target="https://www.amazon.ca/s?k=cotton%20duvet%20cover%20set" TargetMode="External"/><Relationship Id="rId142" Type="http://schemas.openxmlformats.org/officeDocument/2006/relationships/hyperlink" Target="https://www.amazon.co.uk/s?k=mattress%20topper" TargetMode="External"/><Relationship Id="rId143" Type="http://schemas.openxmlformats.org/officeDocument/2006/relationships/hyperlink" Target="https://www.amazon.co.uk/s?k=mattress%20topper" TargetMode="External"/><Relationship Id="rId144" Type="http://schemas.openxmlformats.org/officeDocument/2006/relationships/hyperlink" Target="https://www.amazon.co.uk/s?k=lyocell%20sheet%20set" TargetMode="External"/><Relationship Id="rId145" Type="http://schemas.openxmlformats.org/officeDocument/2006/relationships/hyperlink" Target="https://www.amazon.co.uk/s?k=lyocell%20sheet%20set" TargetMode="External"/><Relationship Id="rId146" Type="http://schemas.openxmlformats.org/officeDocument/2006/relationships/hyperlink" Target="https://www.amazon.com/s?k=mattress%20topper" TargetMode="External"/><Relationship Id="rId147" Type="http://schemas.openxmlformats.org/officeDocument/2006/relationships/hyperlink" Target="https://www.amazon.com/s?k=mattress%20topper" TargetMode="External"/><Relationship Id="rId148" Type="http://schemas.openxmlformats.org/officeDocument/2006/relationships/hyperlink" Target="https://www.amazon.co.uk/?currency=GBP" TargetMode="External"/><Relationship Id="rId149" Type="http://schemas.openxmlformats.org/officeDocument/2006/relationships/hyperlink" Target="https://www.amazon.co.uk/?currency=GBP" TargetMode="External"/><Relationship Id="rId150" Type="http://schemas.openxmlformats.org/officeDocument/2006/relationships/hyperlink" Target="https://www.amazon.com/s?k=linen%20sheet%20set" TargetMode="External"/><Relationship Id="rId151" Type="http://schemas.openxmlformats.org/officeDocument/2006/relationships/hyperlink" Target="https://www.amazon.com/s?k=linen%20sheet%20set" TargetMode="External"/><Relationship Id="rId152" Type="http://schemas.openxmlformats.org/officeDocument/2006/relationships/hyperlink" Target="https://www.amazon.com/dp/B07HC2WHS1" TargetMode="External"/><Relationship Id="rId153" Type="http://schemas.openxmlformats.org/officeDocument/2006/relationships/hyperlink" Target="https://www.amazon.com/dp/B07HC2WHS1" TargetMode="External"/><Relationship Id="rId154" Type="http://schemas.openxmlformats.org/officeDocument/2006/relationships/hyperlink" Target="https://www.amazon.com/s?k=lyocell%20sheet%20set" TargetMode="External"/><Relationship Id="rId155" Type="http://schemas.openxmlformats.org/officeDocument/2006/relationships/hyperlink" Target="https://www.amazon.com/s?k=lyocell%20sheet%20set" TargetMode="External"/><Relationship Id="rId156" Type="http://schemas.openxmlformats.org/officeDocument/2006/relationships/hyperlink" Target="https://www.amazon.ca/s?k=bamboo%20viscose%20sheet%20set" TargetMode="External"/><Relationship Id="rId157" Type="http://schemas.openxmlformats.org/officeDocument/2006/relationships/hyperlink" Target="https://www.amazon.ca/s?k=bamboo%20viscose%20sheet%20set" TargetMode="External"/><Relationship Id="rId158" Type="http://schemas.openxmlformats.org/officeDocument/2006/relationships/hyperlink" Target="https://www.amazon.com/dp/B07RY59C3W" TargetMode="External"/><Relationship Id="rId159" Type="http://schemas.openxmlformats.org/officeDocument/2006/relationships/hyperlink" Target="https://www.amazon.com/dp/B07RY59C3W" TargetMode="External"/><Relationship Id="rId160" Type="http://schemas.openxmlformats.org/officeDocument/2006/relationships/hyperlink" Target="https://www.amazon.com/dp/B003PWNH4Q" TargetMode="External"/><Relationship Id="rId161" Type="http://schemas.openxmlformats.org/officeDocument/2006/relationships/hyperlink" Target="https://www.amazon.com/checkpoint/continue?token=v1.g-m3QJlFa1bAtD6jE9_lDfvWiHAkvyhhuyNY5l_M_LRMHPVA0csWBSxmaEtmTz8DhbRCmW7kf_DhFWpUxcVXvS2FkZj2zP3ZhxTlwq8GWlWRthiLAT6zRkMHtKQ_OCAjzVf_DSi4pETbhdS_amGkun_GCVSAmeD3KvzAfYvuUO-6yXiMMjbKRRE-v9V6KiHMeJAPA8um8pNGEnOtDc-0dYw88pxdVG5K99neuEFvVLCqG_COKij6go-bBXCeDUfHLzOEd9A" TargetMode="External"/><Relationship Id="rId162" Type="http://schemas.openxmlformats.org/officeDocument/2006/relationships/hyperlink" Target="https://www.amazon.com/s?k=cotton%20quilt" TargetMode="External"/><Relationship Id="rId163" Type="http://schemas.openxmlformats.org/officeDocument/2006/relationships/hyperlink" Target="https://www.amazon.com/s?k=cotton%20quilt" TargetMode="External"/><Relationship Id="rId164" Type="http://schemas.openxmlformats.org/officeDocument/2006/relationships/hyperlink" Target="https://www.amazon.com/s?k=bamboo%20viscose%20sheet%20set" TargetMode="External"/><Relationship Id="rId165" Type="http://schemas.openxmlformats.org/officeDocument/2006/relationships/hyperlink" Target="https://www.amazon.com/s?k=bamboo%20viscose%20sheet%20set" TargetMode="External"/><Relationship Id="rId166" Type="http://schemas.openxmlformats.org/officeDocument/2006/relationships/hyperlink" Target="https://www.amazon.ca/dp/B0DST3PF14" TargetMode="External"/><Relationship Id="rId167" Type="http://schemas.openxmlformats.org/officeDocument/2006/relationships/hyperlink" Target="https://www.amazon.ca/dp/B0DST3PF14" TargetMode="External"/><Relationship Id="rId168" Type="http://schemas.openxmlformats.org/officeDocument/2006/relationships/hyperlink" Target="https://www.amazon.ca/s?k=mattress%20topper" TargetMode="External"/><Relationship Id="rId169" Type="http://schemas.openxmlformats.org/officeDocument/2006/relationships/hyperlink" Target="https://www.amazon.ca/s?k=mattress%20topper" TargetMode="External"/><Relationship Id="rId170" Type="http://schemas.openxmlformats.org/officeDocument/2006/relationships/hyperlink" Target="https://www.amazon.co.uk/s?k=comforter%20set" TargetMode="External"/><Relationship Id="rId171" Type="http://schemas.openxmlformats.org/officeDocument/2006/relationships/hyperlink" Target="https://www.amazon.co.uk/s?k=comforter%20set" TargetMode="External"/><Relationship Id="rId172" Type="http://schemas.openxmlformats.org/officeDocument/2006/relationships/hyperlink" Target="https://www.silkandsnow.com/en-ca/sheets/" TargetMode="External"/><Relationship Id="rId173" Type="http://schemas.openxmlformats.org/officeDocument/2006/relationships/hyperlink" Target="https://www.silkandsnow.com/en-ca/sheets/" TargetMode="External"/><Relationship Id="rId174" Type="http://schemas.openxmlformats.org/officeDocument/2006/relationships/hyperlink" Target="https://www.amazon.com/s?k=waterproof%20mattress%20protector" TargetMode="External"/><Relationship Id="rId175" Type="http://schemas.openxmlformats.org/officeDocument/2006/relationships/hyperlink" Target="https://www.amazon.com/s?k=waterproof%20mattress%20protector" TargetMode="External"/><Relationship Id="rId176" Type="http://schemas.openxmlformats.org/officeDocument/2006/relationships/hyperlink" Target="https://www.amazon.com/dp/B0BP6DZ862" TargetMode="External"/><Relationship Id="rId177" Type="http://schemas.openxmlformats.org/officeDocument/2006/relationships/hyperlink" Target="https://www.amazon.com/dp/B0BP6DZ862" TargetMode="External"/><Relationship Id="rId178" Type="http://schemas.openxmlformats.org/officeDocument/2006/relationships/hyperlink" Target="https://www.gov.uk/government/collections/trading-with-developing-nations" TargetMode="External"/><Relationship Id="rId179" Type="http://schemas.openxmlformats.org/officeDocument/2006/relationships/hyperlink" Target="https://www.gov.uk/government/collections/trading-with-developing-nations" TargetMode="External"/><Relationship Id="rId180" Type="http://schemas.openxmlformats.org/officeDocument/2006/relationships/hyperlink" Target="https://www.amazon.com/s?k=cotton%20pillowcases" TargetMode="External"/><Relationship Id="rId181" Type="http://schemas.openxmlformats.org/officeDocument/2006/relationships/hyperlink" Target="https://www.amazon.com/s?k=cotton%20pillowcases" TargetMode="External"/><Relationship Id="rId182" Type="http://schemas.openxmlformats.org/officeDocument/2006/relationships/hyperlink" Target="https://www.amazon.ca/s?k=waterproof%20mattress%20protector" TargetMode="External"/><Relationship Id="rId183" Type="http://schemas.openxmlformats.org/officeDocument/2006/relationships/hyperlink" Target="https://www.amazon.ca/s?k=waterproof%20mattress%20protector" TargetMode="External"/><Relationship Id="rId184" Type="http://schemas.openxmlformats.org/officeDocument/2006/relationships/hyperlink" Target="https://www.amazon.com/dp/B0F29F1JM5" TargetMode="External"/><Relationship Id="rId185" Type="http://schemas.openxmlformats.org/officeDocument/2006/relationships/hyperlink" Target="https://www.amazon.com/dp/B0F29F1JM5" TargetMode="External"/><Relationship Id="rId186" Type="http://schemas.openxmlformats.org/officeDocument/2006/relationships/hyperlink" Target="https://www.amazon.ca/s?k=cotton%20sheet%20set" TargetMode="External"/><Relationship Id="rId187" Type="http://schemas.openxmlformats.org/officeDocument/2006/relationships/hyperlink" Target="https://www.amazon.ca/s?k=cotton%20sheet%20set" TargetMode="External"/><Relationship Id="rId188" Type="http://schemas.openxmlformats.org/officeDocument/2006/relationships/hyperlink" Target="https://www.amazon.ca/dp/B07D5DN269" TargetMode="External"/><Relationship Id="rId189" Type="http://schemas.openxmlformats.org/officeDocument/2006/relationships/hyperlink" Target="https://www.amazon.ca/dp/B07D5DN269" TargetMode="External"/><Relationship Id="rId190" Type="http://schemas.openxmlformats.org/officeDocument/2006/relationships/hyperlink" Target="https://www.amazon.ca/s?k=lyocell%20sheet%20set" TargetMode="External"/><Relationship Id="rId191" Type="http://schemas.openxmlformats.org/officeDocument/2006/relationships/hyperlink" Target="https://www.amazon.ca/s?k=lyocell%20sheet%20set" TargetMode="External"/><Relationship Id="rId192" Type="http://schemas.openxmlformats.org/officeDocument/2006/relationships/hyperlink" Target="https://sell.amazon.ca/pricing" TargetMode="External"/><Relationship Id="rId193" Type="http://schemas.openxmlformats.org/officeDocument/2006/relationships/hyperlink" Target="https://sell.amazon.ca/pricing" TargetMode="External"/><Relationship Id="rId194" Type="http://schemas.openxmlformats.org/officeDocument/2006/relationships/hyperlink" Target="https://www.amazon.com/dp/B01M16WBW1" TargetMode="External"/><Relationship Id="rId195" Type="http://schemas.openxmlformats.org/officeDocument/2006/relationships/hyperlink" Target="https://www.amazon.com/dp/B01M16WBW1" TargetMode="External"/><Relationship Id="rId196" Type="http://schemas.openxmlformats.org/officeDocument/2006/relationships/hyperlink" Target="https://www.amazon.com/s?k=deep%20pocket%20fitted%20sheet" TargetMode="External"/><Relationship Id="rId197" Type="http://schemas.openxmlformats.org/officeDocument/2006/relationships/hyperlink" Target="https://www.amazon.com/s?k=deep%20pocket%20fitted%20sheet" TargetMode="External"/><Relationship Id="rId198" Type="http://schemas.openxmlformats.org/officeDocument/2006/relationships/hyperlink" Target="https://www.amazon.com/s?k=cotton%20duvet%20cover%20set" TargetMode="External"/><Relationship Id="rId199" Type="http://schemas.openxmlformats.org/officeDocument/2006/relationships/hyperlink" Target="https://www.amazon.com/s?k=cotton%20duvet%20cover%20set" TargetMode="External"/><Relationship Id="rId200" Type="http://schemas.openxmlformats.org/officeDocument/2006/relationships/hyperlink" Target="https://www.quince.com/home/cotton-percale-sheet-set" TargetMode="External"/><Relationship Id="rId201" Type="http://schemas.openxmlformats.org/officeDocument/2006/relationships/hyperlink" Target="https://www.quince.com/home/cotton-percale-sheet-set" TargetMode="External"/><Relationship Id="rId202" Type="http://schemas.openxmlformats.org/officeDocument/2006/relationships/hyperlink" Target="https://www.amazon.com/dp/B073ZY6XH3" TargetMode="External"/><Relationship Id="rId203" Type="http://schemas.openxmlformats.org/officeDocument/2006/relationships/hyperlink" Target="https://www.amazon.com/dp/B073ZY6XH3" TargetMode="External"/><Relationship Id="rId204" Type="http://schemas.openxmlformats.org/officeDocument/2006/relationships/hyperlink" Target="https://sell.amazon.co.uk/pricing" TargetMode="External"/><Relationship Id="rId205" Type="http://schemas.openxmlformats.org/officeDocument/2006/relationships/hyperlink" Target="https://sell.amazon.co.uk/pricing" TargetMode="External"/><Relationship Id="rId206" Type="http://schemas.openxmlformats.org/officeDocument/2006/relationships/hyperlink" Target="https://www.amazon.ca/s?k=deep%20pocket%20fitted%20sheet" TargetMode="External"/><Relationship Id="rId207" Type="http://schemas.openxmlformats.org/officeDocument/2006/relationships/hyperlink" Target="https://www.amazon.ca/s?k=deep%20pocket%20fitted%20sheet" TargetMode="External"/><Relationship Id="rId208" Type="http://schemas.openxmlformats.org/officeDocument/2006/relationships/hyperlink" Target="https://www.amazon.ca/dp/B01E02DU0U" TargetMode="External"/><Relationship Id="rId209" Type="http://schemas.openxmlformats.org/officeDocument/2006/relationships/hyperlink" Target="https://www.amazon.ca/dp/B01E02DU0U" TargetMode="External"/><Relationship Id="rId210" Type="http://schemas.openxmlformats.org/officeDocument/2006/relationships/hyperlink" Target="https://www.amazon.ca/dp/B0H9QD7RD5" TargetMode="External"/><Relationship Id="rId211" Type="http://schemas.openxmlformats.org/officeDocument/2006/relationships/hyperlink" Target="https://www.amazon.ca/dp/B0H9QD7RD5" TargetMode="External"/><Relationship Id="rId212" Type="http://schemas.openxmlformats.org/officeDocument/2006/relationships/hyperlink" Target="https://www.amazon.com/s?k=cotton%20sheet%20set" TargetMode="External"/><Relationship Id="rId213" Type="http://schemas.openxmlformats.org/officeDocument/2006/relationships/hyperlink" Target="https://www.amazon.com/s?k=cotton%20sheet%20set" TargetMode="External"/><Relationship Id="rId214" Type="http://schemas.openxmlformats.org/officeDocument/2006/relationships/hyperlink" Target="https://corporate.dunelm.com/media/a1nhsx1c/dunelm-annual-report-2026.pdf" TargetMode="External"/><Relationship Id="rId215"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1" min="1" style="1" width="24.71"/>
    <col collapsed="false" customWidth="true" hidden="false" outlineLevel="0" max="2" min="2" style="0" width="110.71"/>
  </cols>
  <sheetData>
    <row r="1" customFormat="false" ht="36" hidden="false" customHeight="true" outlineLevel="0" collapsed="false">
      <c r="A1" s="2" t="s">
        <v>0</v>
      </c>
      <c r="B1" s="2" t="s">
        <v>1</v>
      </c>
    </row>
    <row r="2" customFormat="false" ht="48" hidden="false" customHeight="true" outlineLevel="0" collapsed="false">
      <c r="A2" s="1" t="s">
        <v>2</v>
      </c>
      <c r="B2" s="1" t="s">
        <v>3</v>
      </c>
    </row>
    <row r="3" customFormat="false" ht="48" hidden="false" customHeight="true" outlineLevel="0" collapsed="false">
      <c r="A3" s="1" t="s">
        <v>4</v>
      </c>
      <c r="B3" s="1" t="s">
        <v>5</v>
      </c>
    </row>
    <row r="4" customFormat="false" ht="48" hidden="false" customHeight="true" outlineLevel="0" collapsed="false">
      <c r="A4" s="1" t="s">
        <v>6</v>
      </c>
      <c r="B4" s="1" t="s">
        <v>7</v>
      </c>
    </row>
    <row r="5" customFormat="false" ht="48" hidden="false" customHeight="true" outlineLevel="0" collapsed="false">
      <c r="A5" s="1" t="s">
        <v>8</v>
      </c>
      <c r="B5" s="1" t="s">
        <v>9</v>
      </c>
    </row>
    <row r="6" customFormat="false" ht="48" hidden="false" customHeight="true" outlineLevel="0" collapsed="false">
      <c r="A6" s="1" t="s">
        <v>10</v>
      </c>
      <c r="B6" s="1" t="s">
        <v>11</v>
      </c>
    </row>
    <row r="7" customFormat="false" ht="48" hidden="false" customHeight="true" outlineLevel="0" collapsed="false">
      <c r="A7" s="1" t="s">
        <v>12</v>
      </c>
      <c r="B7" s="1" t="s">
        <v>13</v>
      </c>
    </row>
    <row r="8" customFormat="false" ht="48" hidden="false" customHeight="true" outlineLevel="0" collapsed="false">
      <c r="A8" s="1" t="s">
        <v>14</v>
      </c>
      <c r="B8" s="1" t="s">
        <v>15</v>
      </c>
    </row>
    <row r="9" customFormat="false" ht="48" hidden="false" customHeight="true" outlineLevel="0" collapsed="false">
      <c r="A9" s="1" t="s">
        <v>16</v>
      </c>
      <c r="B9" s="1" t="s">
        <v>17</v>
      </c>
    </row>
    <row r="10" customFormat="false" ht="48" hidden="false" customHeight="true" outlineLevel="0" collapsed="false">
      <c r="A10" s="1" t="s">
        <v>18</v>
      </c>
      <c r="B10" s="1" t="s">
        <v>19</v>
      </c>
    </row>
    <row r="11" customFormat="false" ht="48" hidden="false" customHeight="true" outlineLevel="0" collapsed="false">
      <c r="A11" s="1" t="s">
        <v>20</v>
      </c>
      <c r="B11" s="1" t="s">
        <v>21</v>
      </c>
    </row>
    <row r="12" customFormat="false" ht="48" hidden="false" customHeight="true" outlineLevel="0" collapsed="false">
      <c r="A12" s="1" t="s">
        <v>22</v>
      </c>
      <c r="B12" s="1" t="s">
        <v>23</v>
      </c>
    </row>
    <row r="13" customFormat="false" ht="48" hidden="false" customHeight="true" outlineLevel="0" collapsed="false">
      <c r="A13" s="1" t="s">
        <v>24</v>
      </c>
      <c r="B13" s="1" t="s">
        <v>25</v>
      </c>
    </row>
    <row r="14" customFormat="false" ht="48" hidden="false" customHeight="true" outlineLevel="0" collapsed="false">
      <c r="A14" s="1" t="s">
        <v>26</v>
      </c>
      <c r="B14" s="1" t="s">
        <v>27</v>
      </c>
    </row>
    <row r="15" customFormat="false" ht="48" hidden="false" customHeight="true" outlineLevel="0" collapsed="false">
      <c r="A15" s="1" t="s">
        <v>28</v>
      </c>
      <c r="B15" s="1" t="s">
        <v>29</v>
      </c>
    </row>
  </sheetData>
  <autoFilter ref="A1:B15"/>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11" min="1" style="1" width="24.71"/>
  </cols>
  <sheetData>
    <row r="1" customFormat="false" ht="36" hidden="false" customHeight="true" outlineLevel="0" collapsed="false">
      <c r="A1" s="2" t="s">
        <v>30</v>
      </c>
      <c r="B1" s="2" t="s">
        <v>31</v>
      </c>
      <c r="C1" s="2" t="s">
        <v>32</v>
      </c>
      <c r="D1" s="2" t="s">
        <v>33</v>
      </c>
      <c r="E1" s="2" t="s">
        <v>34</v>
      </c>
      <c r="F1" s="2" t="s">
        <v>35</v>
      </c>
      <c r="G1" s="2" t="s">
        <v>36</v>
      </c>
      <c r="H1" s="2" t="s">
        <v>37</v>
      </c>
      <c r="I1" s="2" t="s">
        <v>38</v>
      </c>
      <c r="J1" s="2" t="s">
        <v>39</v>
      </c>
      <c r="K1" s="2" t="s">
        <v>40</v>
      </c>
    </row>
    <row r="2" customFormat="false" ht="48" hidden="false" customHeight="true" outlineLevel="0" collapsed="false">
      <c r="A2" s="1" t="s">
        <v>41</v>
      </c>
      <c r="B2" s="1" t="n">
        <v>32748.9</v>
      </c>
      <c r="C2" s="1" t="n">
        <v>8.8</v>
      </c>
      <c r="D2" s="1" t="n">
        <v>75.19</v>
      </c>
      <c r="E2" s="1" t="n">
        <v>26480</v>
      </c>
      <c r="F2" s="1" t="n">
        <v>42.15</v>
      </c>
      <c r="G2" s="1" t="n">
        <v>27500</v>
      </c>
      <c r="H2" s="1" t="n">
        <v>3.86</v>
      </c>
      <c r="I2" s="1" t="s">
        <v>42</v>
      </c>
      <c r="J2" s="3" t="n">
        <f aca="false">E2*F2/100</f>
        <v>11161.32</v>
      </c>
      <c r="K2" s="3" t="n">
        <f aca="false">B2*(1-D2/100)</f>
        <v>8125.00209</v>
      </c>
    </row>
    <row r="3" customFormat="false" ht="48" hidden="false" customHeight="true" outlineLevel="0" collapsed="false">
      <c r="A3" s="1" t="s">
        <v>43</v>
      </c>
      <c r="B3" s="1" t="n">
        <v>6061.7</v>
      </c>
      <c r="C3" s="1" t="n">
        <v>10.9</v>
      </c>
      <c r="D3" s="1" t="n">
        <v>78.07</v>
      </c>
      <c r="E3" s="1" t="n">
        <v>3120</v>
      </c>
      <c r="F3" s="1" t="n">
        <v>43.77</v>
      </c>
      <c r="G3" s="1" t="n">
        <v>3290</v>
      </c>
      <c r="H3" s="1" t="n">
        <v>4.58</v>
      </c>
      <c r="I3" s="1" t="s">
        <v>44</v>
      </c>
      <c r="J3" s="3" t="n">
        <f aca="false">E3*F3/100</f>
        <v>1365.624</v>
      </c>
      <c r="K3" s="3" t="n">
        <f aca="false">B3*(1-D3/100)</f>
        <v>1329.33081</v>
      </c>
    </row>
    <row r="4" customFormat="false" ht="48" hidden="false" customHeight="true" outlineLevel="0" collapsed="false">
      <c r="A4" s="1" t="s">
        <v>45</v>
      </c>
      <c r="B4" s="1" t="n">
        <v>8016.7</v>
      </c>
      <c r="C4" s="1" t="n">
        <v>7.2</v>
      </c>
      <c r="D4" s="1" t="n">
        <v>67.46</v>
      </c>
      <c r="E4" s="1" t="n">
        <v>7620</v>
      </c>
      <c r="F4" s="1" t="n">
        <v>45.92</v>
      </c>
      <c r="G4" s="1" t="n">
        <v>7750</v>
      </c>
      <c r="H4" s="1" t="n">
        <v>1.76</v>
      </c>
      <c r="I4" s="1" t="s">
        <v>46</v>
      </c>
      <c r="J4" s="3" t="n">
        <f aca="false">E4*F4/100</f>
        <v>3499.104</v>
      </c>
      <c r="K4" s="3" t="n">
        <f aca="false">B4*(1-D4/100)</f>
        <v>2608.63418</v>
      </c>
    </row>
  </sheetData>
  <autoFilter ref="A1:K4"/>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9" min="1" style="1" width="24.71"/>
  </cols>
  <sheetData>
    <row r="1" customFormat="false" ht="36" hidden="false" customHeight="true" outlineLevel="0" collapsed="false">
      <c r="A1" s="2" t="s">
        <v>47</v>
      </c>
      <c r="B1" s="2" t="s">
        <v>48</v>
      </c>
      <c r="C1" s="2" t="s">
        <v>49</v>
      </c>
      <c r="D1" s="2" t="s">
        <v>50</v>
      </c>
      <c r="E1" s="2" t="s">
        <v>51</v>
      </c>
      <c r="F1" s="2" t="s">
        <v>52</v>
      </c>
      <c r="G1" s="2" t="s">
        <v>53</v>
      </c>
      <c r="H1" s="2" t="s">
        <v>54</v>
      </c>
      <c r="I1" s="2" t="s">
        <v>55</v>
      </c>
    </row>
    <row r="2" customFormat="false" ht="48" hidden="false" customHeight="true" outlineLevel="0" collapsed="false">
      <c r="A2" s="1" t="s">
        <v>56</v>
      </c>
      <c r="B2" s="1" t="s">
        <v>57</v>
      </c>
      <c r="C2" s="1" t="s">
        <v>58</v>
      </c>
      <c r="D2" s="1" t="s">
        <v>59</v>
      </c>
      <c r="E2" s="1" t="s">
        <v>60</v>
      </c>
      <c r="F2" s="1" t="s">
        <v>61</v>
      </c>
      <c r="G2" s="1" t="s">
        <v>62</v>
      </c>
      <c r="H2" s="1" t="s">
        <v>63</v>
      </c>
      <c r="I2" s="1" t="s">
        <v>64</v>
      </c>
    </row>
    <row r="3" customFormat="false" ht="48" hidden="false" customHeight="true" outlineLevel="0" collapsed="false">
      <c r="A3" s="1" t="s">
        <v>65</v>
      </c>
      <c r="B3" s="1" t="s">
        <v>66</v>
      </c>
      <c r="C3" s="1" t="s">
        <v>67</v>
      </c>
      <c r="D3" s="1" t="s">
        <v>68</v>
      </c>
      <c r="E3" s="1" t="s">
        <v>69</v>
      </c>
      <c r="F3" s="1" t="s">
        <v>70</v>
      </c>
      <c r="G3" s="1" t="s">
        <v>71</v>
      </c>
      <c r="H3" s="1" t="s">
        <v>72</v>
      </c>
      <c r="I3" s="1" t="s">
        <v>73</v>
      </c>
    </row>
    <row r="4" customFormat="false" ht="48" hidden="false" customHeight="true" outlineLevel="0" collapsed="false">
      <c r="A4" s="1" t="s">
        <v>74</v>
      </c>
      <c r="B4" s="1" t="s">
        <v>75</v>
      </c>
      <c r="C4" s="1" t="s">
        <v>76</v>
      </c>
      <c r="D4" s="1" t="s">
        <v>77</v>
      </c>
      <c r="E4" s="1" t="s">
        <v>78</v>
      </c>
      <c r="F4" s="1" t="s">
        <v>79</v>
      </c>
      <c r="G4" s="1" t="s">
        <v>80</v>
      </c>
      <c r="H4" s="1" t="s">
        <v>81</v>
      </c>
      <c r="I4" s="1" t="s">
        <v>82</v>
      </c>
    </row>
    <row r="5" customFormat="false" ht="48" hidden="false" customHeight="true" outlineLevel="0" collapsed="false">
      <c r="A5" s="1" t="s">
        <v>83</v>
      </c>
      <c r="B5" s="1" t="s">
        <v>84</v>
      </c>
      <c r="C5" s="1" t="s">
        <v>85</v>
      </c>
      <c r="D5" s="1" t="s">
        <v>86</v>
      </c>
      <c r="E5" s="1" t="s">
        <v>87</v>
      </c>
      <c r="F5" s="1" t="s">
        <v>88</v>
      </c>
      <c r="G5" s="1" t="s">
        <v>89</v>
      </c>
      <c r="H5" s="1" t="s">
        <v>90</v>
      </c>
      <c r="I5" s="1" t="s">
        <v>91</v>
      </c>
    </row>
    <row r="6" customFormat="false" ht="48" hidden="false" customHeight="true" outlineLevel="0" collapsed="false">
      <c r="A6" s="1" t="s">
        <v>92</v>
      </c>
      <c r="B6" s="1" t="s">
        <v>93</v>
      </c>
      <c r="C6" s="1" t="s">
        <v>94</v>
      </c>
      <c r="D6" s="1" t="s">
        <v>95</v>
      </c>
      <c r="E6" s="1" t="s">
        <v>96</v>
      </c>
      <c r="F6" s="1" t="s">
        <v>97</v>
      </c>
      <c r="G6" s="1" t="s">
        <v>98</v>
      </c>
      <c r="H6" s="1" t="s">
        <v>99</v>
      </c>
      <c r="I6" s="1" t="s">
        <v>100</v>
      </c>
    </row>
    <row r="7" customFormat="false" ht="48" hidden="false" customHeight="true" outlineLevel="0" collapsed="false">
      <c r="A7" s="1" t="s">
        <v>101</v>
      </c>
      <c r="B7" s="1" t="s">
        <v>102</v>
      </c>
      <c r="C7" s="1" t="s">
        <v>103</v>
      </c>
      <c r="D7" s="1" t="s">
        <v>104</v>
      </c>
      <c r="E7" s="1" t="s">
        <v>105</v>
      </c>
      <c r="F7" s="1" t="s">
        <v>106</v>
      </c>
      <c r="G7" s="1" t="s">
        <v>107</v>
      </c>
      <c r="H7" s="1" t="s">
        <v>108</v>
      </c>
      <c r="I7" s="1" t="s">
        <v>109</v>
      </c>
    </row>
    <row r="8" customFormat="false" ht="48" hidden="false" customHeight="true" outlineLevel="0" collapsed="false">
      <c r="A8" s="1" t="s">
        <v>110</v>
      </c>
      <c r="B8" s="1" t="s">
        <v>111</v>
      </c>
      <c r="C8" s="1" t="s">
        <v>112</v>
      </c>
      <c r="D8" s="1" t="s">
        <v>113</v>
      </c>
      <c r="E8" s="1" t="s">
        <v>114</v>
      </c>
      <c r="F8" s="1" t="s">
        <v>115</v>
      </c>
      <c r="G8" s="1" t="s">
        <v>116</v>
      </c>
      <c r="H8" s="1" t="s">
        <v>117</v>
      </c>
      <c r="I8" s="1" t="s">
        <v>118</v>
      </c>
    </row>
    <row r="9" customFormat="false" ht="48" hidden="false" customHeight="true" outlineLevel="0" collapsed="false">
      <c r="A9" s="1" t="s">
        <v>119</v>
      </c>
      <c r="B9" s="1" t="s">
        <v>120</v>
      </c>
      <c r="C9" s="1" t="s">
        <v>121</v>
      </c>
      <c r="D9" s="1" t="s">
        <v>122</v>
      </c>
      <c r="E9" s="1" t="s">
        <v>123</v>
      </c>
      <c r="F9" s="1" t="s">
        <v>124</v>
      </c>
      <c r="G9" s="1" t="s">
        <v>125</v>
      </c>
      <c r="H9" s="1" t="s">
        <v>126</v>
      </c>
      <c r="I9" s="1" t="s">
        <v>127</v>
      </c>
    </row>
    <row r="10" customFormat="false" ht="48" hidden="false" customHeight="true" outlineLevel="0" collapsed="false">
      <c r="A10" s="1" t="s">
        <v>128</v>
      </c>
      <c r="B10" s="1" t="s">
        <v>129</v>
      </c>
      <c r="C10" s="1" t="s">
        <v>130</v>
      </c>
      <c r="D10" s="1" t="s">
        <v>131</v>
      </c>
      <c r="E10" s="1" t="s">
        <v>132</v>
      </c>
      <c r="F10" s="1" t="s">
        <v>133</v>
      </c>
      <c r="G10" s="1" t="s">
        <v>134</v>
      </c>
      <c r="H10" s="1" t="s">
        <v>135</v>
      </c>
      <c r="I10" s="1" t="s">
        <v>136</v>
      </c>
    </row>
  </sheetData>
  <autoFilter ref="A1:I10"/>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6" min="1" style="1" width="24.71"/>
  </cols>
  <sheetData>
    <row r="1" customFormat="false" ht="36" hidden="false" customHeight="true" outlineLevel="0" collapsed="false">
      <c r="A1" s="2" t="s">
        <v>137</v>
      </c>
      <c r="B1" s="2" t="s">
        <v>138</v>
      </c>
      <c r="C1" s="2" t="s">
        <v>139</v>
      </c>
      <c r="D1" s="2" t="s">
        <v>140</v>
      </c>
      <c r="E1" s="2" t="s">
        <v>141</v>
      </c>
      <c r="F1" s="2" t="s">
        <v>142</v>
      </c>
    </row>
    <row r="2" customFormat="false" ht="48" hidden="false" customHeight="true" outlineLevel="0" collapsed="false">
      <c r="A2" s="1" t="s">
        <v>143</v>
      </c>
      <c r="B2" s="1" t="s">
        <v>144</v>
      </c>
      <c r="C2" s="1" t="s">
        <v>145</v>
      </c>
      <c r="D2" s="1" t="s">
        <v>146</v>
      </c>
      <c r="E2" s="1" t="s">
        <v>147</v>
      </c>
      <c r="F2" s="1" t="s">
        <v>148</v>
      </c>
    </row>
    <row r="3" customFormat="false" ht="48" hidden="false" customHeight="true" outlineLevel="0" collapsed="false">
      <c r="A3" s="1" t="s">
        <v>149</v>
      </c>
      <c r="B3" s="1" t="s">
        <v>150</v>
      </c>
      <c r="C3" s="1" t="s">
        <v>151</v>
      </c>
      <c r="D3" s="1" t="s">
        <v>152</v>
      </c>
      <c r="E3" s="1" t="s">
        <v>153</v>
      </c>
      <c r="F3" s="1" t="s">
        <v>154</v>
      </c>
    </row>
    <row r="4" customFormat="false" ht="48" hidden="false" customHeight="true" outlineLevel="0" collapsed="false">
      <c r="A4" s="1" t="s">
        <v>155</v>
      </c>
      <c r="B4" s="1" t="s">
        <v>156</v>
      </c>
      <c r="C4" s="1" t="s">
        <v>157</v>
      </c>
      <c r="D4" s="1" t="s">
        <v>158</v>
      </c>
      <c r="E4" s="1" t="s">
        <v>159</v>
      </c>
      <c r="F4" s="1" t="s">
        <v>160</v>
      </c>
    </row>
    <row r="5" customFormat="false" ht="48" hidden="false" customHeight="true" outlineLevel="0" collapsed="false">
      <c r="A5" s="1" t="s">
        <v>161</v>
      </c>
      <c r="B5" s="1" t="s">
        <v>162</v>
      </c>
      <c r="C5" s="1" t="s">
        <v>163</v>
      </c>
      <c r="D5" s="1" t="s">
        <v>164</v>
      </c>
      <c r="E5" s="1" t="s">
        <v>165</v>
      </c>
      <c r="F5" s="1" t="s">
        <v>166</v>
      </c>
    </row>
    <row r="6" customFormat="false" ht="48" hidden="false" customHeight="true" outlineLevel="0" collapsed="false">
      <c r="A6" s="1" t="s">
        <v>167</v>
      </c>
      <c r="B6" s="1" t="s">
        <v>168</v>
      </c>
      <c r="C6" s="1" t="s">
        <v>169</v>
      </c>
      <c r="D6" s="1" t="s">
        <v>170</v>
      </c>
      <c r="E6" s="1" t="s">
        <v>171</v>
      </c>
      <c r="F6" s="1" t="s">
        <v>172</v>
      </c>
    </row>
    <row r="7" customFormat="false" ht="48" hidden="false" customHeight="true" outlineLevel="0" collapsed="false">
      <c r="A7" s="1" t="s">
        <v>173</v>
      </c>
      <c r="B7" s="1" t="s">
        <v>174</v>
      </c>
      <c r="C7" s="1" t="s">
        <v>175</v>
      </c>
      <c r="D7" s="1" t="s">
        <v>176</v>
      </c>
      <c r="E7" s="1" t="s">
        <v>177</v>
      </c>
      <c r="F7" s="1" t="s">
        <v>178</v>
      </c>
    </row>
    <row r="8" customFormat="false" ht="48" hidden="false" customHeight="true" outlineLevel="0" collapsed="false">
      <c r="A8" s="1" t="s">
        <v>179</v>
      </c>
      <c r="B8" s="1" t="s">
        <v>180</v>
      </c>
      <c r="C8" s="1" t="s">
        <v>181</v>
      </c>
      <c r="D8" s="1" t="s">
        <v>182</v>
      </c>
      <c r="E8" s="1" t="s">
        <v>183</v>
      </c>
      <c r="F8" s="1" t="s">
        <v>184</v>
      </c>
    </row>
    <row r="9" customFormat="false" ht="48" hidden="false" customHeight="true" outlineLevel="0" collapsed="false">
      <c r="A9" s="1" t="s">
        <v>185</v>
      </c>
      <c r="B9" s="1" t="s">
        <v>186</v>
      </c>
      <c r="C9" s="1" t="s">
        <v>187</v>
      </c>
      <c r="D9" s="1" t="s">
        <v>188</v>
      </c>
      <c r="E9" s="1" t="s">
        <v>189</v>
      </c>
      <c r="F9" s="1" t="s">
        <v>190</v>
      </c>
    </row>
  </sheetData>
  <autoFilter ref="A1:F9"/>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6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7" min="1" style="1" width="24.71"/>
    <col collapsed="false" customWidth="true" hidden="false" outlineLevel="0" max="8" min="8" style="0" width="65.71"/>
    <col collapsed="false" customWidth="true" hidden="false" outlineLevel="0" max="21" min="9" style="1" width="24.71"/>
  </cols>
  <sheetData>
    <row r="1" customFormat="false" ht="36" hidden="false" customHeight="true" outlineLevel="0" collapsed="false">
      <c r="A1" s="2" t="s">
        <v>191</v>
      </c>
      <c r="B1" s="2" t="s">
        <v>192</v>
      </c>
      <c r="C1" s="2" t="s">
        <v>193</v>
      </c>
      <c r="D1" s="2" t="s">
        <v>194</v>
      </c>
      <c r="E1" s="2" t="s">
        <v>195</v>
      </c>
      <c r="F1" s="2" t="s">
        <v>196</v>
      </c>
      <c r="G1" s="2" t="s">
        <v>197</v>
      </c>
      <c r="H1" s="2" t="s">
        <v>198</v>
      </c>
      <c r="I1" s="2" t="s">
        <v>199</v>
      </c>
      <c r="J1" s="2" t="s">
        <v>200</v>
      </c>
      <c r="K1" s="2" t="s">
        <v>201</v>
      </c>
      <c r="L1" s="2" t="s">
        <v>202</v>
      </c>
      <c r="M1" s="2" t="s">
        <v>203</v>
      </c>
      <c r="N1" s="2" t="s">
        <v>204</v>
      </c>
      <c r="O1" s="2" t="s">
        <v>205</v>
      </c>
      <c r="P1" s="2" t="s">
        <v>206</v>
      </c>
      <c r="Q1" s="2" t="s">
        <v>207</v>
      </c>
      <c r="R1" s="2" t="s">
        <v>208</v>
      </c>
      <c r="S1" s="2" t="s">
        <v>209</v>
      </c>
      <c r="T1" s="2" t="s">
        <v>210</v>
      </c>
      <c r="U1" s="2" t="s">
        <v>211</v>
      </c>
    </row>
    <row r="2" customFormat="false" ht="48" hidden="false" customHeight="true" outlineLevel="0" collapsed="false">
      <c r="A2" s="1" t="s">
        <v>43</v>
      </c>
      <c r="B2" s="1" t="s">
        <v>212</v>
      </c>
      <c r="C2" s="1" t="s">
        <v>213</v>
      </c>
      <c r="D2" s="1" t="s">
        <v>214</v>
      </c>
      <c r="E2" s="1" t="n">
        <v>1</v>
      </c>
      <c r="F2" s="1" t="s">
        <v>215</v>
      </c>
      <c r="G2" s="1" t="s">
        <v>216</v>
      </c>
      <c r="H2" s="1" t="s">
        <v>217</v>
      </c>
      <c r="I2" s="1" t="s">
        <v>218</v>
      </c>
      <c r="J2" s="1" t="s">
        <v>219</v>
      </c>
      <c r="K2" s="1" t="n">
        <v>49.99</v>
      </c>
      <c r="L2" s="1" t="n">
        <v>4.4</v>
      </c>
      <c r="M2" s="1" t="n">
        <v>44</v>
      </c>
      <c r="N2" s="4" t="b">
        <f aca="false">FALSE()</f>
        <v>0</v>
      </c>
      <c r="P2" s="4" t="b">
        <f aca="false">TRUE()</f>
        <v>1</v>
      </c>
      <c r="R2" s="1" t="s">
        <v>220</v>
      </c>
      <c r="S2" s="1" t="s">
        <v>221</v>
      </c>
      <c r="T2" s="1" t="s">
        <v>222</v>
      </c>
      <c r="U2" s="1" t="s">
        <v>223</v>
      </c>
    </row>
    <row r="3" customFormat="false" ht="48" hidden="false" customHeight="true" outlineLevel="0" collapsed="false">
      <c r="A3" s="1" t="s">
        <v>43</v>
      </c>
      <c r="B3" s="1" t="s">
        <v>212</v>
      </c>
      <c r="C3" s="1" t="s">
        <v>213</v>
      </c>
      <c r="D3" s="1" t="s">
        <v>214</v>
      </c>
      <c r="E3" s="1" t="n">
        <v>2</v>
      </c>
      <c r="F3" s="1" t="s">
        <v>224</v>
      </c>
      <c r="G3" s="1" t="s">
        <v>225</v>
      </c>
      <c r="H3" s="1" t="s">
        <v>226</v>
      </c>
      <c r="I3" s="1" t="s">
        <v>218</v>
      </c>
      <c r="J3" s="1" t="s">
        <v>219</v>
      </c>
      <c r="K3" s="1" t="n">
        <v>99.99</v>
      </c>
      <c r="L3" s="1" t="n">
        <v>4.4</v>
      </c>
      <c r="M3" s="1" t="n">
        <v>3300</v>
      </c>
      <c r="N3" s="4" t="b">
        <f aca="false">FALSE()</f>
        <v>0</v>
      </c>
      <c r="P3" s="4" t="b">
        <f aca="false">TRUE()</f>
        <v>1</v>
      </c>
      <c r="R3" s="1" t="s">
        <v>220</v>
      </c>
      <c r="S3" s="1" t="s">
        <v>227</v>
      </c>
      <c r="T3" s="1" t="s">
        <v>222</v>
      </c>
      <c r="U3" s="1" t="s">
        <v>223</v>
      </c>
    </row>
    <row r="4" customFormat="false" ht="48" hidden="false" customHeight="true" outlineLevel="0" collapsed="false">
      <c r="A4" s="1" t="s">
        <v>43</v>
      </c>
      <c r="B4" s="1" t="s">
        <v>212</v>
      </c>
      <c r="C4" s="1" t="s">
        <v>213</v>
      </c>
      <c r="D4" s="1" t="s">
        <v>214</v>
      </c>
      <c r="E4" s="1" t="n">
        <v>3</v>
      </c>
      <c r="F4" s="1" t="s">
        <v>228</v>
      </c>
      <c r="G4" s="1" t="s">
        <v>229</v>
      </c>
      <c r="H4" s="1" t="s">
        <v>230</v>
      </c>
      <c r="I4" s="1" t="s">
        <v>231</v>
      </c>
      <c r="J4" s="1" t="s">
        <v>219</v>
      </c>
      <c r="K4" s="1" t="n">
        <v>74.98</v>
      </c>
      <c r="L4" s="1" t="n">
        <v>4.3</v>
      </c>
      <c r="M4" s="1" t="n">
        <v>60900</v>
      </c>
      <c r="N4" s="4" t="b">
        <f aca="false">FALSE()</f>
        <v>0</v>
      </c>
      <c r="O4" s="1" t="s">
        <v>232</v>
      </c>
      <c r="P4" s="4" t="b">
        <f aca="false">TRUE()</f>
        <v>1</v>
      </c>
      <c r="Q4" s="1" t="s">
        <v>233</v>
      </c>
      <c r="R4" s="1" t="s">
        <v>220</v>
      </c>
      <c r="S4" s="1" t="s">
        <v>234</v>
      </c>
      <c r="T4" s="1" t="s">
        <v>222</v>
      </c>
      <c r="U4" s="1" t="s">
        <v>223</v>
      </c>
    </row>
    <row r="5" customFormat="false" ht="48" hidden="false" customHeight="true" outlineLevel="0" collapsed="false">
      <c r="A5" s="1" t="s">
        <v>43</v>
      </c>
      <c r="B5" s="1" t="s">
        <v>212</v>
      </c>
      <c r="C5" s="1" t="s">
        <v>213</v>
      </c>
      <c r="D5" s="1" t="s">
        <v>214</v>
      </c>
      <c r="E5" s="1" t="n">
        <v>4</v>
      </c>
      <c r="F5" s="1" t="s">
        <v>235</v>
      </c>
      <c r="G5" s="1" t="s">
        <v>236</v>
      </c>
      <c r="H5" s="1" t="s">
        <v>237</v>
      </c>
      <c r="I5" s="1" t="s">
        <v>218</v>
      </c>
      <c r="J5" s="1" t="s">
        <v>219</v>
      </c>
      <c r="K5" s="1" t="n">
        <v>79.99</v>
      </c>
      <c r="L5" s="1" t="n">
        <v>4.5</v>
      </c>
      <c r="M5" s="1" t="n">
        <v>26</v>
      </c>
      <c r="N5" s="4" t="b">
        <f aca="false">FALSE()</f>
        <v>0</v>
      </c>
      <c r="O5" s="1" t="s">
        <v>238</v>
      </c>
      <c r="P5" s="4" t="b">
        <f aca="false">TRUE()</f>
        <v>1</v>
      </c>
      <c r="R5" s="1" t="s">
        <v>220</v>
      </c>
      <c r="S5" s="1" t="s">
        <v>239</v>
      </c>
      <c r="T5" s="1" t="s">
        <v>222</v>
      </c>
      <c r="U5" s="1" t="s">
        <v>223</v>
      </c>
    </row>
    <row r="6" customFormat="false" ht="48" hidden="false" customHeight="true" outlineLevel="0" collapsed="false">
      <c r="A6" s="1" t="s">
        <v>43</v>
      </c>
      <c r="B6" s="1" t="s">
        <v>212</v>
      </c>
      <c r="C6" s="1" t="s">
        <v>213</v>
      </c>
      <c r="D6" s="1" t="s">
        <v>214</v>
      </c>
      <c r="E6" s="1" t="n">
        <v>5</v>
      </c>
      <c r="F6" s="1" t="s">
        <v>240</v>
      </c>
      <c r="G6" s="1" t="s">
        <v>236</v>
      </c>
      <c r="H6" s="1" t="s">
        <v>241</v>
      </c>
      <c r="I6" s="1" t="s">
        <v>242</v>
      </c>
      <c r="J6" s="1" t="s">
        <v>219</v>
      </c>
      <c r="K6" s="1" t="n">
        <v>59.99</v>
      </c>
      <c r="L6" s="1" t="n">
        <v>4.3</v>
      </c>
      <c r="M6" s="1" t="n">
        <v>108</v>
      </c>
      <c r="N6" s="4" t="b">
        <f aca="false">FALSE()</f>
        <v>0</v>
      </c>
      <c r="O6" s="1" t="s">
        <v>243</v>
      </c>
      <c r="P6" s="4" t="b">
        <f aca="false">TRUE()</f>
        <v>1</v>
      </c>
      <c r="R6" s="1" t="s">
        <v>220</v>
      </c>
      <c r="S6" s="1" t="s">
        <v>244</v>
      </c>
      <c r="T6" s="1" t="s">
        <v>222</v>
      </c>
      <c r="U6" s="1" t="s">
        <v>223</v>
      </c>
    </row>
    <row r="7" customFormat="false" ht="48" hidden="false" customHeight="true" outlineLevel="0" collapsed="false">
      <c r="A7" s="1" t="s">
        <v>43</v>
      </c>
      <c r="B7" s="1" t="s">
        <v>212</v>
      </c>
      <c r="C7" s="1" t="s">
        <v>213</v>
      </c>
      <c r="D7" s="1" t="s">
        <v>214</v>
      </c>
      <c r="E7" s="1" t="n">
        <v>6</v>
      </c>
      <c r="F7" s="1" t="s">
        <v>245</v>
      </c>
      <c r="G7" s="1" t="s">
        <v>236</v>
      </c>
      <c r="H7" s="1" t="s">
        <v>246</v>
      </c>
      <c r="I7" s="1" t="s">
        <v>218</v>
      </c>
      <c r="J7" s="1" t="s">
        <v>219</v>
      </c>
      <c r="K7" s="1" t="n">
        <v>84.99</v>
      </c>
      <c r="L7" s="1" t="n">
        <v>4.4</v>
      </c>
      <c r="M7" s="1" t="n">
        <v>827</v>
      </c>
      <c r="N7" s="4" t="b">
        <f aca="false">FALSE()</f>
        <v>0</v>
      </c>
      <c r="O7" s="1" t="s">
        <v>247</v>
      </c>
      <c r="P7" s="4" t="b">
        <f aca="false">TRUE()</f>
        <v>1</v>
      </c>
      <c r="R7" s="1" t="s">
        <v>220</v>
      </c>
      <c r="S7" s="1" t="s">
        <v>248</v>
      </c>
      <c r="T7" s="1" t="s">
        <v>222</v>
      </c>
      <c r="U7" s="1" t="s">
        <v>223</v>
      </c>
    </row>
    <row r="8" customFormat="false" ht="48" hidden="false" customHeight="true" outlineLevel="0" collapsed="false">
      <c r="A8" s="1" t="s">
        <v>43</v>
      </c>
      <c r="B8" s="1" t="s">
        <v>212</v>
      </c>
      <c r="C8" s="1" t="s">
        <v>213</v>
      </c>
      <c r="D8" s="1" t="s">
        <v>214</v>
      </c>
      <c r="E8" s="1" t="n">
        <v>7</v>
      </c>
      <c r="F8" s="1" t="s">
        <v>249</v>
      </c>
      <c r="G8" s="1" t="s">
        <v>225</v>
      </c>
      <c r="H8" s="1" t="s">
        <v>250</v>
      </c>
      <c r="I8" s="1" t="s">
        <v>231</v>
      </c>
      <c r="J8" s="1" t="s">
        <v>219</v>
      </c>
      <c r="K8" s="1" t="n">
        <v>99.99</v>
      </c>
      <c r="L8" s="1" t="n">
        <v>4.4</v>
      </c>
      <c r="M8" s="1" t="n">
        <v>3300</v>
      </c>
      <c r="N8" s="4" t="b">
        <f aca="false">FALSE()</f>
        <v>0</v>
      </c>
      <c r="P8" s="4" t="b">
        <f aca="false">TRUE()</f>
        <v>1</v>
      </c>
      <c r="Q8" s="1" t="s">
        <v>251</v>
      </c>
      <c r="R8" s="1" t="s">
        <v>220</v>
      </c>
      <c r="S8" s="1" t="s">
        <v>252</v>
      </c>
      <c r="T8" s="1" t="s">
        <v>222</v>
      </c>
      <c r="U8" s="1" t="s">
        <v>223</v>
      </c>
    </row>
    <row r="9" customFormat="false" ht="48" hidden="false" customHeight="true" outlineLevel="0" collapsed="false">
      <c r="A9" s="1" t="s">
        <v>43</v>
      </c>
      <c r="B9" s="1" t="s">
        <v>212</v>
      </c>
      <c r="C9" s="1" t="s">
        <v>213</v>
      </c>
      <c r="D9" s="1" t="s">
        <v>214</v>
      </c>
      <c r="E9" s="1" t="n">
        <v>8</v>
      </c>
      <c r="F9" s="1" t="s">
        <v>253</v>
      </c>
      <c r="G9" s="1" t="s">
        <v>236</v>
      </c>
      <c r="H9" s="1" t="s">
        <v>254</v>
      </c>
      <c r="I9" s="1" t="s">
        <v>242</v>
      </c>
      <c r="J9" s="1" t="s">
        <v>219</v>
      </c>
      <c r="K9" s="1" t="n">
        <v>79.99</v>
      </c>
      <c r="L9" s="1" t="n">
        <v>4.5</v>
      </c>
      <c r="M9" s="1" t="n">
        <v>26</v>
      </c>
      <c r="N9" s="4" t="b">
        <f aca="false">FALSE()</f>
        <v>0</v>
      </c>
      <c r="O9" s="1" t="s">
        <v>255</v>
      </c>
      <c r="P9" s="4" t="b">
        <f aca="false">TRUE()</f>
        <v>1</v>
      </c>
      <c r="R9" s="1" t="s">
        <v>220</v>
      </c>
      <c r="S9" s="1" t="s">
        <v>256</v>
      </c>
      <c r="T9" s="1" t="s">
        <v>222</v>
      </c>
      <c r="U9" s="1" t="s">
        <v>223</v>
      </c>
    </row>
    <row r="10" customFormat="false" ht="48" hidden="false" customHeight="true" outlineLevel="0" collapsed="false">
      <c r="A10" s="1" t="s">
        <v>43</v>
      </c>
      <c r="B10" s="1" t="s">
        <v>212</v>
      </c>
      <c r="C10" s="1" t="s">
        <v>213</v>
      </c>
      <c r="D10" s="1" t="s">
        <v>214</v>
      </c>
      <c r="E10" s="1" t="n">
        <v>9</v>
      </c>
      <c r="F10" s="1" t="s">
        <v>257</v>
      </c>
      <c r="G10" s="1" t="s">
        <v>225</v>
      </c>
      <c r="H10" s="1" t="s">
        <v>258</v>
      </c>
      <c r="I10" s="1" t="s">
        <v>218</v>
      </c>
      <c r="J10" s="1" t="s">
        <v>219</v>
      </c>
      <c r="K10" s="1" t="n">
        <v>99.99</v>
      </c>
      <c r="L10" s="1" t="n">
        <v>4.4</v>
      </c>
      <c r="M10" s="1" t="n">
        <v>3300</v>
      </c>
      <c r="N10" s="4" t="b">
        <f aca="false">FALSE()</f>
        <v>0</v>
      </c>
      <c r="P10" s="4" t="b">
        <f aca="false">TRUE()</f>
        <v>1</v>
      </c>
      <c r="R10" s="1" t="s">
        <v>220</v>
      </c>
      <c r="S10" s="1" t="s">
        <v>259</v>
      </c>
      <c r="T10" s="1" t="s">
        <v>222</v>
      </c>
      <c r="U10" s="1" t="s">
        <v>223</v>
      </c>
    </row>
    <row r="11" customFormat="false" ht="48" hidden="false" customHeight="true" outlineLevel="0" collapsed="false">
      <c r="A11" s="1" t="s">
        <v>43</v>
      </c>
      <c r="B11" s="1" t="s">
        <v>212</v>
      </c>
      <c r="C11" s="1" t="s">
        <v>213</v>
      </c>
      <c r="D11" s="1" t="s">
        <v>214</v>
      </c>
      <c r="E11" s="1" t="n">
        <v>10</v>
      </c>
      <c r="F11" s="1" t="s">
        <v>260</v>
      </c>
      <c r="G11" s="1" t="s">
        <v>236</v>
      </c>
      <c r="H11" s="1" t="s">
        <v>261</v>
      </c>
      <c r="I11" s="1" t="s">
        <v>218</v>
      </c>
      <c r="J11" s="1" t="s">
        <v>219</v>
      </c>
      <c r="K11" s="1" t="n">
        <v>66.49</v>
      </c>
      <c r="L11" s="1" t="n">
        <v>4.4</v>
      </c>
      <c r="M11" s="1" t="n">
        <v>155</v>
      </c>
      <c r="N11" s="4" t="b">
        <f aca="false">FALSE()</f>
        <v>0</v>
      </c>
      <c r="O11" s="1" t="s">
        <v>262</v>
      </c>
      <c r="P11" s="4" t="b">
        <f aca="false">TRUE()</f>
        <v>1</v>
      </c>
      <c r="R11" s="1" t="s">
        <v>220</v>
      </c>
      <c r="S11" s="1" t="s">
        <v>263</v>
      </c>
      <c r="T11" s="1" t="s">
        <v>222</v>
      </c>
      <c r="U11" s="1" t="s">
        <v>223</v>
      </c>
    </row>
    <row r="12" customFormat="false" ht="48" hidden="false" customHeight="true" outlineLevel="0" collapsed="false">
      <c r="A12" s="1" t="s">
        <v>43</v>
      </c>
      <c r="B12" s="1" t="s">
        <v>212</v>
      </c>
      <c r="C12" s="1" t="s">
        <v>213</v>
      </c>
      <c r="D12" s="1" t="s">
        <v>214</v>
      </c>
      <c r="E12" s="1" t="n">
        <v>11</v>
      </c>
      <c r="F12" s="1" t="s">
        <v>264</v>
      </c>
      <c r="G12" s="1" t="s">
        <v>236</v>
      </c>
      <c r="H12" s="1" t="s">
        <v>265</v>
      </c>
      <c r="I12" s="1" t="s">
        <v>231</v>
      </c>
      <c r="J12" s="1" t="s">
        <v>219</v>
      </c>
      <c r="K12" s="1" t="n">
        <v>69.99</v>
      </c>
      <c r="L12" s="1" t="n">
        <v>4.4</v>
      </c>
      <c r="M12" s="1" t="n">
        <v>742</v>
      </c>
      <c r="N12" s="4" t="b">
        <f aca="false">FALSE()</f>
        <v>0</v>
      </c>
      <c r="O12" s="1" t="s">
        <v>266</v>
      </c>
      <c r="P12" s="4" t="b">
        <f aca="false">TRUE()</f>
        <v>1</v>
      </c>
      <c r="R12" s="1" t="s">
        <v>220</v>
      </c>
      <c r="S12" s="1" t="s">
        <v>267</v>
      </c>
      <c r="T12" s="1" t="s">
        <v>222</v>
      </c>
      <c r="U12" s="1" t="s">
        <v>223</v>
      </c>
    </row>
    <row r="13" customFormat="false" ht="48" hidden="false" customHeight="true" outlineLevel="0" collapsed="false">
      <c r="A13" s="1" t="s">
        <v>43</v>
      </c>
      <c r="B13" s="1" t="s">
        <v>212</v>
      </c>
      <c r="C13" s="1" t="s">
        <v>213</v>
      </c>
      <c r="D13" s="1" t="s">
        <v>214</v>
      </c>
      <c r="E13" s="1" t="n">
        <v>12</v>
      </c>
      <c r="F13" s="1" t="s">
        <v>268</v>
      </c>
      <c r="G13" s="1" t="s">
        <v>236</v>
      </c>
      <c r="H13" s="1" t="s">
        <v>269</v>
      </c>
      <c r="I13" s="1" t="s">
        <v>242</v>
      </c>
      <c r="J13" s="1" t="s">
        <v>219</v>
      </c>
      <c r="K13" s="1" t="n">
        <v>56.83</v>
      </c>
      <c r="L13" s="1" t="n">
        <v>4.4</v>
      </c>
      <c r="M13" s="1" t="n">
        <v>155</v>
      </c>
      <c r="N13" s="4" t="b">
        <f aca="false">FALSE()</f>
        <v>0</v>
      </c>
      <c r="O13" s="1" t="s">
        <v>270</v>
      </c>
      <c r="P13" s="4" t="b">
        <f aca="false">TRUE()</f>
        <v>1</v>
      </c>
      <c r="R13" s="1" t="s">
        <v>220</v>
      </c>
      <c r="S13" s="1" t="s">
        <v>271</v>
      </c>
      <c r="T13" s="1" t="s">
        <v>222</v>
      </c>
      <c r="U13" s="1" t="s">
        <v>223</v>
      </c>
    </row>
    <row r="14" customFormat="false" ht="48" hidden="false" customHeight="true" outlineLevel="0" collapsed="false">
      <c r="A14" s="1" t="s">
        <v>43</v>
      </c>
      <c r="B14" s="1" t="s">
        <v>212</v>
      </c>
      <c r="C14" s="1" t="s">
        <v>213</v>
      </c>
      <c r="D14" s="1" t="s">
        <v>214</v>
      </c>
      <c r="E14" s="1" t="n">
        <v>13</v>
      </c>
      <c r="F14" s="1" t="s">
        <v>272</v>
      </c>
      <c r="G14" s="1" t="s">
        <v>236</v>
      </c>
      <c r="H14" s="1" t="s">
        <v>273</v>
      </c>
      <c r="I14" s="1" t="s">
        <v>231</v>
      </c>
      <c r="J14" s="1" t="s">
        <v>219</v>
      </c>
      <c r="K14" s="1" t="n">
        <v>104.99</v>
      </c>
      <c r="L14" s="1" t="n">
        <v>4.3</v>
      </c>
      <c r="M14" s="1" t="n">
        <v>7300</v>
      </c>
      <c r="N14" s="4" t="b">
        <f aca="false">FALSE()</f>
        <v>0</v>
      </c>
      <c r="O14" s="1" t="s">
        <v>274</v>
      </c>
      <c r="P14" s="4" t="b">
        <f aca="false">TRUE()</f>
        <v>1</v>
      </c>
      <c r="R14" s="1" t="s">
        <v>220</v>
      </c>
      <c r="S14" s="1" t="s">
        <v>275</v>
      </c>
      <c r="T14" s="1" t="s">
        <v>222</v>
      </c>
      <c r="U14" s="1" t="s">
        <v>223</v>
      </c>
    </row>
    <row r="15" customFormat="false" ht="48" hidden="false" customHeight="true" outlineLevel="0" collapsed="false">
      <c r="A15" s="1" t="s">
        <v>43</v>
      </c>
      <c r="B15" s="1" t="s">
        <v>212</v>
      </c>
      <c r="C15" s="1" t="s">
        <v>213</v>
      </c>
      <c r="D15" s="1" t="s">
        <v>214</v>
      </c>
      <c r="E15" s="1" t="n">
        <v>14</v>
      </c>
      <c r="F15" s="1" t="s">
        <v>276</v>
      </c>
      <c r="G15" s="1" t="s">
        <v>225</v>
      </c>
      <c r="H15" s="1" t="s">
        <v>277</v>
      </c>
      <c r="I15" s="1" t="s">
        <v>242</v>
      </c>
      <c r="J15" s="1" t="s">
        <v>219</v>
      </c>
      <c r="K15" s="1" t="n">
        <v>79.99</v>
      </c>
      <c r="L15" s="1" t="n">
        <v>4.4</v>
      </c>
      <c r="M15" s="1" t="n">
        <v>5800</v>
      </c>
      <c r="N15" s="4" t="b">
        <f aca="false">FALSE()</f>
        <v>0</v>
      </c>
      <c r="P15" s="4" t="b">
        <f aca="false">TRUE()</f>
        <v>1</v>
      </c>
      <c r="R15" s="1" t="s">
        <v>220</v>
      </c>
      <c r="S15" s="1" t="s">
        <v>278</v>
      </c>
      <c r="T15" s="1" t="s">
        <v>222</v>
      </c>
      <c r="U15" s="1" t="s">
        <v>223</v>
      </c>
    </row>
    <row r="16" customFormat="false" ht="48" hidden="false" customHeight="true" outlineLevel="0" collapsed="false">
      <c r="A16" s="1" t="s">
        <v>43</v>
      </c>
      <c r="B16" s="1" t="s">
        <v>212</v>
      </c>
      <c r="C16" s="1" t="s">
        <v>213</v>
      </c>
      <c r="D16" s="1" t="s">
        <v>214</v>
      </c>
      <c r="E16" s="1" t="n">
        <v>15</v>
      </c>
      <c r="F16" s="1" t="s">
        <v>279</v>
      </c>
      <c r="G16" s="1" t="s">
        <v>280</v>
      </c>
      <c r="H16" s="1" t="s">
        <v>281</v>
      </c>
      <c r="I16" s="1" t="s">
        <v>218</v>
      </c>
      <c r="J16" s="1" t="s">
        <v>219</v>
      </c>
      <c r="K16" s="1" t="n">
        <v>125.94</v>
      </c>
      <c r="L16" s="1" t="n">
        <v>4.3</v>
      </c>
      <c r="M16" s="1" t="n">
        <v>3000</v>
      </c>
      <c r="N16" s="4" t="b">
        <f aca="false">FALSE()</f>
        <v>0</v>
      </c>
      <c r="O16" s="1" t="s">
        <v>282</v>
      </c>
      <c r="P16" s="4" t="b">
        <f aca="false">TRUE()</f>
        <v>1</v>
      </c>
      <c r="R16" s="1" t="s">
        <v>220</v>
      </c>
      <c r="S16" s="1" t="s">
        <v>283</v>
      </c>
      <c r="T16" s="1" t="s">
        <v>222</v>
      </c>
      <c r="U16" s="1" t="s">
        <v>223</v>
      </c>
    </row>
    <row r="17" customFormat="false" ht="48" hidden="false" customHeight="true" outlineLevel="0" collapsed="false">
      <c r="A17" s="1" t="s">
        <v>43</v>
      </c>
      <c r="B17" s="1" t="s">
        <v>212</v>
      </c>
      <c r="C17" s="1" t="s">
        <v>213</v>
      </c>
      <c r="D17" s="1" t="s">
        <v>214</v>
      </c>
      <c r="E17" s="1" t="n">
        <v>16</v>
      </c>
      <c r="F17" s="1" t="s">
        <v>284</v>
      </c>
      <c r="G17" s="1" t="s">
        <v>236</v>
      </c>
      <c r="H17" s="1" t="s">
        <v>285</v>
      </c>
      <c r="I17" s="1" t="s">
        <v>231</v>
      </c>
      <c r="J17" s="1" t="s">
        <v>219</v>
      </c>
      <c r="K17" s="1" t="n">
        <v>104.99</v>
      </c>
      <c r="L17" s="1" t="n">
        <v>4.3</v>
      </c>
      <c r="M17" s="1" t="n">
        <v>1000</v>
      </c>
      <c r="N17" s="4" t="b">
        <f aca="false">FALSE()</f>
        <v>0</v>
      </c>
      <c r="P17" s="4" t="b">
        <f aca="false">TRUE()</f>
        <v>1</v>
      </c>
      <c r="Q17" s="1" t="s">
        <v>251</v>
      </c>
      <c r="R17" s="1" t="s">
        <v>220</v>
      </c>
      <c r="S17" s="1" t="s">
        <v>286</v>
      </c>
      <c r="T17" s="1" t="s">
        <v>222</v>
      </c>
      <c r="U17" s="1" t="s">
        <v>223</v>
      </c>
    </row>
    <row r="18" customFormat="false" ht="48" hidden="false" customHeight="true" outlineLevel="0" collapsed="false">
      <c r="A18" s="1" t="s">
        <v>43</v>
      </c>
      <c r="B18" s="1" t="s">
        <v>212</v>
      </c>
      <c r="C18" s="1" t="s">
        <v>213</v>
      </c>
      <c r="D18" s="1" t="s">
        <v>214</v>
      </c>
      <c r="E18" s="1" t="n">
        <v>17</v>
      </c>
      <c r="F18" s="1" t="s">
        <v>287</v>
      </c>
      <c r="G18" s="1" t="s">
        <v>236</v>
      </c>
      <c r="H18" s="1" t="s">
        <v>288</v>
      </c>
      <c r="I18" s="1" t="s">
        <v>289</v>
      </c>
      <c r="J18" s="1" t="s">
        <v>219</v>
      </c>
      <c r="K18" s="1" t="n">
        <v>46.99</v>
      </c>
      <c r="L18" s="1" t="n">
        <v>4.4</v>
      </c>
      <c r="M18" s="1" t="n">
        <v>2800</v>
      </c>
      <c r="N18" s="4" t="b">
        <f aca="false">FALSE()</f>
        <v>0</v>
      </c>
      <c r="P18" s="4" t="b">
        <f aca="false">TRUE()</f>
        <v>1</v>
      </c>
      <c r="R18" s="1" t="s">
        <v>220</v>
      </c>
      <c r="S18" s="1" t="s">
        <v>290</v>
      </c>
      <c r="T18" s="1" t="s">
        <v>222</v>
      </c>
      <c r="U18" s="1" t="s">
        <v>223</v>
      </c>
    </row>
    <row r="19" customFormat="false" ht="48" hidden="false" customHeight="true" outlineLevel="0" collapsed="false">
      <c r="A19" s="1" t="s">
        <v>43</v>
      </c>
      <c r="B19" s="1" t="s">
        <v>212</v>
      </c>
      <c r="C19" s="1" t="s">
        <v>213</v>
      </c>
      <c r="D19" s="1" t="s">
        <v>214</v>
      </c>
      <c r="E19" s="1" t="n">
        <v>18</v>
      </c>
      <c r="F19" s="1" t="s">
        <v>291</v>
      </c>
      <c r="G19" s="1" t="s">
        <v>236</v>
      </c>
      <c r="H19" s="1" t="s">
        <v>292</v>
      </c>
      <c r="I19" s="1" t="s">
        <v>218</v>
      </c>
      <c r="J19" s="1" t="s">
        <v>219</v>
      </c>
      <c r="K19" s="1" t="n">
        <v>58.99</v>
      </c>
      <c r="L19" s="1" t="n">
        <v>4.2</v>
      </c>
      <c r="M19" s="1" t="n">
        <v>617</v>
      </c>
      <c r="N19" s="4" t="b">
        <f aca="false">FALSE()</f>
        <v>0</v>
      </c>
      <c r="P19" s="4" t="b">
        <f aca="false">TRUE()</f>
        <v>1</v>
      </c>
      <c r="R19" s="1" t="s">
        <v>220</v>
      </c>
      <c r="S19" s="1" t="s">
        <v>293</v>
      </c>
      <c r="T19" s="1" t="s">
        <v>222</v>
      </c>
      <c r="U19" s="1" t="s">
        <v>223</v>
      </c>
    </row>
    <row r="20" customFormat="false" ht="48" hidden="false" customHeight="true" outlineLevel="0" collapsed="false">
      <c r="A20" s="1" t="s">
        <v>43</v>
      </c>
      <c r="B20" s="1" t="s">
        <v>212</v>
      </c>
      <c r="C20" s="1" t="s">
        <v>213</v>
      </c>
      <c r="D20" s="1" t="s">
        <v>214</v>
      </c>
      <c r="E20" s="1" t="n">
        <v>19</v>
      </c>
      <c r="F20" s="1" t="s">
        <v>294</v>
      </c>
      <c r="G20" s="1" t="s">
        <v>280</v>
      </c>
      <c r="H20" s="1" t="s">
        <v>295</v>
      </c>
      <c r="I20" s="1" t="s">
        <v>218</v>
      </c>
      <c r="J20" s="1" t="s">
        <v>219</v>
      </c>
      <c r="K20" s="1" t="n">
        <v>125.95</v>
      </c>
      <c r="L20" s="1" t="n">
        <v>4.5</v>
      </c>
      <c r="M20" s="1" t="n">
        <v>256</v>
      </c>
      <c r="N20" s="4" t="b">
        <f aca="false">FALSE()</f>
        <v>0</v>
      </c>
      <c r="P20" s="4" t="b">
        <f aca="false">TRUE()</f>
        <v>1</v>
      </c>
      <c r="R20" s="1" t="s">
        <v>220</v>
      </c>
      <c r="S20" s="1" t="s">
        <v>296</v>
      </c>
      <c r="T20" s="1" t="s">
        <v>222</v>
      </c>
      <c r="U20" s="1" t="s">
        <v>223</v>
      </c>
    </row>
    <row r="21" customFormat="false" ht="48" hidden="false" customHeight="true" outlineLevel="0" collapsed="false">
      <c r="A21" s="1" t="s">
        <v>43</v>
      </c>
      <c r="B21" s="1" t="s">
        <v>212</v>
      </c>
      <c r="C21" s="1" t="s">
        <v>213</v>
      </c>
      <c r="D21" s="1" t="s">
        <v>214</v>
      </c>
      <c r="E21" s="1" t="n">
        <v>20</v>
      </c>
      <c r="F21" s="1" t="s">
        <v>297</v>
      </c>
      <c r="G21" s="1" t="s">
        <v>236</v>
      </c>
      <c r="H21" s="1" t="s">
        <v>298</v>
      </c>
      <c r="I21" s="1" t="s">
        <v>299</v>
      </c>
      <c r="J21" s="1" t="s">
        <v>219</v>
      </c>
      <c r="L21" s="1" t="n">
        <v>4.4</v>
      </c>
      <c r="M21" s="1" t="n">
        <v>82</v>
      </c>
      <c r="N21" s="4" t="b">
        <f aca="false">FALSE()</f>
        <v>0</v>
      </c>
      <c r="P21" s="4" t="b">
        <f aca="false">TRUE()</f>
        <v>1</v>
      </c>
      <c r="R21" s="1" t="s">
        <v>220</v>
      </c>
      <c r="S21" s="1" t="s">
        <v>300</v>
      </c>
      <c r="T21" s="1" t="s">
        <v>222</v>
      </c>
      <c r="U21" s="1" t="s">
        <v>223</v>
      </c>
    </row>
    <row r="22" customFormat="false" ht="48" hidden="false" customHeight="true" outlineLevel="0" collapsed="false">
      <c r="A22" s="1" t="s">
        <v>43</v>
      </c>
      <c r="B22" s="1" t="s">
        <v>212</v>
      </c>
      <c r="C22" s="1" t="s">
        <v>213</v>
      </c>
      <c r="D22" s="1" t="s">
        <v>214</v>
      </c>
      <c r="E22" s="1" t="n">
        <v>21</v>
      </c>
      <c r="F22" s="1" t="s">
        <v>301</v>
      </c>
      <c r="G22" s="1" t="s">
        <v>236</v>
      </c>
      <c r="H22" s="1" t="s">
        <v>302</v>
      </c>
      <c r="I22" s="1" t="s">
        <v>218</v>
      </c>
      <c r="J22" s="1" t="s">
        <v>219</v>
      </c>
      <c r="K22" s="1" t="n">
        <v>59.99</v>
      </c>
      <c r="L22" s="1" t="n">
        <v>4.1</v>
      </c>
      <c r="M22" s="1" t="n">
        <v>36</v>
      </c>
      <c r="N22" s="4" t="b">
        <f aca="false">FALSE()</f>
        <v>0</v>
      </c>
      <c r="P22" s="4" t="b">
        <f aca="false">TRUE()</f>
        <v>1</v>
      </c>
      <c r="R22" s="1" t="s">
        <v>220</v>
      </c>
      <c r="S22" s="1" t="s">
        <v>303</v>
      </c>
      <c r="T22" s="1" t="s">
        <v>222</v>
      </c>
      <c r="U22" s="1" t="s">
        <v>223</v>
      </c>
    </row>
    <row r="23" customFormat="false" ht="48" hidden="false" customHeight="true" outlineLevel="0" collapsed="false">
      <c r="A23" s="1" t="s">
        <v>43</v>
      </c>
      <c r="B23" s="1" t="s">
        <v>212</v>
      </c>
      <c r="C23" s="1" t="s">
        <v>213</v>
      </c>
      <c r="D23" s="1" t="s">
        <v>214</v>
      </c>
      <c r="E23" s="1" t="n">
        <v>22</v>
      </c>
      <c r="F23" s="1" t="s">
        <v>304</v>
      </c>
      <c r="G23" s="1" t="s">
        <v>236</v>
      </c>
      <c r="H23" s="1" t="s">
        <v>305</v>
      </c>
      <c r="I23" s="1" t="s">
        <v>306</v>
      </c>
      <c r="J23" s="1" t="s">
        <v>219</v>
      </c>
      <c r="K23" s="1" t="n">
        <v>89.99</v>
      </c>
      <c r="L23" s="1" t="n">
        <v>4.3</v>
      </c>
      <c r="M23" s="1" t="n">
        <v>186</v>
      </c>
      <c r="N23" s="4" t="b">
        <f aca="false">FALSE()</f>
        <v>0</v>
      </c>
      <c r="P23" s="4" t="b">
        <f aca="false">TRUE()</f>
        <v>1</v>
      </c>
      <c r="R23" s="1" t="s">
        <v>220</v>
      </c>
      <c r="S23" s="1" t="s">
        <v>307</v>
      </c>
      <c r="T23" s="1" t="s">
        <v>222</v>
      </c>
      <c r="U23" s="1" t="s">
        <v>223</v>
      </c>
    </row>
    <row r="24" customFormat="false" ht="48" hidden="false" customHeight="true" outlineLevel="0" collapsed="false">
      <c r="A24" s="1" t="s">
        <v>43</v>
      </c>
      <c r="B24" s="1" t="s">
        <v>212</v>
      </c>
      <c r="C24" s="1" t="s">
        <v>213</v>
      </c>
      <c r="D24" s="1" t="s">
        <v>214</v>
      </c>
      <c r="E24" s="1" t="n">
        <v>23</v>
      </c>
      <c r="F24" s="1" t="s">
        <v>308</v>
      </c>
      <c r="G24" s="1" t="s">
        <v>236</v>
      </c>
      <c r="H24" s="1" t="s">
        <v>309</v>
      </c>
      <c r="I24" s="1" t="s">
        <v>218</v>
      </c>
      <c r="J24" s="1" t="s">
        <v>310</v>
      </c>
      <c r="K24" s="1" t="n">
        <v>25.49</v>
      </c>
      <c r="L24" s="1" t="n">
        <v>4.4</v>
      </c>
      <c r="M24" s="1" t="n">
        <v>444800</v>
      </c>
      <c r="N24" s="4" t="b">
        <f aca="false">FALSE()</f>
        <v>0</v>
      </c>
      <c r="O24" s="1" t="s">
        <v>311</v>
      </c>
      <c r="P24" s="4" t="b">
        <f aca="false">TRUE()</f>
        <v>1</v>
      </c>
      <c r="Q24" s="1" t="s">
        <v>312</v>
      </c>
      <c r="R24" s="1" t="s">
        <v>220</v>
      </c>
      <c r="S24" s="1" t="s">
        <v>313</v>
      </c>
      <c r="T24" s="1" t="s">
        <v>222</v>
      </c>
      <c r="U24" s="1" t="s">
        <v>223</v>
      </c>
    </row>
    <row r="25" customFormat="false" ht="48" hidden="false" customHeight="true" outlineLevel="0" collapsed="false">
      <c r="A25" s="1" t="s">
        <v>43</v>
      </c>
      <c r="B25" s="1" t="s">
        <v>212</v>
      </c>
      <c r="C25" s="1" t="s">
        <v>213</v>
      </c>
      <c r="D25" s="1" t="s">
        <v>214</v>
      </c>
      <c r="E25" s="1" t="n">
        <v>24</v>
      </c>
      <c r="F25" s="1" t="s">
        <v>314</v>
      </c>
      <c r="G25" s="1" t="s">
        <v>236</v>
      </c>
      <c r="H25" s="1" t="s">
        <v>315</v>
      </c>
      <c r="I25" s="1" t="s">
        <v>218</v>
      </c>
      <c r="J25" s="1" t="s">
        <v>219</v>
      </c>
      <c r="K25" s="1" t="n">
        <v>101.59</v>
      </c>
      <c r="L25" s="1" t="n">
        <v>4.5</v>
      </c>
      <c r="M25" s="1" t="n">
        <v>49</v>
      </c>
      <c r="N25" s="4" t="b">
        <f aca="false">FALSE()</f>
        <v>0</v>
      </c>
      <c r="P25" s="4" t="b">
        <f aca="false">TRUE()</f>
        <v>1</v>
      </c>
      <c r="R25" s="1" t="s">
        <v>220</v>
      </c>
      <c r="S25" s="1" t="s">
        <v>316</v>
      </c>
      <c r="T25" s="1" t="s">
        <v>222</v>
      </c>
      <c r="U25" s="1" t="s">
        <v>223</v>
      </c>
    </row>
    <row r="26" customFormat="false" ht="48" hidden="false" customHeight="true" outlineLevel="0" collapsed="false">
      <c r="A26" s="1" t="s">
        <v>43</v>
      </c>
      <c r="B26" s="1" t="s">
        <v>212</v>
      </c>
      <c r="C26" s="1" t="s">
        <v>213</v>
      </c>
      <c r="D26" s="1" t="s">
        <v>214</v>
      </c>
      <c r="E26" s="1" t="n">
        <v>25</v>
      </c>
      <c r="F26" s="1" t="s">
        <v>317</v>
      </c>
      <c r="G26" s="1" t="s">
        <v>236</v>
      </c>
      <c r="H26" s="1" t="s">
        <v>318</v>
      </c>
      <c r="I26" s="1" t="s">
        <v>218</v>
      </c>
      <c r="J26" s="1" t="s">
        <v>219</v>
      </c>
      <c r="K26" s="1" t="n">
        <v>42.99</v>
      </c>
      <c r="L26" s="1" t="n">
        <v>4.2</v>
      </c>
      <c r="M26" s="1" t="n">
        <v>254</v>
      </c>
      <c r="N26" s="4" t="b">
        <f aca="false">FALSE()</f>
        <v>0</v>
      </c>
      <c r="P26" s="4" t="b">
        <f aca="false">TRUE()</f>
        <v>1</v>
      </c>
      <c r="R26" s="1" t="s">
        <v>220</v>
      </c>
      <c r="S26" s="1" t="s">
        <v>319</v>
      </c>
      <c r="T26" s="1" t="s">
        <v>222</v>
      </c>
      <c r="U26" s="1" t="s">
        <v>223</v>
      </c>
    </row>
    <row r="27" customFormat="false" ht="48" hidden="false" customHeight="true" outlineLevel="0" collapsed="false">
      <c r="A27" s="1" t="s">
        <v>43</v>
      </c>
      <c r="B27" s="1" t="s">
        <v>212</v>
      </c>
      <c r="C27" s="1" t="s">
        <v>213</v>
      </c>
      <c r="D27" s="1" t="s">
        <v>214</v>
      </c>
      <c r="E27" s="1" t="n">
        <v>26</v>
      </c>
      <c r="F27" s="1" t="s">
        <v>320</v>
      </c>
      <c r="G27" s="1" t="s">
        <v>236</v>
      </c>
      <c r="H27" s="1" t="s">
        <v>321</v>
      </c>
      <c r="I27" s="1" t="s">
        <v>218</v>
      </c>
      <c r="J27" s="1" t="s">
        <v>219</v>
      </c>
      <c r="K27" s="1" t="n">
        <v>33.8</v>
      </c>
      <c r="L27" s="1" t="n">
        <v>4.2</v>
      </c>
      <c r="M27" s="1" t="n">
        <v>51</v>
      </c>
      <c r="N27" s="4" t="b">
        <f aca="false">FALSE()</f>
        <v>0</v>
      </c>
      <c r="P27" s="4" t="b">
        <f aca="false">TRUE()</f>
        <v>1</v>
      </c>
      <c r="R27" s="1" t="s">
        <v>220</v>
      </c>
      <c r="S27" s="1" t="s">
        <v>322</v>
      </c>
      <c r="T27" s="1" t="s">
        <v>222</v>
      </c>
      <c r="U27" s="1" t="s">
        <v>223</v>
      </c>
    </row>
    <row r="28" customFormat="false" ht="48" hidden="false" customHeight="true" outlineLevel="0" collapsed="false">
      <c r="A28" s="1" t="s">
        <v>43</v>
      </c>
      <c r="B28" s="1" t="s">
        <v>212</v>
      </c>
      <c r="C28" s="1" t="s">
        <v>213</v>
      </c>
      <c r="D28" s="1" t="s">
        <v>214</v>
      </c>
      <c r="E28" s="1" t="n">
        <v>27</v>
      </c>
      <c r="F28" s="1" t="s">
        <v>323</v>
      </c>
      <c r="G28" s="1" t="s">
        <v>236</v>
      </c>
      <c r="H28" s="1" t="s">
        <v>324</v>
      </c>
      <c r="I28" s="1" t="s">
        <v>289</v>
      </c>
      <c r="J28" s="1" t="s">
        <v>219</v>
      </c>
      <c r="K28" s="1" t="n">
        <v>74.99</v>
      </c>
      <c r="L28" s="1" t="n">
        <v>4.7</v>
      </c>
      <c r="M28" s="1" t="n">
        <v>12</v>
      </c>
      <c r="N28" s="4" t="b">
        <f aca="false">FALSE()</f>
        <v>0</v>
      </c>
      <c r="P28" s="4" t="b">
        <f aca="false">TRUE()</f>
        <v>1</v>
      </c>
      <c r="R28" s="1" t="s">
        <v>220</v>
      </c>
      <c r="S28" s="1" t="s">
        <v>325</v>
      </c>
      <c r="T28" s="1" t="s">
        <v>222</v>
      </c>
      <c r="U28" s="1" t="s">
        <v>223</v>
      </c>
    </row>
    <row r="29" customFormat="false" ht="48" hidden="false" customHeight="true" outlineLevel="0" collapsed="false">
      <c r="A29" s="1" t="s">
        <v>43</v>
      </c>
      <c r="B29" s="1" t="s">
        <v>212</v>
      </c>
      <c r="C29" s="1" t="s">
        <v>213</v>
      </c>
      <c r="D29" s="1" t="s">
        <v>214</v>
      </c>
      <c r="E29" s="1" t="n">
        <v>28</v>
      </c>
      <c r="F29" s="1" t="s">
        <v>326</v>
      </c>
      <c r="G29" s="1" t="s">
        <v>236</v>
      </c>
      <c r="H29" s="1" t="s">
        <v>327</v>
      </c>
      <c r="I29" s="1" t="s">
        <v>242</v>
      </c>
      <c r="J29" s="1" t="s">
        <v>219</v>
      </c>
      <c r="K29" s="1" t="n">
        <v>98.99</v>
      </c>
      <c r="L29" s="1" t="n">
        <v>4.4</v>
      </c>
      <c r="M29" s="1" t="n">
        <v>870</v>
      </c>
      <c r="N29" s="4" t="b">
        <f aca="false">FALSE()</f>
        <v>0</v>
      </c>
      <c r="O29" s="1" t="s">
        <v>328</v>
      </c>
      <c r="P29" s="4" t="b">
        <f aca="false">TRUE()</f>
        <v>1</v>
      </c>
      <c r="R29" s="1" t="s">
        <v>220</v>
      </c>
      <c r="S29" s="1" t="s">
        <v>329</v>
      </c>
      <c r="T29" s="1" t="s">
        <v>222</v>
      </c>
      <c r="U29" s="1" t="s">
        <v>223</v>
      </c>
    </row>
    <row r="30" customFormat="false" ht="48" hidden="false" customHeight="true" outlineLevel="0" collapsed="false">
      <c r="A30" s="1" t="s">
        <v>43</v>
      </c>
      <c r="B30" s="1" t="s">
        <v>212</v>
      </c>
      <c r="C30" s="1" t="s">
        <v>213</v>
      </c>
      <c r="D30" s="1" t="s">
        <v>214</v>
      </c>
      <c r="E30" s="1" t="n">
        <v>29</v>
      </c>
      <c r="F30" s="1" t="s">
        <v>330</v>
      </c>
      <c r="G30" s="1" t="s">
        <v>236</v>
      </c>
      <c r="H30" s="1" t="s">
        <v>331</v>
      </c>
      <c r="I30" s="1" t="s">
        <v>231</v>
      </c>
      <c r="J30" s="1" t="s">
        <v>219</v>
      </c>
      <c r="K30" s="1" t="n">
        <v>23.99</v>
      </c>
      <c r="L30" s="1" t="n">
        <v>3</v>
      </c>
      <c r="M30" s="1" t="n">
        <v>5</v>
      </c>
      <c r="N30" s="4" t="b">
        <f aca="false">FALSE()</f>
        <v>0</v>
      </c>
      <c r="P30" s="4" t="b">
        <f aca="false">TRUE()</f>
        <v>1</v>
      </c>
      <c r="R30" s="1" t="s">
        <v>220</v>
      </c>
      <c r="S30" s="1" t="s">
        <v>332</v>
      </c>
      <c r="T30" s="1" t="s">
        <v>222</v>
      </c>
      <c r="U30" s="1" t="s">
        <v>223</v>
      </c>
    </row>
    <row r="31" customFormat="false" ht="48" hidden="false" customHeight="true" outlineLevel="0" collapsed="false">
      <c r="A31" s="1" t="s">
        <v>43</v>
      </c>
      <c r="B31" s="1" t="s">
        <v>212</v>
      </c>
      <c r="C31" s="1" t="s">
        <v>213</v>
      </c>
      <c r="D31" s="1" t="s">
        <v>214</v>
      </c>
      <c r="E31" s="1" t="n">
        <v>30</v>
      </c>
      <c r="F31" s="1" t="s">
        <v>333</v>
      </c>
      <c r="G31" s="1" t="s">
        <v>280</v>
      </c>
      <c r="H31" s="1" t="s">
        <v>334</v>
      </c>
      <c r="I31" s="1" t="s">
        <v>299</v>
      </c>
      <c r="J31" s="1" t="s">
        <v>219</v>
      </c>
      <c r="K31" s="1" t="n">
        <v>65.95</v>
      </c>
      <c r="L31" s="1" t="n">
        <v>4.4</v>
      </c>
      <c r="M31" s="1" t="n">
        <v>871</v>
      </c>
      <c r="N31" s="4" t="b">
        <f aca="false">FALSE()</f>
        <v>0</v>
      </c>
      <c r="P31" s="4" t="b">
        <f aca="false">TRUE()</f>
        <v>1</v>
      </c>
      <c r="R31" s="1" t="s">
        <v>220</v>
      </c>
      <c r="S31" s="1" t="s">
        <v>335</v>
      </c>
      <c r="T31" s="1" t="s">
        <v>222</v>
      </c>
      <c r="U31" s="1" t="s">
        <v>223</v>
      </c>
    </row>
    <row r="32" customFormat="false" ht="48" hidden="false" customHeight="true" outlineLevel="0" collapsed="false">
      <c r="A32" s="1" t="s">
        <v>43</v>
      </c>
      <c r="B32" s="1" t="s">
        <v>212</v>
      </c>
      <c r="C32" s="1" t="s">
        <v>213</v>
      </c>
      <c r="D32" s="1" t="s">
        <v>214</v>
      </c>
      <c r="E32" s="1" t="n">
        <v>31</v>
      </c>
      <c r="F32" s="1" t="s">
        <v>336</v>
      </c>
      <c r="G32" s="1" t="s">
        <v>337</v>
      </c>
      <c r="H32" s="1" t="s">
        <v>338</v>
      </c>
      <c r="I32" s="1" t="s">
        <v>231</v>
      </c>
      <c r="J32" s="1" t="s">
        <v>219</v>
      </c>
      <c r="K32" s="1" t="n">
        <v>164.99</v>
      </c>
      <c r="L32" s="1" t="n">
        <v>4.3</v>
      </c>
      <c r="M32" s="1" t="n">
        <v>20600</v>
      </c>
      <c r="N32" s="4" t="b">
        <f aca="false">FALSE()</f>
        <v>0</v>
      </c>
      <c r="P32" s="4" t="b">
        <f aca="false">TRUE()</f>
        <v>1</v>
      </c>
      <c r="R32" s="1" t="s">
        <v>220</v>
      </c>
      <c r="S32" s="1" t="s">
        <v>339</v>
      </c>
      <c r="T32" s="1" t="s">
        <v>222</v>
      </c>
      <c r="U32" s="1" t="s">
        <v>223</v>
      </c>
    </row>
    <row r="33" customFormat="false" ht="48" hidden="false" customHeight="true" outlineLevel="0" collapsed="false">
      <c r="A33" s="1" t="s">
        <v>43</v>
      </c>
      <c r="B33" s="1" t="s">
        <v>212</v>
      </c>
      <c r="C33" s="1" t="s">
        <v>213</v>
      </c>
      <c r="D33" s="1" t="s">
        <v>214</v>
      </c>
      <c r="E33" s="1" t="n">
        <v>32</v>
      </c>
      <c r="F33" s="1" t="s">
        <v>340</v>
      </c>
      <c r="G33" s="1" t="s">
        <v>236</v>
      </c>
      <c r="H33" s="1" t="s">
        <v>341</v>
      </c>
      <c r="I33" s="1" t="s">
        <v>242</v>
      </c>
      <c r="J33" s="1" t="s">
        <v>219</v>
      </c>
      <c r="K33" s="1" t="n">
        <v>93.57</v>
      </c>
      <c r="N33" s="4" t="b">
        <f aca="false">FALSE()</f>
        <v>0</v>
      </c>
      <c r="P33" s="4" t="b">
        <f aca="false">TRUE()</f>
        <v>1</v>
      </c>
      <c r="R33" s="1" t="s">
        <v>220</v>
      </c>
      <c r="S33" s="1" t="s">
        <v>342</v>
      </c>
      <c r="T33" s="1" t="s">
        <v>222</v>
      </c>
      <c r="U33" s="1" t="s">
        <v>223</v>
      </c>
    </row>
    <row r="34" customFormat="false" ht="48" hidden="false" customHeight="true" outlineLevel="0" collapsed="false">
      <c r="A34" s="1" t="s">
        <v>43</v>
      </c>
      <c r="B34" s="1" t="s">
        <v>212</v>
      </c>
      <c r="C34" s="1" t="s">
        <v>213</v>
      </c>
      <c r="D34" s="1" t="s">
        <v>214</v>
      </c>
      <c r="E34" s="1" t="n">
        <v>33</v>
      </c>
      <c r="F34" s="1" t="s">
        <v>343</v>
      </c>
      <c r="G34" s="1" t="s">
        <v>236</v>
      </c>
      <c r="H34" s="1" t="s">
        <v>344</v>
      </c>
      <c r="I34" s="1" t="s">
        <v>218</v>
      </c>
      <c r="J34" s="1" t="s">
        <v>219</v>
      </c>
      <c r="K34" s="1" t="n">
        <v>108.51</v>
      </c>
      <c r="L34" s="1" t="n">
        <v>4.4</v>
      </c>
      <c r="M34" s="1" t="n">
        <v>125</v>
      </c>
      <c r="N34" s="4" t="b">
        <f aca="false">FALSE()</f>
        <v>0</v>
      </c>
      <c r="P34" s="4" t="b">
        <f aca="false">TRUE()</f>
        <v>1</v>
      </c>
      <c r="R34" s="1" t="s">
        <v>220</v>
      </c>
      <c r="S34" s="1" t="s">
        <v>345</v>
      </c>
      <c r="T34" s="1" t="s">
        <v>222</v>
      </c>
      <c r="U34" s="1" t="s">
        <v>223</v>
      </c>
    </row>
    <row r="35" customFormat="false" ht="48" hidden="false" customHeight="true" outlineLevel="0" collapsed="false">
      <c r="A35" s="1" t="s">
        <v>43</v>
      </c>
      <c r="B35" s="1" t="s">
        <v>212</v>
      </c>
      <c r="C35" s="1" t="s">
        <v>213</v>
      </c>
      <c r="D35" s="1" t="s">
        <v>214</v>
      </c>
      <c r="E35" s="1" t="n">
        <v>34</v>
      </c>
      <c r="F35" s="1" t="s">
        <v>346</v>
      </c>
      <c r="G35" s="1" t="s">
        <v>347</v>
      </c>
      <c r="H35" s="1" t="s">
        <v>348</v>
      </c>
      <c r="I35" s="1" t="s">
        <v>218</v>
      </c>
      <c r="J35" s="1" t="s">
        <v>219</v>
      </c>
      <c r="K35" s="1" t="n">
        <v>110.99</v>
      </c>
      <c r="L35" s="1" t="n">
        <v>4.3</v>
      </c>
      <c r="M35" s="1" t="n">
        <v>14100</v>
      </c>
      <c r="N35" s="4" t="b">
        <f aca="false">FALSE()</f>
        <v>0</v>
      </c>
      <c r="P35" s="4" t="b">
        <f aca="false">TRUE()</f>
        <v>1</v>
      </c>
      <c r="R35" s="1" t="s">
        <v>220</v>
      </c>
      <c r="S35" s="1" t="s">
        <v>349</v>
      </c>
      <c r="T35" s="1" t="s">
        <v>222</v>
      </c>
      <c r="U35" s="1" t="s">
        <v>223</v>
      </c>
    </row>
    <row r="36" customFormat="false" ht="48" hidden="false" customHeight="true" outlineLevel="0" collapsed="false">
      <c r="A36" s="1" t="s">
        <v>43</v>
      </c>
      <c r="B36" s="1" t="s">
        <v>212</v>
      </c>
      <c r="C36" s="1" t="s">
        <v>213</v>
      </c>
      <c r="D36" s="1" t="s">
        <v>214</v>
      </c>
      <c r="E36" s="1" t="n">
        <v>35</v>
      </c>
      <c r="F36" s="1" t="s">
        <v>350</v>
      </c>
      <c r="G36" s="1" t="s">
        <v>351</v>
      </c>
      <c r="H36" s="1" t="s">
        <v>352</v>
      </c>
      <c r="I36" s="1" t="s">
        <v>218</v>
      </c>
      <c r="J36" s="1" t="s">
        <v>219</v>
      </c>
      <c r="K36" s="1" t="n">
        <v>80.52</v>
      </c>
      <c r="L36" s="1" t="n">
        <v>4.4</v>
      </c>
      <c r="M36" s="1" t="n">
        <v>285</v>
      </c>
      <c r="N36" s="4" t="b">
        <f aca="false">FALSE()</f>
        <v>0</v>
      </c>
      <c r="O36" s="1" t="s">
        <v>353</v>
      </c>
      <c r="P36" s="4" t="b">
        <f aca="false">TRUE()</f>
        <v>1</v>
      </c>
      <c r="R36" s="1" t="s">
        <v>220</v>
      </c>
      <c r="S36" s="1" t="s">
        <v>354</v>
      </c>
      <c r="T36" s="1" t="s">
        <v>222</v>
      </c>
      <c r="U36" s="1" t="s">
        <v>223</v>
      </c>
    </row>
    <row r="37" customFormat="false" ht="48" hidden="false" customHeight="true" outlineLevel="0" collapsed="false">
      <c r="A37" s="1" t="s">
        <v>43</v>
      </c>
      <c r="B37" s="1" t="s">
        <v>212</v>
      </c>
      <c r="C37" s="1" t="s">
        <v>213</v>
      </c>
      <c r="D37" s="1" t="s">
        <v>214</v>
      </c>
      <c r="E37" s="1" t="n">
        <v>36</v>
      </c>
      <c r="F37" s="1" t="s">
        <v>355</v>
      </c>
      <c r="G37" s="1" t="s">
        <v>236</v>
      </c>
      <c r="H37" s="1" t="s">
        <v>356</v>
      </c>
      <c r="I37" s="1" t="s">
        <v>218</v>
      </c>
      <c r="J37" s="1" t="s">
        <v>219</v>
      </c>
      <c r="K37" s="1" t="n">
        <v>139.99</v>
      </c>
      <c r="L37" s="1" t="n">
        <v>4.4</v>
      </c>
      <c r="M37" s="1" t="n">
        <v>2700</v>
      </c>
      <c r="N37" s="4" t="b">
        <f aca="false">FALSE()</f>
        <v>0</v>
      </c>
      <c r="O37" s="1" t="s">
        <v>357</v>
      </c>
      <c r="P37" s="4" t="b">
        <f aca="false">TRUE()</f>
        <v>1</v>
      </c>
      <c r="R37" s="1" t="s">
        <v>220</v>
      </c>
      <c r="S37" s="1" t="s">
        <v>358</v>
      </c>
      <c r="T37" s="1" t="s">
        <v>222</v>
      </c>
      <c r="U37" s="1" t="s">
        <v>223</v>
      </c>
    </row>
    <row r="38" customFormat="false" ht="48" hidden="false" customHeight="true" outlineLevel="0" collapsed="false">
      <c r="A38" s="1" t="s">
        <v>43</v>
      </c>
      <c r="B38" s="1" t="s">
        <v>212</v>
      </c>
      <c r="C38" s="1" t="s">
        <v>213</v>
      </c>
      <c r="D38" s="1" t="s">
        <v>214</v>
      </c>
      <c r="E38" s="1" t="n">
        <v>37</v>
      </c>
      <c r="F38" s="1" t="s">
        <v>359</v>
      </c>
      <c r="G38" s="1" t="s">
        <v>236</v>
      </c>
      <c r="H38" s="1" t="s">
        <v>360</v>
      </c>
      <c r="I38" s="1" t="s">
        <v>218</v>
      </c>
      <c r="J38" s="1" t="s">
        <v>219</v>
      </c>
      <c r="K38" s="1" t="n">
        <v>73.97</v>
      </c>
      <c r="L38" s="1" t="n">
        <v>4.3</v>
      </c>
      <c r="M38" s="1" t="n">
        <v>48</v>
      </c>
      <c r="N38" s="4" t="b">
        <f aca="false">FALSE()</f>
        <v>0</v>
      </c>
      <c r="P38" s="4" t="b">
        <f aca="false">TRUE()</f>
        <v>1</v>
      </c>
      <c r="R38" s="1" t="s">
        <v>220</v>
      </c>
      <c r="S38" s="1" t="s">
        <v>361</v>
      </c>
      <c r="T38" s="1" t="s">
        <v>222</v>
      </c>
      <c r="U38" s="1" t="s">
        <v>223</v>
      </c>
    </row>
    <row r="39" customFormat="false" ht="48" hidden="false" customHeight="true" outlineLevel="0" collapsed="false">
      <c r="A39" s="1" t="s">
        <v>43</v>
      </c>
      <c r="B39" s="1" t="s">
        <v>212</v>
      </c>
      <c r="C39" s="1" t="s">
        <v>213</v>
      </c>
      <c r="D39" s="1" t="s">
        <v>214</v>
      </c>
      <c r="E39" s="1" t="n">
        <v>38</v>
      </c>
      <c r="F39" s="1" t="s">
        <v>362</v>
      </c>
      <c r="G39" s="1" t="s">
        <v>236</v>
      </c>
      <c r="H39" s="1" t="s">
        <v>363</v>
      </c>
      <c r="I39" s="1" t="s">
        <v>231</v>
      </c>
      <c r="J39" s="1" t="s">
        <v>219</v>
      </c>
      <c r="L39" s="1" t="n">
        <v>4.4</v>
      </c>
      <c r="M39" s="1" t="n">
        <v>6200</v>
      </c>
      <c r="N39" s="4" t="b">
        <f aca="false">FALSE()</f>
        <v>0</v>
      </c>
      <c r="P39" s="4" t="b">
        <f aca="false">TRUE()</f>
        <v>1</v>
      </c>
      <c r="R39" s="1" t="s">
        <v>220</v>
      </c>
      <c r="S39" s="1" t="s">
        <v>364</v>
      </c>
      <c r="T39" s="1" t="s">
        <v>222</v>
      </c>
      <c r="U39" s="1" t="s">
        <v>223</v>
      </c>
    </row>
    <row r="40" customFormat="false" ht="48" hidden="false" customHeight="true" outlineLevel="0" collapsed="false">
      <c r="A40" s="1" t="s">
        <v>43</v>
      </c>
      <c r="B40" s="1" t="s">
        <v>212</v>
      </c>
      <c r="C40" s="1" t="s">
        <v>213</v>
      </c>
      <c r="D40" s="1" t="s">
        <v>214</v>
      </c>
      <c r="E40" s="1" t="n">
        <v>39</v>
      </c>
      <c r="F40" s="1" t="s">
        <v>365</v>
      </c>
      <c r="G40" s="1" t="s">
        <v>236</v>
      </c>
      <c r="H40" s="1" t="s">
        <v>366</v>
      </c>
      <c r="I40" s="1" t="s">
        <v>218</v>
      </c>
      <c r="J40" s="1" t="s">
        <v>219</v>
      </c>
      <c r="K40" s="1" t="n">
        <v>72.99</v>
      </c>
      <c r="L40" s="1" t="n">
        <v>3.3</v>
      </c>
      <c r="M40" s="1" t="n">
        <v>18</v>
      </c>
      <c r="N40" s="4" t="b">
        <f aca="false">FALSE()</f>
        <v>0</v>
      </c>
      <c r="O40" s="1" t="s">
        <v>367</v>
      </c>
      <c r="P40" s="4" t="b">
        <f aca="false">TRUE()</f>
        <v>1</v>
      </c>
      <c r="R40" s="1" t="s">
        <v>220</v>
      </c>
      <c r="S40" s="1" t="s">
        <v>368</v>
      </c>
      <c r="T40" s="1" t="s">
        <v>222</v>
      </c>
      <c r="U40" s="1" t="s">
        <v>223</v>
      </c>
    </row>
    <row r="41" customFormat="false" ht="48" hidden="false" customHeight="true" outlineLevel="0" collapsed="false">
      <c r="A41" s="1" t="s">
        <v>43</v>
      </c>
      <c r="B41" s="1" t="s">
        <v>212</v>
      </c>
      <c r="C41" s="1" t="s">
        <v>213</v>
      </c>
      <c r="D41" s="1" t="s">
        <v>214</v>
      </c>
      <c r="E41" s="1" t="n">
        <v>40</v>
      </c>
      <c r="F41" s="1" t="s">
        <v>369</v>
      </c>
      <c r="G41" s="1" t="s">
        <v>225</v>
      </c>
      <c r="H41" s="1" t="s">
        <v>370</v>
      </c>
      <c r="I41" s="1" t="s">
        <v>218</v>
      </c>
      <c r="J41" s="1" t="s">
        <v>371</v>
      </c>
      <c r="L41" s="1" t="n">
        <v>4.1</v>
      </c>
      <c r="M41" s="1" t="n">
        <v>1000</v>
      </c>
      <c r="N41" s="4" t="b">
        <f aca="false">FALSE()</f>
        <v>0</v>
      </c>
      <c r="P41" s="4" t="b">
        <f aca="false">TRUE()</f>
        <v>1</v>
      </c>
      <c r="R41" s="1" t="s">
        <v>220</v>
      </c>
      <c r="S41" s="1" t="s">
        <v>372</v>
      </c>
      <c r="T41" s="1" t="s">
        <v>222</v>
      </c>
      <c r="U41" s="1" t="s">
        <v>223</v>
      </c>
    </row>
    <row r="42" customFormat="false" ht="48" hidden="false" customHeight="true" outlineLevel="0" collapsed="false">
      <c r="A42" s="1" t="s">
        <v>43</v>
      </c>
      <c r="B42" s="1" t="s">
        <v>212</v>
      </c>
      <c r="C42" s="1" t="s">
        <v>213</v>
      </c>
      <c r="D42" s="1" t="s">
        <v>214</v>
      </c>
      <c r="E42" s="1" t="n">
        <v>41</v>
      </c>
      <c r="F42" s="1" t="s">
        <v>373</v>
      </c>
      <c r="G42" s="1" t="s">
        <v>236</v>
      </c>
      <c r="H42" s="1" t="s">
        <v>374</v>
      </c>
      <c r="I42" s="1" t="s">
        <v>218</v>
      </c>
      <c r="J42" s="1" t="s">
        <v>219</v>
      </c>
      <c r="K42" s="1" t="n">
        <v>90.42</v>
      </c>
      <c r="L42" s="1" t="n">
        <v>4.4</v>
      </c>
      <c r="M42" s="1" t="n">
        <v>213</v>
      </c>
      <c r="N42" s="4" t="b">
        <f aca="false">FALSE()</f>
        <v>0</v>
      </c>
      <c r="P42" s="4" t="b">
        <f aca="false">TRUE()</f>
        <v>1</v>
      </c>
      <c r="R42" s="1" t="s">
        <v>220</v>
      </c>
      <c r="S42" s="1" t="s">
        <v>375</v>
      </c>
      <c r="T42" s="1" t="s">
        <v>222</v>
      </c>
      <c r="U42" s="1" t="s">
        <v>223</v>
      </c>
    </row>
    <row r="43" customFormat="false" ht="48" hidden="false" customHeight="true" outlineLevel="0" collapsed="false">
      <c r="A43" s="1" t="s">
        <v>43</v>
      </c>
      <c r="B43" s="1" t="s">
        <v>212</v>
      </c>
      <c r="C43" s="1" t="s">
        <v>213</v>
      </c>
      <c r="D43" s="1" t="s">
        <v>214</v>
      </c>
      <c r="E43" s="1" t="n">
        <v>42</v>
      </c>
      <c r="F43" s="1" t="s">
        <v>376</v>
      </c>
      <c r="G43" s="1" t="s">
        <v>236</v>
      </c>
      <c r="H43" s="1" t="s">
        <v>377</v>
      </c>
      <c r="I43" s="1" t="s">
        <v>378</v>
      </c>
      <c r="J43" s="1" t="s">
        <v>219</v>
      </c>
      <c r="K43" s="1" t="n">
        <v>92.82</v>
      </c>
      <c r="L43" s="1" t="n">
        <v>4.7</v>
      </c>
      <c r="M43" s="1" t="n">
        <v>1300</v>
      </c>
      <c r="N43" s="4" t="b">
        <f aca="false">FALSE()</f>
        <v>0</v>
      </c>
      <c r="P43" s="4" t="b">
        <f aca="false">TRUE()</f>
        <v>1</v>
      </c>
      <c r="R43" s="1" t="s">
        <v>220</v>
      </c>
      <c r="S43" s="1" t="s">
        <v>379</v>
      </c>
      <c r="T43" s="1" t="s">
        <v>222</v>
      </c>
      <c r="U43" s="1" t="s">
        <v>223</v>
      </c>
    </row>
    <row r="44" customFormat="false" ht="48" hidden="false" customHeight="true" outlineLevel="0" collapsed="false">
      <c r="A44" s="1" t="s">
        <v>43</v>
      </c>
      <c r="B44" s="1" t="s">
        <v>212</v>
      </c>
      <c r="C44" s="1" t="s">
        <v>213</v>
      </c>
      <c r="D44" s="1" t="s">
        <v>214</v>
      </c>
      <c r="E44" s="1" t="n">
        <v>43</v>
      </c>
      <c r="F44" s="1" t="s">
        <v>380</v>
      </c>
      <c r="G44" s="1" t="s">
        <v>236</v>
      </c>
      <c r="H44" s="1" t="s">
        <v>381</v>
      </c>
      <c r="I44" s="1" t="s">
        <v>231</v>
      </c>
      <c r="J44" s="1" t="s">
        <v>219</v>
      </c>
      <c r="L44" s="1" t="n">
        <v>4.2</v>
      </c>
      <c r="M44" s="1" t="n">
        <v>1000</v>
      </c>
      <c r="N44" s="4" t="b">
        <f aca="false">FALSE()</f>
        <v>0</v>
      </c>
      <c r="P44" s="4" t="b">
        <f aca="false">TRUE()</f>
        <v>1</v>
      </c>
      <c r="R44" s="1" t="s">
        <v>220</v>
      </c>
      <c r="S44" s="1" t="s">
        <v>382</v>
      </c>
      <c r="T44" s="1" t="s">
        <v>222</v>
      </c>
      <c r="U44" s="1" t="s">
        <v>223</v>
      </c>
    </row>
    <row r="45" customFormat="false" ht="48" hidden="false" customHeight="true" outlineLevel="0" collapsed="false">
      <c r="A45" s="1" t="s">
        <v>43</v>
      </c>
      <c r="B45" s="1" t="s">
        <v>212</v>
      </c>
      <c r="C45" s="1" t="s">
        <v>213</v>
      </c>
      <c r="D45" s="1" t="s">
        <v>214</v>
      </c>
      <c r="E45" s="1" t="n">
        <v>44</v>
      </c>
      <c r="F45" s="1" t="s">
        <v>383</v>
      </c>
      <c r="G45" s="1" t="s">
        <v>384</v>
      </c>
      <c r="H45" s="1" t="s">
        <v>385</v>
      </c>
      <c r="I45" s="1" t="s">
        <v>218</v>
      </c>
      <c r="J45" s="1" t="s">
        <v>219</v>
      </c>
      <c r="K45" s="1" t="n">
        <v>119.7</v>
      </c>
      <c r="L45" s="1" t="n">
        <v>4.4</v>
      </c>
      <c r="M45" s="1" t="n">
        <v>435</v>
      </c>
      <c r="N45" s="4" t="b">
        <f aca="false">FALSE()</f>
        <v>0</v>
      </c>
      <c r="P45" s="4" t="b">
        <f aca="false">TRUE()</f>
        <v>1</v>
      </c>
      <c r="R45" s="1" t="s">
        <v>220</v>
      </c>
      <c r="S45" s="1" t="s">
        <v>386</v>
      </c>
      <c r="T45" s="1" t="s">
        <v>222</v>
      </c>
      <c r="U45" s="1" t="s">
        <v>223</v>
      </c>
    </row>
    <row r="46" customFormat="false" ht="48" hidden="false" customHeight="true" outlineLevel="0" collapsed="false">
      <c r="A46" s="1" t="s">
        <v>43</v>
      </c>
      <c r="B46" s="1" t="s">
        <v>212</v>
      </c>
      <c r="C46" s="1" t="s">
        <v>213</v>
      </c>
      <c r="D46" s="1" t="s">
        <v>214</v>
      </c>
      <c r="E46" s="1" t="n">
        <v>45</v>
      </c>
      <c r="F46" s="1" t="s">
        <v>387</v>
      </c>
      <c r="G46" s="1" t="s">
        <v>347</v>
      </c>
      <c r="H46" s="1" t="s">
        <v>388</v>
      </c>
      <c r="I46" s="1" t="s">
        <v>218</v>
      </c>
      <c r="J46" s="1" t="s">
        <v>219</v>
      </c>
      <c r="K46" s="1" t="n">
        <v>110.99</v>
      </c>
      <c r="L46" s="1" t="n">
        <v>4.3</v>
      </c>
      <c r="M46" s="1" t="n">
        <v>617</v>
      </c>
      <c r="N46" s="4" t="b">
        <f aca="false">FALSE()</f>
        <v>0</v>
      </c>
      <c r="P46" s="4" t="b">
        <f aca="false">TRUE()</f>
        <v>1</v>
      </c>
      <c r="R46" s="1" t="s">
        <v>220</v>
      </c>
      <c r="S46" s="1" t="s">
        <v>389</v>
      </c>
      <c r="T46" s="1" t="s">
        <v>222</v>
      </c>
      <c r="U46" s="1" t="s">
        <v>223</v>
      </c>
    </row>
    <row r="47" customFormat="false" ht="48" hidden="false" customHeight="true" outlineLevel="0" collapsed="false">
      <c r="A47" s="1" t="s">
        <v>43</v>
      </c>
      <c r="B47" s="1" t="s">
        <v>212</v>
      </c>
      <c r="C47" s="1" t="s">
        <v>213</v>
      </c>
      <c r="D47" s="1" t="s">
        <v>214</v>
      </c>
      <c r="E47" s="1" t="n">
        <v>46</v>
      </c>
      <c r="F47" s="1" t="s">
        <v>390</v>
      </c>
      <c r="G47" s="1" t="s">
        <v>236</v>
      </c>
      <c r="H47" s="1" t="s">
        <v>391</v>
      </c>
      <c r="I47" s="1" t="s">
        <v>306</v>
      </c>
      <c r="J47" s="1" t="s">
        <v>219</v>
      </c>
      <c r="K47" s="1" t="n">
        <v>79.98</v>
      </c>
      <c r="L47" s="1" t="n">
        <v>4.2</v>
      </c>
      <c r="M47" s="1" t="n">
        <v>124</v>
      </c>
      <c r="N47" s="4" t="b">
        <f aca="false">FALSE()</f>
        <v>0</v>
      </c>
      <c r="P47" s="4" t="b">
        <f aca="false">TRUE()</f>
        <v>1</v>
      </c>
      <c r="R47" s="1" t="s">
        <v>220</v>
      </c>
      <c r="S47" s="1" t="s">
        <v>392</v>
      </c>
      <c r="T47" s="1" t="s">
        <v>222</v>
      </c>
      <c r="U47" s="1" t="s">
        <v>223</v>
      </c>
    </row>
    <row r="48" customFormat="false" ht="48" hidden="false" customHeight="true" outlineLevel="0" collapsed="false">
      <c r="A48" s="1" t="s">
        <v>43</v>
      </c>
      <c r="B48" s="1" t="s">
        <v>212</v>
      </c>
      <c r="C48" s="1" t="s">
        <v>213</v>
      </c>
      <c r="D48" s="1" t="s">
        <v>214</v>
      </c>
      <c r="E48" s="1" t="n">
        <v>47</v>
      </c>
      <c r="F48" s="1" t="s">
        <v>393</v>
      </c>
      <c r="G48" s="1" t="s">
        <v>236</v>
      </c>
      <c r="H48" s="1" t="s">
        <v>394</v>
      </c>
      <c r="I48" s="1" t="s">
        <v>231</v>
      </c>
      <c r="J48" s="1" t="s">
        <v>219</v>
      </c>
      <c r="K48" s="1" t="n">
        <v>147.99</v>
      </c>
      <c r="L48" s="1" t="n">
        <v>4.7</v>
      </c>
      <c r="M48" s="1" t="n">
        <v>12</v>
      </c>
      <c r="N48" s="4" t="b">
        <f aca="false">FALSE()</f>
        <v>0</v>
      </c>
      <c r="P48" s="4" t="b">
        <f aca="false">TRUE()</f>
        <v>1</v>
      </c>
      <c r="R48" s="1" t="s">
        <v>220</v>
      </c>
      <c r="S48" s="1" t="s">
        <v>395</v>
      </c>
      <c r="T48" s="1" t="s">
        <v>222</v>
      </c>
      <c r="U48" s="1" t="s">
        <v>223</v>
      </c>
    </row>
    <row r="49" customFormat="false" ht="48" hidden="false" customHeight="true" outlineLevel="0" collapsed="false">
      <c r="A49" s="1" t="s">
        <v>43</v>
      </c>
      <c r="B49" s="1" t="s">
        <v>212</v>
      </c>
      <c r="C49" s="1" t="s">
        <v>213</v>
      </c>
      <c r="D49" s="1" t="s">
        <v>214</v>
      </c>
      <c r="E49" s="1" t="n">
        <v>48</v>
      </c>
      <c r="F49" s="1" t="s">
        <v>396</v>
      </c>
      <c r="G49" s="1" t="s">
        <v>236</v>
      </c>
      <c r="H49" s="1" t="s">
        <v>397</v>
      </c>
      <c r="I49" s="1" t="s">
        <v>306</v>
      </c>
      <c r="J49" s="1" t="s">
        <v>219</v>
      </c>
      <c r="K49" s="1" t="n">
        <v>41.11</v>
      </c>
      <c r="L49" s="1" t="n">
        <v>4.2</v>
      </c>
      <c r="M49" s="1" t="n">
        <v>3400</v>
      </c>
      <c r="N49" s="4" t="b">
        <f aca="false">FALSE()</f>
        <v>0</v>
      </c>
      <c r="P49" s="4" t="b">
        <f aca="false">TRUE()</f>
        <v>1</v>
      </c>
      <c r="R49" s="1" t="s">
        <v>220</v>
      </c>
      <c r="S49" s="1" t="s">
        <v>398</v>
      </c>
      <c r="T49" s="1" t="s">
        <v>222</v>
      </c>
      <c r="U49" s="1" t="s">
        <v>223</v>
      </c>
    </row>
    <row r="50" customFormat="false" ht="48" hidden="false" customHeight="true" outlineLevel="0" collapsed="false">
      <c r="A50" s="1" t="s">
        <v>43</v>
      </c>
      <c r="B50" s="1" t="s">
        <v>212</v>
      </c>
      <c r="C50" s="1" t="s">
        <v>93</v>
      </c>
      <c r="D50" s="1" t="s">
        <v>399</v>
      </c>
      <c r="E50" s="1" t="n">
        <v>1</v>
      </c>
      <c r="F50" s="1" t="s">
        <v>400</v>
      </c>
      <c r="G50" s="1" t="s">
        <v>236</v>
      </c>
      <c r="H50" s="1" t="s">
        <v>401</v>
      </c>
      <c r="I50" s="1" t="s">
        <v>402</v>
      </c>
      <c r="J50" s="1" t="s">
        <v>310</v>
      </c>
      <c r="K50" s="1" t="n">
        <v>31.99</v>
      </c>
      <c r="L50" s="1" t="n">
        <v>4.3</v>
      </c>
      <c r="M50" s="1" t="n">
        <v>4600</v>
      </c>
      <c r="N50" s="4" t="b">
        <f aca="false">FALSE()</f>
        <v>0</v>
      </c>
      <c r="O50" s="1" t="s">
        <v>403</v>
      </c>
      <c r="P50" s="4" t="b">
        <f aca="false">TRUE()</f>
        <v>1</v>
      </c>
      <c r="Q50" s="1" t="s">
        <v>251</v>
      </c>
      <c r="R50" s="1" t="s">
        <v>404</v>
      </c>
      <c r="S50" s="1" t="s">
        <v>405</v>
      </c>
      <c r="T50" s="1" t="s">
        <v>222</v>
      </c>
      <c r="U50" s="1" t="s">
        <v>223</v>
      </c>
    </row>
    <row r="51" customFormat="false" ht="48" hidden="false" customHeight="true" outlineLevel="0" collapsed="false">
      <c r="A51" s="1" t="s">
        <v>43</v>
      </c>
      <c r="B51" s="1" t="s">
        <v>212</v>
      </c>
      <c r="C51" s="1" t="s">
        <v>93</v>
      </c>
      <c r="D51" s="1" t="s">
        <v>399</v>
      </c>
      <c r="E51" s="1" t="n">
        <v>2</v>
      </c>
      <c r="F51" s="1" t="s">
        <v>406</v>
      </c>
      <c r="G51" s="1" t="s">
        <v>236</v>
      </c>
      <c r="H51" s="1" t="s">
        <v>407</v>
      </c>
      <c r="I51" s="1" t="s">
        <v>218</v>
      </c>
      <c r="J51" s="1" t="s">
        <v>310</v>
      </c>
      <c r="K51" s="1" t="n">
        <v>35.9</v>
      </c>
      <c r="L51" s="1" t="n">
        <v>4.6</v>
      </c>
      <c r="M51" s="1" t="n">
        <v>2200</v>
      </c>
      <c r="N51" s="4" t="b">
        <f aca="false">FALSE()</f>
        <v>0</v>
      </c>
      <c r="O51" s="1" t="s">
        <v>408</v>
      </c>
      <c r="P51" s="4" t="b">
        <f aca="false">TRUE()</f>
        <v>1</v>
      </c>
      <c r="Q51" s="1" t="s">
        <v>409</v>
      </c>
      <c r="R51" s="1" t="s">
        <v>404</v>
      </c>
      <c r="S51" s="1" t="s">
        <v>410</v>
      </c>
      <c r="T51" s="1" t="s">
        <v>222</v>
      </c>
      <c r="U51" s="1" t="s">
        <v>223</v>
      </c>
    </row>
    <row r="52" customFormat="false" ht="48" hidden="false" customHeight="true" outlineLevel="0" collapsed="false">
      <c r="A52" s="1" t="s">
        <v>43</v>
      </c>
      <c r="B52" s="1" t="s">
        <v>212</v>
      </c>
      <c r="C52" s="1" t="s">
        <v>93</v>
      </c>
      <c r="D52" s="1" t="s">
        <v>399</v>
      </c>
      <c r="E52" s="1" t="n">
        <v>3</v>
      </c>
      <c r="F52" s="1" t="s">
        <v>411</v>
      </c>
      <c r="G52" s="1" t="s">
        <v>236</v>
      </c>
      <c r="H52" s="1" t="s">
        <v>412</v>
      </c>
      <c r="I52" s="1" t="s">
        <v>218</v>
      </c>
      <c r="J52" s="1" t="s">
        <v>310</v>
      </c>
      <c r="K52" s="1" t="n">
        <v>43.99</v>
      </c>
      <c r="L52" s="1" t="n">
        <v>4.3</v>
      </c>
      <c r="M52" s="1" t="n">
        <v>4600</v>
      </c>
      <c r="N52" s="4" t="b">
        <f aca="false">FALSE()</f>
        <v>0</v>
      </c>
      <c r="O52" s="1" t="s">
        <v>413</v>
      </c>
      <c r="P52" s="4" t="b">
        <f aca="false">TRUE()</f>
        <v>1</v>
      </c>
      <c r="Q52" s="1" t="s">
        <v>233</v>
      </c>
      <c r="R52" s="1" t="s">
        <v>404</v>
      </c>
      <c r="S52" s="1" t="s">
        <v>414</v>
      </c>
      <c r="T52" s="1" t="s">
        <v>222</v>
      </c>
      <c r="U52" s="1" t="s">
        <v>223</v>
      </c>
    </row>
    <row r="53" customFormat="false" ht="48" hidden="false" customHeight="true" outlineLevel="0" collapsed="false">
      <c r="A53" s="1" t="s">
        <v>43</v>
      </c>
      <c r="B53" s="1" t="s">
        <v>212</v>
      </c>
      <c r="C53" s="1" t="s">
        <v>93</v>
      </c>
      <c r="D53" s="1" t="s">
        <v>399</v>
      </c>
      <c r="E53" s="1" t="n">
        <v>4</v>
      </c>
      <c r="F53" s="1" t="s">
        <v>415</v>
      </c>
      <c r="G53" s="1" t="s">
        <v>236</v>
      </c>
      <c r="H53" s="1" t="s">
        <v>416</v>
      </c>
      <c r="I53" s="1" t="s">
        <v>218</v>
      </c>
      <c r="J53" s="1" t="s">
        <v>310</v>
      </c>
      <c r="K53" s="1" t="n">
        <v>52.19</v>
      </c>
      <c r="L53" s="1" t="n">
        <v>4.2</v>
      </c>
      <c r="M53" s="1" t="n">
        <v>1800</v>
      </c>
      <c r="N53" s="4" t="b">
        <f aca="false">FALSE()</f>
        <v>0</v>
      </c>
      <c r="O53" s="1" t="s">
        <v>417</v>
      </c>
      <c r="P53" s="4" t="b">
        <f aca="false">TRUE()</f>
        <v>1</v>
      </c>
      <c r="Q53" s="1" t="s">
        <v>418</v>
      </c>
      <c r="R53" s="1" t="s">
        <v>404</v>
      </c>
      <c r="S53" s="1" t="s">
        <v>419</v>
      </c>
      <c r="T53" s="1" t="s">
        <v>222</v>
      </c>
      <c r="U53" s="1" t="s">
        <v>223</v>
      </c>
    </row>
    <row r="54" customFormat="false" ht="48" hidden="false" customHeight="true" outlineLevel="0" collapsed="false">
      <c r="A54" s="1" t="s">
        <v>43</v>
      </c>
      <c r="B54" s="1" t="s">
        <v>212</v>
      </c>
      <c r="C54" s="1" t="s">
        <v>93</v>
      </c>
      <c r="D54" s="1" t="s">
        <v>399</v>
      </c>
      <c r="E54" s="1" t="n">
        <v>5</v>
      </c>
      <c r="F54" s="1" t="s">
        <v>420</v>
      </c>
      <c r="G54" s="1" t="s">
        <v>229</v>
      </c>
      <c r="H54" s="1" t="s">
        <v>421</v>
      </c>
      <c r="I54" s="1" t="s">
        <v>218</v>
      </c>
      <c r="J54" s="1" t="s">
        <v>310</v>
      </c>
      <c r="K54" s="1" t="n">
        <v>43.99</v>
      </c>
      <c r="L54" s="1" t="n">
        <v>4.3</v>
      </c>
      <c r="M54" s="1" t="n">
        <v>11600</v>
      </c>
      <c r="N54" s="4" t="b">
        <f aca="false">FALSE()</f>
        <v>0</v>
      </c>
      <c r="O54" s="1" t="s">
        <v>422</v>
      </c>
      <c r="P54" s="4" t="b">
        <f aca="false">TRUE()</f>
        <v>1</v>
      </c>
      <c r="Q54" s="1" t="s">
        <v>423</v>
      </c>
      <c r="R54" s="1" t="s">
        <v>404</v>
      </c>
      <c r="S54" s="1" t="s">
        <v>424</v>
      </c>
      <c r="T54" s="1" t="s">
        <v>222</v>
      </c>
      <c r="U54" s="1" t="s">
        <v>223</v>
      </c>
    </row>
    <row r="55" customFormat="false" ht="48" hidden="false" customHeight="true" outlineLevel="0" collapsed="false">
      <c r="A55" s="1" t="s">
        <v>43</v>
      </c>
      <c r="B55" s="1" t="s">
        <v>212</v>
      </c>
      <c r="C55" s="1" t="s">
        <v>93</v>
      </c>
      <c r="D55" s="1" t="s">
        <v>399</v>
      </c>
      <c r="E55" s="1" t="n">
        <v>6</v>
      </c>
      <c r="F55" s="1" t="s">
        <v>425</v>
      </c>
      <c r="G55" s="1" t="s">
        <v>236</v>
      </c>
      <c r="H55" s="1" t="s">
        <v>426</v>
      </c>
      <c r="I55" s="1" t="s">
        <v>218</v>
      </c>
      <c r="J55" s="1" t="s">
        <v>310</v>
      </c>
      <c r="K55" s="1" t="n">
        <v>48.59</v>
      </c>
      <c r="L55" s="1" t="n">
        <v>4.4</v>
      </c>
      <c r="M55" s="1" t="n">
        <v>214</v>
      </c>
      <c r="N55" s="4" t="b">
        <f aca="false">FALSE()</f>
        <v>0</v>
      </c>
      <c r="O55" s="1" t="s">
        <v>427</v>
      </c>
      <c r="P55" s="4" t="b">
        <f aca="false">TRUE()</f>
        <v>1</v>
      </c>
      <c r="Q55" s="1" t="s">
        <v>233</v>
      </c>
      <c r="R55" s="1" t="s">
        <v>404</v>
      </c>
      <c r="S55" s="1" t="s">
        <v>428</v>
      </c>
      <c r="T55" s="1" t="s">
        <v>222</v>
      </c>
      <c r="U55" s="1" t="s">
        <v>223</v>
      </c>
    </row>
    <row r="56" customFormat="false" ht="48" hidden="false" customHeight="true" outlineLevel="0" collapsed="false">
      <c r="A56" s="1" t="s">
        <v>43</v>
      </c>
      <c r="B56" s="1" t="s">
        <v>212</v>
      </c>
      <c r="C56" s="1" t="s">
        <v>93</v>
      </c>
      <c r="D56" s="1" t="s">
        <v>399</v>
      </c>
      <c r="E56" s="1" t="n">
        <v>7</v>
      </c>
      <c r="F56" s="1" t="s">
        <v>429</v>
      </c>
      <c r="G56" s="1" t="s">
        <v>236</v>
      </c>
      <c r="H56" s="1" t="s">
        <v>430</v>
      </c>
      <c r="I56" s="1" t="s">
        <v>242</v>
      </c>
      <c r="J56" s="1" t="s">
        <v>310</v>
      </c>
      <c r="K56" s="1" t="n">
        <v>59.99</v>
      </c>
      <c r="L56" s="1" t="n">
        <v>4.5</v>
      </c>
      <c r="M56" s="1" t="n">
        <v>3400</v>
      </c>
      <c r="N56" s="4" t="b">
        <f aca="false">FALSE()</f>
        <v>0</v>
      </c>
      <c r="P56" s="4" t="b">
        <f aca="false">TRUE()</f>
        <v>1</v>
      </c>
      <c r="Q56" s="1" t="s">
        <v>233</v>
      </c>
      <c r="R56" s="1" t="s">
        <v>404</v>
      </c>
      <c r="S56" s="1" t="s">
        <v>431</v>
      </c>
      <c r="T56" s="1" t="s">
        <v>222</v>
      </c>
      <c r="U56" s="1" t="s">
        <v>223</v>
      </c>
    </row>
    <row r="57" customFormat="false" ht="48" hidden="false" customHeight="true" outlineLevel="0" collapsed="false">
      <c r="A57" s="1" t="s">
        <v>43</v>
      </c>
      <c r="B57" s="1" t="s">
        <v>212</v>
      </c>
      <c r="C57" s="1" t="s">
        <v>93</v>
      </c>
      <c r="D57" s="1" t="s">
        <v>399</v>
      </c>
      <c r="E57" s="1" t="n">
        <v>8</v>
      </c>
      <c r="F57" s="1" t="s">
        <v>432</v>
      </c>
      <c r="G57" s="1" t="s">
        <v>236</v>
      </c>
      <c r="H57" s="1" t="s">
        <v>433</v>
      </c>
      <c r="I57" s="1" t="s">
        <v>218</v>
      </c>
      <c r="J57" s="1" t="s">
        <v>310</v>
      </c>
      <c r="K57" s="1" t="n">
        <v>49.99</v>
      </c>
      <c r="L57" s="1" t="n">
        <v>4.4</v>
      </c>
      <c r="M57" s="1" t="n">
        <v>456</v>
      </c>
      <c r="N57" s="4" t="b">
        <f aca="false">FALSE()</f>
        <v>0</v>
      </c>
      <c r="O57" s="1" t="s">
        <v>434</v>
      </c>
      <c r="P57" s="4" t="b">
        <f aca="false">TRUE()</f>
        <v>1</v>
      </c>
      <c r="Q57" s="1" t="s">
        <v>435</v>
      </c>
      <c r="R57" s="1" t="s">
        <v>404</v>
      </c>
      <c r="S57" s="1" t="s">
        <v>436</v>
      </c>
      <c r="T57" s="1" t="s">
        <v>222</v>
      </c>
      <c r="U57" s="1" t="s">
        <v>223</v>
      </c>
    </row>
    <row r="58" customFormat="false" ht="48" hidden="false" customHeight="true" outlineLevel="0" collapsed="false">
      <c r="A58" s="1" t="s">
        <v>43</v>
      </c>
      <c r="B58" s="1" t="s">
        <v>212</v>
      </c>
      <c r="C58" s="1" t="s">
        <v>93</v>
      </c>
      <c r="D58" s="1" t="s">
        <v>399</v>
      </c>
      <c r="E58" s="1" t="n">
        <v>9</v>
      </c>
      <c r="F58" s="1" t="s">
        <v>437</v>
      </c>
      <c r="G58" s="1" t="s">
        <v>236</v>
      </c>
      <c r="H58" s="1" t="s">
        <v>438</v>
      </c>
      <c r="I58" s="1" t="s">
        <v>218</v>
      </c>
      <c r="J58" s="1" t="s">
        <v>310</v>
      </c>
      <c r="K58" s="1" t="n">
        <v>59.99</v>
      </c>
      <c r="L58" s="1" t="n">
        <v>4.3</v>
      </c>
      <c r="M58" s="1" t="n">
        <v>11900</v>
      </c>
      <c r="N58" s="4" t="b">
        <f aca="false">FALSE()</f>
        <v>0</v>
      </c>
      <c r="P58" s="4" t="b">
        <f aca="false">TRUE()</f>
        <v>1</v>
      </c>
      <c r="Q58" s="1" t="s">
        <v>439</v>
      </c>
      <c r="R58" s="1" t="s">
        <v>404</v>
      </c>
      <c r="S58" s="1" t="s">
        <v>440</v>
      </c>
      <c r="T58" s="1" t="s">
        <v>222</v>
      </c>
      <c r="U58" s="1" t="s">
        <v>223</v>
      </c>
    </row>
    <row r="59" customFormat="false" ht="48" hidden="false" customHeight="true" outlineLevel="0" collapsed="false">
      <c r="A59" s="1" t="s">
        <v>43</v>
      </c>
      <c r="B59" s="1" t="s">
        <v>212</v>
      </c>
      <c r="C59" s="1" t="s">
        <v>93</v>
      </c>
      <c r="D59" s="1" t="s">
        <v>399</v>
      </c>
      <c r="E59" s="1" t="n">
        <v>10</v>
      </c>
      <c r="F59" s="1" t="s">
        <v>441</v>
      </c>
      <c r="G59" s="1" t="s">
        <v>236</v>
      </c>
      <c r="H59" s="1" t="s">
        <v>442</v>
      </c>
      <c r="I59" s="1" t="s">
        <v>218</v>
      </c>
      <c r="J59" s="1" t="s">
        <v>310</v>
      </c>
      <c r="K59" s="1" t="n">
        <v>59.99</v>
      </c>
      <c r="L59" s="1" t="n">
        <v>4.6</v>
      </c>
      <c r="M59" s="1" t="n">
        <v>797</v>
      </c>
      <c r="N59" s="4" t="b">
        <f aca="false">FALSE()</f>
        <v>0</v>
      </c>
      <c r="P59" s="4" t="b">
        <f aca="false">TRUE()</f>
        <v>1</v>
      </c>
      <c r="Q59" s="1" t="s">
        <v>418</v>
      </c>
      <c r="R59" s="1" t="s">
        <v>404</v>
      </c>
      <c r="S59" s="1" t="s">
        <v>443</v>
      </c>
      <c r="T59" s="1" t="s">
        <v>222</v>
      </c>
      <c r="U59" s="1" t="s">
        <v>223</v>
      </c>
    </row>
    <row r="60" customFormat="false" ht="48" hidden="false" customHeight="true" outlineLevel="0" collapsed="false">
      <c r="A60" s="1" t="s">
        <v>43</v>
      </c>
      <c r="B60" s="1" t="s">
        <v>212</v>
      </c>
      <c r="C60" s="1" t="s">
        <v>93</v>
      </c>
      <c r="D60" s="1" t="s">
        <v>399</v>
      </c>
      <c r="E60" s="1" t="n">
        <v>11</v>
      </c>
      <c r="F60" s="1" t="s">
        <v>444</v>
      </c>
      <c r="G60" s="1" t="s">
        <v>445</v>
      </c>
      <c r="H60" s="1" t="s">
        <v>446</v>
      </c>
      <c r="I60" s="1" t="s">
        <v>242</v>
      </c>
      <c r="J60" s="1" t="s">
        <v>310</v>
      </c>
      <c r="K60" s="1" t="n">
        <v>44.99</v>
      </c>
      <c r="L60" s="1" t="n">
        <v>4.3</v>
      </c>
      <c r="M60" s="1" t="n">
        <v>773</v>
      </c>
      <c r="N60" s="4" t="b">
        <f aca="false">FALSE()</f>
        <v>0</v>
      </c>
      <c r="P60" s="4" t="b">
        <f aca="false">TRUE()</f>
        <v>1</v>
      </c>
      <c r="Q60" s="1" t="s">
        <v>251</v>
      </c>
      <c r="R60" s="1" t="s">
        <v>404</v>
      </c>
      <c r="S60" s="1" t="s">
        <v>447</v>
      </c>
      <c r="T60" s="1" t="s">
        <v>222</v>
      </c>
      <c r="U60" s="1" t="s">
        <v>223</v>
      </c>
    </row>
    <row r="61" customFormat="false" ht="48" hidden="false" customHeight="true" outlineLevel="0" collapsed="false">
      <c r="A61" s="1" t="s">
        <v>43</v>
      </c>
      <c r="B61" s="1" t="s">
        <v>212</v>
      </c>
      <c r="C61" s="1" t="s">
        <v>93</v>
      </c>
      <c r="D61" s="1" t="s">
        <v>399</v>
      </c>
      <c r="E61" s="1" t="n">
        <v>12</v>
      </c>
      <c r="F61" s="1" t="s">
        <v>448</v>
      </c>
      <c r="G61" s="1" t="s">
        <v>229</v>
      </c>
      <c r="H61" s="1" t="s">
        <v>449</v>
      </c>
      <c r="I61" s="1" t="s">
        <v>231</v>
      </c>
      <c r="J61" s="1" t="s">
        <v>310</v>
      </c>
      <c r="K61" s="1" t="n">
        <v>52.99</v>
      </c>
      <c r="L61" s="1" t="n">
        <v>4.3</v>
      </c>
      <c r="M61" s="1" t="n">
        <v>11600</v>
      </c>
      <c r="N61" s="4" t="b">
        <f aca="false">FALSE()</f>
        <v>0</v>
      </c>
      <c r="O61" s="1" t="s">
        <v>450</v>
      </c>
      <c r="P61" s="4" t="b">
        <f aca="false">TRUE()</f>
        <v>1</v>
      </c>
      <c r="Q61" s="1" t="s">
        <v>451</v>
      </c>
      <c r="R61" s="1" t="s">
        <v>404</v>
      </c>
      <c r="S61" s="1" t="s">
        <v>452</v>
      </c>
      <c r="T61" s="1" t="s">
        <v>222</v>
      </c>
      <c r="U61" s="1" t="s">
        <v>223</v>
      </c>
    </row>
    <row r="62" customFormat="false" ht="48" hidden="false" customHeight="true" outlineLevel="0" collapsed="false">
      <c r="A62" s="1" t="s">
        <v>43</v>
      </c>
      <c r="B62" s="1" t="s">
        <v>212</v>
      </c>
      <c r="C62" s="1" t="s">
        <v>93</v>
      </c>
      <c r="D62" s="1" t="s">
        <v>399</v>
      </c>
      <c r="E62" s="1" t="n">
        <v>13</v>
      </c>
      <c r="F62" s="1" t="s">
        <v>453</v>
      </c>
      <c r="G62" s="1" t="s">
        <v>236</v>
      </c>
      <c r="H62" s="1" t="s">
        <v>454</v>
      </c>
      <c r="I62" s="1" t="s">
        <v>218</v>
      </c>
      <c r="J62" s="1" t="s">
        <v>310</v>
      </c>
      <c r="K62" s="1" t="n">
        <v>71.99</v>
      </c>
      <c r="L62" s="1" t="n">
        <v>4.5</v>
      </c>
      <c r="M62" s="1" t="n">
        <v>1900</v>
      </c>
      <c r="N62" s="4" t="b">
        <f aca="false">FALSE()</f>
        <v>0</v>
      </c>
      <c r="O62" s="1" t="s">
        <v>455</v>
      </c>
      <c r="P62" s="4" t="b">
        <f aca="false">TRUE()</f>
        <v>1</v>
      </c>
      <c r="Q62" s="1" t="s">
        <v>233</v>
      </c>
      <c r="R62" s="1" t="s">
        <v>404</v>
      </c>
      <c r="S62" s="1" t="s">
        <v>456</v>
      </c>
      <c r="T62" s="1" t="s">
        <v>222</v>
      </c>
      <c r="U62" s="1" t="s">
        <v>223</v>
      </c>
    </row>
    <row r="63" customFormat="false" ht="48" hidden="false" customHeight="true" outlineLevel="0" collapsed="false">
      <c r="A63" s="1" t="s">
        <v>43</v>
      </c>
      <c r="B63" s="1" t="s">
        <v>212</v>
      </c>
      <c r="C63" s="1" t="s">
        <v>93</v>
      </c>
      <c r="D63" s="1" t="s">
        <v>399</v>
      </c>
      <c r="E63" s="1" t="n">
        <v>14</v>
      </c>
      <c r="F63" s="1" t="s">
        <v>457</v>
      </c>
      <c r="G63" s="1" t="s">
        <v>236</v>
      </c>
      <c r="H63" s="1" t="s">
        <v>458</v>
      </c>
      <c r="I63" s="1" t="s">
        <v>218</v>
      </c>
      <c r="J63" s="1" t="s">
        <v>310</v>
      </c>
      <c r="K63" s="1" t="n">
        <v>59.99</v>
      </c>
      <c r="L63" s="1" t="n">
        <v>4.3</v>
      </c>
      <c r="M63" s="1" t="n">
        <v>1100</v>
      </c>
      <c r="N63" s="4" t="b">
        <f aca="false">FALSE()</f>
        <v>0</v>
      </c>
      <c r="P63" s="4" t="b">
        <f aca="false">TRUE()</f>
        <v>1</v>
      </c>
      <c r="Q63" s="1" t="s">
        <v>423</v>
      </c>
      <c r="R63" s="1" t="s">
        <v>404</v>
      </c>
      <c r="S63" s="1" t="s">
        <v>459</v>
      </c>
      <c r="T63" s="1" t="s">
        <v>222</v>
      </c>
      <c r="U63" s="1" t="s">
        <v>223</v>
      </c>
    </row>
    <row r="64" customFormat="false" ht="48" hidden="false" customHeight="true" outlineLevel="0" collapsed="false">
      <c r="A64" s="1" t="s">
        <v>43</v>
      </c>
      <c r="B64" s="1" t="s">
        <v>212</v>
      </c>
      <c r="C64" s="1" t="s">
        <v>93</v>
      </c>
      <c r="D64" s="1" t="s">
        <v>399</v>
      </c>
      <c r="E64" s="1" t="n">
        <v>15</v>
      </c>
      <c r="F64" s="1" t="s">
        <v>460</v>
      </c>
      <c r="G64" s="1" t="s">
        <v>236</v>
      </c>
      <c r="H64" s="1" t="s">
        <v>461</v>
      </c>
      <c r="I64" s="1" t="s">
        <v>218</v>
      </c>
      <c r="J64" s="1" t="s">
        <v>310</v>
      </c>
      <c r="K64" s="1" t="n">
        <v>54.99</v>
      </c>
      <c r="L64" s="1" t="n">
        <v>4.4</v>
      </c>
      <c r="M64" s="1" t="n">
        <v>164</v>
      </c>
      <c r="N64" s="4" t="b">
        <f aca="false">FALSE()</f>
        <v>0</v>
      </c>
      <c r="P64" s="4" t="b">
        <f aca="false">TRUE()</f>
        <v>1</v>
      </c>
      <c r="Q64" s="1" t="s">
        <v>233</v>
      </c>
      <c r="R64" s="1" t="s">
        <v>404</v>
      </c>
      <c r="S64" s="1" t="s">
        <v>462</v>
      </c>
      <c r="T64" s="1" t="s">
        <v>222</v>
      </c>
      <c r="U64" s="1" t="s">
        <v>223</v>
      </c>
    </row>
    <row r="65" customFormat="false" ht="48" hidden="false" customHeight="true" outlineLevel="0" collapsed="false">
      <c r="A65" s="1" t="s">
        <v>43</v>
      </c>
      <c r="B65" s="1" t="s">
        <v>212</v>
      </c>
      <c r="C65" s="1" t="s">
        <v>93</v>
      </c>
      <c r="D65" s="1" t="s">
        <v>399</v>
      </c>
      <c r="E65" s="1" t="n">
        <v>16</v>
      </c>
      <c r="F65" s="1" t="s">
        <v>463</v>
      </c>
      <c r="G65" s="1" t="s">
        <v>236</v>
      </c>
      <c r="H65" s="1" t="s">
        <v>464</v>
      </c>
      <c r="I65" s="1" t="s">
        <v>218</v>
      </c>
      <c r="J65" s="1" t="s">
        <v>310</v>
      </c>
      <c r="K65" s="1" t="n">
        <v>59.99</v>
      </c>
      <c r="L65" s="1" t="n">
        <v>4.4</v>
      </c>
      <c r="M65" s="1" t="n">
        <v>388</v>
      </c>
      <c r="N65" s="4" t="b">
        <f aca="false">FALSE()</f>
        <v>0</v>
      </c>
      <c r="P65" s="4" t="b">
        <f aca="false">TRUE()</f>
        <v>1</v>
      </c>
      <c r="Q65" s="1" t="s">
        <v>435</v>
      </c>
      <c r="R65" s="1" t="s">
        <v>404</v>
      </c>
      <c r="S65" s="1" t="s">
        <v>465</v>
      </c>
      <c r="T65" s="1" t="s">
        <v>222</v>
      </c>
      <c r="U65" s="1" t="s">
        <v>223</v>
      </c>
    </row>
    <row r="66" customFormat="false" ht="48" hidden="false" customHeight="true" outlineLevel="0" collapsed="false">
      <c r="A66" s="1" t="s">
        <v>43</v>
      </c>
      <c r="B66" s="1" t="s">
        <v>212</v>
      </c>
      <c r="C66" s="1" t="s">
        <v>93</v>
      </c>
      <c r="D66" s="1" t="s">
        <v>399</v>
      </c>
      <c r="E66" s="1" t="n">
        <v>17</v>
      </c>
      <c r="F66" s="1" t="s">
        <v>466</v>
      </c>
      <c r="G66" s="1" t="s">
        <v>236</v>
      </c>
      <c r="H66" s="1" t="s">
        <v>467</v>
      </c>
      <c r="I66" s="1" t="s">
        <v>218</v>
      </c>
      <c r="J66" s="1" t="s">
        <v>310</v>
      </c>
      <c r="K66" s="1" t="n">
        <v>47.49</v>
      </c>
      <c r="L66" s="1" t="n">
        <v>4.4</v>
      </c>
      <c r="M66" s="1" t="n">
        <v>3500</v>
      </c>
      <c r="N66" s="4" t="b">
        <f aca="false">FALSE()</f>
        <v>0</v>
      </c>
      <c r="O66" s="1" t="s">
        <v>468</v>
      </c>
      <c r="P66" s="4" t="b">
        <f aca="false">TRUE()</f>
        <v>1</v>
      </c>
      <c r="Q66" s="1" t="s">
        <v>233</v>
      </c>
      <c r="R66" s="1" t="s">
        <v>404</v>
      </c>
      <c r="S66" s="1" t="s">
        <v>469</v>
      </c>
      <c r="T66" s="1" t="s">
        <v>222</v>
      </c>
      <c r="U66" s="1" t="s">
        <v>223</v>
      </c>
    </row>
    <row r="67" customFormat="false" ht="48" hidden="false" customHeight="true" outlineLevel="0" collapsed="false">
      <c r="A67" s="1" t="s">
        <v>43</v>
      </c>
      <c r="B67" s="1" t="s">
        <v>212</v>
      </c>
      <c r="C67" s="1" t="s">
        <v>93</v>
      </c>
      <c r="D67" s="1" t="s">
        <v>399</v>
      </c>
      <c r="E67" s="1" t="n">
        <v>18</v>
      </c>
      <c r="F67" s="1" t="s">
        <v>470</v>
      </c>
      <c r="G67" s="1" t="s">
        <v>471</v>
      </c>
      <c r="H67" s="1" t="s">
        <v>472</v>
      </c>
      <c r="I67" s="1" t="s">
        <v>218</v>
      </c>
      <c r="J67" s="1" t="s">
        <v>310</v>
      </c>
      <c r="K67" s="1" t="n">
        <v>58.39</v>
      </c>
      <c r="L67" s="1" t="n">
        <v>4.3</v>
      </c>
      <c r="M67" s="1" t="n">
        <v>313</v>
      </c>
      <c r="N67" s="4" t="b">
        <f aca="false">FALSE()</f>
        <v>0</v>
      </c>
      <c r="O67" s="1" t="s">
        <v>473</v>
      </c>
      <c r="P67" s="4" t="b">
        <f aca="false">TRUE()</f>
        <v>1</v>
      </c>
      <c r="Q67" s="1" t="s">
        <v>251</v>
      </c>
      <c r="R67" s="1" t="s">
        <v>404</v>
      </c>
      <c r="S67" s="1" t="s">
        <v>474</v>
      </c>
      <c r="T67" s="1" t="s">
        <v>222</v>
      </c>
      <c r="U67" s="1" t="s">
        <v>223</v>
      </c>
    </row>
    <row r="68" customFormat="false" ht="48" hidden="false" customHeight="true" outlineLevel="0" collapsed="false">
      <c r="A68" s="1" t="s">
        <v>43</v>
      </c>
      <c r="B68" s="1" t="s">
        <v>212</v>
      </c>
      <c r="C68" s="1" t="s">
        <v>93</v>
      </c>
      <c r="D68" s="1" t="s">
        <v>399</v>
      </c>
      <c r="E68" s="1" t="n">
        <v>19</v>
      </c>
      <c r="F68" s="1" t="s">
        <v>475</v>
      </c>
      <c r="G68" s="1" t="s">
        <v>236</v>
      </c>
      <c r="H68" s="1" t="s">
        <v>476</v>
      </c>
      <c r="I68" s="1" t="s">
        <v>218</v>
      </c>
      <c r="J68" s="1" t="s">
        <v>310</v>
      </c>
      <c r="K68" s="1" t="n">
        <v>62.99</v>
      </c>
      <c r="L68" s="1" t="n">
        <v>4.6</v>
      </c>
      <c r="M68" s="1" t="n">
        <v>563</v>
      </c>
      <c r="N68" s="4" t="b">
        <f aca="false">FALSE()</f>
        <v>0</v>
      </c>
      <c r="O68" s="1" t="s">
        <v>477</v>
      </c>
      <c r="P68" s="4" t="b">
        <f aca="false">TRUE()</f>
        <v>1</v>
      </c>
      <c r="Q68" s="1" t="s">
        <v>233</v>
      </c>
      <c r="R68" s="1" t="s">
        <v>404</v>
      </c>
      <c r="S68" s="1" t="s">
        <v>478</v>
      </c>
      <c r="T68" s="1" t="s">
        <v>222</v>
      </c>
      <c r="U68" s="1" t="s">
        <v>223</v>
      </c>
    </row>
    <row r="69" customFormat="false" ht="48" hidden="false" customHeight="true" outlineLevel="0" collapsed="false">
      <c r="A69" s="1" t="s">
        <v>43</v>
      </c>
      <c r="B69" s="1" t="s">
        <v>212</v>
      </c>
      <c r="C69" s="1" t="s">
        <v>93</v>
      </c>
      <c r="D69" s="1" t="s">
        <v>399</v>
      </c>
      <c r="E69" s="1" t="n">
        <v>20</v>
      </c>
      <c r="F69" s="1" t="s">
        <v>479</v>
      </c>
      <c r="G69" s="1" t="s">
        <v>236</v>
      </c>
      <c r="H69" s="1" t="s">
        <v>480</v>
      </c>
      <c r="I69" s="1" t="s">
        <v>218</v>
      </c>
      <c r="J69" s="1" t="s">
        <v>310</v>
      </c>
      <c r="K69" s="1" t="n">
        <v>55.99</v>
      </c>
      <c r="L69" s="1" t="n">
        <v>4.5</v>
      </c>
      <c r="M69" s="1" t="n">
        <v>1500</v>
      </c>
      <c r="N69" s="4" t="b">
        <f aca="false">FALSE()</f>
        <v>0</v>
      </c>
      <c r="O69" s="1" t="s">
        <v>481</v>
      </c>
      <c r="P69" s="4" t="b">
        <f aca="false">TRUE()</f>
        <v>1</v>
      </c>
      <c r="Q69" s="1" t="s">
        <v>435</v>
      </c>
      <c r="R69" s="1" t="s">
        <v>404</v>
      </c>
      <c r="S69" s="1" t="s">
        <v>482</v>
      </c>
      <c r="T69" s="1" t="s">
        <v>222</v>
      </c>
      <c r="U69" s="1" t="s">
        <v>223</v>
      </c>
    </row>
    <row r="70" customFormat="false" ht="48" hidden="false" customHeight="true" outlineLevel="0" collapsed="false">
      <c r="A70" s="1" t="s">
        <v>43</v>
      </c>
      <c r="B70" s="1" t="s">
        <v>212</v>
      </c>
      <c r="C70" s="1" t="s">
        <v>93</v>
      </c>
      <c r="D70" s="1" t="s">
        <v>399</v>
      </c>
      <c r="E70" s="1" t="n">
        <v>21</v>
      </c>
      <c r="F70" s="1" t="s">
        <v>483</v>
      </c>
      <c r="G70" s="1" t="s">
        <v>229</v>
      </c>
      <c r="H70" s="1" t="s">
        <v>484</v>
      </c>
      <c r="I70" s="1" t="s">
        <v>231</v>
      </c>
      <c r="J70" s="1" t="s">
        <v>310</v>
      </c>
      <c r="K70" s="1" t="n">
        <v>76.99</v>
      </c>
      <c r="L70" s="1" t="n">
        <v>4.4</v>
      </c>
      <c r="M70" s="1" t="n">
        <v>3800</v>
      </c>
      <c r="N70" s="4" t="b">
        <f aca="false">FALSE()</f>
        <v>0</v>
      </c>
      <c r="O70" s="1" t="s">
        <v>485</v>
      </c>
      <c r="P70" s="4" t="b">
        <f aca="false">TRUE()</f>
        <v>1</v>
      </c>
      <c r="R70" s="1" t="s">
        <v>404</v>
      </c>
      <c r="S70" s="1" t="s">
        <v>486</v>
      </c>
      <c r="T70" s="1" t="s">
        <v>222</v>
      </c>
      <c r="U70" s="1" t="s">
        <v>223</v>
      </c>
    </row>
    <row r="71" customFormat="false" ht="48" hidden="false" customHeight="true" outlineLevel="0" collapsed="false">
      <c r="A71" s="1" t="s">
        <v>43</v>
      </c>
      <c r="B71" s="1" t="s">
        <v>212</v>
      </c>
      <c r="C71" s="1" t="s">
        <v>93</v>
      </c>
      <c r="D71" s="1" t="s">
        <v>399</v>
      </c>
      <c r="E71" s="1" t="n">
        <v>22</v>
      </c>
      <c r="F71" s="1" t="s">
        <v>487</v>
      </c>
      <c r="G71" s="1" t="s">
        <v>236</v>
      </c>
      <c r="H71" s="1" t="s">
        <v>488</v>
      </c>
      <c r="I71" s="1" t="s">
        <v>218</v>
      </c>
      <c r="J71" s="1" t="s">
        <v>310</v>
      </c>
      <c r="K71" s="1" t="n">
        <v>63.99</v>
      </c>
      <c r="L71" s="1" t="n">
        <v>4.5</v>
      </c>
      <c r="M71" s="1" t="n">
        <v>3700</v>
      </c>
      <c r="N71" s="4" t="b">
        <f aca="false">FALSE()</f>
        <v>0</v>
      </c>
      <c r="P71" s="4" t="b">
        <f aca="false">TRUE()</f>
        <v>1</v>
      </c>
      <c r="Q71" s="1" t="s">
        <v>251</v>
      </c>
      <c r="R71" s="1" t="s">
        <v>404</v>
      </c>
      <c r="S71" s="1" t="s">
        <v>489</v>
      </c>
      <c r="T71" s="1" t="s">
        <v>222</v>
      </c>
      <c r="U71" s="1" t="s">
        <v>223</v>
      </c>
    </row>
    <row r="72" customFormat="false" ht="48" hidden="false" customHeight="true" outlineLevel="0" collapsed="false">
      <c r="A72" s="1" t="s">
        <v>43</v>
      </c>
      <c r="B72" s="1" t="s">
        <v>212</v>
      </c>
      <c r="C72" s="1" t="s">
        <v>93</v>
      </c>
      <c r="D72" s="1" t="s">
        <v>399</v>
      </c>
      <c r="E72" s="1" t="n">
        <v>23</v>
      </c>
      <c r="F72" s="1" t="s">
        <v>490</v>
      </c>
      <c r="G72" s="1" t="s">
        <v>236</v>
      </c>
      <c r="H72" s="1" t="s">
        <v>491</v>
      </c>
      <c r="I72" s="1" t="s">
        <v>218</v>
      </c>
      <c r="J72" s="1" t="s">
        <v>371</v>
      </c>
      <c r="K72" s="1" t="n">
        <v>69.01</v>
      </c>
      <c r="L72" s="1" t="n">
        <v>4.4</v>
      </c>
      <c r="M72" s="1" t="n">
        <v>1700</v>
      </c>
      <c r="N72" s="4" t="b">
        <f aca="false">FALSE()</f>
        <v>0</v>
      </c>
      <c r="O72" s="1" t="s">
        <v>492</v>
      </c>
      <c r="P72" s="4" t="b">
        <f aca="false">TRUE()</f>
        <v>1</v>
      </c>
      <c r="R72" s="1" t="s">
        <v>404</v>
      </c>
      <c r="S72" s="1" t="s">
        <v>493</v>
      </c>
      <c r="T72" s="1" t="s">
        <v>222</v>
      </c>
      <c r="U72" s="1" t="s">
        <v>223</v>
      </c>
    </row>
    <row r="73" customFormat="false" ht="48" hidden="false" customHeight="true" outlineLevel="0" collapsed="false">
      <c r="A73" s="1" t="s">
        <v>43</v>
      </c>
      <c r="B73" s="1" t="s">
        <v>212</v>
      </c>
      <c r="C73" s="1" t="s">
        <v>93</v>
      </c>
      <c r="D73" s="1" t="s">
        <v>399</v>
      </c>
      <c r="E73" s="1" t="n">
        <v>24</v>
      </c>
      <c r="F73" s="1" t="s">
        <v>494</v>
      </c>
      <c r="G73" s="1" t="s">
        <v>236</v>
      </c>
      <c r="H73" s="1" t="s">
        <v>495</v>
      </c>
      <c r="I73" s="1" t="s">
        <v>218</v>
      </c>
      <c r="J73" s="1" t="s">
        <v>310</v>
      </c>
      <c r="K73" s="1" t="n">
        <v>52.99</v>
      </c>
      <c r="L73" s="1" t="n">
        <v>4.4</v>
      </c>
      <c r="M73" s="1" t="n">
        <v>224</v>
      </c>
      <c r="N73" s="4" t="b">
        <f aca="false">FALSE()</f>
        <v>0</v>
      </c>
      <c r="P73" s="4" t="b">
        <f aca="false">TRUE()</f>
        <v>1</v>
      </c>
      <c r="Q73" s="1" t="s">
        <v>233</v>
      </c>
      <c r="R73" s="1" t="s">
        <v>404</v>
      </c>
      <c r="S73" s="1" t="s">
        <v>496</v>
      </c>
      <c r="T73" s="1" t="s">
        <v>222</v>
      </c>
      <c r="U73" s="1" t="s">
        <v>223</v>
      </c>
    </row>
    <row r="74" customFormat="false" ht="48" hidden="false" customHeight="true" outlineLevel="0" collapsed="false">
      <c r="A74" s="1" t="s">
        <v>43</v>
      </c>
      <c r="B74" s="1" t="s">
        <v>212</v>
      </c>
      <c r="C74" s="1" t="s">
        <v>93</v>
      </c>
      <c r="D74" s="1" t="s">
        <v>399</v>
      </c>
      <c r="E74" s="1" t="n">
        <v>25</v>
      </c>
      <c r="F74" s="1" t="s">
        <v>497</v>
      </c>
      <c r="G74" s="1" t="s">
        <v>236</v>
      </c>
      <c r="H74" s="1" t="s">
        <v>498</v>
      </c>
      <c r="I74" s="1" t="s">
        <v>218</v>
      </c>
      <c r="J74" s="1" t="s">
        <v>310</v>
      </c>
      <c r="K74" s="1" t="n">
        <v>49.99</v>
      </c>
      <c r="L74" s="1" t="n">
        <v>4.2</v>
      </c>
      <c r="M74" s="1" t="n">
        <v>200</v>
      </c>
      <c r="N74" s="4" t="b">
        <f aca="false">FALSE()</f>
        <v>0</v>
      </c>
      <c r="P74" s="4" t="b">
        <f aca="false">TRUE()</f>
        <v>1</v>
      </c>
      <c r="Q74" s="1" t="s">
        <v>435</v>
      </c>
      <c r="R74" s="1" t="s">
        <v>404</v>
      </c>
      <c r="S74" s="1" t="s">
        <v>499</v>
      </c>
      <c r="T74" s="1" t="s">
        <v>222</v>
      </c>
      <c r="U74" s="1" t="s">
        <v>223</v>
      </c>
    </row>
    <row r="75" customFormat="false" ht="48" hidden="false" customHeight="true" outlineLevel="0" collapsed="false">
      <c r="A75" s="1" t="s">
        <v>43</v>
      </c>
      <c r="B75" s="1" t="s">
        <v>212</v>
      </c>
      <c r="C75" s="1" t="s">
        <v>93</v>
      </c>
      <c r="D75" s="1" t="s">
        <v>399</v>
      </c>
      <c r="E75" s="1" t="n">
        <v>26</v>
      </c>
      <c r="F75" s="1" t="s">
        <v>500</v>
      </c>
      <c r="G75" s="1" t="s">
        <v>236</v>
      </c>
      <c r="H75" s="1" t="s">
        <v>501</v>
      </c>
      <c r="I75" s="1" t="s">
        <v>218</v>
      </c>
      <c r="J75" s="1" t="s">
        <v>310</v>
      </c>
      <c r="K75" s="1" t="n">
        <v>39.99</v>
      </c>
      <c r="L75" s="1" t="n">
        <v>4.2</v>
      </c>
      <c r="M75" s="1" t="n">
        <v>5000</v>
      </c>
      <c r="N75" s="4" t="b">
        <f aca="false">FALSE()</f>
        <v>0</v>
      </c>
      <c r="O75" s="1" t="s">
        <v>502</v>
      </c>
      <c r="P75" s="4" t="b">
        <f aca="false">TRUE()</f>
        <v>1</v>
      </c>
      <c r="R75" s="1" t="s">
        <v>404</v>
      </c>
      <c r="S75" s="1" t="s">
        <v>503</v>
      </c>
      <c r="T75" s="1" t="s">
        <v>222</v>
      </c>
      <c r="U75" s="1" t="s">
        <v>223</v>
      </c>
    </row>
    <row r="76" customFormat="false" ht="48" hidden="false" customHeight="true" outlineLevel="0" collapsed="false">
      <c r="A76" s="1" t="s">
        <v>43</v>
      </c>
      <c r="B76" s="1" t="s">
        <v>212</v>
      </c>
      <c r="C76" s="1" t="s">
        <v>93</v>
      </c>
      <c r="D76" s="1" t="s">
        <v>399</v>
      </c>
      <c r="E76" s="1" t="n">
        <v>27</v>
      </c>
      <c r="F76" s="1" t="s">
        <v>504</v>
      </c>
      <c r="G76" s="1" t="s">
        <v>229</v>
      </c>
      <c r="H76" s="1" t="s">
        <v>505</v>
      </c>
      <c r="I76" s="1" t="s">
        <v>218</v>
      </c>
      <c r="J76" s="1" t="s">
        <v>310</v>
      </c>
      <c r="K76" s="1" t="n">
        <v>89.99</v>
      </c>
      <c r="L76" s="1" t="n">
        <v>4.4</v>
      </c>
      <c r="M76" s="1" t="n">
        <v>44</v>
      </c>
      <c r="N76" s="4" t="b">
        <f aca="false">FALSE()</f>
        <v>0</v>
      </c>
      <c r="O76" s="1" t="s">
        <v>506</v>
      </c>
      <c r="P76" s="4" t="b">
        <f aca="false">TRUE()</f>
        <v>1</v>
      </c>
      <c r="Q76" s="1" t="s">
        <v>251</v>
      </c>
      <c r="R76" s="1" t="s">
        <v>404</v>
      </c>
      <c r="S76" s="1" t="s">
        <v>507</v>
      </c>
      <c r="T76" s="1" t="s">
        <v>222</v>
      </c>
      <c r="U76" s="1" t="s">
        <v>223</v>
      </c>
    </row>
    <row r="77" customFormat="false" ht="48" hidden="false" customHeight="true" outlineLevel="0" collapsed="false">
      <c r="A77" s="1" t="s">
        <v>43</v>
      </c>
      <c r="B77" s="1" t="s">
        <v>212</v>
      </c>
      <c r="C77" s="1" t="s">
        <v>93</v>
      </c>
      <c r="D77" s="1" t="s">
        <v>399</v>
      </c>
      <c r="E77" s="1" t="n">
        <v>28</v>
      </c>
      <c r="F77" s="1" t="s">
        <v>508</v>
      </c>
      <c r="G77" s="1" t="s">
        <v>236</v>
      </c>
      <c r="H77" s="1" t="s">
        <v>509</v>
      </c>
      <c r="I77" s="1" t="s">
        <v>218</v>
      </c>
      <c r="J77" s="1" t="s">
        <v>310</v>
      </c>
      <c r="K77" s="1" t="n">
        <v>23.8</v>
      </c>
      <c r="L77" s="1" t="n">
        <v>4.1</v>
      </c>
      <c r="M77" s="1" t="n">
        <v>116</v>
      </c>
      <c r="N77" s="4" t="b">
        <f aca="false">FALSE()</f>
        <v>0</v>
      </c>
      <c r="O77" s="1" t="s">
        <v>510</v>
      </c>
      <c r="P77" s="4" t="b">
        <f aca="false">TRUE()</f>
        <v>1</v>
      </c>
      <c r="R77" s="1" t="s">
        <v>404</v>
      </c>
      <c r="S77" s="1" t="s">
        <v>511</v>
      </c>
      <c r="T77" s="1" t="s">
        <v>222</v>
      </c>
      <c r="U77" s="1" t="s">
        <v>223</v>
      </c>
    </row>
    <row r="78" customFormat="false" ht="48" hidden="false" customHeight="true" outlineLevel="0" collapsed="false">
      <c r="A78" s="1" t="s">
        <v>43</v>
      </c>
      <c r="B78" s="1" t="s">
        <v>212</v>
      </c>
      <c r="C78" s="1" t="s">
        <v>93</v>
      </c>
      <c r="D78" s="1" t="s">
        <v>399</v>
      </c>
      <c r="E78" s="1" t="n">
        <v>29</v>
      </c>
      <c r="F78" s="1" t="s">
        <v>512</v>
      </c>
      <c r="G78" s="1" t="s">
        <v>216</v>
      </c>
      <c r="H78" s="1" t="s">
        <v>513</v>
      </c>
      <c r="I78" s="1" t="s">
        <v>218</v>
      </c>
      <c r="J78" s="1" t="s">
        <v>310</v>
      </c>
      <c r="K78" s="1" t="n">
        <v>55.99</v>
      </c>
      <c r="L78" s="1" t="n">
        <v>4.6</v>
      </c>
      <c r="M78" s="1" t="n">
        <v>595</v>
      </c>
      <c r="N78" s="4" t="b">
        <f aca="false">FALSE()</f>
        <v>0</v>
      </c>
      <c r="P78" s="4" t="b">
        <f aca="false">TRUE()</f>
        <v>1</v>
      </c>
      <c r="Q78" s="1" t="s">
        <v>233</v>
      </c>
      <c r="R78" s="1" t="s">
        <v>404</v>
      </c>
      <c r="S78" s="1" t="s">
        <v>514</v>
      </c>
      <c r="T78" s="1" t="s">
        <v>222</v>
      </c>
      <c r="U78" s="1" t="s">
        <v>223</v>
      </c>
    </row>
    <row r="79" customFormat="false" ht="48" hidden="false" customHeight="true" outlineLevel="0" collapsed="false">
      <c r="A79" s="1" t="s">
        <v>43</v>
      </c>
      <c r="B79" s="1" t="s">
        <v>212</v>
      </c>
      <c r="C79" s="1" t="s">
        <v>93</v>
      </c>
      <c r="D79" s="1" t="s">
        <v>399</v>
      </c>
      <c r="E79" s="1" t="n">
        <v>30</v>
      </c>
      <c r="F79" s="1" t="s">
        <v>515</v>
      </c>
      <c r="G79" s="1" t="s">
        <v>236</v>
      </c>
      <c r="H79" s="1" t="s">
        <v>516</v>
      </c>
      <c r="I79" s="1" t="s">
        <v>218</v>
      </c>
      <c r="J79" s="1" t="s">
        <v>310</v>
      </c>
      <c r="K79" s="1" t="n">
        <v>76.99</v>
      </c>
      <c r="L79" s="1" t="n">
        <v>4.6</v>
      </c>
      <c r="M79" s="1" t="n">
        <v>872</v>
      </c>
      <c r="N79" s="4" t="b">
        <f aca="false">FALSE()</f>
        <v>0</v>
      </c>
      <c r="P79" s="4" t="b">
        <f aca="false">TRUE()</f>
        <v>1</v>
      </c>
      <c r="R79" s="1" t="s">
        <v>404</v>
      </c>
      <c r="S79" s="1" t="s">
        <v>517</v>
      </c>
      <c r="T79" s="1" t="s">
        <v>222</v>
      </c>
      <c r="U79" s="1" t="s">
        <v>223</v>
      </c>
    </row>
    <row r="80" customFormat="false" ht="48" hidden="false" customHeight="true" outlineLevel="0" collapsed="false">
      <c r="A80" s="1" t="s">
        <v>43</v>
      </c>
      <c r="B80" s="1" t="s">
        <v>212</v>
      </c>
      <c r="C80" s="1" t="s">
        <v>93</v>
      </c>
      <c r="D80" s="1" t="s">
        <v>399</v>
      </c>
      <c r="E80" s="1" t="n">
        <v>31</v>
      </c>
      <c r="F80" s="1" t="s">
        <v>518</v>
      </c>
      <c r="G80" s="1" t="s">
        <v>236</v>
      </c>
      <c r="H80" s="1" t="s">
        <v>519</v>
      </c>
      <c r="I80" s="1" t="s">
        <v>242</v>
      </c>
      <c r="J80" s="1" t="s">
        <v>310</v>
      </c>
      <c r="K80" s="1" t="n">
        <v>47.59</v>
      </c>
      <c r="L80" s="1" t="n">
        <v>4.4</v>
      </c>
      <c r="M80" s="1" t="n">
        <v>13200</v>
      </c>
      <c r="N80" s="4" t="b">
        <f aca="false">FALSE()</f>
        <v>0</v>
      </c>
      <c r="O80" s="1" t="s">
        <v>520</v>
      </c>
      <c r="P80" s="4" t="b">
        <f aca="false">TRUE()</f>
        <v>1</v>
      </c>
      <c r="Q80" s="1" t="s">
        <v>251</v>
      </c>
      <c r="R80" s="1" t="s">
        <v>404</v>
      </c>
      <c r="S80" s="1" t="s">
        <v>521</v>
      </c>
      <c r="T80" s="1" t="s">
        <v>222</v>
      </c>
      <c r="U80" s="1" t="s">
        <v>223</v>
      </c>
    </row>
    <row r="81" customFormat="false" ht="48" hidden="false" customHeight="true" outlineLevel="0" collapsed="false">
      <c r="A81" s="1" t="s">
        <v>43</v>
      </c>
      <c r="B81" s="1" t="s">
        <v>212</v>
      </c>
      <c r="C81" s="1" t="s">
        <v>93</v>
      </c>
      <c r="D81" s="1" t="s">
        <v>399</v>
      </c>
      <c r="E81" s="1" t="n">
        <v>32</v>
      </c>
      <c r="F81" s="1" t="s">
        <v>522</v>
      </c>
      <c r="G81" s="1" t="s">
        <v>445</v>
      </c>
      <c r="H81" s="1" t="s">
        <v>523</v>
      </c>
      <c r="I81" s="1" t="s">
        <v>218</v>
      </c>
      <c r="J81" s="1" t="s">
        <v>371</v>
      </c>
      <c r="K81" s="1" t="n">
        <v>53.99</v>
      </c>
      <c r="L81" s="1" t="n">
        <v>4.4</v>
      </c>
      <c r="M81" s="1" t="n">
        <v>3500</v>
      </c>
      <c r="N81" s="4" t="b">
        <f aca="false">FALSE()</f>
        <v>0</v>
      </c>
      <c r="O81" s="1" t="s">
        <v>524</v>
      </c>
      <c r="P81" s="4" t="b">
        <f aca="false">TRUE()</f>
        <v>1</v>
      </c>
      <c r="Q81" s="1" t="s">
        <v>251</v>
      </c>
      <c r="R81" s="1" t="s">
        <v>404</v>
      </c>
      <c r="S81" s="1" t="s">
        <v>525</v>
      </c>
      <c r="T81" s="1" t="s">
        <v>222</v>
      </c>
      <c r="U81" s="1" t="s">
        <v>223</v>
      </c>
    </row>
    <row r="82" customFormat="false" ht="48" hidden="false" customHeight="true" outlineLevel="0" collapsed="false">
      <c r="A82" s="1" t="s">
        <v>43</v>
      </c>
      <c r="B82" s="1" t="s">
        <v>212</v>
      </c>
      <c r="C82" s="1" t="s">
        <v>93</v>
      </c>
      <c r="D82" s="1" t="s">
        <v>399</v>
      </c>
      <c r="E82" s="1" t="n">
        <v>33</v>
      </c>
      <c r="F82" s="1" t="s">
        <v>526</v>
      </c>
      <c r="G82" s="1" t="s">
        <v>236</v>
      </c>
      <c r="H82" s="1" t="s">
        <v>527</v>
      </c>
      <c r="I82" s="1" t="s">
        <v>218</v>
      </c>
      <c r="J82" s="1" t="s">
        <v>371</v>
      </c>
      <c r="K82" s="1" t="n">
        <v>79.99</v>
      </c>
      <c r="L82" s="1" t="n">
        <v>4.4</v>
      </c>
      <c r="M82" s="1" t="n">
        <v>3100</v>
      </c>
      <c r="N82" s="4" t="b">
        <f aca="false">FALSE()</f>
        <v>0</v>
      </c>
      <c r="O82" s="1" t="s">
        <v>528</v>
      </c>
      <c r="P82" s="4" t="b">
        <f aca="false">TRUE()</f>
        <v>1</v>
      </c>
      <c r="Q82" s="1" t="s">
        <v>251</v>
      </c>
      <c r="R82" s="1" t="s">
        <v>404</v>
      </c>
      <c r="S82" s="1" t="s">
        <v>529</v>
      </c>
      <c r="T82" s="1" t="s">
        <v>222</v>
      </c>
      <c r="U82" s="1" t="s">
        <v>223</v>
      </c>
    </row>
    <row r="83" customFormat="false" ht="48" hidden="false" customHeight="true" outlineLevel="0" collapsed="false">
      <c r="A83" s="1" t="s">
        <v>43</v>
      </c>
      <c r="B83" s="1" t="s">
        <v>212</v>
      </c>
      <c r="C83" s="1" t="s">
        <v>93</v>
      </c>
      <c r="D83" s="1" t="s">
        <v>399</v>
      </c>
      <c r="E83" s="1" t="n">
        <v>34</v>
      </c>
      <c r="F83" s="1" t="s">
        <v>530</v>
      </c>
      <c r="G83" s="1" t="s">
        <v>236</v>
      </c>
      <c r="H83" s="1" t="s">
        <v>531</v>
      </c>
      <c r="I83" s="1" t="s">
        <v>402</v>
      </c>
      <c r="J83" s="1" t="s">
        <v>310</v>
      </c>
      <c r="K83" s="1" t="n">
        <v>59.99</v>
      </c>
      <c r="L83" s="1" t="n">
        <v>4.2</v>
      </c>
      <c r="M83" s="1" t="n">
        <v>88</v>
      </c>
      <c r="N83" s="4" t="b">
        <f aca="false">FALSE()</f>
        <v>0</v>
      </c>
      <c r="O83" s="1" t="s">
        <v>262</v>
      </c>
      <c r="P83" s="4" t="b">
        <f aca="false">TRUE()</f>
        <v>1</v>
      </c>
      <c r="R83" s="1" t="s">
        <v>404</v>
      </c>
      <c r="S83" s="1" t="s">
        <v>532</v>
      </c>
      <c r="T83" s="1" t="s">
        <v>222</v>
      </c>
      <c r="U83" s="1" t="s">
        <v>223</v>
      </c>
    </row>
    <row r="84" customFormat="false" ht="48" hidden="false" customHeight="true" outlineLevel="0" collapsed="false">
      <c r="A84" s="1" t="s">
        <v>43</v>
      </c>
      <c r="B84" s="1" t="s">
        <v>212</v>
      </c>
      <c r="C84" s="1" t="s">
        <v>93</v>
      </c>
      <c r="D84" s="1" t="s">
        <v>399</v>
      </c>
      <c r="E84" s="1" t="n">
        <v>35</v>
      </c>
      <c r="F84" s="1" t="s">
        <v>533</v>
      </c>
      <c r="G84" s="1" t="s">
        <v>236</v>
      </c>
      <c r="H84" s="1" t="s">
        <v>534</v>
      </c>
      <c r="I84" s="1" t="s">
        <v>218</v>
      </c>
      <c r="J84" s="1" t="s">
        <v>310</v>
      </c>
      <c r="K84" s="1" t="n">
        <v>53.9</v>
      </c>
      <c r="L84" s="1" t="n">
        <v>4.6</v>
      </c>
      <c r="M84" s="1" t="n">
        <v>2100</v>
      </c>
      <c r="N84" s="4" t="b">
        <f aca="false">FALSE()</f>
        <v>0</v>
      </c>
      <c r="P84" s="4" t="b">
        <f aca="false">TRUE()</f>
        <v>1</v>
      </c>
      <c r="Q84" s="1" t="s">
        <v>435</v>
      </c>
      <c r="R84" s="1" t="s">
        <v>404</v>
      </c>
      <c r="S84" s="1" t="s">
        <v>535</v>
      </c>
      <c r="T84" s="1" t="s">
        <v>222</v>
      </c>
      <c r="U84" s="1" t="s">
        <v>223</v>
      </c>
    </row>
    <row r="85" customFormat="false" ht="48" hidden="false" customHeight="true" outlineLevel="0" collapsed="false">
      <c r="A85" s="1" t="s">
        <v>43</v>
      </c>
      <c r="B85" s="1" t="s">
        <v>212</v>
      </c>
      <c r="C85" s="1" t="s">
        <v>93</v>
      </c>
      <c r="D85" s="1" t="s">
        <v>399</v>
      </c>
      <c r="E85" s="1" t="n">
        <v>36</v>
      </c>
      <c r="F85" s="1" t="s">
        <v>536</v>
      </c>
      <c r="G85" s="1" t="s">
        <v>216</v>
      </c>
      <c r="H85" s="1" t="s">
        <v>537</v>
      </c>
      <c r="I85" s="1" t="s">
        <v>218</v>
      </c>
      <c r="J85" s="1" t="s">
        <v>310</v>
      </c>
      <c r="K85" s="1" t="n">
        <v>64.99</v>
      </c>
      <c r="L85" s="1" t="n">
        <v>4.4</v>
      </c>
      <c r="M85" s="1" t="n">
        <v>2700</v>
      </c>
      <c r="N85" s="4" t="b">
        <f aca="false">FALSE()</f>
        <v>0</v>
      </c>
      <c r="P85" s="4" t="b">
        <f aca="false">TRUE()</f>
        <v>1</v>
      </c>
      <c r="Q85" s="1" t="s">
        <v>251</v>
      </c>
      <c r="R85" s="1" t="s">
        <v>404</v>
      </c>
      <c r="S85" s="1" t="s">
        <v>538</v>
      </c>
      <c r="T85" s="1" t="s">
        <v>222</v>
      </c>
      <c r="U85" s="1" t="s">
        <v>223</v>
      </c>
    </row>
    <row r="86" customFormat="false" ht="48" hidden="false" customHeight="true" outlineLevel="0" collapsed="false">
      <c r="A86" s="1" t="s">
        <v>43</v>
      </c>
      <c r="B86" s="1" t="s">
        <v>212</v>
      </c>
      <c r="C86" s="1" t="s">
        <v>93</v>
      </c>
      <c r="D86" s="1" t="s">
        <v>399</v>
      </c>
      <c r="E86" s="1" t="n">
        <v>37</v>
      </c>
      <c r="F86" s="1" t="s">
        <v>539</v>
      </c>
      <c r="G86" s="1" t="s">
        <v>236</v>
      </c>
      <c r="H86" s="1" t="s">
        <v>540</v>
      </c>
      <c r="I86" s="1" t="s">
        <v>218</v>
      </c>
      <c r="J86" s="1" t="s">
        <v>310</v>
      </c>
      <c r="K86" s="1" t="n">
        <v>56.99</v>
      </c>
      <c r="L86" s="1" t="n">
        <v>4.5</v>
      </c>
      <c r="M86" s="1" t="n">
        <v>15</v>
      </c>
      <c r="N86" s="4" t="b">
        <f aca="false">FALSE()</f>
        <v>0</v>
      </c>
      <c r="O86" s="1" t="s">
        <v>541</v>
      </c>
      <c r="P86" s="4" t="b">
        <f aca="false">TRUE()</f>
        <v>1</v>
      </c>
      <c r="Q86" s="1" t="s">
        <v>251</v>
      </c>
      <c r="R86" s="1" t="s">
        <v>404</v>
      </c>
      <c r="S86" s="1" t="s">
        <v>542</v>
      </c>
      <c r="T86" s="1" t="s">
        <v>222</v>
      </c>
      <c r="U86" s="1" t="s">
        <v>223</v>
      </c>
    </row>
    <row r="87" customFormat="false" ht="48" hidden="false" customHeight="true" outlineLevel="0" collapsed="false">
      <c r="A87" s="1" t="s">
        <v>43</v>
      </c>
      <c r="B87" s="1" t="s">
        <v>212</v>
      </c>
      <c r="C87" s="1" t="s">
        <v>93</v>
      </c>
      <c r="D87" s="1" t="s">
        <v>399</v>
      </c>
      <c r="E87" s="1" t="n">
        <v>38</v>
      </c>
      <c r="F87" s="1" t="s">
        <v>543</v>
      </c>
      <c r="G87" s="1" t="s">
        <v>445</v>
      </c>
      <c r="H87" s="1" t="s">
        <v>544</v>
      </c>
      <c r="I87" s="1" t="s">
        <v>218</v>
      </c>
      <c r="J87" s="1" t="s">
        <v>310</v>
      </c>
      <c r="K87" s="1" t="n">
        <v>49.99</v>
      </c>
      <c r="L87" s="1" t="n">
        <v>4.4</v>
      </c>
      <c r="M87" s="1" t="n">
        <v>579</v>
      </c>
      <c r="N87" s="4" t="b">
        <f aca="false">FALSE()</f>
        <v>0</v>
      </c>
      <c r="P87" s="4" t="b">
        <f aca="false">TRUE()</f>
        <v>1</v>
      </c>
      <c r="Q87" s="1" t="s">
        <v>251</v>
      </c>
      <c r="R87" s="1" t="s">
        <v>404</v>
      </c>
      <c r="S87" s="1" t="s">
        <v>545</v>
      </c>
      <c r="T87" s="1" t="s">
        <v>222</v>
      </c>
      <c r="U87" s="1" t="s">
        <v>223</v>
      </c>
    </row>
    <row r="88" customFormat="false" ht="48" hidden="false" customHeight="true" outlineLevel="0" collapsed="false">
      <c r="A88" s="1" t="s">
        <v>43</v>
      </c>
      <c r="B88" s="1" t="s">
        <v>212</v>
      </c>
      <c r="C88" s="1" t="s">
        <v>93</v>
      </c>
      <c r="D88" s="1" t="s">
        <v>399</v>
      </c>
      <c r="E88" s="1" t="n">
        <v>39</v>
      </c>
      <c r="F88" s="1" t="s">
        <v>546</v>
      </c>
      <c r="G88" s="1" t="s">
        <v>236</v>
      </c>
      <c r="H88" s="1" t="s">
        <v>547</v>
      </c>
      <c r="I88" s="1" t="s">
        <v>218</v>
      </c>
      <c r="J88" s="1" t="s">
        <v>310</v>
      </c>
      <c r="K88" s="1" t="n">
        <v>39.99</v>
      </c>
      <c r="L88" s="1" t="n">
        <v>4.4</v>
      </c>
      <c r="M88" s="1" t="n">
        <v>9000</v>
      </c>
      <c r="N88" s="4" t="b">
        <f aca="false">FALSE()</f>
        <v>0</v>
      </c>
      <c r="O88" s="1" t="s">
        <v>548</v>
      </c>
      <c r="P88" s="4" t="b">
        <f aca="false">TRUE()</f>
        <v>1</v>
      </c>
      <c r="Q88" s="1" t="s">
        <v>233</v>
      </c>
      <c r="R88" s="1" t="s">
        <v>404</v>
      </c>
      <c r="S88" s="1" t="s">
        <v>549</v>
      </c>
      <c r="T88" s="1" t="s">
        <v>222</v>
      </c>
      <c r="U88" s="1" t="s">
        <v>223</v>
      </c>
    </row>
    <row r="89" customFormat="false" ht="48" hidden="false" customHeight="true" outlineLevel="0" collapsed="false">
      <c r="A89" s="1" t="s">
        <v>43</v>
      </c>
      <c r="B89" s="1" t="s">
        <v>212</v>
      </c>
      <c r="C89" s="1" t="s">
        <v>93</v>
      </c>
      <c r="D89" s="1" t="s">
        <v>399</v>
      </c>
      <c r="E89" s="1" t="n">
        <v>40</v>
      </c>
      <c r="F89" s="1" t="s">
        <v>550</v>
      </c>
      <c r="G89" s="1" t="s">
        <v>229</v>
      </c>
      <c r="H89" s="1" t="s">
        <v>551</v>
      </c>
      <c r="I89" s="1" t="s">
        <v>231</v>
      </c>
      <c r="J89" s="1" t="s">
        <v>310</v>
      </c>
      <c r="K89" s="1" t="n">
        <v>69.99</v>
      </c>
      <c r="L89" s="1" t="n">
        <v>4.6</v>
      </c>
      <c r="M89" s="1" t="n">
        <v>2900</v>
      </c>
      <c r="N89" s="4" t="b">
        <f aca="false">FALSE()</f>
        <v>0</v>
      </c>
      <c r="P89" s="4" t="b">
        <f aca="false">TRUE()</f>
        <v>1</v>
      </c>
      <c r="Q89" s="1" t="s">
        <v>233</v>
      </c>
      <c r="R89" s="1" t="s">
        <v>404</v>
      </c>
      <c r="S89" s="1" t="s">
        <v>552</v>
      </c>
      <c r="T89" s="1" t="s">
        <v>222</v>
      </c>
      <c r="U89" s="1" t="s">
        <v>223</v>
      </c>
    </row>
    <row r="90" customFormat="false" ht="48" hidden="false" customHeight="true" outlineLevel="0" collapsed="false">
      <c r="A90" s="1" t="s">
        <v>43</v>
      </c>
      <c r="B90" s="1" t="s">
        <v>212</v>
      </c>
      <c r="C90" s="1" t="s">
        <v>93</v>
      </c>
      <c r="D90" s="1" t="s">
        <v>399</v>
      </c>
      <c r="E90" s="1" t="n">
        <v>41</v>
      </c>
      <c r="F90" s="1" t="s">
        <v>553</v>
      </c>
      <c r="G90" s="1" t="s">
        <v>236</v>
      </c>
      <c r="H90" s="1" t="s">
        <v>554</v>
      </c>
      <c r="I90" s="1" t="s">
        <v>231</v>
      </c>
      <c r="J90" s="1" t="s">
        <v>310</v>
      </c>
      <c r="K90" s="1" t="n">
        <v>66.99</v>
      </c>
      <c r="L90" s="1" t="n">
        <v>4.2</v>
      </c>
      <c r="M90" s="1" t="n">
        <v>1800</v>
      </c>
      <c r="N90" s="4" t="b">
        <f aca="false">FALSE()</f>
        <v>0</v>
      </c>
      <c r="P90" s="4" t="b">
        <f aca="false">TRUE()</f>
        <v>1</v>
      </c>
      <c r="Q90" s="1" t="s">
        <v>233</v>
      </c>
      <c r="R90" s="1" t="s">
        <v>404</v>
      </c>
      <c r="S90" s="1" t="s">
        <v>555</v>
      </c>
      <c r="T90" s="1" t="s">
        <v>222</v>
      </c>
      <c r="U90" s="1" t="s">
        <v>223</v>
      </c>
    </row>
    <row r="91" customFormat="false" ht="48" hidden="false" customHeight="true" outlineLevel="0" collapsed="false">
      <c r="A91" s="1" t="s">
        <v>43</v>
      </c>
      <c r="B91" s="1" t="s">
        <v>212</v>
      </c>
      <c r="C91" s="1" t="s">
        <v>93</v>
      </c>
      <c r="D91" s="1" t="s">
        <v>399</v>
      </c>
      <c r="E91" s="1" t="n">
        <v>42</v>
      </c>
      <c r="F91" s="1" t="s">
        <v>556</v>
      </c>
      <c r="G91" s="1" t="s">
        <v>236</v>
      </c>
      <c r="H91" s="1" t="s">
        <v>557</v>
      </c>
      <c r="I91" s="1" t="s">
        <v>218</v>
      </c>
      <c r="J91" s="1" t="s">
        <v>310</v>
      </c>
      <c r="K91" s="1" t="n">
        <v>41</v>
      </c>
      <c r="L91" s="1" t="n">
        <v>4.5</v>
      </c>
      <c r="M91" s="1" t="n">
        <v>11000</v>
      </c>
      <c r="N91" s="4" t="b">
        <f aca="false">FALSE()</f>
        <v>0</v>
      </c>
      <c r="P91" s="4" t="b">
        <f aca="false">TRUE()</f>
        <v>1</v>
      </c>
      <c r="R91" s="1" t="s">
        <v>404</v>
      </c>
      <c r="S91" s="1" t="s">
        <v>558</v>
      </c>
      <c r="T91" s="1" t="s">
        <v>222</v>
      </c>
      <c r="U91" s="1" t="s">
        <v>223</v>
      </c>
    </row>
    <row r="92" customFormat="false" ht="48" hidden="false" customHeight="true" outlineLevel="0" collapsed="false">
      <c r="A92" s="1" t="s">
        <v>43</v>
      </c>
      <c r="B92" s="1" t="s">
        <v>212</v>
      </c>
      <c r="C92" s="1" t="s">
        <v>93</v>
      </c>
      <c r="D92" s="1" t="s">
        <v>399</v>
      </c>
      <c r="E92" s="1" t="n">
        <v>43</v>
      </c>
      <c r="F92" s="1" t="s">
        <v>559</v>
      </c>
      <c r="G92" s="1" t="s">
        <v>236</v>
      </c>
      <c r="H92" s="1" t="s">
        <v>560</v>
      </c>
      <c r="I92" s="1" t="s">
        <v>218</v>
      </c>
      <c r="J92" s="1" t="s">
        <v>310</v>
      </c>
      <c r="K92" s="1" t="n">
        <v>149.05</v>
      </c>
      <c r="L92" s="1" t="n">
        <v>3.9</v>
      </c>
      <c r="M92" s="1" t="n">
        <v>154</v>
      </c>
      <c r="N92" s="4" t="b">
        <f aca="false">FALSE()</f>
        <v>0</v>
      </c>
      <c r="P92" s="4" t="b">
        <f aca="false">TRUE()</f>
        <v>1</v>
      </c>
      <c r="R92" s="1" t="s">
        <v>404</v>
      </c>
      <c r="S92" s="1" t="s">
        <v>561</v>
      </c>
      <c r="T92" s="1" t="s">
        <v>222</v>
      </c>
      <c r="U92" s="1" t="s">
        <v>223</v>
      </c>
    </row>
    <row r="93" customFormat="false" ht="48" hidden="false" customHeight="true" outlineLevel="0" collapsed="false">
      <c r="A93" s="1" t="s">
        <v>43</v>
      </c>
      <c r="B93" s="1" t="s">
        <v>212</v>
      </c>
      <c r="C93" s="1" t="s">
        <v>93</v>
      </c>
      <c r="D93" s="1" t="s">
        <v>399</v>
      </c>
      <c r="E93" s="1" t="n">
        <v>44</v>
      </c>
      <c r="F93" s="1" t="s">
        <v>562</v>
      </c>
      <c r="G93" s="1" t="s">
        <v>236</v>
      </c>
      <c r="H93" s="1" t="s">
        <v>563</v>
      </c>
      <c r="I93" s="1" t="s">
        <v>218</v>
      </c>
      <c r="J93" s="1" t="s">
        <v>310</v>
      </c>
      <c r="K93" s="1" t="n">
        <v>86.39</v>
      </c>
      <c r="L93" s="1" t="n">
        <v>4.2</v>
      </c>
      <c r="M93" s="1" t="n">
        <v>3700</v>
      </c>
      <c r="N93" s="4" t="b">
        <f aca="false">FALSE()</f>
        <v>0</v>
      </c>
      <c r="O93" s="1" t="s">
        <v>564</v>
      </c>
      <c r="P93" s="4" t="b">
        <f aca="false">TRUE()</f>
        <v>1</v>
      </c>
      <c r="Q93" s="1" t="s">
        <v>251</v>
      </c>
      <c r="R93" s="1" t="s">
        <v>404</v>
      </c>
      <c r="S93" s="1" t="s">
        <v>565</v>
      </c>
      <c r="T93" s="1" t="s">
        <v>222</v>
      </c>
      <c r="U93" s="1" t="s">
        <v>223</v>
      </c>
    </row>
    <row r="94" customFormat="false" ht="48" hidden="false" customHeight="true" outlineLevel="0" collapsed="false">
      <c r="A94" s="1" t="s">
        <v>43</v>
      </c>
      <c r="B94" s="1" t="s">
        <v>212</v>
      </c>
      <c r="C94" s="1" t="s">
        <v>93</v>
      </c>
      <c r="D94" s="1" t="s">
        <v>399</v>
      </c>
      <c r="E94" s="1" t="n">
        <v>45</v>
      </c>
      <c r="F94" s="1" t="s">
        <v>566</v>
      </c>
      <c r="G94" s="1" t="s">
        <v>567</v>
      </c>
      <c r="H94" s="1" t="s">
        <v>568</v>
      </c>
      <c r="I94" s="1" t="s">
        <v>218</v>
      </c>
      <c r="J94" s="1" t="s">
        <v>371</v>
      </c>
      <c r="K94" s="1" t="n">
        <v>59.99</v>
      </c>
      <c r="L94" s="1" t="n">
        <v>4.6</v>
      </c>
      <c r="M94" s="1" t="n">
        <v>11200</v>
      </c>
      <c r="N94" s="4" t="b">
        <f aca="false">FALSE()</f>
        <v>0</v>
      </c>
      <c r="P94" s="4" t="b">
        <f aca="false">TRUE()</f>
        <v>1</v>
      </c>
      <c r="Q94" s="1" t="s">
        <v>435</v>
      </c>
      <c r="R94" s="1" t="s">
        <v>404</v>
      </c>
      <c r="S94" s="1" t="s">
        <v>569</v>
      </c>
      <c r="T94" s="1" t="s">
        <v>222</v>
      </c>
      <c r="U94" s="1" t="s">
        <v>223</v>
      </c>
    </row>
    <row r="95" customFormat="false" ht="48" hidden="false" customHeight="true" outlineLevel="0" collapsed="false">
      <c r="A95" s="1" t="s">
        <v>43</v>
      </c>
      <c r="B95" s="1" t="s">
        <v>212</v>
      </c>
      <c r="C95" s="1" t="s">
        <v>93</v>
      </c>
      <c r="D95" s="1" t="s">
        <v>399</v>
      </c>
      <c r="E95" s="1" t="n">
        <v>46</v>
      </c>
      <c r="F95" s="1" t="s">
        <v>570</v>
      </c>
      <c r="G95" s="1" t="s">
        <v>236</v>
      </c>
      <c r="H95" s="1" t="s">
        <v>571</v>
      </c>
      <c r="I95" s="1" t="s">
        <v>218</v>
      </c>
      <c r="J95" s="1" t="s">
        <v>310</v>
      </c>
      <c r="K95" s="1" t="n">
        <v>47.49</v>
      </c>
      <c r="L95" s="1" t="n">
        <v>4.5</v>
      </c>
      <c r="M95" s="1" t="n">
        <v>9300</v>
      </c>
      <c r="N95" s="4" t="b">
        <f aca="false">FALSE()</f>
        <v>0</v>
      </c>
      <c r="O95" s="1" t="s">
        <v>468</v>
      </c>
      <c r="P95" s="4" t="b">
        <f aca="false">TRUE()</f>
        <v>1</v>
      </c>
      <c r="R95" s="1" t="s">
        <v>404</v>
      </c>
      <c r="S95" s="1" t="s">
        <v>572</v>
      </c>
      <c r="T95" s="1" t="s">
        <v>222</v>
      </c>
      <c r="U95" s="1" t="s">
        <v>223</v>
      </c>
    </row>
    <row r="96" customFormat="false" ht="48" hidden="false" customHeight="true" outlineLevel="0" collapsed="false">
      <c r="A96" s="1" t="s">
        <v>43</v>
      </c>
      <c r="B96" s="1" t="s">
        <v>212</v>
      </c>
      <c r="C96" s="1" t="s">
        <v>93</v>
      </c>
      <c r="D96" s="1" t="s">
        <v>399</v>
      </c>
      <c r="E96" s="1" t="n">
        <v>47</v>
      </c>
      <c r="F96" s="1" t="s">
        <v>573</v>
      </c>
      <c r="G96" s="1" t="s">
        <v>236</v>
      </c>
      <c r="H96" s="1" t="s">
        <v>574</v>
      </c>
      <c r="I96" s="1" t="s">
        <v>218</v>
      </c>
      <c r="J96" s="1" t="s">
        <v>371</v>
      </c>
      <c r="K96" s="1" t="n">
        <v>74.08</v>
      </c>
      <c r="L96" s="1" t="n">
        <v>4.4</v>
      </c>
      <c r="M96" s="1" t="n">
        <v>2500</v>
      </c>
      <c r="N96" s="4" t="b">
        <f aca="false">FALSE()</f>
        <v>0</v>
      </c>
      <c r="O96" s="1" t="s">
        <v>575</v>
      </c>
      <c r="P96" s="4" t="b">
        <f aca="false">TRUE()</f>
        <v>1</v>
      </c>
      <c r="R96" s="1" t="s">
        <v>404</v>
      </c>
      <c r="S96" s="1" t="s">
        <v>576</v>
      </c>
      <c r="T96" s="1" t="s">
        <v>222</v>
      </c>
      <c r="U96" s="1" t="s">
        <v>223</v>
      </c>
    </row>
    <row r="97" customFormat="false" ht="48" hidden="false" customHeight="true" outlineLevel="0" collapsed="false">
      <c r="A97" s="1" t="s">
        <v>43</v>
      </c>
      <c r="B97" s="1" t="s">
        <v>212</v>
      </c>
      <c r="C97" s="1" t="s">
        <v>93</v>
      </c>
      <c r="D97" s="1" t="s">
        <v>399</v>
      </c>
      <c r="E97" s="1" t="n">
        <v>48</v>
      </c>
      <c r="F97" s="1" t="s">
        <v>577</v>
      </c>
      <c r="G97" s="1" t="s">
        <v>236</v>
      </c>
      <c r="H97" s="1" t="s">
        <v>578</v>
      </c>
      <c r="I97" s="1" t="s">
        <v>218</v>
      </c>
      <c r="J97" s="1" t="s">
        <v>310</v>
      </c>
      <c r="K97" s="1" t="n">
        <v>59.49</v>
      </c>
      <c r="L97" s="1" t="n">
        <v>4.3</v>
      </c>
      <c r="M97" s="1" t="n">
        <v>1500</v>
      </c>
      <c r="N97" s="4" t="b">
        <f aca="false">FALSE()</f>
        <v>0</v>
      </c>
      <c r="O97" s="1" t="s">
        <v>477</v>
      </c>
      <c r="P97" s="4" t="b">
        <f aca="false">TRUE()</f>
        <v>1</v>
      </c>
      <c r="R97" s="1" t="s">
        <v>404</v>
      </c>
      <c r="S97" s="1" t="s">
        <v>579</v>
      </c>
      <c r="T97" s="1" t="s">
        <v>222</v>
      </c>
      <c r="U97" s="1" t="s">
        <v>223</v>
      </c>
    </row>
    <row r="98" customFormat="false" ht="48" hidden="false" customHeight="true" outlineLevel="0" collapsed="false">
      <c r="A98" s="1" t="s">
        <v>43</v>
      </c>
      <c r="B98" s="1" t="s">
        <v>212</v>
      </c>
      <c r="C98" s="1" t="s">
        <v>84</v>
      </c>
      <c r="D98" s="1" t="s">
        <v>580</v>
      </c>
      <c r="E98" s="1" t="n">
        <v>1</v>
      </c>
      <c r="F98" s="1" t="s">
        <v>581</v>
      </c>
      <c r="G98" s="1" t="s">
        <v>582</v>
      </c>
      <c r="H98" s="1" t="s">
        <v>583</v>
      </c>
      <c r="I98" s="1" t="s">
        <v>218</v>
      </c>
      <c r="J98" s="1" t="s">
        <v>584</v>
      </c>
      <c r="K98" s="1" t="n">
        <v>79.99</v>
      </c>
      <c r="L98" s="1" t="n">
        <v>4.5</v>
      </c>
      <c r="M98" s="1" t="n">
        <v>2000</v>
      </c>
      <c r="N98" s="4" t="b">
        <f aca="false">FALSE()</f>
        <v>0</v>
      </c>
      <c r="P98" s="4" t="b">
        <f aca="false">TRUE()</f>
        <v>1</v>
      </c>
      <c r="Q98" s="1" t="s">
        <v>233</v>
      </c>
      <c r="R98" s="1" t="s">
        <v>585</v>
      </c>
      <c r="S98" s="1" t="s">
        <v>586</v>
      </c>
      <c r="T98" s="1" t="s">
        <v>222</v>
      </c>
      <c r="U98" s="1" t="s">
        <v>223</v>
      </c>
    </row>
    <row r="99" customFormat="false" ht="48" hidden="false" customHeight="true" outlineLevel="0" collapsed="false">
      <c r="A99" s="1" t="s">
        <v>43</v>
      </c>
      <c r="B99" s="1" t="s">
        <v>212</v>
      </c>
      <c r="C99" s="1" t="s">
        <v>84</v>
      </c>
      <c r="D99" s="1" t="s">
        <v>580</v>
      </c>
      <c r="E99" s="1" t="n">
        <v>2</v>
      </c>
      <c r="F99" s="1" t="s">
        <v>587</v>
      </c>
      <c r="G99" s="1" t="s">
        <v>445</v>
      </c>
      <c r="H99" s="1" t="s">
        <v>588</v>
      </c>
      <c r="I99" s="1" t="s">
        <v>218</v>
      </c>
      <c r="J99" s="1" t="s">
        <v>584</v>
      </c>
      <c r="K99" s="1" t="n">
        <v>44.99</v>
      </c>
      <c r="L99" s="1" t="n">
        <v>4</v>
      </c>
      <c r="M99" s="1" t="n">
        <v>2700</v>
      </c>
      <c r="N99" s="4" t="b">
        <f aca="false">FALSE()</f>
        <v>0</v>
      </c>
      <c r="P99" s="4" t="b">
        <f aca="false">TRUE()</f>
        <v>1</v>
      </c>
      <c r="R99" s="1" t="s">
        <v>585</v>
      </c>
      <c r="S99" s="1" t="s">
        <v>589</v>
      </c>
      <c r="T99" s="1" t="s">
        <v>222</v>
      </c>
      <c r="U99" s="1" t="s">
        <v>223</v>
      </c>
    </row>
    <row r="100" customFormat="false" ht="48" hidden="false" customHeight="true" outlineLevel="0" collapsed="false">
      <c r="A100" s="1" t="s">
        <v>43</v>
      </c>
      <c r="B100" s="1" t="s">
        <v>212</v>
      </c>
      <c r="C100" s="1" t="s">
        <v>84</v>
      </c>
      <c r="D100" s="1" t="s">
        <v>580</v>
      </c>
      <c r="E100" s="1" t="n">
        <v>3</v>
      </c>
      <c r="F100" s="1" t="s">
        <v>590</v>
      </c>
      <c r="G100" s="1" t="s">
        <v>591</v>
      </c>
      <c r="H100" s="1" t="s">
        <v>592</v>
      </c>
      <c r="I100" s="1" t="s">
        <v>218</v>
      </c>
      <c r="J100" s="1" t="s">
        <v>584</v>
      </c>
      <c r="K100" s="1" t="n">
        <v>66.99</v>
      </c>
      <c r="L100" s="1" t="n">
        <v>4.3</v>
      </c>
      <c r="M100" s="1" t="n">
        <v>1000</v>
      </c>
      <c r="N100" s="4" t="b">
        <f aca="false">FALSE()</f>
        <v>0</v>
      </c>
      <c r="O100" s="1" t="s">
        <v>593</v>
      </c>
      <c r="P100" s="4" t="b">
        <f aca="false">TRUE()</f>
        <v>1</v>
      </c>
      <c r="Q100" s="1" t="s">
        <v>233</v>
      </c>
      <c r="R100" s="1" t="s">
        <v>585</v>
      </c>
      <c r="S100" s="1" t="s">
        <v>594</v>
      </c>
      <c r="T100" s="1" t="s">
        <v>222</v>
      </c>
      <c r="U100" s="1" t="s">
        <v>223</v>
      </c>
    </row>
    <row r="101" customFormat="false" ht="48" hidden="false" customHeight="true" outlineLevel="0" collapsed="false">
      <c r="A101" s="1" t="s">
        <v>43</v>
      </c>
      <c r="B101" s="1" t="s">
        <v>212</v>
      </c>
      <c r="C101" s="1" t="s">
        <v>84</v>
      </c>
      <c r="D101" s="1" t="s">
        <v>580</v>
      </c>
      <c r="E101" s="1" t="n">
        <v>4</v>
      </c>
      <c r="F101" s="1" t="s">
        <v>595</v>
      </c>
      <c r="G101" s="1" t="s">
        <v>236</v>
      </c>
      <c r="H101" s="1" t="s">
        <v>596</v>
      </c>
      <c r="I101" s="1" t="s">
        <v>218</v>
      </c>
      <c r="J101" s="1" t="s">
        <v>597</v>
      </c>
      <c r="K101" s="1" t="n">
        <v>51.99</v>
      </c>
      <c r="L101" s="1" t="n">
        <v>4.4</v>
      </c>
      <c r="M101" s="1" t="n">
        <v>254</v>
      </c>
      <c r="N101" s="4" t="b">
        <f aca="false">FALSE()</f>
        <v>0</v>
      </c>
      <c r="O101" s="1" t="s">
        <v>598</v>
      </c>
      <c r="P101" s="4" t="b">
        <f aca="false">TRUE()</f>
        <v>1</v>
      </c>
      <c r="Q101" s="1" t="s">
        <v>251</v>
      </c>
      <c r="R101" s="1" t="s">
        <v>585</v>
      </c>
      <c r="S101" s="1" t="s">
        <v>599</v>
      </c>
      <c r="T101" s="1" t="s">
        <v>222</v>
      </c>
      <c r="U101" s="1" t="s">
        <v>223</v>
      </c>
    </row>
    <row r="102" customFormat="false" ht="48" hidden="false" customHeight="true" outlineLevel="0" collapsed="false">
      <c r="A102" s="1" t="s">
        <v>43</v>
      </c>
      <c r="B102" s="1" t="s">
        <v>212</v>
      </c>
      <c r="C102" s="1" t="s">
        <v>84</v>
      </c>
      <c r="D102" s="1" t="s">
        <v>580</v>
      </c>
      <c r="E102" s="1" t="n">
        <v>5</v>
      </c>
      <c r="F102" s="1" t="s">
        <v>600</v>
      </c>
      <c r="G102" s="1" t="s">
        <v>582</v>
      </c>
      <c r="H102" s="1" t="s">
        <v>601</v>
      </c>
      <c r="I102" s="1" t="s">
        <v>218</v>
      </c>
      <c r="J102" s="1" t="s">
        <v>584</v>
      </c>
      <c r="K102" s="1" t="n">
        <v>79.99</v>
      </c>
      <c r="L102" s="1" t="n">
        <v>4.5</v>
      </c>
      <c r="M102" s="1" t="n">
        <v>2000</v>
      </c>
      <c r="N102" s="4" t="b">
        <f aca="false">FALSE()</f>
        <v>0</v>
      </c>
      <c r="P102" s="4" t="b">
        <f aca="false">TRUE()</f>
        <v>1</v>
      </c>
      <c r="Q102" s="1" t="s">
        <v>233</v>
      </c>
      <c r="R102" s="1" t="s">
        <v>585</v>
      </c>
      <c r="S102" s="1" t="s">
        <v>602</v>
      </c>
      <c r="T102" s="1" t="s">
        <v>222</v>
      </c>
      <c r="U102" s="1" t="s">
        <v>223</v>
      </c>
    </row>
    <row r="103" customFormat="false" ht="48" hidden="false" customHeight="true" outlineLevel="0" collapsed="false">
      <c r="A103" s="1" t="s">
        <v>43</v>
      </c>
      <c r="B103" s="1" t="s">
        <v>212</v>
      </c>
      <c r="C103" s="1" t="s">
        <v>84</v>
      </c>
      <c r="D103" s="1" t="s">
        <v>580</v>
      </c>
      <c r="E103" s="1" t="n">
        <v>6</v>
      </c>
      <c r="F103" s="1" t="s">
        <v>603</v>
      </c>
      <c r="G103" s="1" t="s">
        <v>604</v>
      </c>
      <c r="H103" s="1" t="s">
        <v>605</v>
      </c>
      <c r="I103" s="1" t="s">
        <v>218</v>
      </c>
      <c r="J103" s="1" t="s">
        <v>597</v>
      </c>
      <c r="K103" s="1" t="n">
        <v>67.99</v>
      </c>
      <c r="L103" s="1" t="n">
        <v>4.5</v>
      </c>
      <c r="M103" s="1" t="n">
        <v>10100</v>
      </c>
      <c r="N103" s="4" t="b">
        <f aca="false">FALSE()</f>
        <v>0</v>
      </c>
      <c r="O103" s="1" t="s">
        <v>606</v>
      </c>
      <c r="P103" s="4" t="b">
        <f aca="false">TRUE()</f>
        <v>1</v>
      </c>
      <c r="Q103" s="1" t="s">
        <v>233</v>
      </c>
      <c r="R103" s="1" t="s">
        <v>585</v>
      </c>
      <c r="S103" s="1" t="s">
        <v>607</v>
      </c>
      <c r="T103" s="1" t="s">
        <v>222</v>
      </c>
      <c r="U103" s="1" t="s">
        <v>223</v>
      </c>
    </row>
    <row r="104" customFormat="false" ht="48" hidden="false" customHeight="true" outlineLevel="0" collapsed="false">
      <c r="A104" s="1" t="s">
        <v>43</v>
      </c>
      <c r="B104" s="1" t="s">
        <v>212</v>
      </c>
      <c r="C104" s="1" t="s">
        <v>84</v>
      </c>
      <c r="D104" s="1" t="s">
        <v>580</v>
      </c>
      <c r="E104" s="1" t="n">
        <v>7</v>
      </c>
      <c r="F104" s="1" t="s">
        <v>608</v>
      </c>
      <c r="G104" s="1" t="s">
        <v>582</v>
      </c>
      <c r="H104" s="1" t="s">
        <v>609</v>
      </c>
      <c r="I104" s="1" t="s">
        <v>218</v>
      </c>
      <c r="J104" s="1" t="s">
        <v>584</v>
      </c>
      <c r="K104" s="1" t="n">
        <v>79.99</v>
      </c>
      <c r="L104" s="1" t="n">
        <v>4.5</v>
      </c>
      <c r="M104" s="1" t="n">
        <v>2000</v>
      </c>
      <c r="N104" s="4" t="b">
        <f aca="false">FALSE()</f>
        <v>0</v>
      </c>
      <c r="P104" s="4" t="b">
        <f aca="false">TRUE()</f>
        <v>1</v>
      </c>
      <c r="Q104" s="1" t="s">
        <v>251</v>
      </c>
      <c r="R104" s="1" t="s">
        <v>585</v>
      </c>
      <c r="S104" s="1" t="s">
        <v>610</v>
      </c>
      <c r="T104" s="1" t="s">
        <v>222</v>
      </c>
      <c r="U104" s="1" t="s">
        <v>223</v>
      </c>
    </row>
    <row r="105" customFormat="false" ht="48" hidden="false" customHeight="true" outlineLevel="0" collapsed="false">
      <c r="A105" s="1" t="s">
        <v>43</v>
      </c>
      <c r="B105" s="1" t="s">
        <v>212</v>
      </c>
      <c r="C105" s="1" t="s">
        <v>84</v>
      </c>
      <c r="D105" s="1" t="s">
        <v>580</v>
      </c>
      <c r="E105" s="1" t="n">
        <v>8</v>
      </c>
      <c r="F105" s="1" t="s">
        <v>611</v>
      </c>
      <c r="G105" s="1" t="s">
        <v>591</v>
      </c>
      <c r="H105" s="1" t="s">
        <v>612</v>
      </c>
      <c r="I105" s="1" t="s">
        <v>231</v>
      </c>
      <c r="J105" s="1" t="s">
        <v>584</v>
      </c>
      <c r="K105" s="1" t="n">
        <v>69.99</v>
      </c>
      <c r="L105" s="1" t="n">
        <v>4.3</v>
      </c>
      <c r="M105" s="1" t="n">
        <v>1000</v>
      </c>
      <c r="N105" s="4" t="b">
        <f aca="false">FALSE()</f>
        <v>0</v>
      </c>
      <c r="O105" s="1" t="s">
        <v>613</v>
      </c>
      <c r="P105" s="4" t="b">
        <f aca="false">TRUE()</f>
        <v>1</v>
      </c>
      <c r="Q105" s="1" t="s">
        <v>233</v>
      </c>
      <c r="R105" s="1" t="s">
        <v>585</v>
      </c>
      <c r="S105" s="1" t="s">
        <v>614</v>
      </c>
      <c r="T105" s="1" t="s">
        <v>222</v>
      </c>
      <c r="U105" s="1" t="s">
        <v>223</v>
      </c>
    </row>
    <row r="106" customFormat="false" ht="48" hidden="false" customHeight="true" outlineLevel="0" collapsed="false">
      <c r="A106" s="1" t="s">
        <v>43</v>
      </c>
      <c r="B106" s="1" t="s">
        <v>212</v>
      </c>
      <c r="C106" s="1" t="s">
        <v>84</v>
      </c>
      <c r="D106" s="1" t="s">
        <v>580</v>
      </c>
      <c r="E106" s="1" t="n">
        <v>9</v>
      </c>
      <c r="F106" s="1" t="s">
        <v>615</v>
      </c>
      <c r="G106" s="1" t="s">
        <v>229</v>
      </c>
      <c r="H106" s="1" t="s">
        <v>616</v>
      </c>
      <c r="I106" s="1" t="s">
        <v>218</v>
      </c>
      <c r="J106" s="1" t="s">
        <v>310</v>
      </c>
      <c r="K106" s="1" t="n">
        <v>35.52</v>
      </c>
      <c r="L106" s="1" t="n">
        <v>4.4</v>
      </c>
      <c r="M106" s="1" t="n">
        <v>43500</v>
      </c>
      <c r="N106" s="4" t="b">
        <f aca="false">FALSE()</f>
        <v>0</v>
      </c>
      <c r="O106" s="1" t="s">
        <v>617</v>
      </c>
      <c r="P106" s="4" t="b">
        <f aca="false">FALSE()</f>
        <v>0</v>
      </c>
      <c r="Q106" s="1" t="s">
        <v>618</v>
      </c>
      <c r="R106" s="1" t="s">
        <v>585</v>
      </c>
      <c r="S106" s="1" t="s">
        <v>619</v>
      </c>
      <c r="T106" s="1" t="s">
        <v>222</v>
      </c>
      <c r="U106" s="1" t="s">
        <v>223</v>
      </c>
    </row>
    <row r="107" customFormat="false" ht="48" hidden="false" customHeight="true" outlineLevel="0" collapsed="false">
      <c r="A107" s="1" t="s">
        <v>43</v>
      </c>
      <c r="B107" s="1" t="s">
        <v>212</v>
      </c>
      <c r="C107" s="1" t="s">
        <v>84</v>
      </c>
      <c r="D107" s="1" t="s">
        <v>580</v>
      </c>
      <c r="E107" s="1" t="n">
        <v>10</v>
      </c>
      <c r="F107" s="1" t="s">
        <v>620</v>
      </c>
      <c r="G107" s="1" t="s">
        <v>236</v>
      </c>
      <c r="H107" s="1" t="s">
        <v>621</v>
      </c>
      <c r="I107" s="1" t="s">
        <v>218</v>
      </c>
      <c r="J107" s="1" t="s">
        <v>597</v>
      </c>
      <c r="K107" s="1" t="n">
        <v>64.99</v>
      </c>
      <c r="L107" s="1" t="n">
        <v>4.4</v>
      </c>
      <c r="M107" s="1" t="n">
        <v>254</v>
      </c>
      <c r="N107" s="4" t="b">
        <f aca="false">FALSE()</f>
        <v>0</v>
      </c>
      <c r="P107" s="4" t="b">
        <f aca="false">TRUE()</f>
        <v>1</v>
      </c>
      <c r="R107" s="1" t="s">
        <v>585</v>
      </c>
      <c r="S107" s="1" t="s">
        <v>622</v>
      </c>
      <c r="T107" s="1" t="s">
        <v>222</v>
      </c>
      <c r="U107" s="1" t="s">
        <v>223</v>
      </c>
    </row>
    <row r="108" customFormat="false" ht="48" hidden="false" customHeight="true" outlineLevel="0" collapsed="false">
      <c r="A108" s="1" t="s">
        <v>43</v>
      </c>
      <c r="B108" s="1" t="s">
        <v>212</v>
      </c>
      <c r="C108" s="1" t="s">
        <v>84</v>
      </c>
      <c r="D108" s="1" t="s">
        <v>580</v>
      </c>
      <c r="E108" s="1" t="n">
        <v>11</v>
      </c>
      <c r="F108" s="1" t="s">
        <v>623</v>
      </c>
      <c r="G108" s="1" t="s">
        <v>229</v>
      </c>
      <c r="H108" s="1" t="s">
        <v>624</v>
      </c>
      <c r="I108" s="1" t="s">
        <v>218</v>
      </c>
      <c r="J108" s="1" t="s">
        <v>597</v>
      </c>
      <c r="K108" s="1" t="n">
        <v>94.99</v>
      </c>
      <c r="L108" s="1" t="n">
        <v>4.5</v>
      </c>
      <c r="M108" s="1" t="n">
        <v>556</v>
      </c>
      <c r="N108" s="4" t="b">
        <f aca="false">FALSE()</f>
        <v>0</v>
      </c>
      <c r="O108" s="1" t="s">
        <v>625</v>
      </c>
      <c r="P108" s="4" t="b">
        <f aca="false">TRUE()</f>
        <v>1</v>
      </c>
      <c r="Q108" s="1" t="s">
        <v>435</v>
      </c>
      <c r="R108" s="1" t="s">
        <v>585</v>
      </c>
      <c r="S108" s="1" t="s">
        <v>626</v>
      </c>
      <c r="T108" s="1" t="s">
        <v>222</v>
      </c>
      <c r="U108" s="1" t="s">
        <v>223</v>
      </c>
    </row>
    <row r="109" customFormat="false" ht="48" hidden="false" customHeight="true" outlineLevel="0" collapsed="false">
      <c r="A109" s="1" t="s">
        <v>43</v>
      </c>
      <c r="B109" s="1" t="s">
        <v>212</v>
      </c>
      <c r="C109" s="1" t="s">
        <v>84</v>
      </c>
      <c r="D109" s="1" t="s">
        <v>580</v>
      </c>
      <c r="E109" s="1" t="n">
        <v>12</v>
      </c>
      <c r="F109" s="1" t="s">
        <v>627</v>
      </c>
      <c r="G109" s="1" t="s">
        <v>628</v>
      </c>
      <c r="H109" s="1" t="s">
        <v>629</v>
      </c>
      <c r="I109" s="1" t="s">
        <v>218</v>
      </c>
      <c r="J109" s="1" t="s">
        <v>584</v>
      </c>
      <c r="K109" s="1" t="n">
        <v>72.99</v>
      </c>
      <c r="L109" s="1" t="n">
        <v>4.2</v>
      </c>
      <c r="M109" s="1" t="n">
        <v>244</v>
      </c>
      <c r="N109" s="4" t="b">
        <f aca="false">FALSE()</f>
        <v>0</v>
      </c>
      <c r="P109" s="4" t="b">
        <f aca="false">TRUE()</f>
        <v>1</v>
      </c>
      <c r="Q109" s="1" t="s">
        <v>233</v>
      </c>
      <c r="R109" s="1" t="s">
        <v>585</v>
      </c>
      <c r="S109" s="1" t="s">
        <v>630</v>
      </c>
      <c r="T109" s="1" t="s">
        <v>222</v>
      </c>
      <c r="U109" s="1" t="s">
        <v>223</v>
      </c>
    </row>
    <row r="110" customFormat="false" ht="48" hidden="false" customHeight="true" outlineLevel="0" collapsed="false">
      <c r="A110" s="1" t="s">
        <v>43</v>
      </c>
      <c r="B110" s="1" t="s">
        <v>212</v>
      </c>
      <c r="C110" s="1" t="s">
        <v>84</v>
      </c>
      <c r="D110" s="1" t="s">
        <v>580</v>
      </c>
      <c r="E110" s="1" t="n">
        <v>13</v>
      </c>
      <c r="F110" s="1" t="s">
        <v>631</v>
      </c>
      <c r="G110" s="1" t="s">
        <v>445</v>
      </c>
      <c r="H110" s="1" t="s">
        <v>632</v>
      </c>
      <c r="I110" s="1" t="s">
        <v>218</v>
      </c>
      <c r="J110" s="1" t="s">
        <v>597</v>
      </c>
      <c r="K110" s="1" t="n">
        <v>39.99</v>
      </c>
      <c r="L110" s="1" t="n">
        <v>4.3</v>
      </c>
      <c r="M110" s="1" t="n">
        <v>797</v>
      </c>
      <c r="N110" s="4" t="b">
        <f aca="false">FALSE()</f>
        <v>0</v>
      </c>
      <c r="O110" s="1" t="s">
        <v>633</v>
      </c>
      <c r="P110" s="4" t="b">
        <f aca="false">TRUE()</f>
        <v>1</v>
      </c>
      <c r="R110" s="1" t="s">
        <v>585</v>
      </c>
      <c r="S110" s="1" t="s">
        <v>634</v>
      </c>
      <c r="T110" s="1" t="s">
        <v>222</v>
      </c>
      <c r="U110" s="1" t="s">
        <v>223</v>
      </c>
    </row>
    <row r="111" customFormat="false" ht="48" hidden="false" customHeight="true" outlineLevel="0" collapsed="false">
      <c r="A111" s="1" t="s">
        <v>43</v>
      </c>
      <c r="B111" s="1" t="s">
        <v>212</v>
      </c>
      <c r="C111" s="1" t="s">
        <v>84</v>
      </c>
      <c r="D111" s="1" t="s">
        <v>580</v>
      </c>
      <c r="E111" s="1" t="n">
        <v>14</v>
      </c>
      <c r="F111" s="1" t="s">
        <v>635</v>
      </c>
      <c r="G111" s="1" t="s">
        <v>445</v>
      </c>
      <c r="H111" s="1" t="s">
        <v>636</v>
      </c>
      <c r="I111" s="1" t="s">
        <v>231</v>
      </c>
      <c r="J111" s="1" t="s">
        <v>597</v>
      </c>
      <c r="K111" s="1" t="n">
        <v>48.99</v>
      </c>
      <c r="L111" s="1" t="n">
        <v>4.1</v>
      </c>
      <c r="M111" s="1" t="n">
        <v>1500</v>
      </c>
      <c r="N111" s="4" t="b">
        <f aca="false">FALSE()</f>
        <v>0</v>
      </c>
      <c r="P111" s="4" t="b">
        <f aca="false">TRUE()</f>
        <v>1</v>
      </c>
      <c r="R111" s="1" t="s">
        <v>585</v>
      </c>
      <c r="S111" s="1" t="s">
        <v>637</v>
      </c>
      <c r="T111" s="1" t="s">
        <v>222</v>
      </c>
      <c r="U111" s="1" t="s">
        <v>223</v>
      </c>
    </row>
    <row r="112" customFormat="false" ht="48" hidden="false" customHeight="true" outlineLevel="0" collapsed="false">
      <c r="A112" s="1" t="s">
        <v>43</v>
      </c>
      <c r="B112" s="1" t="s">
        <v>212</v>
      </c>
      <c r="C112" s="1" t="s">
        <v>84</v>
      </c>
      <c r="D112" s="1" t="s">
        <v>580</v>
      </c>
      <c r="E112" s="1" t="n">
        <v>15</v>
      </c>
      <c r="F112" s="1" t="s">
        <v>638</v>
      </c>
      <c r="G112" s="1" t="s">
        <v>236</v>
      </c>
      <c r="H112" s="1" t="s">
        <v>639</v>
      </c>
      <c r="I112" s="1" t="s">
        <v>218</v>
      </c>
      <c r="J112" s="1" t="s">
        <v>584</v>
      </c>
      <c r="K112" s="1" t="n">
        <v>45.88</v>
      </c>
      <c r="L112" s="1" t="n">
        <v>4.2</v>
      </c>
      <c r="M112" s="1" t="n">
        <v>5800</v>
      </c>
      <c r="N112" s="4" t="b">
        <f aca="false">FALSE()</f>
        <v>0</v>
      </c>
      <c r="O112" s="1" t="s">
        <v>640</v>
      </c>
      <c r="P112" s="4" t="b">
        <f aca="false">TRUE()</f>
        <v>1</v>
      </c>
      <c r="Q112" s="1" t="s">
        <v>251</v>
      </c>
      <c r="R112" s="1" t="s">
        <v>585</v>
      </c>
      <c r="S112" s="1" t="s">
        <v>641</v>
      </c>
      <c r="T112" s="1" t="s">
        <v>222</v>
      </c>
      <c r="U112" s="1" t="s">
        <v>223</v>
      </c>
    </row>
    <row r="113" customFormat="false" ht="48" hidden="false" customHeight="true" outlineLevel="0" collapsed="false">
      <c r="A113" s="1" t="s">
        <v>43</v>
      </c>
      <c r="B113" s="1" t="s">
        <v>212</v>
      </c>
      <c r="C113" s="1" t="s">
        <v>84</v>
      </c>
      <c r="D113" s="1" t="s">
        <v>580</v>
      </c>
      <c r="E113" s="1" t="n">
        <v>16</v>
      </c>
      <c r="F113" s="1" t="s">
        <v>642</v>
      </c>
      <c r="G113" s="1" t="s">
        <v>445</v>
      </c>
      <c r="H113" s="1" t="s">
        <v>643</v>
      </c>
      <c r="I113" s="1" t="s">
        <v>231</v>
      </c>
      <c r="J113" s="1" t="s">
        <v>597</v>
      </c>
      <c r="K113" s="1" t="n">
        <v>42.99</v>
      </c>
      <c r="L113" s="1" t="n">
        <v>4.4</v>
      </c>
      <c r="M113" s="1" t="n">
        <v>1600</v>
      </c>
      <c r="N113" s="4" t="b">
        <f aca="false">FALSE()</f>
        <v>0</v>
      </c>
      <c r="O113" s="1" t="s">
        <v>644</v>
      </c>
      <c r="P113" s="4" t="b">
        <f aca="false">TRUE()</f>
        <v>1</v>
      </c>
      <c r="R113" s="1" t="s">
        <v>585</v>
      </c>
      <c r="S113" s="1" t="s">
        <v>645</v>
      </c>
      <c r="T113" s="1" t="s">
        <v>222</v>
      </c>
      <c r="U113" s="1" t="s">
        <v>223</v>
      </c>
    </row>
    <row r="114" customFormat="false" ht="48" hidden="false" customHeight="true" outlineLevel="0" collapsed="false">
      <c r="A114" s="1" t="s">
        <v>43</v>
      </c>
      <c r="B114" s="1" t="s">
        <v>212</v>
      </c>
      <c r="C114" s="1" t="s">
        <v>84</v>
      </c>
      <c r="D114" s="1" t="s">
        <v>580</v>
      </c>
      <c r="E114" s="1" t="n">
        <v>17</v>
      </c>
      <c r="F114" s="1" t="s">
        <v>646</v>
      </c>
      <c r="G114" s="1" t="s">
        <v>445</v>
      </c>
      <c r="H114" s="1" t="s">
        <v>647</v>
      </c>
      <c r="I114" s="1" t="s">
        <v>218</v>
      </c>
      <c r="J114" s="1" t="s">
        <v>597</v>
      </c>
      <c r="K114" s="1" t="n">
        <v>44.99</v>
      </c>
      <c r="L114" s="1" t="n">
        <v>4.4</v>
      </c>
      <c r="M114" s="1" t="n">
        <v>4100</v>
      </c>
      <c r="N114" s="4" t="b">
        <f aca="false">FALSE()</f>
        <v>0</v>
      </c>
      <c r="P114" s="4" t="b">
        <f aca="false">TRUE()</f>
        <v>1</v>
      </c>
      <c r="R114" s="1" t="s">
        <v>585</v>
      </c>
      <c r="S114" s="1" t="s">
        <v>648</v>
      </c>
      <c r="T114" s="1" t="s">
        <v>222</v>
      </c>
      <c r="U114" s="1" t="s">
        <v>223</v>
      </c>
    </row>
    <row r="115" customFormat="false" ht="48" hidden="false" customHeight="true" outlineLevel="0" collapsed="false">
      <c r="A115" s="1" t="s">
        <v>43</v>
      </c>
      <c r="B115" s="1" t="s">
        <v>212</v>
      </c>
      <c r="C115" s="1" t="s">
        <v>84</v>
      </c>
      <c r="D115" s="1" t="s">
        <v>580</v>
      </c>
      <c r="E115" s="1" t="n">
        <v>18</v>
      </c>
      <c r="F115" s="1" t="s">
        <v>649</v>
      </c>
      <c r="G115" s="1" t="s">
        <v>445</v>
      </c>
      <c r="H115" s="1" t="s">
        <v>650</v>
      </c>
      <c r="I115" s="1" t="s">
        <v>231</v>
      </c>
      <c r="J115" s="1" t="s">
        <v>597</v>
      </c>
      <c r="K115" s="1" t="n">
        <v>50.99</v>
      </c>
      <c r="L115" s="1" t="n">
        <v>4.5</v>
      </c>
      <c r="M115" s="1" t="n">
        <v>2500</v>
      </c>
      <c r="N115" s="4" t="b">
        <f aca="false">FALSE()</f>
        <v>0</v>
      </c>
      <c r="O115" s="1" t="s">
        <v>651</v>
      </c>
      <c r="P115" s="4" t="b">
        <f aca="false">TRUE()</f>
        <v>1</v>
      </c>
      <c r="Q115" s="1" t="s">
        <v>233</v>
      </c>
      <c r="R115" s="1" t="s">
        <v>585</v>
      </c>
      <c r="S115" s="1" t="s">
        <v>652</v>
      </c>
      <c r="T115" s="1" t="s">
        <v>222</v>
      </c>
      <c r="U115" s="1" t="s">
        <v>223</v>
      </c>
    </row>
    <row r="116" customFormat="false" ht="48" hidden="false" customHeight="true" outlineLevel="0" collapsed="false">
      <c r="A116" s="1" t="s">
        <v>43</v>
      </c>
      <c r="B116" s="1" t="s">
        <v>212</v>
      </c>
      <c r="C116" s="1" t="s">
        <v>84</v>
      </c>
      <c r="D116" s="1" t="s">
        <v>580</v>
      </c>
      <c r="E116" s="1" t="n">
        <v>19</v>
      </c>
      <c r="F116" s="1" t="s">
        <v>653</v>
      </c>
      <c r="G116" s="1" t="s">
        <v>236</v>
      </c>
      <c r="H116" s="1" t="s">
        <v>654</v>
      </c>
      <c r="I116" s="1" t="s">
        <v>218</v>
      </c>
      <c r="J116" s="1" t="s">
        <v>597</v>
      </c>
      <c r="K116" s="1" t="n">
        <v>49.99</v>
      </c>
      <c r="L116" s="1" t="n">
        <v>4.5</v>
      </c>
      <c r="M116" s="1" t="n">
        <v>1300</v>
      </c>
      <c r="N116" s="4" t="b">
        <f aca="false">FALSE()</f>
        <v>0</v>
      </c>
      <c r="O116" s="1" t="s">
        <v>655</v>
      </c>
      <c r="P116" s="4" t="b">
        <f aca="false">TRUE()</f>
        <v>1</v>
      </c>
      <c r="R116" s="1" t="s">
        <v>585</v>
      </c>
      <c r="S116" s="1" t="s">
        <v>656</v>
      </c>
      <c r="T116" s="1" t="s">
        <v>222</v>
      </c>
      <c r="U116" s="1" t="s">
        <v>223</v>
      </c>
    </row>
    <row r="117" customFormat="false" ht="48" hidden="false" customHeight="true" outlineLevel="0" collapsed="false">
      <c r="A117" s="1" t="s">
        <v>43</v>
      </c>
      <c r="B117" s="1" t="s">
        <v>212</v>
      </c>
      <c r="C117" s="1" t="s">
        <v>84</v>
      </c>
      <c r="D117" s="1" t="s">
        <v>580</v>
      </c>
      <c r="E117" s="1" t="n">
        <v>20</v>
      </c>
      <c r="F117" s="1" t="s">
        <v>657</v>
      </c>
      <c r="G117" s="1" t="s">
        <v>236</v>
      </c>
      <c r="H117" s="1" t="s">
        <v>658</v>
      </c>
      <c r="I117" s="1" t="s">
        <v>218</v>
      </c>
      <c r="J117" s="1" t="s">
        <v>584</v>
      </c>
      <c r="K117" s="1" t="n">
        <v>79.99</v>
      </c>
      <c r="L117" s="1" t="n">
        <v>4.4</v>
      </c>
      <c r="M117" s="1" t="n">
        <v>281</v>
      </c>
      <c r="N117" s="4" t="b">
        <f aca="false">FALSE()</f>
        <v>0</v>
      </c>
      <c r="O117" s="1" t="s">
        <v>659</v>
      </c>
      <c r="P117" s="4" t="b">
        <f aca="false">TRUE()</f>
        <v>1</v>
      </c>
      <c r="R117" s="1" t="s">
        <v>585</v>
      </c>
      <c r="S117" s="1" t="s">
        <v>660</v>
      </c>
      <c r="T117" s="1" t="s">
        <v>222</v>
      </c>
      <c r="U117" s="1" t="s">
        <v>223</v>
      </c>
    </row>
    <row r="118" customFormat="false" ht="48" hidden="false" customHeight="true" outlineLevel="0" collapsed="false">
      <c r="A118" s="1" t="s">
        <v>43</v>
      </c>
      <c r="B118" s="1" t="s">
        <v>212</v>
      </c>
      <c r="C118" s="1" t="s">
        <v>84</v>
      </c>
      <c r="D118" s="1" t="s">
        <v>580</v>
      </c>
      <c r="E118" s="1" t="n">
        <v>21</v>
      </c>
      <c r="F118" s="1" t="s">
        <v>661</v>
      </c>
      <c r="G118" s="1" t="s">
        <v>445</v>
      </c>
      <c r="H118" s="1" t="s">
        <v>662</v>
      </c>
      <c r="I118" s="1" t="s">
        <v>231</v>
      </c>
      <c r="J118" s="1" t="s">
        <v>597</v>
      </c>
      <c r="K118" s="1" t="n">
        <v>39.99</v>
      </c>
      <c r="L118" s="1" t="n">
        <v>4.5</v>
      </c>
      <c r="M118" s="1" t="n">
        <v>1600</v>
      </c>
      <c r="N118" s="4" t="b">
        <f aca="false">FALSE()</f>
        <v>0</v>
      </c>
      <c r="P118" s="4" t="b">
        <f aca="false">TRUE()</f>
        <v>1</v>
      </c>
      <c r="R118" s="1" t="s">
        <v>585</v>
      </c>
      <c r="S118" s="1" t="s">
        <v>663</v>
      </c>
      <c r="T118" s="1" t="s">
        <v>222</v>
      </c>
      <c r="U118" s="1" t="s">
        <v>223</v>
      </c>
    </row>
    <row r="119" customFormat="false" ht="48" hidden="false" customHeight="true" outlineLevel="0" collapsed="false">
      <c r="A119" s="1" t="s">
        <v>43</v>
      </c>
      <c r="B119" s="1" t="s">
        <v>212</v>
      </c>
      <c r="C119" s="1" t="s">
        <v>84</v>
      </c>
      <c r="D119" s="1" t="s">
        <v>580</v>
      </c>
      <c r="E119" s="1" t="n">
        <v>22</v>
      </c>
      <c r="F119" s="1" t="s">
        <v>664</v>
      </c>
      <c r="G119" s="1" t="s">
        <v>236</v>
      </c>
      <c r="H119" s="1" t="s">
        <v>665</v>
      </c>
      <c r="I119" s="1" t="s">
        <v>218</v>
      </c>
      <c r="J119" s="1" t="s">
        <v>597</v>
      </c>
      <c r="K119" s="1" t="n">
        <v>129.99</v>
      </c>
      <c r="L119" s="1" t="n">
        <v>4.2</v>
      </c>
      <c r="M119" s="1" t="n">
        <v>83</v>
      </c>
      <c r="N119" s="4" t="b">
        <f aca="false">FALSE()</f>
        <v>0</v>
      </c>
      <c r="O119" s="1" t="s">
        <v>666</v>
      </c>
      <c r="P119" s="4" t="b">
        <f aca="false">TRUE()</f>
        <v>1</v>
      </c>
      <c r="Q119" s="1" t="s">
        <v>251</v>
      </c>
      <c r="R119" s="1" t="s">
        <v>585</v>
      </c>
      <c r="S119" s="1" t="s">
        <v>667</v>
      </c>
      <c r="T119" s="1" t="s">
        <v>222</v>
      </c>
      <c r="U119" s="1" t="s">
        <v>223</v>
      </c>
    </row>
    <row r="120" customFormat="false" ht="48" hidden="false" customHeight="true" outlineLevel="0" collapsed="false">
      <c r="A120" s="1" t="s">
        <v>43</v>
      </c>
      <c r="B120" s="1" t="s">
        <v>212</v>
      </c>
      <c r="C120" s="1" t="s">
        <v>84</v>
      </c>
      <c r="D120" s="1" t="s">
        <v>580</v>
      </c>
      <c r="E120" s="1" t="n">
        <v>23</v>
      </c>
      <c r="F120" s="1" t="s">
        <v>668</v>
      </c>
      <c r="G120" s="1" t="s">
        <v>229</v>
      </c>
      <c r="H120" s="1" t="s">
        <v>669</v>
      </c>
      <c r="I120" s="1" t="s">
        <v>231</v>
      </c>
      <c r="J120" s="1" t="s">
        <v>670</v>
      </c>
      <c r="K120" s="1" t="n">
        <v>47.99</v>
      </c>
      <c r="L120" s="1" t="n">
        <v>4.6</v>
      </c>
      <c r="M120" s="1" t="n">
        <v>39</v>
      </c>
      <c r="N120" s="4" t="b">
        <f aca="false">FALSE()</f>
        <v>0</v>
      </c>
      <c r="P120" s="4" t="b">
        <f aca="false">TRUE()</f>
        <v>1</v>
      </c>
      <c r="R120" s="1" t="s">
        <v>585</v>
      </c>
      <c r="S120" s="1" t="s">
        <v>671</v>
      </c>
      <c r="T120" s="1" t="s">
        <v>222</v>
      </c>
      <c r="U120" s="1" t="s">
        <v>223</v>
      </c>
    </row>
    <row r="121" customFormat="false" ht="48" hidden="false" customHeight="true" outlineLevel="0" collapsed="false">
      <c r="A121" s="1" t="s">
        <v>43</v>
      </c>
      <c r="B121" s="1" t="s">
        <v>212</v>
      </c>
      <c r="C121" s="1" t="s">
        <v>84</v>
      </c>
      <c r="D121" s="1" t="s">
        <v>580</v>
      </c>
      <c r="E121" s="1" t="n">
        <v>24</v>
      </c>
      <c r="F121" s="1" t="s">
        <v>672</v>
      </c>
      <c r="G121" s="1" t="s">
        <v>236</v>
      </c>
      <c r="H121" s="1" t="s">
        <v>673</v>
      </c>
      <c r="I121" s="1" t="s">
        <v>218</v>
      </c>
      <c r="J121" s="1" t="s">
        <v>584</v>
      </c>
      <c r="K121" s="1" t="n">
        <v>79.99</v>
      </c>
      <c r="L121" s="1" t="n">
        <v>4.4</v>
      </c>
      <c r="M121" s="1" t="n">
        <v>256</v>
      </c>
      <c r="N121" s="4" t="b">
        <f aca="false">FALSE()</f>
        <v>0</v>
      </c>
      <c r="O121" s="1" t="s">
        <v>674</v>
      </c>
      <c r="P121" s="4" t="b">
        <f aca="false">TRUE()</f>
        <v>1</v>
      </c>
      <c r="R121" s="1" t="s">
        <v>585</v>
      </c>
      <c r="S121" s="1" t="s">
        <v>675</v>
      </c>
      <c r="T121" s="1" t="s">
        <v>222</v>
      </c>
      <c r="U121" s="1" t="s">
        <v>223</v>
      </c>
    </row>
    <row r="122" customFormat="false" ht="48" hidden="false" customHeight="true" outlineLevel="0" collapsed="false">
      <c r="A122" s="1" t="s">
        <v>43</v>
      </c>
      <c r="B122" s="1" t="s">
        <v>212</v>
      </c>
      <c r="C122" s="1" t="s">
        <v>84</v>
      </c>
      <c r="D122" s="1" t="s">
        <v>580</v>
      </c>
      <c r="E122" s="1" t="n">
        <v>25</v>
      </c>
      <c r="F122" s="1" t="s">
        <v>676</v>
      </c>
      <c r="G122" s="1" t="s">
        <v>677</v>
      </c>
      <c r="H122" s="1" t="s">
        <v>678</v>
      </c>
      <c r="I122" s="1" t="s">
        <v>218</v>
      </c>
      <c r="J122" s="1" t="s">
        <v>597</v>
      </c>
      <c r="K122" s="1" t="n">
        <v>71.99</v>
      </c>
      <c r="L122" s="1" t="n">
        <v>4.4</v>
      </c>
      <c r="M122" s="1" t="n">
        <v>4000</v>
      </c>
      <c r="N122" s="4" t="b">
        <f aca="false">FALSE()</f>
        <v>0</v>
      </c>
      <c r="P122" s="4" t="b">
        <f aca="false">TRUE()</f>
        <v>1</v>
      </c>
      <c r="R122" s="1" t="s">
        <v>585</v>
      </c>
      <c r="S122" s="1" t="s">
        <v>679</v>
      </c>
      <c r="T122" s="1" t="s">
        <v>222</v>
      </c>
      <c r="U122" s="1" t="s">
        <v>223</v>
      </c>
    </row>
    <row r="123" customFormat="false" ht="48" hidden="false" customHeight="true" outlineLevel="0" collapsed="false">
      <c r="A123" s="1" t="s">
        <v>43</v>
      </c>
      <c r="B123" s="1" t="s">
        <v>212</v>
      </c>
      <c r="C123" s="1" t="s">
        <v>84</v>
      </c>
      <c r="D123" s="1" t="s">
        <v>580</v>
      </c>
      <c r="E123" s="1" t="n">
        <v>26</v>
      </c>
      <c r="F123" s="1" t="s">
        <v>680</v>
      </c>
      <c r="G123" s="1" t="s">
        <v>681</v>
      </c>
      <c r="H123" s="1" t="s">
        <v>682</v>
      </c>
      <c r="I123" s="1" t="s">
        <v>218</v>
      </c>
      <c r="J123" s="1" t="s">
        <v>584</v>
      </c>
      <c r="K123" s="1" t="n">
        <v>95.99</v>
      </c>
      <c r="L123" s="1" t="n">
        <v>4.6</v>
      </c>
      <c r="M123" s="1" t="n">
        <v>1800</v>
      </c>
      <c r="N123" s="4" t="b">
        <f aca="false">FALSE()</f>
        <v>0</v>
      </c>
      <c r="P123" s="4" t="b">
        <f aca="false">TRUE()</f>
        <v>1</v>
      </c>
      <c r="R123" s="1" t="s">
        <v>585</v>
      </c>
      <c r="S123" s="1" t="s">
        <v>683</v>
      </c>
      <c r="T123" s="1" t="s">
        <v>222</v>
      </c>
      <c r="U123" s="1" t="s">
        <v>223</v>
      </c>
    </row>
    <row r="124" customFormat="false" ht="48" hidden="false" customHeight="true" outlineLevel="0" collapsed="false">
      <c r="A124" s="1" t="s">
        <v>43</v>
      </c>
      <c r="B124" s="1" t="s">
        <v>212</v>
      </c>
      <c r="C124" s="1" t="s">
        <v>84</v>
      </c>
      <c r="D124" s="1" t="s">
        <v>580</v>
      </c>
      <c r="E124" s="1" t="n">
        <v>27</v>
      </c>
      <c r="F124" s="1" t="s">
        <v>684</v>
      </c>
      <c r="G124" s="1" t="s">
        <v>681</v>
      </c>
      <c r="H124" s="1" t="s">
        <v>685</v>
      </c>
      <c r="I124" s="1" t="s">
        <v>218</v>
      </c>
      <c r="J124" s="1" t="s">
        <v>584</v>
      </c>
      <c r="K124" s="1" t="n">
        <v>89.99</v>
      </c>
      <c r="L124" s="1" t="n">
        <v>4.4</v>
      </c>
      <c r="M124" s="1" t="n">
        <v>14700</v>
      </c>
      <c r="N124" s="4" t="b">
        <f aca="false">FALSE()</f>
        <v>0</v>
      </c>
      <c r="P124" s="4" t="b">
        <f aca="false">TRUE()</f>
        <v>1</v>
      </c>
      <c r="R124" s="1" t="s">
        <v>585</v>
      </c>
      <c r="S124" s="1" t="s">
        <v>686</v>
      </c>
      <c r="T124" s="1" t="s">
        <v>222</v>
      </c>
      <c r="U124" s="1" t="s">
        <v>223</v>
      </c>
    </row>
    <row r="125" customFormat="false" ht="48" hidden="false" customHeight="true" outlineLevel="0" collapsed="false">
      <c r="A125" s="1" t="s">
        <v>43</v>
      </c>
      <c r="B125" s="1" t="s">
        <v>212</v>
      </c>
      <c r="C125" s="1" t="s">
        <v>84</v>
      </c>
      <c r="D125" s="1" t="s">
        <v>580</v>
      </c>
      <c r="E125" s="1" t="n">
        <v>28</v>
      </c>
      <c r="F125" s="1" t="s">
        <v>687</v>
      </c>
      <c r="G125" s="1" t="s">
        <v>236</v>
      </c>
      <c r="H125" s="1" t="s">
        <v>688</v>
      </c>
      <c r="I125" s="1" t="s">
        <v>242</v>
      </c>
      <c r="J125" s="1" t="s">
        <v>689</v>
      </c>
      <c r="K125" s="1" t="n">
        <v>69.99</v>
      </c>
      <c r="L125" s="1" t="n">
        <v>4.4</v>
      </c>
      <c r="M125" s="1" t="n">
        <v>110</v>
      </c>
      <c r="N125" s="4" t="b">
        <f aca="false">FALSE()</f>
        <v>0</v>
      </c>
      <c r="O125" s="1" t="s">
        <v>690</v>
      </c>
      <c r="P125" s="4" t="b">
        <f aca="false">TRUE()</f>
        <v>1</v>
      </c>
      <c r="R125" s="1" t="s">
        <v>585</v>
      </c>
      <c r="S125" s="1" t="s">
        <v>691</v>
      </c>
      <c r="T125" s="1" t="s">
        <v>222</v>
      </c>
      <c r="U125" s="1" t="s">
        <v>223</v>
      </c>
    </row>
    <row r="126" customFormat="false" ht="48" hidden="false" customHeight="true" outlineLevel="0" collapsed="false">
      <c r="A126" s="1" t="s">
        <v>43</v>
      </c>
      <c r="B126" s="1" t="s">
        <v>212</v>
      </c>
      <c r="C126" s="1" t="s">
        <v>84</v>
      </c>
      <c r="D126" s="1" t="s">
        <v>580</v>
      </c>
      <c r="E126" s="1" t="n">
        <v>29</v>
      </c>
      <c r="F126" s="1" t="s">
        <v>692</v>
      </c>
      <c r="G126" s="1" t="s">
        <v>236</v>
      </c>
      <c r="H126" s="1" t="s">
        <v>693</v>
      </c>
      <c r="I126" s="1" t="s">
        <v>218</v>
      </c>
      <c r="J126" s="1" t="s">
        <v>597</v>
      </c>
      <c r="K126" s="1" t="n">
        <v>59.99</v>
      </c>
      <c r="L126" s="1" t="n">
        <v>4.3</v>
      </c>
      <c r="M126" s="1" t="n">
        <v>126</v>
      </c>
      <c r="N126" s="4" t="b">
        <f aca="false">FALSE()</f>
        <v>0</v>
      </c>
      <c r="P126" s="4" t="b">
        <f aca="false">TRUE()</f>
        <v>1</v>
      </c>
      <c r="R126" s="1" t="s">
        <v>585</v>
      </c>
      <c r="S126" s="1" t="s">
        <v>694</v>
      </c>
      <c r="T126" s="1" t="s">
        <v>222</v>
      </c>
      <c r="U126" s="1" t="s">
        <v>223</v>
      </c>
    </row>
    <row r="127" customFormat="false" ht="48" hidden="false" customHeight="true" outlineLevel="0" collapsed="false">
      <c r="A127" s="1" t="s">
        <v>43</v>
      </c>
      <c r="B127" s="1" t="s">
        <v>212</v>
      </c>
      <c r="C127" s="1" t="s">
        <v>84</v>
      </c>
      <c r="D127" s="1" t="s">
        <v>580</v>
      </c>
      <c r="E127" s="1" t="n">
        <v>30</v>
      </c>
      <c r="F127" s="1" t="s">
        <v>695</v>
      </c>
      <c r="G127" s="1" t="s">
        <v>236</v>
      </c>
      <c r="H127" s="1" t="s">
        <v>696</v>
      </c>
      <c r="I127" s="1" t="s">
        <v>218</v>
      </c>
      <c r="J127" s="1" t="s">
        <v>597</v>
      </c>
      <c r="K127" s="1" t="n">
        <v>102.99</v>
      </c>
      <c r="L127" s="1" t="n">
        <v>4.2</v>
      </c>
      <c r="M127" s="1" t="n">
        <v>462</v>
      </c>
      <c r="N127" s="4" t="b">
        <f aca="false">FALSE()</f>
        <v>0</v>
      </c>
      <c r="P127" s="4" t="b">
        <f aca="false">TRUE()</f>
        <v>1</v>
      </c>
      <c r="R127" s="1" t="s">
        <v>585</v>
      </c>
      <c r="S127" s="1" t="s">
        <v>697</v>
      </c>
      <c r="T127" s="1" t="s">
        <v>222</v>
      </c>
      <c r="U127" s="1" t="s">
        <v>223</v>
      </c>
    </row>
    <row r="128" customFormat="false" ht="48" hidden="false" customHeight="true" outlineLevel="0" collapsed="false">
      <c r="A128" s="1" t="s">
        <v>43</v>
      </c>
      <c r="B128" s="1" t="s">
        <v>212</v>
      </c>
      <c r="C128" s="1" t="s">
        <v>84</v>
      </c>
      <c r="D128" s="1" t="s">
        <v>580</v>
      </c>
      <c r="E128" s="1" t="n">
        <v>31</v>
      </c>
      <c r="F128" s="1" t="s">
        <v>698</v>
      </c>
      <c r="G128" s="1" t="s">
        <v>236</v>
      </c>
      <c r="H128" s="1" t="s">
        <v>699</v>
      </c>
      <c r="I128" s="1" t="s">
        <v>218</v>
      </c>
      <c r="J128" s="1" t="s">
        <v>584</v>
      </c>
      <c r="K128" s="1" t="n">
        <v>72.99</v>
      </c>
      <c r="L128" s="1" t="n">
        <v>4.4</v>
      </c>
      <c r="M128" s="1" t="n">
        <v>668</v>
      </c>
      <c r="N128" s="4" t="b">
        <f aca="false">FALSE()</f>
        <v>0</v>
      </c>
      <c r="P128" s="4" t="b">
        <f aca="false">TRUE()</f>
        <v>1</v>
      </c>
      <c r="R128" s="1" t="s">
        <v>585</v>
      </c>
      <c r="S128" s="1" t="s">
        <v>700</v>
      </c>
      <c r="T128" s="1" t="s">
        <v>222</v>
      </c>
      <c r="U128" s="1" t="s">
        <v>223</v>
      </c>
    </row>
    <row r="129" customFormat="false" ht="48" hidden="false" customHeight="true" outlineLevel="0" collapsed="false">
      <c r="A129" s="1" t="s">
        <v>43</v>
      </c>
      <c r="B129" s="1" t="s">
        <v>212</v>
      </c>
      <c r="C129" s="1" t="s">
        <v>84</v>
      </c>
      <c r="D129" s="1" t="s">
        <v>580</v>
      </c>
      <c r="E129" s="1" t="n">
        <v>32</v>
      </c>
      <c r="F129" s="1" t="s">
        <v>701</v>
      </c>
      <c r="G129" s="1" t="s">
        <v>229</v>
      </c>
      <c r="H129" s="1" t="s">
        <v>702</v>
      </c>
      <c r="I129" s="1" t="s">
        <v>218</v>
      </c>
      <c r="J129" s="1" t="s">
        <v>310</v>
      </c>
      <c r="K129" s="1" t="n">
        <v>31.49</v>
      </c>
      <c r="L129" s="1" t="n">
        <v>4.4</v>
      </c>
      <c r="M129" s="1" t="n">
        <v>34800</v>
      </c>
      <c r="N129" s="4" t="b">
        <f aca="false">FALSE()</f>
        <v>0</v>
      </c>
      <c r="O129" s="1" t="s">
        <v>703</v>
      </c>
      <c r="P129" s="4" t="b">
        <f aca="false">FALSE()</f>
        <v>0</v>
      </c>
      <c r="Q129" s="1" t="s">
        <v>435</v>
      </c>
      <c r="R129" s="1" t="s">
        <v>585</v>
      </c>
      <c r="S129" s="1" t="s">
        <v>704</v>
      </c>
      <c r="T129" s="1" t="s">
        <v>222</v>
      </c>
      <c r="U129" s="1" t="s">
        <v>223</v>
      </c>
    </row>
    <row r="130" customFormat="false" ht="48" hidden="false" customHeight="true" outlineLevel="0" collapsed="false">
      <c r="A130" s="1" t="s">
        <v>43</v>
      </c>
      <c r="B130" s="1" t="s">
        <v>212</v>
      </c>
      <c r="C130" s="1" t="s">
        <v>84</v>
      </c>
      <c r="D130" s="1" t="s">
        <v>580</v>
      </c>
      <c r="E130" s="1" t="n">
        <v>33</v>
      </c>
      <c r="F130" s="1" t="s">
        <v>705</v>
      </c>
      <c r="G130" s="1" t="s">
        <v>445</v>
      </c>
      <c r="H130" s="1" t="s">
        <v>706</v>
      </c>
      <c r="I130" s="1" t="s">
        <v>299</v>
      </c>
      <c r="J130" s="1" t="s">
        <v>597</v>
      </c>
      <c r="K130" s="1" t="n">
        <v>38.99</v>
      </c>
      <c r="L130" s="1" t="n">
        <v>4.1</v>
      </c>
      <c r="M130" s="1" t="n">
        <v>1100</v>
      </c>
      <c r="N130" s="4" t="b">
        <f aca="false">FALSE()</f>
        <v>0</v>
      </c>
      <c r="P130" s="4" t="b">
        <f aca="false">TRUE()</f>
        <v>1</v>
      </c>
      <c r="R130" s="1" t="s">
        <v>585</v>
      </c>
      <c r="S130" s="1" t="s">
        <v>707</v>
      </c>
      <c r="T130" s="1" t="s">
        <v>222</v>
      </c>
      <c r="U130" s="1" t="s">
        <v>223</v>
      </c>
    </row>
    <row r="131" customFormat="false" ht="48" hidden="false" customHeight="true" outlineLevel="0" collapsed="false">
      <c r="A131" s="1" t="s">
        <v>43</v>
      </c>
      <c r="B131" s="1" t="s">
        <v>212</v>
      </c>
      <c r="C131" s="1" t="s">
        <v>84</v>
      </c>
      <c r="D131" s="1" t="s">
        <v>580</v>
      </c>
      <c r="E131" s="1" t="n">
        <v>34</v>
      </c>
      <c r="F131" s="1" t="s">
        <v>708</v>
      </c>
      <c r="G131" s="1" t="s">
        <v>236</v>
      </c>
      <c r="H131" s="1" t="s">
        <v>709</v>
      </c>
      <c r="I131" s="1" t="s">
        <v>218</v>
      </c>
      <c r="J131" s="1" t="s">
        <v>597</v>
      </c>
      <c r="K131" s="1" t="n">
        <v>59.99</v>
      </c>
      <c r="L131" s="1" t="n">
        <v>4.2</v>
      </c>
      <c r="M131" s="1" t="n">
        <v>30000</v>
      </c>
      <c r="N131" s="4" t="b">
        <f aca="false">FALSE()</f>
        <v>0</v>
      </c>
      <c r="O131" s="1" t="s">
        <v>710</v>
      </c>
      <c r="P131" s="4" t="b">
        <f aca="false">FALSE()</f>
        <v>0</v>
      </c>
      <c r="Q131" s="1" t="s">
        <v>711</v>
      </c>
      <c r="R131" s="1" t="s">
        <v>585</v>
      </c>
      <c r="S131" s="1" t="s">
        <v>712</v>
      </c>
      <c r="T131" s="1" t="s">
        <v>222</v>
      </c>
      <c r="U131" s="1" t="s">
        <v>223</v>
      </c>
    </row>
    <row r="132" customFormat="false" ht="48" hidden="false" customHeight="true" outlineLevel="0" collapsed="false">
      <c r="A132" s="1" t="s">
        <v>43</v>
      </c>
      <c r="B132" s="1" t="s">
        <v>212</v>
      </c>
      <c r="C132" s="1" t="s">
        <v>84</v>
      </c>
      <c r="D132" s="1" t="s">
        <v>580</v>
      </c>
      <c r="E132" s="1" t="n">
        <v>35</v>
      </c>
      <c r="F132" s="1" t="s">
        <v>713</v>
      </c>
      <c r="G132" s="1" t="s">
        <v>236</v>
      </c>
      <c r="H132" s="1" t="s">
        <v>714</v>
      </c>
      <c r="I132" s="1" t="s">
        <v>218</v>
      </c>
      <c r="J132" s="1" t="s">
        <v>597</v>
      </c>
      <c r="K132" s="1" t="n">
        <v>62.99</v>
      </c>
      <c r="L132" s="1" t="n">
        <v>4.5</v>
      </c>
      <c r="M132" s="1" t="n">
        <v>2400</v>
      </c>
      <c r="N132" s="4" t="b">
        <f aca="false">FALSE()</f>
        <v>0</v>
      </c>
      <c r="O132" s="1" t="s">
        <v>413</v>
      </c>
      <c r="P132" s="4" t="b">
        <f aca="false">TRUE()</f>
        <v>1</v>
      </c>
      <c r="R132" s="1" t="s">
        <v>585</v>
      </c>
      <c r="S132" s="1" t="s">
        <v>715</v>
      </c>
      <c r="T132" s="1" t="s">
        <v>222</v>
      </c>
      <c r="U132" s="1" t="s">
        <v>223</v>
      </c>
    </row>
    <row r="133" customFormat="false" ht="48" hidden="false" customHeight="true" outlineLevel="0" collapsed="false">
      <c r="A133" s="1" t="s">
        <v>43</v>
      </c>
      <c r="B133" s="1" t="s">
        <v>212</v>
      </c>
      <c r="C133" s="1" t="s">
        <v>84</v>
      </c>
      <c r="D133" s="1" t="s">
        <v>580</v>
      </c>
      <c r="E133" s="1" t="n">
        <v>36</v>
      </c>
      <c r="F133" s="1" t="s">
        <v>716</v>
      </c>
      <c r="G133" s="1" t="s">
        <v>236</v>
      </c>
      <c r="H133" s="1" t="s">
        <v>717</v>
      </c>
      <c r="I133" s="1" t="s">
        <v>218</v>
      </c>
      <c r="J133" s="1" t="s">
        <v>597</v>
      </c>
      <c r="K133" s="1" t="n">
        <v>110.99</v>
      </c>
      <c r="L133" s="1" t="n">
        <v>4.3</v>
      </c>
      <c r="M133" s="1" t="n">
        <v>687</v>
      </c>
      <c r="N133" s="4" t="b">
        <f aca="false">FALSE()</f>
        <v>0</v>
      </c>
      <c r="O133" s="1" t="s">
        <v>718</v>
      </c>
      <c r="P133" s="4" t="b">
        <f aca="false">TRUE()</f>
        <v>1</v>
      </c>
      <c r="R133" s="1" t="s">
        <v>585</v>
      </c>
      <c r="S133" s="1" t="s">
        <v>719</v>
      </c>
      <c r="T133" s="1" t="s">
        <v>222</v>
      </c>
      <c r="U133" s="1" t="s">
        <v>223</v>
      </c>
    </row>
    <row r="134" customFormat="false" ht="48" hidden="false" customHeight="true" outlineLevel="0" collapsed="false">
      <c r="A134" s="1" t="s">
        <v>43</v>
      </c>
      <c r="B134" s="1" t="s">
        <v>212</v>
      </c>
      <c r="C134" s="1" t="s">
        <v>84</v>
      </c>
      <c r="D134" s="1" t="s">
        <v>580</v>
      </c>
      <c r="E134" s="1" t="n">
        <v>37</v>
      </c>
      <c r="F134" s="1" t="s">
        <v>720</v>
      </c>
      <c r="G134" s="1" t="s">
        <v>236</v>
      </c>
      <c r="H134" s="1" t="s">
        <v>721</v>
      </c>
      <c r="I134" s="1" t="s">
        <v>218</v>
      </c>
      <c r="J134" s="1" t="s">
        <v>597</v>
      </c>
      <c r="K134" s="1" t="n">
        <v>75.99</v>
      </c>
      <c r="L134" s="1" t="n">
        <v>4.5</v>
      </c>
      <c r="M134" s="1" t="n">
        <v>599</v>
      </c>
      <c r="N134" s="4" t="b">
        <f aca="false">FALSE()</f>
        <v>0</v>
      </c>
      <c r="O134" s="1" t="s">
        <v>722</v>
      </c>
      <c r="P134" s="4" t="b">
        <f aca="false">TRUE()</f>
        <v>1</v>
      </c>
      <c r="R134" s="1" t="s">
        <v>585</v>
      </c>
      <c r="S134" s="1" t="s">
        <v>723</v>
      </c>
      <c r="T134" s="1" t="s">
        <v>222</v>
      </c>
      <c r="U134" s="1" t="s">
        <v>223</v>
      </c>
    </row>
    <row r="135" customFormat="false" ht="48" hidden="false" customHeight="true" outlineLevel="0" collapsed="false">
      <c r="A135" s="1" t="s">
        <v>43</v>
      </c>
      <c r="B135" s="1" t="s">
        <v>212</v>
      </c>
      <c r="C135" s="1" t="s">
        <v>84</v>
      </c>
      <c r="D135" s="1" t="s">
        <v>580</v>
      </c>
      <c r="E135" s="1" t="n">
        <v>38</v>
      </c>
      <c r="F135" s="1" t="s">
        <v>724</v>
      </c>
      <c r="G135" s="1" t="s">
        <v>236</v>
      </c>
      <c r="H135" s="1" t="s">
        <v>725</v>
      </c>
      <c r="I135" s="1" t="s">
        <v>289</v>
      </c>
      <c r="J135" s="1" t="s">
        <v>597</v>
      </c>
      <c r="K135" s="1" t="n">
        <v>72.99</v>
      </c>
      <c r="L135" s="1" t="n">
        <v>4</v>
      </c>
      <c r="M135" s="1" t="n">
        <v>125</v>
      </c>
      <c r="N135" s="4" t="b">
        <f aca="false">FALSE()</f>
        <v>0</v>
      </c>
      <c r="O135" s="1" t="s">
        <v>726</v>
      </c>
      <c r="P135" s="4" t="b">
        <f aca="false">TRUE()</f>
        <v>1</v>
      </c>
      <c r="R135" s="1" t="s">
        <v>585</v>
      </c>
      <c r="S135" s="1" t="s">
        <v>727</v>
      </c>
      <c r="T135" s="1" t="s">
        <v>222</v>
      </c>
      <c r="U135" s="1" t="s">
        <v>223</v>
      </c>
    </row>
    <row r="136" customFormat="false" ht="48" hidden="false" customHeight="true" outlineLevel="0" collapsed="false">
      <c r="A136" s="1" t="s">
        <v>43</v>
      </c>
      <c r="B136" s="1" t="s">
        <v>212</v>
      </c>
      <c r="C136" s="1" t="s">
        <v>84</v>
      </c>
      <c r="D136" s="1" t="s">
        <v>580</v>
      </c>
      <c r="E136" s="1" t="n">
        <v>39</v>
      </c>
      <c r="F136" s="1" t="s">
        <v>728</v>
      </c>
      <c r="G136" s="1" t="s">
        <v>229</v>
      </c>
      <c r="H136" s="1" t="s">
        <v>729</v>
      </c>
      <c r="I136" s="1" t="s">
        <v>218</v>
      </c>
      <c r="J136" s="1" t="s">
        <v>310</v>
      </c>
      <c r="K136" s="1" t="n">
        <v>69.99</v>
      </c>
      <c r="L136" s="1" t="n">
        <v>4.7</v>
      </c>
      <c r="M136" s="1" t="n">
        <v>445</v>
      </c>
      <c r="N136" s="4" t="b">
        <f aca="false">FALSE()</f>
        <v>0</v>
      </c>
      <c r="P136" s="4" t="b">
        <f aca="false">FALSE()</f>
        <v>0</v>
      </c>
      <c r="Q136" s="1" t="s">
        <v>251</v>
      </c>
      <c r="R136" s="1" t="s">
        <v>585</v>
      </c>
      <c r="S136" s="1" t="s">
        <v>730</v>
      </c>
      <c r="T136" s="1" t="s">
        <v>222</v>
      </c>
      <c r="U136" s="1" t="s">
        <v>223</v>
      </c>
    </row>
    <row r="137" customFormat="false" ht="48" hidden="false" customHeight="true" outlineLevel="0" collapsed="false">
      <c r="A137" s="1" t="s">
        <v>43</v>
      </c>
      <c r="B137" s="1" t="s">
        <v>212</v>
      </c>
      <c r="C137" s="1" t="s">
        <v>84</v>
      </c>
      <c r="D137" s="1" t="s">
        <v>580</v>
      </c>
      <c r="E137" s="1" t="n">
        <v>40</v>
      </c>
      <c r="F137" s="1" t="s">
        <v>731</v>
      </c>
      <c r="G137" s="1" t="s">
        <v>236</v>
      </c>
      <c r="H137" s="1" t="s">
        <v>732</v>
      </c>
      <c r="I137" s="1" t="s">
        <v>242</v>
      </c>
      <c r="J137" s="1" t="s">
        <v>597</v>
      </c>
      <c r="K137" s="1" t="n">
        <v>54.99</v>
      </c>
      <c r="L137" s="1" t="n">
        <v>4.2</v>
      </c>
      <c r="M137" s="1" t="n">
        <v>16</v>
      </c>
      <c r="N137" s="4" t="b">
        <f aca="false">FALSE()</f>
        <v>0</v>
      </c>
      <c r="P137" s="4" t="b">
        <f aca="false">TRUE()</f>
        <v>1</v>
      </c>
      <c r="R137" s="1" t="s">
        <v>585</v>
      </c>
      <c r="S137" s="1" t="s">
        <v>733</v>
      </c>
      <c r="T137" s="1" t="s">
        <v>222</v>
      </c>
      <c r="U137" s="1" t="s">
        <v>223</v>
      </c>
    </row>
    <row r="138" customFormat="false" ht="48" hidden="false" customHeight="true" outlineLevel="0" collapsed="false">
      <c r="A138" s="1" t="s">
        <v>43</v>
      </c>
      <c r="B138" s="1" t="s">
        <v>212</v>
      </c>
      <c r="C138" s="1" t="s">
        <v>84</v>
      </c>
      <c r="D138" s="1" t="s">
        <v>580</v>
      </c>
      <c r="E138" s="1" t="n">
        <v>41</v>
      </c>
      <c r="F138" s="1" t="s">
        <v>734</v>
      </c>
      <c r="G138" s="1" t="s">
        <v>236</v>
      </c>
      <c r="H138" s="1" t="s">
        <v>735</v>
      </c>
      <c r="I138" s="1" t="s">
        <v>218</v>
      </c>
      <c r="J138" s="1" t="s">
        <v>597</v>
      </c>
      <c r="K138" s="1" t="n">
        <v>89.99</v>
      </c>
      <c r="L138" s="1" t="n">
        <v>4.2</v>
      </c>
      <c r="M138" s="1" t="n">
        <v>628</v>
      </c>
      <c r="N138" s="4" t="b">
        <f aca="false">FALSE()</f>
        <v>0</v>
      </c>
      <c r="P138" s="4" t="b">
        <f aca="false">TRUE()</f>
        <v>1</v>
      </c>
      <c r="R138" s="1" t="s">
        <v>585</v>
      </c>
      <c r="S138" s="1" t="s">
        <v>736</v>
      </c>
      <c r="T138" s="1" t="s">
        <v>222</v>
      </c>
      <c r="U138" s="1" t="s">
        <v>223</v>
      </c>
    </row>
    <row r="139" customFormat="false" ht="48" hidden="false" customHeight="true" outlineLevel="0" collapsed="false">
      <c r="A139" s="1" t="s">
        <v>43</v>
      </c>
      <c r="B139" s="1" t="s">
        <v>212</v>
      </c>
      <c r="C139" s="1" t="s">
        <v>84</v>
      </c>
      <c r="D139" s="1" t="s">
        <v>580</v>
      </c>
      <c r="E139" s="1" t="n">
        <v>42</v>
      </c>
      <c r="F139" s="1" t="s">
        <v>737</v>
      </c>
      <c r="G139" s="1" t="s">
        <v>229</v>
      </c>
      <c r="H139" s="1" t="s">
        <v>738</v>
      </c>
      <c r="I139" s="1" t="s">
        <v>231</v>
      </c>
      <c r="J139" s="1" t="s">
        <v>597</v>
      </c>
      <c r="K139" s="1" t="n">
        <v>89.99</v>
      </c>
      <c r="L139" s="1" t="n">
        <v>4.2</v>
      </c>
      <c r="M139" s="1" t="n">
        <v>1200</v>
      </c>
      <c r="N139" s="4" t="b">
        <f aca="false">FALSE()</f>
        <v>0</v>
      </c>
      <c r="O139" s="1" t="s">
        <v>739</v>
      </c>
      <c r="P139" s="4" t="b">
        <f aca="false">TRUE()</f>
        <v>1</v>
      </c>
      <c r="R139" s="1" t="s">
        <v>585</v>
      </c>
      <c r="S139" s="1" t="s">
        <v>740</v>
      </c>
      <c r="T139" s="1" t="s">
        <v>222</v>
      </c>
      <c r="U139" s="1" t="s">
        <v>223</v>
      </c>
    </row>
    <row r="140" customFormat="false" ht="48" hidden="false" customHeight="true" outlineLevel="0" collapsed="false">
      <c r="A140" s="1" t="s">
        <v>43</v>
      </c>
      <c r="B140" s="1" t="s">
        <v>212</v>
      </c>
      <c r="C140" s="1" t="s">
        <v>84</v>
      </c>
      <c r="D140" s="1" t="s">
        <v>580</v>
      </c>
      <c r="E140" s="1" t="n">
        <v>43</v>
      </c>
      <c r="F140" s="1" t="s">
        <v>741</v>
      </c>
      <c r="G140" s="1" t="s">
        <v>236</v>
      </c>
      <c r="H140" s="1" t="s">
        <v>742</v>
      </c>
      <c r="I140" s="1" t="s">
        <v>306</v>
      </c>
      <c r="J140" s="1" t="s">
        <v>597</v>
      </c>
      <c r="K140" s="1" t="n">
        <v>179.99</v>
      </c>
      <c r="L140" s="1" t="n">
        <v>4.5</v>
      </c>
      <c r="M140" s="1" t="n">
        <v>22</v>
      </c>
      <c r="N140" s="4" t="b">
        <f aca="false">FALSE()</f>
        <v>0</v>
      </c>
      <c r="P140" s="4" t="b">
        <f aca="false">TRUE()</f>
        <v>1</v>
      </c>
      <c r="R140" s="1" t="s">
        <v>585</v>
      </c>
      <c r="S140" s="1" t="s">
        <v>743</v>
      </c>
      <c r="T140" s="1" t="s">
        <v>222</v>
      </c>
      <c r="U140" s="1" t="s">
        <v>223</v>
      </c>
    </row>
    <row r="141" customFormat="false" ht="48" hidden="false" customHeight="true" outlineLevel="0" collapsed="false">
      <c r="A141" s="1" t="s">
        <v>43</v>
      </c>
      <c r="B141" s="1" t="s">
        <v>212</v>
      </c>
      <c r="C141" s="1" t="s">
        <v>84</v>
      </c>
      <c r="D141" s="1" t="s">
        <v>580</v>
      </c>
      <c r="E141" s="1" t="n">
        <v>44</v>
      </c>
      <c r="F141" s="1" t="s">
        <v>744</v>
      </c>
      <c r="G141" s="1" t="s">
        <v>236</v>
      </c>
      <c r="H141" s="1" t="s">
        <v>745</v>
      </c>
      <c r="I141" s="1" t="s">
        <v>289</v>
      </c>
      <c r="J141" s="1" t="s">
        <v>597</v>
      </c>
      <c r="K141" s="1" t="n">
        <v>62</v>
      </c>
      <c r="L141" s="1" t="n">
        <v>4.5</v>
      </c>
      <c r="M141" s="1" t="n">
        <v>589</v>
      </c>
      <c r="N141" s="4" t="b">
        <f aca="false">FALSE()</f>
        <v>0</v>
      </c>
      <c r="O141" s="1" t="s">
        <v>746</v>
      </c>
      <c r="P141" s="4" t="b">
        <f aca="false">TRUE()</f>
        <v>1</v>
      </c>
      <c r="R141" s="1" t="s">
        <v>585</v>
      </c>
      <c r="S141" s="1" t="s">
        <v>747</v>
      </c>
      <c r="T141" s="1" t="s">
        <v>222</v>
      </c>
      <c r="U141" s="1" t="s">
        <v>223</v>
      </c>
    </row>
    <row r="142" customFormat="false" ht="48" hidden="false" customHeight="true" outlineLevel="0" collapsed="false">
      <c r="A142" s="1" t="s">
        <v>43</v>
      </c>
      <c r="B142" s="1" t="s">
        <v>212</v>
      </c>
      <c r="C142" s="1" t="s">
        <v>84</v>
      </c>
      <c r="D142" s="1" t="s">
        <v>580</v>
      </c>
      <c r="E142" s="1" t="n">
        <v>45</v>
      </c>
      <c r="F142" s="1" t="s">
        <v>748</v>
      </c>
      <c r="G142" s="1" t="s">
        <v>604</v>
      </c>
      <c r="H142" s="1" t="s">
        <v>749</v>
      </c>
      <c r="I142" s="1" t="s">
        <v>218</v>
      </c>
      <c r="J142" s="1" t="s">
        <v>584</v>
      </c>
      <c r="K142" s="1" t="n">
        <v>79.99</v>
      </c>
      <c r="L142" s="1" t="n">
        <v>4.4</v>
      </c>
      <c r="M142" s="1" t="n">
        <v>3900</v>
      </c>
      <c r="N142" s="4" t="b">
        <f aca="false">FALSE()</f>
        <v>0</v>
      </c>
      <c r="P142" s="4" t="b">
        <f aca="false">TRUE()</f>
        <v>1</v>
      </c>
      <c r="R142" s="1" t="s">
        <v>585</v>
      </c>
      <c r="S142" s="1" t="s">
        <v>750</v>
      </c>
      <c r="T142" s="1" t="s">
        <v>222</v>
      </c>
      <c r="U142" s="1" t="s">
        <v>223</v>
      </c>
    </row>
    <row r="143" customFormat="false" ht="48" hidden="false" customHeight="true" outlineLevel="0" collapsed="false">
      <c r="A143" s="1" t="s">
        <v>43</v>
      </c>
      <c r="B143" s="1" t="s">
        <v>212</v>
      </c>
      <c r="C143" s="1" t="s">
        <v>84</v>
      </c>
      <c r="D143" s="1" t="s">
        <v>580</v>
      </c>
      <c r="E143" s="1" t="n">
        <v>46</v>
      </c>
      <c r="F143" s="1" t="s">
        <v>751</v>
      </c>
      <c r="G143" s="1" t="s">
        <v>236</v>
      </c>
      <c r="H143" s="1" t="s">
        <v>752</v>
      </c>
      <c r="I143" s="1" t="s">
        <v>218</v>
      </c>
      <c r="J143" s="1" t="s">
        <v>310</v>
      </c>
      <c r="K143" s="1" t="n">
        <v>39.99</v>
      </c>
      <c r="L143" s="1" t="n">
        <v>4.3</v>
      </c>
      <c r="M143" s="1" t="n">
        <v>8300</v>
      </c>
      <c r="N143" s="4" t="b">
        <f aca="false">FALSE()</f>
        <v>0</v>
      </c>
      <c r="P143" s="4" t="b">
        <f aca="false">FALSE()</f>
        <v>0</v>
      </c>
      <c r="Q143" s="1" t="s">
        <v>233</v>
      </c>
      <c r="R143" s="1" t="s">
        <v>585</v>
      </c>
      <c r="S143" s="1" t="s">
        <v>753</v>
      </c>
      <c r="T143" s="1" t="s">
        <v>222</v>
      </c>
      <c r="U143" s="1" t="s">
        <v>223</v>
      </c>
    </row>
    <row r="144" customFormat="false" ht="48" hidden="false" customHeight="true" outlineLevel="0" collapsed="false">
      <c r="A144" s="1" t="s">
        <v>43</v>
      </c>
      <c r="B144" s="1" t="s">
        <v>212</v>
      </c>
      <c r="C144" s="1" t="s">
        <v>84</v>
      </c>
      <c r="D144" s="1" t="s">
        <v>580</v>
      </c>
      <c r="E144" s="1" t="n">
        <v>47</v>
      </c>
      <c r="F144" s="1" t="s">
        <v>754</v>
      </c>
      <c r="G144" s="1" t="s">
        <v>236</v>
      </c>
      <c r="H144" s="1" t="s">
        <v>755</v>
      </c>
      <c r="I144" s="1" t="s">
        <v>231</v>
      </c>
      <c r="J144" s="1" t="s">
        <v>597</v>
      </c>
      <c r="K144" s="1" t="n">
        <v>62.08</v>
      </c>
      <c r="L144" s="1" t="n">
        <v>4.4</v>
      </c>
      <c r="M144" s="1" t="n">
        <v>656</v>
      </c>
      <c r="N144" s="4" t="b">
        <f aca="false">FALSE()</f>
        <v>0</v>
      </c>
      <c r="O144" s="1" t="s">
        <v>756</v>
      </c>
      <c r="P144" s="4" t="b">
        <f aca="false">TRUE()</f>
        <v>1</v>
      </c>
      <c r="R144" s="1" t="s">
        <v>585</v>
      </c>
      <c r="S144" s="1" t="s">
        <v>757</v>
      </c>
      <c r="T144" s="1" t="s">
        <v>222</v>
      </c>
      <c r="U144" s="1" t="s">
        <v>223</v>
      </c>
    </row>
    <row r="145" customFormat="false" ht="48" hidden="false" customHeight="true" outlineLevel="0" collapsed="false">
      <c r="A145" s="1" t="s">
        <v>43</v>
      </c>
      <c r="B145" s="1" t="s">
        <v>212</v>
      </c>
      <c r="C145" s="1" t="s">
        <v>84</v>
      </c>
      <c r="D145" s="1" t="s">
        <v>580</v>
      </c>
      <c r="E145" s="1" t="n">
        <v>48</v>
      </c>
      <c r="F145" s="1" t="s">
        <v>758</v>
      </c>
      <c r="G145" s="1" t="s">
        <v>236</v>
      </c>
      <c r="H145" s="1" t="s">
        <v>759</v>
      </c>
      <c r="I145" s="1" t="s">
        <v>218</v>
      </c>
      <c r="J145" s="1" t="s">
        <v>597</v>
      </c>
      <c r="K145" s="1" t="n">
        <v>85.99</v>
      </c>
      <c r="L145" s="1" t="n">
        <v>4.4</v>
      </c>
      <c r="M145" s="1" t="n">
        <v>1500</v>
      </c>
      <c r="N145" s="4" t="b">
        <f aca="false">FALSE()</f>
        <v>0</v>
      </c>
      <c r="O145" s="1" t="s">
        <v>760</v>
      </c>
      <c r="P145" s="4" t="b">
        <f aca="false">TRUE()</f>
        <v>1</v>
      </c>
      <c r="R145" s="1" t="s">
        <v>585</v>
      </c>
      <c r="S145" s="1" t="s">
        <v>761</v>
      </c>
      <c r="T145" s="1" t="s">
        <v>222</v>
      </c>
      <c r="U145" s="1" t="s">
        <v>223</v>
      </c>
    </row>
    <row r="146" customFormat="false" ht="48" hidden="false" customHeight="true" outlineLevel="0" collapsed="false">
      <c r="A146" s="1" t="s">
        <v>43</v>
      </c>
      <c r="B146" s="1" t="s">
        <v>212</v>
      </c>
      <c r="C146" s="1" t="s">
        <v>66</v>
      </c>
      <c r="D146" s="1" t="s">
        <v>762</v>
      </c>
      <c r="E146" s="1" t="n">
        <v>1</v>
      </c>
      <c r="F146" s="1" t="s">
        <v>763</v>
      </c>
      <c r="G146" s="1" t="s">
        <v>236</v>
      </c>
      <c r="H146" s="1" t="s">
        <v>764</v>
      </c>
      <c r="I146" s="1" t="s">
        <v>218</v>
      </c>
      <c r="J146" s="1" t="s">
        <v>310</v>
      </c>
      <c r="K146" s="1" t="n">
        <v>16.99</v>
      </c>
      <c r="L146" s="1" t="n">
        <v>4.5</v>
      </c>
      <c r="M146" s="1" t="n">
        <v>98400</v>
      </c>
      <c r="N146" s="4" t="b">
        <f aca="false">FALSE()</f>
        <v>0</v>
      </c>
      <c r="O146" s="1" t="s">
        <v>765</v>
      </c>
      <c r="P146" s="4" t="b">
        <f aca="false">TRUE()</f>
        <v>1</v>
      </c>
      <c r="Q146" s="1" t="s">
        <v>766</v>
      </c>
      <c r="R146" s="1" t="s">
        <v>767</v>
      </c>
      <c r="S146" s="1" t="s">
        <v>768</v>
      </c>
      <c r="T146" s="1" t="s">
        <v>222</v>
      </c>
      <c r="U146" s="1" t="s">
        <v>223</v>
      </c>
    </row>
    <row r="147" customFormat="false" ht="48" hidden="false" customHeight="true" outlineLevel="0" collapsed="false">
      <c r="A147" s="1" t="s">
        <v>43</v>
      </c>
      <c r="B147" s="1" t="s">
        <v>212</v>
      </c>
      <c r="C147" s="1" t="s">
        <v>66</v>
      </c>
      <c r="D147" s="1" t="s">
        <v>762</v>
      </c>
      <c r="E147" s="1" t="n">
        <v>2</v>
      </c>
      <c r="F147" s="1" t="s">
        <v>769</v>
      </c>
      <c r="G147" s="1" t="s">
        <v>236</v>
      </c>
      <c r="H147" s="1" t="s">
        <v>770</v>
      </c>
      <c r="I147" s="1" t="s">
        <v>218</v>
      </c>
      <c r="J147" s="1" t="s">
        <v>310</v>
      </c>
      <c r="K147" s="1" t="n">
        <v>19.99</v>
      </c>
      <c r="L147" s="1" t="n">
        <v>4.6</v>
      </c>
      <c r="M147" s="1" t="n">
        <v>1500</v>
      </c>
      <c r="N147" s="4" t="b">
        <f aca="false">FALSE()</f>
        <v>0</v>
      </c>
      <c r="O147" s="1" t="s">
        <v>771</v>
      </c>
      <c r="P147" s="4" t="b">
        <f aca="false">TRUE()</f>
        <v>1</v>
      </c>
      <c r="Q147" s="1" t="s">
        <v>233</v>
      </c>
      <c r="R147" s="1" t="s">
        <v>767</v>
      </c>
      <c r="S147" s="1" t="s">
        <v>772</v>
      </c>
      <c r="T147" s="1" t="s">
        <v>222</v>
      </c>
      <c r="U147" s="1" t="s">
        <v>223</v>
      </c>
    </row>
    <row r="148" customFormat="false" ht="48" hidden="false" customHeight="true" outlineLevel="0" collapsed="false">
      <c r="A148" s="1" t="s">
        <v>43</v>
      </c>
      <c r="B148" s="1" t="s">
        <v>212</v>
      </c>
      <c r="C148" s="1" t="s">
        <v>66</v>
      </c>
      <c r="D148" s="1" t="s">
        <v>762</v>
      </c>
      <c r="E148" s="1" t="n">
        <v>3</v>
      </c>
      <c r="F148" s="1" t="s">
        <v>773</v>
      </c>
      <c r="G148" s="1" t="s">
        <v>774</v>
      </c>
      <c r="H148" s="1" t="s">
        <v>775</v>
      </c>
      <c r="I148" s="1" t="s">
        <v>242</v>
      </c>
      <c r="J148" s="1" t="s">
        <v>371</v>
      </c>
      <c r="K148" s="1" t="n">
        <v>16.99</v>
      </c>
      <c r="L148" s="1" t="n">
        <v>4.5</v>
      </c>
      <c r="M148" s="1" t="n">
        <v>98400</v>
      </c>
      <c r="N148" s="4" t="b">
        <f aca="false">FALSE()</f>
        <v>0</v>
      </c>
      <c r="O148" s="1" t="s">
        <v>776</v>
      </c>
      <c r="P148" s="4" t="b">
        <f aca="false">TRUE()</f>
        <v>1</v>
      </c>
      <c r="Q148" s="1" t="s">
        <v>777</v>
      </c>
      <c r="R148" s="1" t="s">
        <v>767</v>
      </c>
      <c r="S148" s="1" t="s">
        <v>778</v>
      </c>
      <c r="T148" s="1" t="s">
        <v>222</v>
      </c>
      <c r="U148" s="1" t="s">
        <v>223</v>
      </c>
    </row>
    <row r="149" customFormat="false" ht="48" hidden="false" customHeight="true" outlineLevel="0" collapsed="false">
      <c r="A149" s="1" t="s">
        <v>43</v>
      </c>
      <c r="B149" s="1" t="s">
        <v>212</v>
      </c>
      <c r="C149" s="1" t="s">
        <v>66</v>
      </c>
      <c r="D149" s="1" t="s">
        <v>762</v>
      </c>
      <c r="E149" s="1" t="n">
        <v>4</v>
      </c>
      <c r="F149" s="1" t="s">
        <v>779</v>
      </c>
      <c r="G149" s="1" t="s">
        <v>780</v>
      </c>
      <c r="H149" s="1" t="s">
        <v>781</v>
      </c>
      <c r="I149" s="1" t="s">
        <v>218</v>
      </c>
      <c r="J149" s="1" t="s">
        <v>310</v>
      </c>
      <c r="K149" s="1" t="n">
        <v>31.99</v>
      </c>
      <c r="L149" s="1" t="n">
        <v>4.4</v>
      </c>
      <c r="M149" s="1" t="n">
        <v>53800</v>
      </c>
      <c r="N149" s="4" t="b">
        <f aca="false">FALSE()</f>
        <v>0</v>
      </c>
      <c r="O149" s="1" t="s">
        <v>782</v>
      </c>
      <c r="P149" s="4" t="b">
        <f aca="false">TRUE()</f>
        <v>1</v>
      </c>
      <c r="Q149" s="1" t="s">
        <v>251</v>
      </c>
      <c r="R149" s="1" t="s">
        <v>767</v>
      </c>
      <c r="S149" s="1" t="s">
        <v>783</v>
      </c>
      <c r="T149" s="1" t="s">
        <v>222</v>
      </c>
      <c r="U149" s="1" t="s">
        <v>223</v>
      </c>
    </row>
    <row r="150" customFormat="false" ht="48" hidden="false" customHeight="true" outlineLevel="0" collapsed="false">
      <c r="A150" s="1" t="s">
        <v>43</v>
      </c>
      <c r="B150" s="1" t="s">
        <v>212</v>
      </c>
      <c r="C150" s="1" t="s">
        <v>66</v>
      </c>
      <c r="D150" s="1" t="s">
        <v>762</v>
      </c>
      <c r="E150" s="1" t="n">
        <v>5</v>
      </c>
      <c r="F150" s="1" t="s">
        <v>784</v>
      </c>
      <c r="G150" s="1" t="s">
        <v>229</v>
      </c>
      <c r="H150" s="1" t="s">
        <v>785</v>
      </c>
      <c r="I150" s="1" t="s">
        <v>231</v>
      </c>
      <c r="J150" s="1" t="s">
        <v>310</v>
      </c>
      <c r="K150" s="1" t="n">
        <v>34.99</v>
      </c>
      <c r="L150" s="1" t="n">
        <v>4.8</v>
      </c>
      <c r="M150" s="1" t="n">
        <v>41</v>
      </c>
      <c r="N150" s="4" t="b">
        <f aca="false">FALSE()</f>
        <v>0</v>
      </c>
      <c r="O150" s="1" t="s">
        <v>786</v>
      </c>
      <c r="P150" s="4" t="b">
        <f aca="false">TRUE()</f>
        <v>1</v>
      </c>
      <c r="Q150" s="1" t="s">
        <v>251</v>
      </c>
      <c r="R150" s="1" t="s">
        <v>767</v>
      </c>
      <c r="S150" s="1" t="s">
        <v>787</v>
      </c>
      <c r="T150" s="1" t="s">
        <v>222</v>
      </c>
      <c r="U150" s="1" t="s">
        <v>223</v>
      </c>
    </row>
    <row r="151" customFormat="false" ht="48" hidden="false" customHeight="true" outlineLevel="0" collapsed="false">
      <c r="A151" s="1" t="s">
        <v>43</v>
      </c>
      <c r="B151" s="1" t="s">
        <v>212</v>
      </c>
      <c r="C151" s="1" t="s">
        <v>66</v>
      </c>
      <c r="D151" s="1" t="s">
        <v>762</v>
      </c>
      <c r="E151" s="1" t="n">
        <v>6</v>
      </c>
      <c r="F151" s="1" t="s">
        <v>788</v>
      </c>
      <c r="G151" s="1" t="s">
        <v>774</v>
      </c>
      <c r="H151" s="1" t="s">
        <v>789</v>
      </c>
      <c r="I151" s="1" t="s">
        <v>218</v>
      </c>
      <c r="J151" s="1" t="s">
        <v>371</v>
      </c>
      <c r="K151" s="1" t="n">
        <v>22.49</v>
      </c>
      <c r="L151" s="1" t="n">
        <v>4.6</v>
      </c>
      <c r="M151" s="1" t="n">
        <v>9500</v>
      </c>
      <c r="N151" s="4" t="b">
        <f aca="false">FALSE()</f>
        <v>0</v>
      </c>
      <c r="O151" s="1" t="s">
        <v>790</v>
      </c>
      <c r="P151" s="4" t="b">
        <f aca="false">TRUE()</f>
        <v>1</v>
      </c>
      <c r="Q151" s="1" t="s">
        <v>451</v>
      </c>
      <c r="R151" s="1" t="s">
        <v>767</v>
      </c>
      <c r="S151" s="1" t="s">
        <v>791</v>
      </c>
      <c r="T151" s="1" t="s">
        <v>222</v>
      </c>
      <c r="U151" s="1" t="s">
        <v>223</v>
      </c>
    </row>
    <row r="152" customFormat="false" ht="48" hidden="false" customHeight="true" outlineLevel="0" collapsed="false">
      <c r="A152" s="1" t="s">
        <v>43</v>
      </c>
      <c r="B152" s="1" t="s">
        <v>212</v>
      </c>
      <c r="C152" s="1" t="s">
        <v>66</v>
      </c>
      <c r="D152" s="1" t="s">
        <v>762</v>
      </c>
      <c r="E152" s="1" t="n">
        <v>7</v>
      </c>
      <c r="F152" s="1" t="s">
        <v>792</v>
      </c>
      <c r="G152" s="1" t="s">
        <v>236</v>
      </c>
      <c r="H152" s="1" t="s">
        <v>793</v>
      </c>
      <c r="I152" s="1" t="s">
        <v>289</v>
      </c>
      <c r="J152" s="1" t="s">
        <v>310</v>
      </c>
      <c r="K152" s="1" t="n">
        <v>17.99</v>
      </c>
      <c r="L152" s="1" t="n">
        <v>4.5</v>
      </c>
      <c r="M152" s="1" t="n">
        <v>98400</v>
      </c>
      <c r="N152" s="4" t="b">
        <f aca="false">FALSE()</f>
        <v>0</v>
      </c>
      <c r="O152" s="1" t="s">
        <v>794</v>
      </c>
      <c r="P152" s="4" t="b">
        <f aca="false">TRUE()</f>
        <v>1</v>
      </c>
      <c r="Q152" s="1" t="s">
        <v>439</v>
      </c>
      <c r="R152" s="1" t="s">
        <v>767</v>
      </c>
      <c r="S152" s="1" t="s">
        <v>795</v>
      </c>
      <c r="T152" s="1" t="s">
        <v>222</v>
      </c>
      <c r="U152" s="1" t="s">
        <v>223</v>
      </c>
    </row>
    <row r="153" customFormat="false" ht="48" hidden="false" customHeight="true" outlineLevel="0" collapsed="false">
      <c r="A153" s="1" t="s">
        <v>43</v>
      </c>
      <c r="B153" s="1" t="s">
        <v>212</v>
      </c>
      <c r="C153" s="1" t="s">
        <v>66</v>
      </c>
      <c r="D153" s="1" t="s">
        <v>762</v>
      </c>
      <c r="E153" s="1" t="n">
        <v>8</v>
      </c>
      <c r="F153" s="1" t="s">
        <v>796</v>
      </c>
      <c r="G153" s="1" t="s">
        <v>236</v>
      </c>
      <c r="H153" s="1" t="s">
        <v>797</v>
      </c>
      <c r="I153" s="1" t="s">
        <v>218</v>
      </c>
      <c r="J153" s="1" t="s">
        <v>310</v>
      </c>
      <c r="K153" s="1" t="n">
        <v>19.84</v>
      </c>
      <c r="L153" s="1" t="n">
        <v>4.6</v>
      </c>
      <c r="M153" s="1" t="n">
        <v>1500</v>
      </c>
      <c r="N153" s="4" t="b">
        <f aca="false">FALSE()</f>
        <v>0</v>
      </c>
      <c r="O153" s="1" t="s">
        <v>798</v>
      </c>
      <c r="P153" s="4" t="b">
        <f aca="false">TRUE()</f>
        <v>1</v>
      </c>
      <c r="Q153" s="1" t="s">
        <v>233</v>
      </c>
      <c r="R153" s="1" t="s">
        <v>767</v>
      </c>
      <c r="S153" s="1" t="s">
        <v>799</v>
      </c>
      <c r="T153" s="1" t="s">
        <v>222</v>
      </c>
      <c r="U153" s="1" t="s">
        <v>223</v>
      </c>
    </row>
    <row r="154" customFormat="false" ht="48" hidden="false" customHeight="true" outlineLevel="0" collapsed="false">
      <c r="A154" s="1" t="s">
        <v>43</v>
      </c>
      <c r="B154" s="1" t="s">
        <v>212</v>
      </c>
      <c r="C154" s="1" t="s">
        <v>66</v>
      </c>
      <c r="D154" s="1" t="s">
        <v>762</v>
      </c>
      <c r="E154" s="1" t="n">
        <v>9</v>
      </c>
      <c r="F154" s="1" t="s">
        <v>800</v>
      </c>
      <c r="G154" s="1" t="s">
        <v>236</v>
      </c>
      <c r="H154" s="1" t="s">
        <v>801</v>
      </c>
      <c r="I154" s="1" t="s">
        <v>218</v>
      </c>
      <c r="J154" s="1" t="s">
        <v>310</v>
      </c>
      <c r="K154" s="1" t="n">
        <v>21.99</v>
      </c>
      <c r="L154" s="1" t="n">
        <v>4.4</v>
      </c>
      <c r="M154" s="1" t="n">
        <v>31800</v>
      </c>
      <c r="N154" s="4" t="b">
        <f aca="false">FALSE()</f>
        <v>0</v>
      </c>
      <c r="P154" s="4" t="b">
        <f aca="false">TRUE()</f>
        <v>1</v>
      </c>
      <c r="Q154" s="1" t="s">
        <v>439</v>
      </c>
      <c r="R154" s="1" t="s">
        <v>767</v>
      </c>
      <c r="S154" s="1" t="s">
        <v>802</v>
      </c>
      <c r="T154" s="1" t="s">
        <v>222</v>
      </c>
      <c r="U154" s="1" t="s">
        <v>223</v>
      </c>
    </row>
    <row r="155" customFormat="false" ht="48" hidden="false" customHeight="true" outlineLevel="0" collapsed="false">
      <c r="A155" s="1" t="s">
        <v>43</v>
      </c>
      <c r="B155" s="1" t="s">
        <v>212</v>
      </c>
      <c r="C155" s="1" t="s">
        <v>66</v>
      </c>
      <c r="D155" s="1" t="s">
        <v>762</v>
      </c>
      <c r="E155" s="1" t="n">
        <v>10</v>
      </c>
      <c r="F155" s="1" t="s">
        <v>803</v>
      </c>
      <c r="G155" s="1" t="s">
        <v>236</v>
      </c>
      <c r="H155" s="1" t="s">
        <v>804</v>
      </c>
      <c r="I155" s="1" t="s">
        <v>231</v>
      </c>
      <c r="J155" s="1" t="s">
        <v>310</v>
      </c>
      <c r="K155" s="1" t="n">
        <v>27.99</v>
      </c>
      <c r="L155" s="1" t="n">
        <v>4.3</v>
      </c>
      <c r="M155" s="1" t="n">
        <v>3000</v>
      </c>
      <c r="N155" s="4" t="b">
        <f aca="false">FALSE()</f>
        <v>0</v>
      </c>
      <c r="O155" s="1" t="s">
        <v>805</v>
      </c>
      <c r="P155" s="4" t="b">
        <f aca="false">TRUE()</f>
        <v>1</v>
      </c>
      <c r="Q155" s="1" t="s">
        <v>251</v>
      </c>
      <c r="R155" s="1" t="s">
        <v>767</v>
      </c>
      <c r="S155" s="1" t="s">
        <v>806</v>
      </c>
      <c r="T155" s="1" t="s">
        <v>222</v>
      </c>
      <c r="U155" s="1" t="s">
        <v>223</v>
      </c>
    </row>
    <row r="156" customFormat="false" ht="48" hidden="false" customHeight="true" outlineLevel="0" collapsed="false">
      <c r="A156" s="1" t="s">
        <v>43</v>
      </c>
      <c r="B156" s="1" t="s">
        <v>212</v>
      </c>
      <c r="C156" s="1" t="s">
        <v>66</v>
      </c>
      <c r="D156" s="1" t="s">
        <v>762</v>
      </c>
      <c r="E156" s="1" t="n">
        <v>11</v>
      </c>
      <c r="F156" s="1" t="s">
        <v>807</v>
      </c>
      <c r="G156" s="1" t="s">
        <v>236</v>
      </c>
      <c r="H156" s="1" t="s">
        <v>808</v>
      </c>
      <c r="I156" s="1" t="s">
        <v>218</v>
      </c>
      <c r="J156" s="1" t="s">
        <v>310</v>
      </c>
      <c r="K156" s="1" t="n">
        <v>37.99</v>
      </c>
      <c r="L156" s="1" t="n">
        <v>4.6</v>
      </c>
      <c r="M156" s="1" t="n">
        <v>56</v>
      </c>
      <c r="N156" s="4" t="b">
        <f aca="false">FALSE()</f>
        <v>0</v>
      </c>
      <c r="P156" s="4" t="b">
        <f aca="false">TRUE()</f>
        <v>1</v>
      </c>
      <c r="R156" s="1" t="s">
        <v>767</v>
      </c>
      <c r="S156" s="1" t="s">
        <v>809</v>
      </c>
      <c r="T156" s="1" t="s">
        <v>222</v>
      </c>
      <c r="U156" s="1" t="s">
        <v>223</v>
      </c>
    </row>
    <row r="157" customFormat="false" ht="48" hidden="false" customHeight="true" outlineLevel="0" collapsed="false">
      <c r="A157" s="1" t="s">
        <v>43</v>
      </c>
      <c r="B157" s="1" t="s">
        <v>212</v>
      </c>
      <c r="C157" s="1" t="s">
        <v>66</v>
      </c>
      <c r="D157" s="1" t="s">
        <v>762</v>
      </c>
      <c r="E157" s="1" t="n">
        <v>12</v>
      </c>
      <c r="F157" s="1" t="s">
        <v>810</v>
      </c>
      <c r="G157" s="1" t="s">
        <v>236</v>
      </c>
      <c r="H157" s="1" t="s">
        <v>811</v>
      </c>
      <c r="I157" s="1" t="s">
        <v>242</v>
      </c>
      <c r="J157" s="1" t="s">
        <v>310</v>
      </c>
      <c r="K157" s="1" t="n">
        <v>20.89</v>
      </c>
      <c r="L157" s="1" t="n">
        <v>4.6</v>
      </c>
      <c r="M157" s="1" t="n">
        <v>1500</v>
      </c>
      <c r="N157" s="4" t="b">
        <f aca="false">FALSE()</f>
        <v>0</v>
      </c>
      <c r="O157" s="1" t="s">
        <v>771</v>
      </c>
      <c r="P157" s="4" t="b">
        <f aca="false">TRUE()</f>
        <v>1</v>
      </c>
      <c r="R157" s="1" t="s">
        <v>767</v>
      </c>
      <c r="S157" s="1" t="s">
        <v>812</v>
      </c>
      <c r="T157" s="1" t="s">
        <v>222</v>
      </c>
      <c r="U157" s="1" t="s">
        <v>223</v>
      </c>
    </row>
    <row r="158" customFormat="false" ht="48" hidden="false" customHeight="true" outlineLevel="0" collapsed="false">
      <c r="A158" s="1" t="s">
        <v>43</v>
      </c>
      <c r="B158" s="1" t="s">
        <v>212</v>
      </c>
      <c r="C158" s="1" t="s">
        <v>66</v>
      </c>
      <c r="D158" s="1" t="s">
        <v>762</v>
      </c>
      <c r="E158" s="1" t="n">
        <v>13</v>
      </c>
      <c r="F158" s="1" t="s">
        <v>813</v>
      </c>
      <c r="G158" s="1" t="s">
        <v>236</v>
      </c>
      <c r="H158" s="1" t="s">
        <v>814</v>
      </c>
      <c r="I158" s="1" t="s">
        <v>218</v>
      </c>
      <c r="J158" s="1" t="s">
        <v>310</v>
      </c>
      <c r="K158" s="1" t="n">
        <v>10.96</v>
      </c>
      <c r="L158" s="1" t="n">
        <v>4.4</v>
      </c>
      <c r="M158" s="1" t="n">
        <v>6100</v>
      </c>
      <c r="N158" s="4" t="b">
        <f aca="false">FALSE()</f>
        <v>0</v>
      </c>
      <c r="O158" s="1" t="s">
        <v>815</v>
      </c>
      <c r="P158" s="4" t="b">
        <f aca="false">TRUE()</f>
        <v>1</v>
      </c>
      <c r="Q158" s="1" t="s">
        <v>251</v>
      </c>
      <c r="R158" s="1" t="s">
        <v>767</v>
      </c>
      <c r="S158" s="1" t="s">
        <v>816</v>
      </c>
      <c r="T158" s="1" t="s">
        <v>222</v>
      </c>
      <c r="U158" s="1" t="s">
        <v>223</v>
      </c>
    </row>
    <row r="159" customFormat="false" ht="48" hidden="false" customHeight="true" outlineLevel="0" collapsed="false">
      <c r="A159" s="1" t="s">
        <v>43</v>
      </c>
      <c r="B159" s="1" t="s">
        <v>212</v>
      </c>
      <c r="C159" s="1" t="s">
        <v>66</v>
      </c>
      <c r="D159" s="1" t="s">
        <v>762</v>
      </c>
      <c r="E159" s="1" t="n">
        <v>14</v>
      </c>
      <c r="F159" s="1" t="s">
        <v>817</v>
      </c>
      <c r="G159" s="1" t="s">
        <v>780</v>
      </c>
      <c r="H159" s="1" t="s">
        <v>818</v>
      </c>
      <c r="I159" s="1" t="s">
        <v>231</v>
      </c>
      <c r="J159" s="1" t="s">
        <v>310</v>
      </c>
      <c r="K159" s="1" t="n">
        <v>64.99</v>
      </c>
      <c r="L159" s="1" t="n">
        <v>4.4</v>
      </c>
      <c r="M159" s="1" t="n">
        <v>98900</v>
      </c>
      <c r="N159" s="4" t="b">
        <f aca="false">FALSE()</f>
        <v>0</v>
      </c>
      <c r="O159" s="1" t="s">
        <v>485</v>
      </c>
      <c r="P159" s="4" t="b">
        <f aca="false">TRUE()</f>
        <v>1</v>
      </c>
      <c r="Q159" s="1" t="s">
        <v>418</v>
      </c>
      <c r="R159" s="1" t="s">
        <v>767</v>
      </c>
      <c r="S159" s="1" t="s">
        <v>819</v>
      </c>
      <c r="T159" s="1" t="s">
        <v>222</v>
      </c>
      <c r="U159" s="1" t="s">
        <v>223</v>
      </c>
    </row>
    <row r="160" customFormat="false" ht="48" hidden="false" customHeight="true" outlineLevel="0" collapsed="false">
      <c r="A160" s="1" t="s">
        <v>43</v>
      </c>
      <c r="B160" s="1" t="s">
        <v>212</v>
      </c>
      <c r="C160" s="1" t="s">
        <v>66</v>
      </c>
      <c r="D160" s="1" t="s">
        <v>762</v>
      </c>
      <c r="E160" s="1" t="n">
        <v>15</v>
      </c>
      <c r="F160" s="1" t="s">
        <v>820</v>
      </c>
      <c r="G160" s="1" t="s">
        <v>774</v>
      </c>
      <c r="H160" s="1" t="s">
        <v>821</v>
      </c>
      <c r="I160" s="1" t="s">
        <v>218</v>
      </c>
      <c r="J160" s="1" t="s">
        <v>371</v>
      </c>
      <c r="K160" s="1" t="n">
        <v>15.19</v>
      </c>
      <c r="L160" s="1" t="n">
        <v>4.6</v>
      </c>
      <c r="M160" s="1" t="n">
        <v>439</v>
      </c>
      <c r="N160" s="4" t="b">
        <f aca="false">FALSE()</f>
        <v>0</v>
      </c>
      <c r="P160" s="4" t="b">
        <f aca="false">TRUE()</f>
        <v>1</v>
      </c>
      <c r="R160" s="1" t="s">
        <v>767</v>
      </c>
      <c r="S160" s="1" t="s">
        <v>822</v>
      </c>
      <c r="T160" s="1" t="s">
        <v>222</v>
      </c>
      <c r="U160" s="1" t="s">
        <v>223</v>
      </c>
    </row>
    <row r="161" customFormat="false" ht="48" hidden="false" customHeight="true" outlineLevel="0" collapsed="false">
      <c r="A161" s="1" t="s">
        <v>43</v>
      </c>
      <c r="B161" s="1" t="s">
        <v>212</v>
      </c>
      <c r="C161" s="1" t="s">
        <v>66</v>
      </c>
      <c r="D161" s="1" t="s">
        <v>762</v>
      </c>
      <c r="E161" s="1" t="n">
        <v>16</v>
      </c>
      <c r="F161" s="1" t="s">
        <v>308</v>
      </c>
      <c r="G161" s="1" t="s">
        <v>236</v>
      </c>
      <c r="H161" s="1" t="s">
        <v>309</v>
      </c>
      <c r="I161" s="1" t="s">
        <v>218</v>
      </c>
      <c r="J161" s="1" t="s">
        <v>310</v>
      </c>
      <c r="K161" s="1" t="n">
        <v>25.49</v>
      </c>
      <c r="L161" s="1" t="n">
        <v>4.4</v>
      </c>
      <c r="M161" s="1" t="n">
        <v>444800</v>
      </c>
      <c r="N161" s="4" t="b">
        <f aca="false">FALSE()</f>
        <v>0</v>
      </c>
      <c r="O161" s="1" t="s">
        <v>311</v>
      </c>
      <c r="P161" s="4" t="b">
        <f aca="false">TRUE()</f>
        <v>1</v>
      </c>
      <c r="Q161" s="1" t="s">
        <v>312</v>
      </c>
      <c r="R161" s="1" t="s">
        <v>767</v>
      </c>
      <c r="S161" s="1" t="s">
        <v>313</v>
      </c>
      <c r="T161" s="1" t="s">
        <v>222</v>
      </c>
      <c r="U161" s="1" t="s">
        <v>223</v>
      </c>
    </row>
    <row r="162" customFormat="false" ht="48" hidden="false" customHeight="true" outlineLevel="0" collapsed="false">
      <c r="A162" s="1" t="s">
        <v>43</v>
      </c>
      <c r="B162" s="1" t="s">
        <v>212</v>
      </c>
      <c r="C162" s="1" t="s">
        <v>66</v>
      </c>
      <c r="D162" s="1" t="s">
        <v>762</v>
      </c>
      <c r="E162" s="1" t="n">
        <v>17</v>
      </c>
      <c r="F162" s="1" t="s">
        <v>823</v>
      </c>
      <c r="G162" s="1" t="s">
        <v>677</v>
      </c>
      <c r="H162" s="1" t="s">
        <v>824</v>
      </c>
      <c r="I162" s="1" t="s">
        <v>231</v>
      </c>
      <c r="J162" s="1" t="s">
        <v>597</v>
      </c>
      <c r="K162" s="1" t="n">
        <v>53.99</v>
      </c>
      <c r="L162" s="1" t="n">
        <v>4.4</v>
      </c>
      <c r="M162" s="1" t="n">
        <v>3600</v>
      </c>
      <c r="N162" s="4" t="b">
        <f aca="false">FALSE()</f>
        <v>0</v>
      </c>
      <c r="P162" s="4" t="b">
        <f aca="false">TRUE()</f>
        <v>1</v>
      </c>
      <c r="R162" s="1" t="s">
        <v>767</v>
      </c>
      <c r="S162" s="1" t="s">
        <v>825</v>
      </c>
      <c r="T162" s="1" t="s">
        <v>222</v>
      </c>
      <c r="U162" s="1" t="s">
        <v>223</v>
      </c>
    </row>
    <row r="163" customFormat="false" ht="48" hidden="false" customHeight="true" outlineLevel="0" collapsed="false">
      <c r="A163" s="1" t="s">
        <v>43</v>
      </c>
      <c r="B163" s="1" t="s">
        <v>212</v>
      </c>
      <c r="C163" s="1" t="s">
        <v>66</v>
      </c>
      <c r="D163" s="1" t="s">
        <v>762</v>
      </c>
      <c r="E163" s="1" t="n">
        <v>18</v>
      </c>
      <c r="F163" s="1" t="s">
        <v>826</v>
      </c>
      <c r="G163" s="1" t="s">
        <v>236</v>
      </c>
      <c r="H163" s="1" t="s">
        <v>827</v>
      </c>
      <c r="I163" s="1" t="s">
        <v>218</v>
      </c>
      <c r="J163" s="1" t="s">
        <v>310</v>
      </c>
      <c r="K163" s="1" t="n">
        <v>34.19</v>
      </c>
      <c r="L163" s="1" t="n">
        <v>4.5</v>
      </c>
      <c r="M163" s="1" t="n">
        <v>1600</v>
      </c>
      <c r="N163" s="4" t="b">
        <f aca="false">FALSE()</f>
        <v>0</v>
      </c>
      <c r="O163" s="1" t="s">
        <v>828</v>
      </c>
      <c r="P163" s="4" t="b">
        <f aca="false">TRUE()</f>
        <v>1</v>
      </c>
      <c r="R163" s="1" t="s">
        <v>767</v>
      </c>
      <c r="S163" s="1" t="s">
        <v>829</v>
      </c>
      <c r="T163" s="1" t="s">
        <v>222</v>
      </c>
      <c r="U163" s="1" t="s">
        <v>223</v>
      </c>
    </row>
    <row r="164" customFormat="false" ht="48" hidden="false" customHeight="true" outlineLevel="0" collapsed="false">
      <c r="A164" s="1" t="s">
        <v>43</v>
      </c>
      <c r="B164" s="1" t="s">
        <v>212</v>
      </c>
      <c r="C164" s="1" t="s">
        <v>66</v>
      </c>
      <c r="D164" s="1" t="s">
        <v>762</v>
      </c>
      <c r="E164" s="1" t="n">
        <v>19</v>
      </c>
      <c r="F164" s="1" t="s">
        <v>830</v>
      </c>
      <c r="G164" s="1" t="s">
        <v>236</v>
      </c>
      <c r="H164" s="1" t="s">
        <v>831</v>
      </c>
      <c r="I164" s="1" t="s">
        <v>231</v>
      </c>
      <c r="J164" s="1" t="s">
        <v>597</v>
      </c>
      <c r="K164" s="1" t="n">
        <v>49.99</v>
      </c>
      <c r="L164" s="1" t="n">
        <v>4.1</v>
      </c>
      <c r="M164" s="1" t="n">
        <v>1500</v>
      </c>
      <c r="N164" s="4" t="b">
        <f aca="false">FALSE()</f>
        <v>0</v>
      </c>
      <c r="O164" s="1" t="s">
        <v>832</v>
      </c>
      <c r="P164" s="4" t="b">
        <f aca="false">TRUE()</f>
        <v>1</v>
      </c>
      <c r="Q164" s="1" t="s">
        <v>233</v>
      </c>
      <c r="R164" s="1" t="s">
        <v>767</v>
      </c>
      <c r="S164" s="1" t="s">
        <v>833</v>
      </c>
      <c r="T164" s="1" t="s">
        <v>222</v>
      </c>
      <c r="U164" s="1" t="s">
        <v>223</v>
      </c>
    </row>
    <row r="165" customFormat="false" ht="48" hidden="false" customHeight="true" outlineLevel="0" collapsed="false">
      <c r="A165" s="1" t="s">
        <v>43</v>
      </c>
      <c r="B165" s="1" t="s">
        <v>212</v>
      </c>
      <c r="C165" s="1" t="s">
        <v>66</v>
      </c>
      <c r="D165" s="1" t="s">
        <v>762</v>
      </c>
      <c r="E165" s="1" t="n">
        <v>20</v>
      </c>
      <c r="F165" s="1" t="s">
        <v>834</v>
      </c>
      <c r="G165" s="1" t="s">
        <v>236</v>
      </c>
      <c r="H165" s="1" t="s">
        <v>835</v>
      </c>
      <c r="I165" s="1" t="s">
        <v>231</v>
      </c>
      <c r="J165" s="1" t="s">
        <v>310</v>
      </c>
      <c r="K165" s="1" t="n">
        <v>24.99</v>
      </c>
      <c r="L165" s="1" t="n">
        <v>4.5</v>
      </c>
      <c r="M165" s="1" t="n">
        <v>137</v>
      </c>
      <c r="N165" s="4" t="b">
        <f aca="false">FALSE()</f>
        <v>0</v>
      </c>
      <c r="P165" s="4" t="b">
        <f aca="false">TRUE()</f>
        <v>1</v>
      </c>
      <c r="R165" s="1" t="s">
        <v>767</v>
      </c>
      <c r="S165" s="1" t="s">
        <v>836</v>
      </c>
      <c r="T165" s="1" t="s">
        <v>222</v>
      </c>
      <c r="U165" s="1" t="s">
        <v>223</v>
      </c>
    </row>
    <row r="166" customFormat="false" ht="48" hidden="false" customHeight="true" outlineLevel="0" collapsed="false">
      <c r="A166" s="1" t="s">
        <v>43</v>
      </c>
      <c r="B166" s="1" t="s">
        <v>212</v>
      </c>
      <c r="C166" s="1" t="s">
        <v>66</v>
      </c>
      <c r="D166" s="1" t="s">
        <v>762</v>
      </c>
      <c r="E166" s="1" t="n">
        <v>21</v>
      </c>
      <c r="F166" s="1" t="s">
        <v>837</v>
      </c>
      <c r="G166" s="1" t="s">
        <v>774</v>
      </c>
      <c r="H166" s="1" t="s">
        <v>838</v>
      </c>
      <c r="I166" s="1" t="s">
        <v>218</v>
      </c>
      <c r="J166" s="1" t="s">
        <v>371</v>
      </c>
      <c r="K166" s="1" t="n">
        <v>15.19</v>
      </c>
      <c r="L166" s="1" t="n">
        <v>4.6</v>
      </c>
      <c r="M166" s="1" t="n">
        <v>122</v>
      </c>
      <c r="N166" s="4" t="b">
        <f aca="false">FALSE()</f>
        <v>0</v>
      </c>
      <c r="P166" s="4" t="b">
        <f aca="false">TRUE()</f>
        <v>1</v>
      </c>
      <c r="R166" s="1" t="s">
        <v>767</v>
      </c>
      <c r="S166" s="1" t="s">
        <v>839</v>
      </c>
      <c r="T166" s="1" t="s">
        <v>222</v>
      </c>
      <c r="U166" s="1" t="s">
        <v>223</v>
      </c>
    </row>
    <row r="167" customFormat="false" ht="48" hidden="false" customHeight="true" outlineLevel="0" collapsed="false">
      <c r="A167" s="1" t="s">
        <v>43</v>
      </c>
      <c r="B167" s="1" t="s">
        <v>212</v>
      </c>
      <c r="C167" s="1" t="s">
        <v>66</v>
      </c>
      <c r="D167" s="1" t="s">
        <v>762</v>
      </c>
      <c r="E167" s="1" t="n">
        <v>22</v>
      </c>
      <c r="F167" s="1" t="s">
        <v>840</v>
      </c>
      <c r="G167" s="1" t="s">
        <v>236</v>
      </c>
      <c r="H167" s="1" t="s">
        <v>841</v>
      </c>
      <c r="I167" s="1" t="s">
        <v>218</v>
      </c>
      <c r="J167" s="1" t="s">
        <v>310</v>
      </c>
      <c r="K167" s="1" t="n">
        <v>35.99</v>
      </c>
      <c r="L167" s="1" t="n">
        <v>4.5</v>
      </c>
      <c r="M167" s="1" t="n">
        <v>4700</v>
      </c>
      <c r="N167" s="4" t="b">
        <f aca="false">FALSE()</f>
        <v>0</v>
      </c>
      <c r="O167" s="1" t="s">
        <v>842</v>
      </c>
      <c r="P167" s="4" t="b">
        <f aca="false">TRUE()</f>
        <v>1</v>
      </c>
      <c r="R167" s="1" t="s">
        <v>767</v>
      </c>
      <c r="S167" s="1" t="s">
        <v>843</v>
      </c>
      <c r="T167" s="1" t="s">
        <v>222</v>
      </c>
      <c r="U167" s="1" t="s">
        <v>223</v>
      </c>
    </row>
    <row r="168" customFormat="false" ht="48" hidden="false" customHeight="true" outlineLevel="0" collapsed="false">
      <c r="A168" s="1" t="s">
        <v>43</v>
      </c>
      <c r="B168" s="1" t="s">
        <v>212</v>
      </c>
      <c r="C168" s="1" t="s">
        <v>66</v>
      </c>
      <c r="D168" s="1" t="s">
        <v>762</v>
      </c>
      <c r="E168" s="1" t="n">
        <v>23</v>
      </c>
      <c r="F168" s="1" t="s">
        <v>844</v>
      </c>
      <c r="G168" s="1" t="s">
        <v>677</v>
      </c>
      <c r="H168" s="1" t="s">
        <v>845</v>
      </c>
      <c r="I168" s="1" t="s">
        <v>218</v>
      </c>
      <c r="J168" s="1" t="s">
        <v>597</v>
      </c>
      <c r="K168" s="1" t="n">
        <v>43.99</v>
      </c>
      <c r="L168" s="1" t="n">
        <v>4.5</v>
      </c>
      <c r="M168" s="1" t="n">
        <v>18600</v>
      </c>
      <c r="N168" s="4" t="b">
        <f aca="false">FALSE()</f>
        <v>0</v>
      </c>
      <c r="P168" s="4" t="b">
        <f aca="false">TRUE()</f>
        <v>1</v>
      </c>
      <c r="Q168" s="1" t="s">
        <v>233</v>
      </c>
      <c r="R168" s="1" t="s">
        <v>767</v>
      </c>
      <c r="S168" s="1" t="s">
        <v>846</v>
      </c>
      <c r="T168" s="1" t="s">
        <v>222</v>
      </c>
      <c r="U168" s="1" t="s">
        <v>223</v>
      </c>
    </row>
    <row r="169" customFormat="false" ht="48" hidden="false" customHeight="true" outlineLevel="0" collapsed="false">
      <c r="A169" s="1" t="s">
        <v>43</v>
      </c>
      <c r="B169" s="1" t="s">
        <v>212</v>
      </c>
      <c r="C169" s="1" t="s">
        <v>66</v>
      </c>
      <c r="D169" s="1" t="s">
        <v>762</v>
      </c>
      <c r="E169" s="1" t="n">
        <v>24</v>
      </c>
      <c r="F169" s="1" t="s">
        <v>847</v>
      </c>
      <c r="G169" s="1" t="s">
        <v>236</v>
      </c>
      <c r="H169" s="1" t="s">
        <v>848</v>
      </c>
      <c r="I169" s="1" t="s">
        <v>218</v>
      </c>
      <c r="J169" s="1" t="s">
        <v>310</v>
      </c>
      <c r="K169" s="1" t="n">
        <v>35.67</v>
      </c>
      <c r="L169" s="1" t="n">
        <v>4.5</v>
      </c>
      <c r="M169" s="1" t="n">
        <v>30300</v>
      </c>
      <c r="N169" s="4" t="b">
        <f aca="false">FALSE()</f>
        <v>0</v>
      </c>
      <c r="O169" s="1" t="s">
        <v>746</v>
      </c>
      <c r="P169" s="4" t="b">
        <f aca="false">TRUE()</f>
        <v>1</v>
      </c>
      <c r="Q169" s="1" t="s">
        <v>251</v>
      </c>
      <c r="R169" s="1" t="s">
        <v>767</v>
      </c>
      <c r="S169" s="1" t="s">
        <v>849</v>
      </c>
      <c r="T169" s="1" t="s">
        <v>222</v>
      </c>
      <c r="U169" s="1" t="s">
        <v>223</v>
      </c>
    </row>
    <row r="170" customFormat="false" ht="48" hidden="false" customHeight="true" outlineLevel="0" collapsed="false">
      <c r="A170" s="1" t="s">
        <v>43</v>
      </c>
      <c r="B170" s="1" t="s">
        <v>212</v>
      </c>
      <c r="C170" s="1" t="s">
        <v>66</v>
      </c>
      <c r="D170" s="1" t="s">
        <v>762</v>
      </c>
      <c r="E170" s="1" t="n">
        <v>25</v>
      </c>
      <c r="F170" s="1" t="s">
        <v>850</v>
      </c>
      <c r="G170" s="1" t="s">
        <v>236</v>
      </c>
      <c r="H170" s="1" t="s">
        <v>851</v>
      </c>
      <c r="I170" s="1" t="s">
        <v>242</v>
      </c>
      <c r="J170" s="1" t="s">
        <v>310</v>
      </c>
      <c r="K170" s="1" t="n">
        <v>18.66</v>
      </c>
      <c r="L170" s="1" t="n">
        <v>4.6</v>
      </c>
      <c r="M170" s="1" t="n">
        <v>1400</v>
      </c>
      <c r="N170" s="4" t="b">
        <f aca="false">FALSE()</f>
        <v>0</v>
      </c>
      <c r="P170" s="4" t="b">
        <f aca="false">TRUE()</f>
        <v>1</v>
      </c>
      <c r="R170" s="1" t="s">
        <v>767</v>
      </c>
      <c r="S170" s="1" t="s">
        <v>852</v>
      </c>
      <c r="T170" s="1" t="s">
        <v>222</v>
      </c>
      <c r="U170" s="1" t="s">
        <v>223</v>
      </c>
    </row>
    <row r="171" customFormat="false" ht="48" hidden="false" customHeight="true" outlineLevel="0" collapsed="false">
      <c r="A171" s="1" t="s">
        <v>43</v>
      </c>
      <c r="B171" s="1" t="s">
        <v>212</v>
      </c>
      <c r="C171" s="1" t="s">
        <v>66</v>
      </c>
      <c r="D171" s="1" t="s">
        <v>762</v>
      </c>
      <c r="E171" s="1" t="n">
        <v>26</v>
      </c>
      <c r="F171" s="1" t="s">
        <v>853</v>
      </c>
      <c r="G171" s="1" t="s">
        <v>236</v>
      </c>
      <c r="H171" s="1" t="s">
        <v>854</v>
      </c>
      <c r="I171" s="1" t="s">
        <v>218</v>
      </c>
      <c r="J171" s="1" t="s">
        <v>597</v>
      </c>
      <c r="K171" s="1" t="n">
        <v>30.99</v>
      </c>
      <c r="L171" s="1" t="n">
        <v>4.1</v>
      </c>
      <c r="M171" s="1" t="n">
        <v>1100</v>
      </c>
      <c r="N171" s="4" t="b">
        <f aca="false">FALSE()</f>
        <v>0</v>
      </c>
      <c r="P171" s="4" t="b">
        <f aca="false">TRUE()</f>
        <v>1</v>
      </c>
      <c r="Q171" s="1" t="s">
        <v>251</v>
      </c>
      <c r="R171" s="1" t="s">
        <v>767</v>
      </c>
      <c r="S171" s="1" t="s">
        <v>855</v>
      </c>
      <c r="T171" s="1" t="s">
        <v>222</v>
      </c>
      <c r="U171" s="1" t="s">
        <v>223</v>
      </c>
    </row>
    <row r="172" customFormat="false" ht="48" hidden="false" customHeight="true" outlineLevel="0" collapsed="false">
      <c r="A172" s="1" t="s">
        <v>43</v>
      </c>
      <c r="B172" s="1" t="s">
        <v>212</v>
      </c>
      <c r="C172" s="1" t="s">
        <v>66</v>
      </c>
      <c r="D172" s="1" t="s">
        <v>762</v>
      </c>
      <c r="E172" s="1" t="n">
        <v>27</v>
      </c>
      <c r="F172" s="1" t="s">
        <v>856</v>
      </c>
      <c r="G172" s="1" t="s">
        <v>236</v>
      </c>
      <c r="H172" s="1" t="s">
        <v>857</v>
      </c>
      <c r="I172" s="1" t="s">
        <v>231</v>
      </c>
      <c r="J172" s="1" t="s">
        <v>310</v>
      </c>
      <c r="K172" s="1" t="n">
        <v>24.99</v>
      </c>
      <c r="L172" s="1" t="n">
        <v>4.5</v>
      </c>
      <c r="M172" s="1" t="n">
        <v>226400</v>
      </c>
      <c r="N172" s="4" t="b">
        <f aca="false">FALSE()</f>
        <v>0</v>
      </c>
      <c r="P172" s="4" t="b">
        <f aca="false">TRUE()</f>
        <v>1</v>
      </c>
      <c r="Q172" s="1" t="s">
        <v>711</v>
      </c>
      <c r="R172" s="1" t="s">
        <v>767</v>
      </c>
      <c r="S172" s="1" t="s">
        <v>858</v>
      </c>
      <c r="T172" s="1" t="s">
        <v>222</v>
      </c>
      <c r="U172" s="1" t="s">
        <v>223</v>
      </c>
    </row>
    <row r="173" customFormat="false" ht="48" hidden="false" customHeight="true" outlineLevel="0" collapsed="false">
      <c r="A173" s="1" t="s">
        <v>43</v>
      </c>
      <c r="B173" s="1" t="s">
        <v>212</v>
      </c>
      <c r="C173" s="1" t="s">
        <v>66</v>
      </c>
      <c r="D173" s="1" t="s">
        <v>762</v>
      </c>
      <c r="E173" s="1" t="n">
        <v>28</v>
      </c>
      <c r="F173" s="1" t="s">
        <v>859</v>
      </c>
      <c r="G173" s="1" t="s">
        <v>236</v>
      </c>
      <c r="H173" s="1" t="s">
        <v>860</v>
      </c>
      <c r="I173" s="1" t="s">
        <v>289</v>
      </c>
      <c r="J173" s="1" t="s">
        <v>310</v>
      </c>
      <c r="K173" s="1" t="n">
        <v>19.99</v>
      </c>
      <c r="L173" s="1" t="n">
        <v>4.4</v>
      </c>
      <c r="M173" s="1" t="n">
        <v>1100</v>
      </c>
      <c r="N173" s="4" t="b">
        <f aca="false">FALSE()</f>
        <v>0</v>
      </c>
      <c r="P173" s="4" t="b">
        <f aca="false">TRUE()</f>
        <v>1</v>
      </c>
      <c r="Q173" s="1" t="s">
        <v>251</v>
      </c>
      <c r="R173" s="1" t="s">
        <v>767</v>
      </c>
      <c r="S173" s="1" t="s">
        <v>861</v>
      </c>
      <c r="T173" s="1" t="s">
        <v>222</v>
      </c>
      <c r="U173" s="1" t="s">
        <v>223</v>
      </c>
    </row>
    <row r="174" customFormat="false" ht="48" hidden="false" customHeight="true" outlineLevel="0" collapsed="false">
      <c r="A174" s="1" t="s">
        <v>43</v>
      </c>
      <c r="B174" s="1" t="s">
        <v>212</v>
      </c>
      <c r="C174" s="1" t="s">
        <v>66</v>
      </c>
      <c r="D174" s="1" t="s">
        <v>762</v>
      </c>
      <c r="E174" s="1" t="n">
        <v>29</v>
      </c>
      <c r="F174" s="1" t="s">
        <v>862</v>
      </c>
      <c r="G174" s="1" t="s">
        <v>236</v>
      </c>
      <c r="H174" s="1" t="s">
        <v>863</v>
      </c>
      <c r="I174" s="1" t="s">
        <v>231</v>
      </c>
      <c r="J174" s="1" t="s">
        <v>597</v>
      </c>
      <c r="K174" s="1" t="n">
        <v>50.39</v>
      </c>
      <c r="L174" s="1" t="n">
        <v>4</v>
      </c>
      <c r="M174" s="1" t="n">
        <v>6</v>
      </c>
      <c r="N174" s="4" t="b">
        <f aca="false">FALSE()</f>
        <v>0</v>
      </c>
      <c r="O174" s="1" t="s">
        <v>864</v>
      </c>
      <c r="P174" s="4" t="b">
        <f aca="false">TRUE()</f>
        <v>1</v>
      </c>
      <c r="R174" s="1" t="s">
        <v>767</v>
      </c>
      <c r="S174" s="1" t="s">
        <v>865</v>
      </c>
      <c r="T174" s="1" t="s">
        <v>222</v>
      </c>
      <c r="U174" s="1" t="s">
        <v>223</v>
      </c>
    </row>
    <row r="175" customFormat="false" ht="48" hidden="false" customHeight="true" outlineLevel="0" collapsed="false">
      <c r="A175" s="1" t="s">
        <v>43</v>
      </c>
      <c r="B175" s="1" t="s">
        <v>212</v>
      </c>
      <c r="C175" s="1" t="s">
        <v>66</v>
      </c>
      <c r="D175" s="1" t="s">
        <v>762</v>
      </c>
      <c r="E175" s="1" t="n">
        <v>30</v>
      </c>
      <c r="F175" s="1" t="s">
        <v>866</v>
      </c>
      <c r="G175" s="1" t="s">
        <v>236</v>
      </c>
      <c r="H175" s="1" t="s">
        <v>867</v>
      </c>
      <c r="I175" s="1" t="s">
        <v>218</v>
      </c>
      <c r="J175" s="1" t="s">
        <v>310</v>
      </c>
      <c r="K175" s="1" t="n">
        <v>27.99</v>
      </c>
      <c r="L175" s="1" t="n">
        <v>4</v>
      </c>
      <c r="M175" s="1" t="n">
        <v>652</v>
      </c>
      <c r="N175" s="4" t="b">
        <f aca="false">FALSE()</f>
        <v>0</v>
      </c>
      <c r="P175" s="4" t="b">
        <f aca="false">TRUE()</f>
        <v>1</v>
      </c>
      <c r="Q175" s="1" t="s">
        <v>233</v>
      </c>
      <c r="R175" s="1" t="s">
        <v>767</v>
      </c>
      <c r="S175" s="1" t="s">
        <v>868</v>
      </c>
      <c r="T175" s="1" t="s">
        <v>222</v>
      </c>
      <c r="U175" s="1" t="s">
        <v>223</v>
      </c>
    </row>
    <row r="176" customFormat="false" ht="48" hidden="false" customHeight="true" outlineLevel="0" collapsed="false">
      <c r="A176" s="1" t="s">
        <v>43</v>
      </c>
      <c r="B176" s="1" t="s">
        <v>212</v>
      </c>
      <c r="C176" s="1" t="s">
        <v>66</v>
      </c>
      <c r="D176" s="1" t="s">
        <v>762</v>
      </c>
      <c r="E176" s="1" t="n">
        <v>31</v>
      </c>
      <c r="F176" s="1" t="s">
        <v>869</v>
      </c>
      <c r="G176" s="1" t="s">
        <v>774</v>
      </c>
      <c r="H176" s="1" t="s">
        <v>870</v>
      </c>
      <c r="I176" s="1" t="s">
        <v>231</v>
      </c>
      <c r="J176" s="1" t="s">
        <v>371</v>
      </c>
      <c r="K176" s="1" t="n">
        <v>15.19</v>
      </c>
      <c r="L176" s="1" t="n">
        <v>4.6</v>
      </c>
      <c r="M176" s="1" t="n">
        <v>220</v>
      </c>
      <c r="N176" s="4" t="b">
        <f aca="false">FALSE()</f>
        <v>0</v>
      </c>
      <c r="P176" s="4" t="b">
        <f aca="false">TRUE()</f>
        <v>1</v>
      </c>
      <c r="R176" s="1" t="s">
        <v>767</v>
      </c>
      <c r="S176" s="1" t="s">
        <v>871</v>
      </c>
      <c r="T176" s="1" t="s">
        <v>222</v>
      </c>
      <c r="U176" s="1" t="s">
        <v>223</v>
      </c>
    </row>
    <row r="177" customFormat="false" ht="48" hidden="false" customHeight="true" outlineLevel="0" collapsed="false">
      <c r="A177" s="1" t="s">
        <v>43</v>
      </c>
      <c r="B177" s="1" t="s">
        <v>212</v>
      </c>
      <c r="C177" s="1" t="s">
        <v>66</v>
      </c>
      <c r="D177" s="1" t="s">
        <v>762</v>
      </c>
      <c r="E177" s="1" t="n">
        <v>32</v>
      </c>
      <c r="F177" s="1" t="s">
        <v>872</v>
      </c>
      <c r="G177" s="1" t="s">
        <v>873</v>
      </c>
      <c r="H177" s="1" t="s">
        <v>874</v>
      </c>
      <c r="I177" s="1" t="s">
        <v>218</v>
      </c>
      <c r="J177" s="1" t="s">
        <v>689</v>
      </c>
      <c r="K177" s="1" t="n">
        <v>36.49</v>
      </c>
      <c r="L177" s="1" t="n">
        <v>4.3</v>
      </c>
      <c r="M177" s="1" t="n">
        <v>1000</v>
      </c>
      <c r="N177" s="4" t="b">
        <f aca="false">FALSE()</f>
        <v>0</v>
      </c>
      <c r="P177" s="4" t="b">
        <f aca="false">TRUE()</f>
        <v>1</v>
      </c>
      <c r="Q177" s="1" t="s">
        <v>233</v>
      </c>
      <c r="R177" s="1" t="s">
        <v>767</v>
      </c>
      <c r="S177" s="1" t="s">
        <v>875</v>
      </c>
      <c r="T177" s="1" t="s">
        <v>222</v>
      </c>
      <c r="U177" s="1" t="s">
        <v>223</v>
      </c>
    </row>
    <row r="178" customFormat="false" ht="48" hidden="false" customHeight="true" outlineLevel="0" collapsed="false">
      <c r="A178" s="1" t="s">
        <v>43</v>
      </c>
      <c r="B178" s="1" t="s">
        <v>212</v>
      </c>
      <c r="C178" s="1" t="s">
        <v>66</v>
      </c>
      <c r="D178" s="1" t="s">
        <v>762</v>
      </c>
      <c r="E178" s="1" t="n">
        <v>33</v>
      </c>
      <c r="F178" s="1" t="s">
        <v>876</v>
      </c>
      <c r="G178" s="1" t="s">
        <v>873</v>
      </c>
      <c r="H178" s="1" t="s">
        <v>877</v>
      </c>
      <c r="I178" s="1" t="s">
        <v>242</v>
      </c>
      <c r="J178" s="1" t="s">
        <v>689</v>
      </c>
      <c r="K178" s="1" t="n">
        <v>33.99</v>
      </c>
      <c r="L178" s="1" t="n">
        <v>4.3</v>
      </c>
      <c r="M178" s="1" t="n">
        <v>2500</v>
      </c>
      <c r="N178" s="4" t="b">
        <f aca="false">FALSE()</f>
        <v>0</v>
      </c>
      <c r="P178" s="4" t="b">
        <f aca="false">TRUE()</f>
        <v>1</v>
      </c>
      <c r="R178" s="1" t="s">
        <v>767</v>
      </c>
      <c r="S178" s="1" t="s">
        <v>878</v>
      </c>
      <c r="T178" s="1" t="s">
        <v>222</v>
      </c>
      <c r="U178" s="1" t="s">
        <v>223</v>
      </c>
    </row>
    <row r="179" customFormat="false" ht="48" hidden="false" customHeight="true" outlineLevel="0" collapsed="false">
      <c r="A179" s="1" t="s">
        <v>43</v>
      </c>
      <c r="B179" s="1" t="s">
        <v>212</v>
      </c>
      <c r="C179" s="1" t="s">
        <v>66</v>
      </c>
      <c r="D179" s="1" t="s">
        <v>762</v>
      </c>
      <c r="E179" s="1" t="n">
        <v>34</v>
      </c>
      <c r="F179" s="1" t="s">
        <v>879</v>
      </c>
      <c r="G179" s="1" t="s">
        <v>236</v>
      </c>
      <c r="H179" s="1" t="s">
        <v>880</v>
      </c>
      <c r="I179" s="1" t="s">
        <v>218</v>
      </c>
      <c r="J179" s="1" t="s">
        <v>371</v>
      </c>
      <c r="K179" s="1" t="n">
        <v>25.12</v>
      </c>
      <c r="L179" s="1" t="n">
        <v>4.6</v>
      </c>
      <c r="M179" s="1" t="n">
        <v>5100</v>
      </c>
      <c r="N179" s="4" t="b">
        <f aca="false">FALSE()</f>
        <v>0</v>
      </c>
      <c r="O179" s="1" t="s">
        <v>881</v>
      </c>
      <c r="P179" s="4" t="b">
        <f aca="false">TRUE()</f>
        <v>1</v>
      </c>
      <c r="Q179" s="1" t="s">
        <v>435</v>
      </c>
      <c r="R179" s="1" t="s">
        <v>767</v>
      </c>
      <c r="S179" s="1" t="s">
        <v>882</v>
      </c>
      <c r="T179" s="1" t="s">
        <v>222</v>
      </c>
      <c r="U179" s="1" t="s">
        <v>223</v>
      </c>
    </row>
    <row r="180" customFormat="false" ht="48" hidden="false" customHeight="true" outlineLevel="0" collapsed="false">
      <c r="A180" s="1" t="s">
        <v>43</v>
      </c>
      <c r="B180" s="1" t="s">
        <v>212</v>
      </c>
      <c r="C180" s="1" t="s">
        <v>66</v>
      </c>
      <c r="D180" s="1" t="s">
        <v>762</v>
      </c>
      <c r="E180" s="1" t="n">
        <v>35</v>
      </c>
      <c r="F180" s="1" t="s">
        <v>883</v>
      </c>
      <c r="G180" s="1" t="s">
        <v>236</v>
      </c>
      <c r="H180" s="1" t="s">
        <v>884</v>
      </c>
      <c r="I180" s="1" t="s">
        <v>218</v>
      </c>
      <c r="J180" s="1" t="s">
        <v>371</v>
      </c>
      <c r="K180" s="1" t="n">
        <v>17.99</v>
      </c>
      <c r="L180" s="1" t="n">
        <v>4.4</v>
      </c>
      <c r="M180" s="1" t="n">
        <v>2000</v>
      </c>
      <c r="N180" s="4" t="b">
        <f aca="false">FALSE()</f>
        <v>0</v>
      </c>
      <c r="P180" s="4" t="b">
        <f aca="false">TRUE()</f>
        <v>1</v>
      </c>
      <c r="R180" s="1" t="s">
        <v>767</v>
      </c>
      <c r="S180" s="1" t="s">
        <v>885</v>
      </c>
      <c r="T180" s="1" t="s">
        <v>222</v>
      </c>
      <c r="U180" s="1" t="s">
        <v>223</v>
      </c>
    </row>
    <row r="181" customFormat="false" ht="48" hidden="false" customHeight="true" outlineLevel="0" collapsed="false">
      <c r="A181" s="1" t="s">
        <v>43</v>
      </c>
      <c r="B181" s="1" t="s">
        <v>212</v>
      </c>
      <c r="C181" s="1" t="s">
        <v>66</v>
      </c>
      <c r="D181" s="1" t="s">
        <v>762</v>
      </c>
      <c r="E181" s="1" t="n">
        <v>36</v>
      </c>
      <c r="F181" s="1" t="s">
        <v>886</v>
      </c>
      <c r="G181" s="1" t="s">
        <v>236</v>
      </c>
      <c r="H181" s="1" t="s">
        <v>887</v>
      </c>
      <c r="I181" s="1" t="s">
        <v>231</v>
      </c>
      <c r="J181" s="1" t="s">
        <v>310</v>
      </c>
      <c r="K181" s="1" t="n">
        <v>36.9</v>
      </c>
      <c r="L181" s="1" t="n">
        <v>4.6</v>
      </c>
      <c r="M181" s="1" t="n">
        <v>42</v>
      </c>
      <c r="N181" s="4" t="b">
        <f aca="false">FALSE()</f>
        <v>0</v>
      </c>
      <c r="O181" s="1" t="s">
        <v>888</v>
      </c>
      <c r="P181" s="4" t="b">
        <f aca="false">TRUE()</f>
        <v>1</v>
      </c>
      <c r="R181" s="1" t="s">
        <v>767</v>
      </c>
      <c r="S181" s="1" t="s">
        <v>889</v>
      </c>
      <c r="T181" s="1" t="s">
        <v>222</v>
      </c>
      <c r="U181" s="1" t="s">
        <v>223</v>
      </c>
    </row>
    <row r="182" customFormat="false" ht="48" hidden="false" customHeight="true" outlineLevel="0" collapsed="false">
      <c r="A182" s="1" t="s">
        <v>43</v>
      </c>
      <c r="B182" s="1" t="s">
        <v>212</v>
      </c>
      <c r="C182" s="1" t="s">
        <v>66</v>
      </c>
      <c r="D182" s="1" t="s">
        <v>762</v>
      </c>
      <c r="E182" s="1" t="n">
        <v>37</v>
      </c>
      <c r="F182" s="1" t="s">
        <v>890</v>
      </c>
      <c r="G182" s="1" t="s">
        <v>236</v>
      </c>
      <c r="H182" s="1" t="s">
        <v>891</v>
      </c>
      <c r="I182" s="1" t="s">
        <v>218</v>
      </c>
      <c r="J182" s="1" t="s">
        <v>310</v>
      </c>
      <c r="K182" s="1" t="n">
        <v>20.73</v>
      </c>
      <c r="L182" s="1" t="n">
        <v>4.4</v>
      </c>
      <c r="M182" s="1" t="n">
        <v>1000</v>
      </c>
      <c r="N182" s="4" t="b">
        <f aca="false">FALSE()</f>
        <v>0</v>
      </c>
      <c r="P182" s="4" t="b">
        <f aca="false">TRUE()</f>
        <v>1</v>
      </c>
      <c r="R182" s="1" t="s">
        <v>767</v>
      </c>
      <c r="S182" s="1" t="s">
        <v>892</v>
      </c>
      <c r="T182" s="1" t="s">
        <v>222</v>
      </c>
      <c r="U182" s="1" t="s">
        <v>223</v>
      </c>
    </row>
    <row r="183" customFormat="false" ht="48" hidden="false" customHeight="true" outlineLevel="0" collapsed="false">
      <c r="A183" s="1" t="s">
        <v>43</v>
      </c>
      <c r="B183" s="1" t="s">
        <v>212</v>
      </c>
      <c r="C183" s="1" t="s">
        <v>66</v>
      </c>
      <c r="D183" s="1" t="s">
        <v>762</v>
      </c>
      <c r="E183" s="1" t="n">
        <v>38</v>
      </c>
      <c r="F183" s="1" t="s">
        <v>893</v>
      </c>
      <c r="G183" s="1" t="s">
        <v>236</v>
      </c>
      <c r="H183" s="1" t="s">
        <v>894</v>
      </c>
      <c r="I183" s="1" t="s">
        <v>218</v>
      </c>
      <c r="J183" s="1" t="s">
        <v>310</v>
      </c>
      <c r="K183" s="1" t="n">
        <v>21.99</v>
      </c>
      <c r="L183" s="1" t="n">
        <v>4.4</v>
      </c>
      <c r="M183" s="1" t="n">
        <v>3200</v>
      </c>
      <c r="N183" s="4" t="b">
        <f aca="false">FALSE()</f>
        <v>0</v>
      </c>
      <c r="P183" s="4" t="b">
        <f aca="false">TRUE()</f>
        <v>1</v>
      </c>
      <c r="Q183" s="1" t="s">
        <v>439</v>
      </c>
      <c r="R183" s="1" t="s">
        <v>767</v>
      </c>
      <c r="S183" s="1" t="s">
        <v>895</v>
      </c>
      <c r="T183" s="1" t="s">
        <v>222</v>
      </c>
      <c r="U183" s="1" t="s">
        <v>223</v>
      </c>
    </row>
    <row r="184" customFormat="false" ht="48" hidden="false" customHeight="true" outlineLevel="0" collapsed="false">
      <c r="A184" s="1" t="s">
        <v>43</v>
      </c>
      <c r="B184" s="1" t="s">
        <v>212</v>
      </c>
      <c r="C184" s="1" t="s">
        <v>66</v>
      </c>
      <c r="D184" s="1" t="s">
        <v>762</v>
      </c>
      <c r="E184" s="1" t="n">
        <v>39</v>
      </c>
      <c r="F184" s="1" t="s">
        <v>896</v>
      </c>
      <c r="G184" s="1" t="s">
        <v>236</v>
      </c>
      <c r="H184" s="1" t="s">
        <v>897</v>
      </c>
      <c r="I184" s="1" t="s">
        <v>231</v>
      </c>
      <c r="J184" s="1" t="s">
        <v>310</v>
      </c>
      <c r="K184" s="1" t="n">
        <v>64.99</v>
      </c>
      <c r="L184" s="1" t="n">
        <v>4.2</v>
      </c>
      <c r="M184" s="1" t="n">
        <v>427</v>
      </c>
      <c r="N184" s="4" t="b">
        <f aca="false">FALSE()</f>
        <v>0</v>
      </c>
      <c r="O184" s="1" t="s">
        <v>898</v>
      </c>
      <c r="P184" s="4" t="b">
        <f aca="false">TRUE()</f>
        <v>1</v>
      </c>
      <c r="R184" s="1" t="s">
        <v>767</v>
      </c>
      <c r="S184" s="1" t="s">
        <v>899</v>
      </c>
      <c r="T184" s="1" t="s">
        <v>222</v>
      </c>
      <c r="U184" s="1" t="s">
        <v>223</v>
      </c>
    </row>
    <row r="185" customFormat="false" ht="48" hidden="false" customHeight="true" outlineLevel="0" collapsed="false">
      <c r="A185" s="1" t="s">
        <v>43</v>
      </c>
      <c r="B185" s="1" t="s">
        <v>212</v>
      </c>
      <c r="C185" s="1" t="s">
        <v>66</v>
      </c>
      <c r="D185" s="1" t="s">
        <v>762</v>
      </c>
      <c r="E185" s="1" t="n">
        <v>40</v>
      </c>
      <c r="F185" s="1" t="s">
        <v>900</v>
      </c>
      <c r="G185" s="1" t="s">
        <v>236</v>
      </c>
      <c r="H185" s="1" t="s">
        <v>901</v>
      </c>
      <c r="I185" s="1" t="s">
        <v>231</v>
      </c>
      <c r="J185" s="1" t="s">
        <v>371</v>
      </c>
      <c r="K185" s="1" t="n">
        <v>19.17</v>
      </c>
      <c r="L185" s="1" t="n">
        <v>4.5</v>
      </c>
      <c r="M185" s="1" t="n">
        <v>95</v>
      </c>
      <c r="N185" s="4" t="b">
        <f aca="false">FALSE()</f>
        <v>0</v>
      </c>
      <c r="P185" s="4" t="b">
        <f aca="false">TRUE()</f>
        <v>1</v>
      </c>
      <c r="R185" s="1" t="s">
        <v>767</v>
      </c>
      <c r="S185" s="1" t="s">
        <v>902</v>
      </c>
      <c r="T185" s="1" t="s">
        <v>222</v>
      </c>
      <c r="U185" s="1" t="s">
        <v>223</v>
      </c>
    </row>
    <row r="186" customFormat="false" ht="48" hidden="false" customHeight="true" outlineLevel="0" collapsed="false">
      <c r="A186" s="1" t="s">
        <v>43</v>
      </c>
      <c r="B186" s="1" t="s">
        <v>212</v>
      </c>
      <c r="C186" s="1" t="s">
        <v>66</v>
      </c>
      <c r="D186" s="1" t="s">
        <v>762</v>
      </c>
      <c r="E186" s="1" t="n">
        <v>41</v>
      </c>
      <c r="F186" s="1" t="s">
        <v>903</v>
      </c>
      <c r="G186" s="1" t="s">
        <v>236</v>
      </c>
      <c r="H186" s="1" t="s">
        <v>904</v>
      </c>
      <c r="I186" s="1" t="s">
        <v>231</v>
      </c>
      <c r="J186" s="1" t="s">
        <v>310</v>
      </c>
      <c r="K186" s="1" t="n">
        <v>39.99</v>
      </c>
      <c r="L186" s="1" t="n">
        <v>4.4</v>
      </c>
      <c r="M186" s="1" t="n">
        <v>23400</v>
      </c>
      <c r="N186" s="4" t="b">
        <f aca="false">FALSE()</f>
        <v>0</v>
      </c>
      <c r="O186" s="1" t="s">
        <v>905</v>
      </c>
      <c r="P186" s="4" t="b">
        <f aca="false">TRUE()</f>
        <v>1</v>
      </c>
      <c r="Q186" s="1" t="s">
        <v>435</v>
      </c>
      <c r="R186" s="1" t="s">
        <v>767</v>
      </c>
      <c r="S186" s="1" t="s">
        <v>906</v>
      </c>
      <c r="T186" s="1" t="s">
        <v>222</v>
      </c>
      <c r="U186" s="1" t="s">
        <v>223</v>
      </c>
    </row>
    <row r="187" customFormat="false" ht="48" hidden="false" customHeight="true" outlineLevel="0" collapsed="false">
      <c r="A187" s="1" t="s">
        <v>43</v>
      </c>
      <c r="B187" s="1" t="s">
        <v>212</v>
      </c>
      <c r="C187" s="1" t="s">
        <v>66</v>
      </c>
      <c r="D187" s="1" t="s">
        <v>762</v>
      </c>
      <c r="E187" s="1" t="n">
        <v>42</v>
      </c>
      <c r="F187" s="1" t="s">
        <v>907</v>
      </c>
      <c r="G187" s="1" t="s">
        <v>236</v>
      </c>
      <c r="H187" s="1" t="s">
        <v>908</v>
      </c>
      <c r="I187" s="1" t="s">
        <v>231</v>
      </c>
      <c r="J187" s="1" t="s">
        <v>310</v>
      </c>
      <c r="K187" s="1" t="n">
        <v>47.99</v>
      </c>
      <c r="L187" s="1" t="n">
        <v>4.4</v>
      </c>
      <c r="M187" s="1" t="n">
        <v>107</v>
      </c>
      <c r="N187" s="4" t="b">
        <f aca="false">FALSE()</f>
        <v>0</v>
      </c>
      <c r="O187" s="1" t="s">
        <v>909</v>
      </c>
      <c r="P187" s="4" t="b">
        <f aca="false">TRUE()</f>
        <v>1</v>
      </c>
      <c r="Q187" s="1" t="s">
        <v>251</v>
      </c>
      <c r="R187" s="1" t="s">
        <v>767</v>
      </c>
      <c r="S187" s="1" t="s">
        <v>910</v>
      </c>
      <c r="T187" s="1" t="s">
        <v>222</v>
      </c>
      <c r="U187" s="1" t="s">
        <v>223</v>
      </c>
    </row>
    <row r="188" customFormat="false" ht="48" hidden="false" customHeight="true" outlineLevel="0" collapsed="false">
      <c r="A188" s="1" t="s">
        <v>43</v>
      </c>
      <c r="B188" s="1" t="s">
        <v>212</v>
      </c>
      <c r="C188" s="1" t="s">
        <v>66</v>
      </c>
      <c r="D188" s="1" t="s">
        <v>762</v>
      </c>
      <c r="E188" s="1" t="n">
        <v>43</v>
      </c>
      <c r="F188" s="1" t="s">
        <v>911</v>
      </c>
      <c r="G188" s="1" t="s">
        <v>236</v>
      </c>
      <c r="H188" s="1" t="s">
        <v>912</v>
      </c>
      <c r="I188" s="1" t="s">
        <v>218</v>
      </c>
      <c r="J188" s="1" t="s">
        <v>219</v>
      </c>
      <c r="K188" s="1" t="n">
        <v>36.9</v>
      </c>
      <c r="L188" s="1" t="n">
        <v>4.5</v>
      </c>
      <c r="M188" s="1" t="n">
        <v>4000</v>
      </c>
      <c r="N188" s="4" t="b">
        <f aca="false">FALSE()</f>
        <v>0</v>
      </c>
      <c r="O188" s="1" t="s">
        <v>913</v>
      </c>
      <c r="P188" s="4" t="b">
        <f aca="false">TRUE()</f>
        <v>1</v>
      </c>
      <c r="Q188" s="1" t="s">
        <v>711</v>
      </c>
      <c r="R188" s="1" t="s">
        <v>767</v>
      </c>
      <c r="S188" s="1" t="s">
        <v>914</v>
      </c>
      <c r="T188" s="1" t="s">
        <v>222</v>
      </c>
      <c r="U188" s="1" t="s">
        <v>223</v>
      </c>
    </row>
    <row r="189" customFormat="false" ht="48" hidden="false" customHeight="true" outlineLevel="0" collapsed="false">
      <c r="A189" s="1" t="s">
        <v>43</v>
      </c>
      <c r="B189" s="1" t="s">
        <v>212</v>
      </c>
      <c r="C189" s="1" t="s">
        <v>66</v>
      </c>
      <c r="D189" s="1" t="s">
        <v>762</v>
      </c>
      <c r="E189" s="1" t="n">
        <v>44</v>
      </c>
      <c r="F189" s="1" t="s">
        <v>915</v>
      </c>
      <c r="G189" s="1" t="s">
        <v>873</v>
      </c>
      <c r="H189" s="1" t="s">
        <v>916</v>
      </c>
      <c r="I189" s="1" t="s">
        <v>289</v>
      </c>
      <c r="J189" s="1" t="s">
        <v>689</v>
      </c>
      <c r="K189" s="1" t="n">
        <v>30.99</v>
      </c>
      <c r="L189" s="1" t="n">
        <v>4.5</v>
      </c>
      <c r="M189" s="1" t="n">
        <v>257</v>
      </c>
      <c r="N189" s="4" t="b">
        <f aca="false">FALSE()</f>
        <v>0</v>
      </c>
      <c r="P189" s="4" t="b">
        <f aca="false">TRUE()</f>
        <v>1</v>
      </c>
      <c r="Q189" s="1" t="s">
        <v>251</v>
      </c>
      <c r="R189" s="1" t="s">
        <v>767</v>
      </c>
      <c r="S189" s="1" t="s">
        <v>917</v>
      </c>
      <c r="T189" s="1" t="s">
        <v>222</v>
      </c>
      <c r="U189" s="1" t="s">
        <v>223</v>
      </c>
    </row>
    <row r="190" customFormat="false" ht="48" hidden="false" customHeight="true" outlineLevel="0" collapsed="false">
      <c r="A190" s="1" t="s">
        <v>43</v>
      </c>
      <c r="B190" s="1" t="s">
        <v>212</v>
      </c>
      <c r="C190" s="1" t="s">
        <v>66</v>
      </c>
      <c r="D190" s="1" t="s">
        <v>762</v>
      </c>
      <c r="E190" s="1" t="n">
        <v>45</v>
      </c>
      <c r="F190" s="1" t="s">
        <v>918</v>
      </c>
      <c r="G190" s="1" t="s">
        <v>919</v>
      </c>
      <c r="H190" s="1" t="s">
        <v>920</v>
      </c>
      <c r="I190" s="1" t="s">
        <v>218</v>
      </c>
      <c r="J190" s="1" t="s">
        <v>371</v>
      </c>
      <c r="K190" s="1" t="n">
        <v>24.71</v>
      </c>
      <c r="L190" s="1" t="n">
        <v>4.4</v>
      </c>
      <c r="M190" s="1" t="n">
        <v>40000</v>
      </c>
      <c r="N190" s="4" t="b">
        <f aca="false">FALSE()</f>
        <v>0</v>
      </c>
      <c r="P190" s="4" t="b">
        <f aca="false">TRUE()</f>
        <v>1</v>
      </c>
      <c r="R190" s="1" t="s">
        <v>767</v>
      </c>
      <c r="S190" s="1" t="s">
        <v>921</v>
      </c>
      <c r="T190" s="1" t="s">
        <v>222</v>
      </c>
      <c r="U190" s="1" t="s">
        <v>223</v>
      </c>
    </row>
    <row r="191" customFormat="false" ht="48" hidden="false" customHeight="true" outlineLevel="0" collapsed="false">
      <c r="A191" s="1" t="s">
        <v>43</v>
      </c>
      <c r="B191" s="1" t="s">
        <v>212</v>
      </c>
      <c r="C191" s="1" t="s">
        <v>66</v>
      </c>
      <c r="D191" s="1" t="s">
        <v>762</v>
      </c>
      <c r="E191" s="1" t="n">
        <v>46</v>
      </c>
      <c r="F191" s="1" t="s">
        <v>922</v>
      </c>
      <c r="G191" s="1" t="s">
        <v>919</v>
      </c>
      <c r="H191" s="1" t="s">
        <v>923</v>
      </c>
      <c r="I191" s="1" t="s">
        <v>218</v>
      </c>
      <c r="J191" s="1" t="s">
        <v>310</v>
      </c>
      <c r="K191" s="1" t="n">
        <v>31.58</v>
      </c>
      <c r="L191" s="1" t="n">
        <v>4.5</v>
      </c>
      <c r="M191" s="1" t="n">
        <v>192</v>
      </c>
      <c r="N191" s="4" t="b">
        <f aca="false">FALSE()</f>
        <v>0</v>
      </c>
      <c r="P191" s="4" t="b">
        <f aca="false">TRUE()</f>
        <v>1</v>
      </c>
      <c r="R191" s="1" t="s">
        <v>767</v>
      </c>
      <c r="S191" s="1" t="s">
        <v>924</v>
      </c>
      <c r="T191" s="1" t="s">
        <v>222</v>
      </c>
      <c r="U191" s="1" t="s">
        <v>223</v>
      </c>
    </row>
    <row r="192" customFormat="false" ht="48" hidden="false" customHeight="true" outlineLevel="0" collapsed="false">
      <c r="A192" s="1" t="s">
        <v>43</v>
      </c>
      <c r="B192" s="1" t="s">
        <v>212</v>
      </c>
      <c r="C192" s="1" t="s">
        <v>66</v>
      </c>
      <c r="D192" s="1" t="s">
        <v>762</v>
      </c>
      <c r="E192" s="1" t="n">
        <v>47</v>
      </c>
      <c r="F192" s="1" t="s">
        <v>925</v>
      </c>
      <c r="G192" s="1" t="s">
        <v>236</v>
      </c>
      <c r="H192" s="1" t="s">
        <v>926</v>
      </c>
      <c r="I192" s="1" t="s">
        <v>242</v>
      </c>
      <c r="J192" s="1" t="s">
        <v>371</v>
      </c>
      <c r="K192" s="1" t="n">
        <v>16.99</v>
      </c>
      <c r="L192" s="1" t="n">
        <v>4.4</v>
      </c>
      <c r="M192" s="1" t="n">
        <v>293</v>
      </c>
      <c r="N192" s="4" t="b">
        <f aca="false">FALSE()</f>
        <v>0</v>
      </c>
      <c r="P192" s="4" t="b">
        <f aca="false">TRUE()</f>
        <v>1</v>
      </c>
      <c r="R192" s="1" t="s">
        <v>767</v>
      </c>
      <c r="S192" s="1" t="s">
        <v>927</v>
      </c>
      <c r="T192" s="1" t="s">
        <v>222</v>
      </c>
      <c r="U192" s="1" t="s">
        <v>223</v>
      </c>
    </row>
    <row r="193" customFormat="false" ht="48" hidden="false" customHeight="true" outlineLevel="0" collapsed="false">
      <c r="A193" s="1" t="s">
        <v>43</v>
      </c>
      <c r="B193" s="1" t="s">
        <v>212</v>
      </c>
      <c r="C193" s="1" t="s">
        <v>66</v>
      </c>
      <c r="D193" s="1" t="s">
        <v>762</v>
      </c>
      <c r="E193" s="1" t="n">
        <v>48</v>
      </c>
      <c r="F193" s="1" t="s">
        <v>928</v>
      </c>
      <c r="G193" s="1" t="s">
        <v>236</v>
      </c>
      <c r="H193" s="1" t="s">
        <v>929</v>
      </c>
      <c r="I193" s="1" t="s">
        <v>231</v>
      </c>
      <c r="J193" s="1" t="s">
        <v>310</v>
      </c>
      <c r="K193" s="1" t="n">
        <v>35.99</v>
      </c>
      <c r="L193" s="1" t="n">
        <v>4.3</v>
      </c>
      <c r="M193" s="1" t="n">
        <v>48600</v>
      </c>
      <c r="N193" s="4" t="b">
        <f aca="false">FALSE()</f>
        <v>0</v>
      </c>
      <c r="O193" s="1" t="s">
        <v>842</v>
      </c>
      <c r="P193" s="4" t="b">
        <f aca="false">TRUE()</f>
        <v>1</v>
      </c>
      <c r="R193" s="1" t="s">
        <v>767</v>
      </c>
      <c r="S193" s="1" t="s">
        <v>930</v>
      </c>
      <c r="T193" s="1" t="s">
        <v>222</v>
      </c>
      <c r="U193" s="1" t="s">
        <v>223</v>
      </c>
    </row>
    <row r="194" customFormat="false" ht="48" hidden="false" customHeight="true" outlineLevel="0" collapsed="false">
      <c r="A194" s="1" t="s">
        <v>43</v>
      </c>
      <c r="B194" s="1" t="s">
        <v>212</v>
      </c>
      <c r="C194" s="1" t="s">
        <v>931</v>
      </c>
      <c r="D194" s="1" t="s">
        <v>932</v>
      </c>
      <c r="E194" s="1" t="n">
        <v>1</v>
      </c>
      <c r="F194" s="1" t="s">
        <v>933</v>
      </c>
      <c r="G194" s="1" t="s">
        <v>934</v>
      </c>
      <c r="H194" s="1" t="s">
        <v>935</v>
      </c>
      <c r="I194" s="1" t="s">
        <v>218</v>
      </c>
      <c r="J194" s="1" t="s">
        <v>689</v>
      </c>
      <c r="K194" s="1" t="n">
        <v>154.84</v>
      </c>
      <c r="L194" s="1" t="n">
        <v>4.1</v>
      </c>
      <c r="M194" s="1" t="n">
        <v>282</v>
      </c>
      <c r="N194" s="4" t="b">
        <f aca="false">FALSE()</f>
        <v>0</v>
      </c>
      <c r="O194" s="1" t="s">
        <v>936</v>
      </c>
      <c r="P194" s="4" t="b">
        <f aca="false">TRUE()</f>
        <v>1</v>
      </c>
      <c r="R194" s="1" t="s">
        <v>937</v>
      </c>
      <c r="S194" s="1" t="s">
        <v>938</v>
      </c>
      <c r="T194" s="1" t="s">
        <v>222</v>
      </c>
      <c r="U194" s="1" t="s">
        <v>223</v>
      </c>
    </row>
    <row r="195" customFormat="false" ht="48" hidden="false" customHeight="true" outlineLevel="0" collapsed="false">
      <c r="A195" s="1" t="s">
        <v>43</v>
      </c>
      <c r="B195" s="1" t="s">
        <v>212</v>
      </c>
      <c r="C195" s="1" t="s">
        <v>931</v>
      </c>
      <c r="D195" s="1" t="s">
        <v>932</v>
      </c>
      <c r="E195" s="1" t="n">
        <v>2</v>
      </c>
      <c r="F195" s="1" t="s">
        <v>939</v>
      </c>
      <c r="G195" s="1" t="s">
        <v>934</v>
      </c>
      <c r="H195" s="1" t="s">
        <v>940</v>
      </c>
      <c r="I195" s="1" t="s">
        <v>218</v>
      </c>
      <c r="J195" s="1" t="s">
        <v>689</v>
      </c>
      <c r="K195" s="1" t="n">
        <v>119.99</v>
      </c>
      <c r="L195" s="1" t="n">
        <v>4.3</v>
      </c>
      <c r="M195" s="1" t="n">
        <v>157</v>
      </c>
      <c r="N195" s="4" t="b">
        <f aca="false">FALSE()</f>
        <v>0</v>
      </c>
      <c r="O195" s="1" t="s">
        <v>941</v>
      </c>
      <c r="P195" s="4" t="b">
        <f aca="false">FALSE()</f>
        <v>0</v>
      </c>
      <c r="R195" s="1" t="s">
        <v>937</v>
      </c>
      <c r="S195" s="1" t="s">
        <v>942</v>
      </c>
      <c r="T195" s="1" t="s">
        <v>222</v>
      </c>
      <c r="U195" s="1" t="s">
        <v>223</v>
      </c>
    </row>
    <row r="196" customFormat="false" ht="48" hidden="false" customHeight="true" outlineLevel="0" collapsed="false">
      <c r="A196" s="1" t="s">
        <v>43</v>
      </c>
      <c r="B196" s="1" t="s">
        <v>212</v>
      </c>
      <c r="C196" s="1" t="s">
        <v>931</v>
      </c>
      <c r="D196" s="1" t="s">
        <v>932</v>
      </c>
      <c r="E196" s="1" t="n">
        <v>3</v>
      </c>
      <c r="F196" s="1" t="s">
        <v>943</v>
      </c>
      <c r="G196" s="1" t="s">
        <v>236</v>
      </c>
      <c r="H196" s="1" t="s">
        <v>944</v>
      </c>
      <c r="I196" s="1" t="s">
        <v>231</v>
      </c>
      <c r="J196" s="1" t="s">
        <v>689</v>
      </c>
      <c r="K196" s="1" t="n">
        <v>249.99</v>
      </c>
      <c r="L196" s="1" t="n">
        <v>4.6</v>
      </c>
      <c r="M196" s="1" t="n">
        <v>262</v>
      </c>
      <c r="N196" s="4" t="b">
        <f aca="false">FALSE()</f>
        <v>0</v>
      </c>
      <c r="P196" s="4" t="b">
        <f aca="false">TRUE()</f>
        <v>1</v>
      </c>
      <c r="R196" s="1" t="s">
        <v>937</v>
      </c>
      <c r="S196" s="1" t="s">
        <v>945</v>
      </c>
      <c r="T196" s="1" t="s">
        <v>222</v>
      </c>
      <c r="U196" s="1" t="s">
        <v>223</v>
      </c>
    </row>
    <row r="197" customFormat="false" ht="48" hidden="false" customHeight="true" outlineLevel="0" collapsed="false">
      <c r="A197" s="1" t="s">
        <v>43</v>
      </c>
      <c r="B197" s="1" t="s">
        <v>212</v>
      </c>
      <c r="C197" s="1" t="s">
        <v>931</v>
      </c>
      <c r="D197" s="1" t="s">
        <v>932</v>
      </c>
      <c r="E197" s="1" t="n">
        <v>4</v>
      </c>
      <c r="F197" s="1" t="s">
        <v>946</v>
      </c>
      <c r="G197" s="1" t="s">
        <v>236</v>
      </c>
      <c r="H197" s="1" t="s">
        <v>947</v>
      </c>
      <c r="I197" s="1" t="s">
        <v>231</v>
      </c>
      <c r="J197" s="1" t="s">
        <v>689</v>
      </c>
      <c r="K197" s="1" t="n">
        <v>169.99</v>
      </c>
      <c r="L197" s="1" t="n">
        <v>4.1</v>
      </c>
      <c r="M197" s="1" t="n">
        <v>20</v>
      </c>
      <c r="N197" s="4" t="b">
        <f aca="false">FALSE()</f>
        <v>0</v>
      </c>
      <c r="P197" s="4" t="b">
        <f aca="false">TRUE()</f>
        <v>1</v>
      </c>
      <c r="R197" s="1" t="s">
        <v>937</v>
      </c>
      <c r="S197" s="1" t="s">
        <v>948</v>
      </c>
      <c r="T197" s="1" t="s">
        <v>222</v>
      </c>
      <c r="U197" s="1" t="s">
        <v>223</v>
      </c>
    </row>
    <row r="198" customFormat="false" ht="48" hidden="false" customHeight="true" outlineLevel="0" collapsed="false">
      <c r="A198" s="1" t="s">
        <v>43</v>
      </c>
      <c r="B198" s="1" t="s">
        <v>212</v>
      </c>
      <c r="C198" s="1" t="s">
        <v>931</v>
      </c>
      <c r="D198" s="1" t="s">
        <v>932</v>
      </c>
      <c r="E198" s="1" t="n">
        <v>5</v>
      </c>
      <c r="F198" s="1" t="s">
        <v>949</v>
      </c>
      <c r="G198" s="1" t="s">
        <v>934</v>
      </c>
      <c r="H198" s="1" t="s">
        <v>950</v>
      </c>
      <c r="I198" s="1" t="s">
        <v>231</v>
      </c>
      <c r="J198" s="1" t="s">
        <v>689</v>
      </c>
      <c r="K198" s="1" t="n">
        <v>169.99</v>
      </c>
      <c r="L198" s="1" t="n">
        <v>4.1</v>
      </c>
      <c r="M198" s="1" t="n">
        <v>282</v>
      </c>
      <c r="N198" s="4" t="b">
        <f aca="false">FALSE()</f>
        <v>0</v>
      </c>
      <c r="O198" s="1" t="s">
        <v>951</v>
      </c>
      <c r="P198" s="4" t="b">
        <f aca="false">TRUE()</f>
        <v>1</v>
      </c>
      <c r="R198" s="1" t="s">
        <v>937</v>
      </c>
      <c r="S198" s="1" t="s">
        <v>952</v>
      </c>
      <c r="T198" s="1" t="s">
        <v>222</v>
      </c>
      <c r="U198" s="1" t="s">
        <v>223</v>
      </c>
    </row>
    <row r="199" customFormat="false" ht="48" hidden="false" customHeight="true" outlineLevel="0" collapsed="false">
      <c r="A199" s="1" t="s">
        <v>43</v>
      </c>
      <c r="B199" s="1" t="s">
        <v>212</v>
      </c>
      <c r="C199" s="1" t="s">
        <v>931</v>
      </c>
      <c r="D199" s="1" t="s">
        <v>932</v>
      </c>
      <c r="E199" s="1" t="n">
        <v>6</v>
      </c>
      <c r="F199" s="1" t="s">
        <v>953</v>
      </c>
      <c r="G199" s="1" t="s">
        <v>236</v>
      </c>
      <c r="H199" s="1" t="s">
        <v>954</v>
      </c>
      <c r="I199" s="1" t="s">
        <v>242</v>
      </c>
      <c r="J199" s="1" t="s">
        <v>689</v>
      </c>
      <c r="K199" s="1" t="n">
        <v>209.99</v>
      </c>
      <c r="L199" s="1" t="n">
        <v>4.6</v>
      </c>
      <c r="M199" s="1" t="n">
        <v>39</v>
      </c>
      <c r="N199" s="4" t="b">
        <f aca="false">FALSE()</f>
        <v>0</v>
      </c>
      <c r="P199" s="4" t="b">
        <f aca="false">TRUE()</f>
        <v>1</v>
      </c>
      <c r="R199" s="1" t="s">
        <v>937</v>
      </c>
      <c r="S199" s="1" t="s">
        <v>955</v>
      </c>
      <c r="T199" s="1" t="s">
        <v>222</v>
      </c>
      <c r="U199" s="1" t="s">
        <v>223</v>
      </c>
    </row>
    <row r="200" customFormat="false" ht="48" hidden="false" customHeight="true" outlineLevel="0" collapsed="false">
      <c r="A200" s="1" t="s">
        <v>43</v>
      </c>
      <c r="B200" s="1" t="s">
        <v>212</v>
      </c>
      <c r="C200" s="1" t="s">
        <v>931</v>
      </c>
      <c r="D200" s="1" t="s">
        <v>932</v>
      </c>
      <c r="E200" s="1" t="n">
        <v>7</v>
      </c>
      <c r="F200" s="1" t="s">
        <v>956</v>
      </c>
      <c r="G200" s="1" t="s">
        <v>229</v>
      </c>
      <c r="H200" s="1" t="s">
        <v>957</v>
      </c>
      <c r="I200" s="1" t="s">
        <v>218</v>
      </c>
      <c r="J200" s="1" t="s">
        <v>597</v>
      </c>
      <c r="K200" s="1" t="n">
        <v>99.99</v>
      </c>
      <c r="L200" s="1" t="n">
        <v>4.6</v>
      </c>
      <c r="M200" s="1" t="n">
        <v>38</v>
      </c>
      <c r="N200" s="4" t="b">
        <f aca="false">FALSE()</f>
        <v>0</v>
      </c>
      <c r="O200" s="1" t="s">
        <v>958</v>
      </c>
      <c r="P200" s="4" t="b">
        <f aca="false">FALSE()</f>
        <v>0</v>
      </c>
      <c r="Q200" s="1" t="s">
        <v>251</v>
      </c>
      <c r="R200" s="1" t="s">
        <v>937</v>
      </c>
      <c r="S200" s="1" t="s">
        <v>959</v>
      </c>
      <c r="T200" s="1" t="s">
        <v>222</v>
      </c>
      <c r="U200" s="1" t="s">
        <v>223</v>
      </c>
    </row>
    <row r="201" customFormat="false" ht="48" hidden="false" customHeight="true" outlineLevel="0" collapsed="false">
      <c r="A201" s="1" t="s">
        <v>43</v>
      </c>
      <c r="B201" s="1" t="s">
        <v>212</v>
      </c>
      <c r="C201" s="1" t="s">
        <v>931</v>
      </c>
      <c r="D201" s="1" t="s">
        <v>932</v>
      </c>
      <c r="E201" s="1" t="n">
        <v>8</v>
      </c>
      <c r="F201" s="1" t="s">
        <v>960</v>
      </c>
      <c r="G201" s="1" t="s">
        <v>236</v>
      </c>
      <c r="H201" s="1" t="s">
        <v>961</v>
      </c>
      <c r="I201" s="1" t="s">
        <v>402</v>
      </c>
      <c r="J201" s="1" t="s">
        <v>597</v>
      </c>
      <c r="K201" s="1" t="n">
        <v>59.99</v>
      </c>
      <c r="L201" s="1" t="n">
        <v>4.2</v>
      </c>
      <c r="M201" s="1" t="n">
        <v>30000</v>
      </c>
      <c r="N201" s="4" t="b">
        <f aca="false">FALSE()</f>
        <v>0</v>
      </c>
      <c r="O201" s="1" t="s">
        <v>962</v>
      </c>
      <c r="P201" s="4" t="b">
        <f aca="false">FALSE()</f>
        <v>0</v>
      </c>
      <c r="Q201" s="1" t="s">
        <v>435</v>
      </c>
      <c r="R201" s="1" t="s">
        <v>937</v>
      </c>
      <c r="S201" s="1" t="s">
        <v>963</v>
      </c>
      <c r="T201" s="1" t="s">
        <v>222</v>
      </c>
      <c r="U201" s="1" t="s">
        <v>223</v>
      </c>
    </row>
    <row r="202" customFormat="false" ht="48" hidden="false" customHeight="true" outlineLevel="0" collapsed="false">
      <c r="A202" s="1" t="s">
        <v>43</v>
      </c>
      <c r="B202" s="1" t="s">
        <v>212</v>
      </c>
      <c r="C202" s="1" t="s">
        <v>931</v>
      </c>
      <c r="D202" s="1" t="s">
        <v>932</v>
      </c>
      <c r="E202" s="1" t="n">
        <v>9</v>
      </c>
      <c r="F202" s="1" t="s">
        <v>964</v>
      </c>
      <c r="G202" s="1" t="s">
        <v>934</v>
      </c>
      <c r="H202" s="1" t="s">
        <v>965</v>
      </c>
      <c r="I202" s="1" t="s">
        <v>218</v>
      </c>
      <c r="J202" s="1" t="s">
        <v>689</v>
      </c>
      <c r="K202" s="1" t="n">
        <v>156.99</v>
      </c>
      <c r="L202" s="1" t="n">
        <v>4.1</v>
      </c>
      <c r="M202" s="1" t="n">
        <v>282</v>
      </c>
      <c r="N202" s="4" t="b">
        <f aca="false">FALSE()</f>
        <v>0</v>
      </c>
      <c r="O202" s="1" t="s">
        <v>966</v>
      </c>
      <c r="P202" s="4" t="b">
        <f aca="false">TRUE()</f>
        <v>1</v>
      </c>
      <c r="R202" s="1" t="s">
        <v>937</v>
      </c>
      <c r="S202" s="1" t="s">
        <v>967</v>
      </c>
      <c r="T202" s="1" t="s">
        <v>222</v>
      </c>
      <c r="U202" s="1" t="s">
        <v>223</v>
      </c>
    </row>
    <row r="203" customFormat="false" ht="48" hidden="false" customHeight="true" outlineLevel="0" collapsed="false">
      <c r="A203" s="1" t="s">
        <v>43</v>
      </c>
      <c r="B203" s="1" t="s">
        <v>212</v>
      </c>
      <c r="C203" s="1" t="s">
        <v>931</v>
      </c>
      <c r="D203" s="1" t="s">
        <v>932</v>
      </c>
      <c r="E203" s="1" t="n">
        <v>10</v>
      </c>
      <c r="F203" s="1" t="s">
        <v>968</v>
      </c>
      <c r="G203" s="1" t="s">
        <v>236</v>
      </c>
      <c r="H203" s="1" t="s">
        <v>969</v>
      </c>
      <c r="I203" s="1" t="s">
        <v>218</v>
      </c>
      <c r="J203" s="1" t="s">
        <v>310</v>
      </c>
      <c r="K203" s="1" t="n">
        <v>33.99</v>
      </c>
      <c r="L203" s="1" t="n">
        <v>4.4</v>
      </c>
      <c r="M203" s="1" t="n">
        <v>444800</v>
      </c>
      <c r="N203" s="4" t="b">
        <f aca="false">FALSE()</f>
        <v>0</v>
      </c>
      <c r="O203" s="1" t="s">
        <v>970</v>
      </c>
      <c r="P203" s="4" t="b">
        <f aca="false">FALSE()</f>
        <v>0</v>
      </c>
      <c r="Q203" s="1" t="s">
        <v>618</v>
      </c>
      <c r="R203" s="1" t="s">
        <v>937</v>
      </c>
      <c r="S203" s="1" t="s">
        <v>971</v>
      </c>
      <c r="T203" s="1" t="s">
        <v>222</v>
      </c>
      <c r="U203" s="1" t="s">
        <v>223</v>
      </c>
    </row>
    <row r="204" customFormat="false" ht="48" hidden="false" customHeight="true" outlineLevel="0" collapsed="false">
      <c r="A204" s="1" t="s">
        <v>43</v>
      </c>
      <c r="B204" s="1" t="s">
        <v>212</v>
      </c>
      <c r="C204" s="1" t="s">
        <v>931</v>
      </c>
      <c r="D204" s="1" t="s">
        <v>932</v>
      </c>
      <c r="E204" s="1" t="n">
        <v>11</v>
      </c>
      <c r="F204" s="1" t="s">
        <v>972</v>
      </c>
      <c r="G204" s="1" t="s">
        <v>236</v>
      </c>
      <c r="H204" s="1" t="s">
        <v>973</v>
      </c>
      <c r="I204" s="1" t="s">
        <v>218</v>
      </c>
      <c r="J204" s="1" t="s">
        <v>689</v>
      </c>
      <c r="K204" s="1" t="n">
        <v>224.38</v>
      </c>
      <c r="L204" s="1" t="n">
        <v>4.5</v>
      </c>
      <c r="M204" s="1" t="n">
        <v>861</v>
      </c>
      <c r="N204" s="4" t="b">
        <f aca="false">FALSE()</f>
        <v>0</v>
      </c>
      <c r="P204" s="4" t="b">
        <f aca="false">TRUE()</f>
        <v>1</v>
      </c>
      <c r="R204" s="1" t="s">
        <v>937</v>
      </c>
      <c r="S204" s="1" t="s">
        <v>974</v>
      </c>
      <c r="T204" s="1" t="s">
        <v>222</v>
      </c>
      <c r="U204" s="1" t="s">
        <v>223</v>
      </c>
    </row>
    <row r="205" customFormat="false" ht="48" hidden="false" customHeight="true" outlineLevel="0" collapsed="false">
      <c r="A205" s="1" t="s">
        <v>43</v>
      </c>
      <c r="B205" s="1" t="s">
        <v>212</v>
      </c>
      <c r="C205" s="1" t="s">
        <v>931</v>
      </c>
      <c r="D205" s="1" t="s">
        <v>932</v>
      </c>
      <c r="E205" s="1" t="n">
        <v>12</v>
      </c>
      <c r="F205" s="1" t="s">
        <v>975</v>
      </c>
      <c r="G205" s="1" t="s">
        <v>236</v>
      </c>
      <c r="H205" s="1" t="s">
        <v>976</v>
      </c>
      <c r="I205" s="1" t="s">
        <v>218</v>
      </c>
      <c r="J205" s="1" t="s">
        <v>597</v>
      </c>
      <c r="K205" s="1" t="n">
        <v>114.99</v>
      </c>
      <c r="L205" s="1" t="n">
        <v>4.4</v>
      </c>
      <c r="M205" s="1" t="n">
        <v>14500</v>
      </c>
      <c r="N205" s="4" t="b">
        <f aca="false">FALSE()</f>
        <v>0</v>
      </c>
      <c r="O205" s="1" t="s">
        <v>232</v>
      </c>
      <c r="P205" s="4" t="b">
        <f aca="false">FALSE()</f>
        <v>0</v>
      </c>
      <c r="R205" s="1" t="s">
        <v>937</v>
      </c>
      <c r="S205" s="1" t="s">
        <v>977</v>
      </c>
      <c r="T205" s="1" t="s">
        <v>222</v>
      </c>
      <c r="U205" s="1" t="s">
        <v>223</v>
      </c>
    </row>
    <row r="206" customFormat="false" ht="48" hidden="false" customHeight="true" outlineLevel="0" collapsed="false">
      <c r="A206" s="1" t="s">
        <v>43</v>
      </c>
      <c r="B206" s="1" t="s">
        <v>212</v>
      </c>
      <c r="C206" s="1" t="s">
        <v>931</v>
      </c>
      <c r="D206" s="1" t="s">
        <v>932</v>
      </c>
      <c r="E206" s="1" t="n">
        <v>13</v>
      </c>
      <c r="F206" s="1" t="s">
        <v>978</v>
      </c>
      <c r="G206" s="1" t="s">
        <v>979</v>
      </c>
      <c r="H206" s="1" t="s">
        <v>980</v>
      </c>
      <c r="I206" s="1" t="s">
        <v>218</v>
      </c>
      <c r="J206" s="1" t="s">
        <v>689</v>
      </c>
      <c r="K206" s="1" t="n">
        <v>89.99</v>
      </c>
      <c r="L206" s="1" t="n">
        <v>4.4</v>
      </c>
      <c r="M206" s="1" t="n">
        <v>1100</v>
      </c>
      <c r="N206" s="4" t="b">
        <f aca="false">FALSE()</f>
        <v>0</v>
      </c>
      <c r="P206" s="4" t="b">
        <f aca="false">FALSE()</f>
        <v>0</v>
      </c>
      <c r="R206" s="1" t="s">
        <v>937</v>
      </c>
      <c r="S206" s="1" t="s">
        <v>981</v>
      </c>
      <c r="T206" s="1" t="s">
        <v>222</v>
      </c>
      <c r="U206" s="1" t="s">
        <v>223</v>
      </c>
    </row>
    <row r="207" customFormat="false" ht="48" hidden="false" customHeight="true" outlineLevel="0" collapsed="false">
      <c r="A207" s="1" t="s">
        <v>43</v>
      </c>
      <c r="B207" s="1" t="s">
        <v>212</v>
      </c>
      <c r="C207" s="1" t="s">
        <v>931</v>
      </c>
      <c r="D207" s="1" t="s">
        <v>932</v>
      </c>
      <c r="E207" s="1" t="n">
        <v>14</v>
      </c>
      <c r="F207" s="1" t="s">
        <v>982</v>
      </c>
      <c r="G207" s="1" t="s">
        <v>873</v>
      </c>
      <c r="H207" s="1" t="s">
        <v>983</v>
      </c>
      <c r="I207" s="1" t="s">
        <v>218</v>
      </c>
      <c r="J207" s="1" t="s">
        <v>689</v>
      </c>
      <c r="K207" s="1" t="n">
        <v>62.49</v>
      </c>
      <c r="L207" s="1" t="n">
        <v>4.2</v>
      </c>
      <c r="M207" s="1" t="n">
        <v>8500</v>
      </c>
      <c r="N207" s="4" t="b">
        <f aca="false">FALSE()</f>
        <v>0</v>
      </c>
      <c r="O207" s="1" t="s">
        <v>984</v>
      </c>
      <c r="P207" s="4" t="b">
        <f aca="false">FALSE()</f>
        <v>0</v>
      </c>
      <c r="Q207" s="1" t="s">
        <v>251</v>
      </c>
      <c r="R207" s="1" t="s">
        <v>937</v>
      </c>
      <c r="S207" s="1" t="s">
        <v>985</v>
      </c>
      <c r="T207" s="1" t="s">
        <v>222</v>
      </c>
      <c r="U207" s="1" t="s">
        <v>223</v>
      </c>
    </row>
    <row r="208" customFormat="false" ht="48" hidden="false" customHeight="true" outlineLevel="0" collapsed="false">
      <c r="A208" s="1" t="s">
        <v>43</v>
      </c>
      <c r="B208" s="1" t="s">
        <v>212</v>
      </c>
      <c r="C208" s="1" t="s">
        <v>931</v>
      </c>
      <c r="D208" s="1" t="s">
        <v>932</v>
      </c>
      <c r="E208" s="1" t="n">
        <v>15</v>
      </c>
      <c r="F208" s="1" t="s">
        <v>986</v>
      </c>
      <c r="G208" s="1" t="s">
        <v>979</v>
      </c>
      <c r="H208" s="1" t="s">
        <v>987</v>
      </c>
      <c r="I208" s="1" t="s">
        <v>218</v>
      </c>
      <c r="J208" s="1" t="s">
        <v>597</v>
      </c>
      <c r="K208" s="1" t="n">
        <v>102.99</v>
      </c>
      <c r="L208" s="1" t="n">
        <v>4.3</v>
      </c>
      <c r="M208" s="1" t="n">
        <v>56</v>
      </c>
      <c r="N208" s="4" t="b">
        <f aca="false">FALSE()</f>
        <v>0</v>
      </c>
      <c r="O208" s="1" t="s">
        <v>988</v>
      </c>
      <c r="P208" s="4" t="b">
        <f aca="false">FALSE()</f>
        <v>0</v>
      </c>
      <c r="Q208" s="1" t="s">
        <v>251</v>
      </c>
      <c r="R208" s="1" t="s">
        <v>937</v>
      </c>
      <c r="S208" s="1" t="s">
        <v>989</v>
      </c>
      <c r="T208" s="1" t="s">
        <v>222</v>
      </c>
      <c r="U208" s="1" t="s">
        <v>223</v>
      </c>
    </row>
    <row r="209" customFormat="false" ht="48" hidden="false" customHeight="true" outlineLevel="0" collapsed="false">
      <c r="A209" s="1" t="s">
        <v>43</v>
      </c>
      <c r="B209" s="1" t="s">
        <v>212</v>
      </c>
      <c r="C209" s="1" t="s">
        <v>931</v>
      </c>
      <c r="D209" s="1" t="s">
        <v>932</v>
      </c>
      <c r="E209" s="1" t="n">
        <v>16</v>
      </c>
      <c r="F209" s="1" t="s">
        <v>990</v>
      </c>
      <c r="G209" s="1" t="s">
        <v>236</v>
      </c>
      <c r="H209" s="1" t="s">
        <v>991</v>
      </c>
      <c r="I209" s="1" t="s">
        <v>306</v>
      </c>
      <c r="J209" s="1" t="s">
        <v>597</v>
      </c>
      <c r="K209" s="1" t="n">
        <v>179.99</v>
      </c>
      <c r="L209" s="1" t="n">
        <v>4</v>
      </c>
      <c r="M209" s="1" t="n">
        <v>25</v>
      </c>
      <c r="N209" s="4" t="b">
        <f aca="false">FALSE()</f>
        <v>0</v>
      </c>
      <c r="P209" s="4" t="b">
        <f aca="false">FALSE()</f>
        <v>0</v>
      </c>
      <c r="R209" s="1" t="s">
        <v>937</v>
      </c>
      <c r="S209" s="1" t="s">
        <v>992</v>
      </c>
      <c r="T209" s="1" t="s">
        <v>222</v>
      </c>
      <c r="U209" s="1" t="s">
        <v>223</v>
      </c>
    </row>
    <row r="210" customFormat="false" ht="48" hidden="false" customHeight="true" outlineLevel="0" collapsed="false">
      <c r="A210" s="1" t="s">
        <v>43</v>
      </c>
      <c r="B210" s="1" t="s">
        <v>212</v>
      </c>
      <c r="C210" s="1" t="s">
        <v>931</v>
      </c>
      <c r="D210" s="1" t="s">
        <v>932</v>
      </c>
      <c r="E210" s="1" t="n">
        <v>17</v>
      </c>
      <c r="F210" s="1" t="s">
        <v>993</v>
      </c>
      <c r="G210" s="1" t="s">
        <v>934</v>
      </c>
      <c r="H210" s="1" t="s">
        <v>994</v>
      </c>
      <c r="I210" s="1" t="s">
        <v>218</v>
      </c>
      <c r="J210" s="1" t="s">
        <v>689</v>
      </c>
      <c r="K210" s="1" t="n">
        <v>161.99</v>
      </c>
      <c r="L210" s="1" t="n">
        <v>4</v>
      </c>
      <c r="M210" s="1" t="n">
        <v>151</v>
      </c>
      <c r="N210" s="4" t="b">
        <f aca="false">FALSE()</f>
        <v>0</v>
      </c>
      <c r="O210" s="1" t="s">
        <v>966</v>
      </c>
      <c r="P210" s="4" t="b">
        <f aca="false">TRUE()</f>
        <v>1</v>
      </c>
      <c r="R210" s="1" t="s">
        <v>937</v>
      </c>
      <c r="S210" s="1" t="s">
        <v>995</v>
      </c>
      <c r="T210" s="1" t="s">
        <v>222</v>
      </c>
      <c r="U210" s="1" t="s">
        <v>223</v>
      </c>
    </row>
    <row r="211" customFormat="false" ht="48" hidden="false" customHeight="true" outlineLevel="0" collapsed="false">
      <c r="A211" s="1" t="s">
        <v>43</v>
      </c>
      <c r="B211" s="1" t="s">
        <v>212</v>
      </c>
      <c r="C211" s="1" t="s">
        <v>931</v>
      </c>
      <c r="D211" s="1" t="s">
        <v>932</v>
      </c>
      <c r="E211" s="1" t="n">
        <v>18</v>
      </c>
      <c r="F211" s="1" t="s">
        <v>996</v>
      </c>
      <c r="G211" s="1" t="s">
        <v>236</v>
      </c>
      <c r="H211" s="1" t="s">
        <v>997</v>
      </c>
      <c r="I211" s="1" t="s">
        <v>218</v>
      </c>
      <c r="J211" s="1" t="s">
        <v>597</v>
      </c>
      <c r="K211" s="1" t="n">
        <v>59.99</v>
      </c>
      <c r="L211" s="1" t="n">
        <v>3.9</v>
      </c>
      <c r="M211" s="1" t="n">
        <v>4900</v>
      </c>
      <c r="N211" s="4" t="b">
        <f aca="false">FALSE()</f>
        <v>0</v>
      </c>
      <c r="P211" s="4" t="b">
        <f aca="false">FALSE()</f>
        <v>0</v>
      </c>
      <c r="Q211" s="1" t="s">
        <v>251</v>
      </c>
      <c r="R211" s="1" t="s">
        <v>937</v>
      </c>
      <c r="S211" s="1" t="s">
        <v>998</v>
      </c>
      <c r="T211" s="1" t="s">
        <v>222</v>
      </c>
      <c r="U211" s="1" t="s">
        <v>223</v>
      </c>
    </row>
    <row r="212" customFormat="false" ht="48" hidden="false" customHeight="true" outlineLevel="0" collapsed="false">
      <c r="A212" s="1" t="s">
        <v>43</v>
      </c>
      <c r="B212" s="1" t="s">
        <v>212</v>
      </c>
      <c r="C212" s="1" t="s">
        <v>931</v>
      </c>
      <c r="D212" s="1" t="s">
        <v>932</v>
      </c>
      <c r="E212" s="1" t="n">
        <v>19</v>
      </c>
      <c r="F212" s="1" t="s">
        <v>999</v>
      </c>
      <c r="G212" s="1" t="s">
        <v>236</v>
      </c>
      <c r="H212" s="1" t="s">
        <v>1000</v>
      </c>
      <c r="I212" s="1" t="s">
        <v>306</v>
      </c>
      <c r="J212" s="1" t="s">
        <v>597</v>
      </c>
      <c r="K212" s="1" t="n">
        <v>99.99</v>
      </c>
      <c r="L212" s="1" t="n">
        <v>4</v>
      </c>
      <c r="M212" s="1" t="n">
        <v>7900</v>
      </c>
      <c r="N212" s="4" t="b">
        <f aca="false">FALSE()</f>
        <v>0</v>
      </c>
      <c r="O212" s="1" t="s">
        <v>1001</v>
      </c>
      <c r="P212" s="4" t="b">
        <f aca="false">FALSE()</f>
        <v>0</v>
      </c>
      <c r="Q212" s="1" t="s">
        <v>251</v>
      </c>
      <c r="R212" s="1" t="s">
        <v>937</v>
      </c>
      <c r="S212" s="1" t="s">
        <v>1002</v>
      </c>
      <c r="T212" s="1" t="s">
        <v>222</v>
      </c>
      <c r="U212" s="1" t="s">
        <v>223</v>
      </c>
    </row>
    <row r="213" customFormat="false" ht="48" hidden="false" customHeight="true" outlineLevel="0" collapsed="false">
      <c r="A213" s="1" t="s">
        <v>43</v>
      </c>
      <c r="B213" s="1" t="s">
        <v>212</v>
      </c>
      <c r="C213" s="1" t="s">
        <v>931</v>
      </c>
      <c r="D213" s="1" t="s">
        <v>932</v>
      </c>
      <c r="E213" s="1" t="n">
        <v>20</v>
      </c>
      <c r="F213" s="1" t="s">
        <v>1003</v>
      </c>
      <c r="G213" s="1" t="s">
        <v>236</v>
      </c>
      <c r="H213" s="1" t="s">
        <v>1004</v>
      </c>
      <c r="I213" s="1" t="s">
        <v>231</v>
      </c>
      <c r="J213" s="1" t="s">
        <v>597</v>
      </c>
      <c r="K213" s="1" t="n">
        <v>117.99</v>
      </c>
      <c r="L213" s="1" t="n">
        <v>4.1</v>
      </c>
      <c r="M213" s="1" t="n">
        <v>1800</v>
      </c>
      <c r="N213" s="4" t="b">
        <f aca="false">FALSE()</f>
        <v>0</v>
      </c>
      <c r="O213" s="1" t="s">
        <v>1005</v>
      </c>
      <c r="P213" s="4" t="b">
        <f aca="false">FALSE()</f>
        <v>0</v>
      </c>
      <c r="R213" s="1" t="s">
        <v>937</v>
      </c>
      <c r="S213" s="1" t="s">
        <v>1006</v>
      </c>
      <c r="T213" s="1" t="s">
        <v>222</v>
      </c>
      <c r="U213" s="1" t="s">
        <v>223</v>
      </c>
    </row>
    <row r="214" customFormat="false" ht="48" hidden="false" customHeight="true" outlineLevel="0" collapsed="false">
      <c r="A214" s="1" t="s">
        <v>43</v>
      </c>
      <c r="B214" s="1" t="s">
        <v>212</v>
      </c>
      <c r="C214" s="1" t="s">
        <v>931</v>
      </c>
      <c r="D214" s="1" t="s">
        <v>932</v>
      </c>
      <c r="E214" s="1" t="n">
        <v>21</v>
      </c>
      <c r="F214" s="1" t="s">
        <v>1007</v>
      </c>
      <c r="G214" s="1" t="s">
        <v>236</v>
      </c>
      <c r="H214" s="1" t="s">
        <v>1008</v>
      </c>
      <c r="I214" s="1" t="s">
        <v>231</v>
      </c>
      <c r="J214" s="1" t="s">
        <v>584</v>
      </c>
      <c r="K214" s="1" t="n">
        <v>109.99</v>
      </c>
      <c r="L214" s="1" t="n">
        <v>4</v>
      </c>
      <c r="M214" s="1" t="n">
        <v>55</v>
      </c>
      <c r="N214" s="4" t="b">
        <f aca="false">FALSE()</f>
        <v>0</v>
      </c>
      <c r="O214" s="1" t="s">
        <v>1009</v>
      </c>
      <c r="P214" s="4" t="b">
        <f aca="false">FALSE()</f>
        <v>0</v>
      </c>
      <c r="R214" s="1" t="s">
        <v>937</v>
      </c>
      <c r="S214" s="1" t="s">
        <v>1010</v>
      </c>
      <c r="T214" s="1" t="s">
        <v>222</v>
      </c>
      <c r="U214" s="1" t="s">
        <v>223</v>
      </c>
    </row>
    <row r="215" customFormat="false" ht="48" hidden="false" customHeight="true" outlineLevel="0" collapsed="false">
      <c r="A215" s="1" t="s">
        <v>43</v>
      </c>
      <c r="B215" s="1" t="s">
        <v>212</v>
      </c>
      <c r="C215" s="1" t="s">
        <v>931</v>
      </c>
      <c r="D215" s="1" t="s">
        <v>932</v>
      </c>
      <c r="E215" s="1" t="n">
        <v>22</v>
      </c>
      <c r="F215" s="1" t="s">
        <v>1011</v>
      </c>
      <c r="G215" s="1" t="s">
        <v>236</v>
      </c>
      <c r="H215" s="1" t="s">
        <v>1012</v>
      </c>
      <c r="I215" s="1" t="s">
        <v>231</v>
      </c>
      <c r="J215" s="1" t="s">
        <v>310</v>
      </c>
      <c r="K215" s="1" t="n">
        <v>29.99</v>
      </c>
      <c r="L215" s="1" t="n">
        <v>4.5</v>
      </c>
      <c r="M215" s="1" t="n">
        <v>226400</v>
      </c>
      <c r="N215" s="4" t="b">
        <f aca="false">FALSE()</f>
        <v>0</v>
      </c>
      <c r="O215" s="1" t="s">
        <v>1013</v>
      </c>
      <c r="P215" s="4" t="b">
        <f aca="false">FALSE()</f>
        <v>0</v>
      </c>
      <c r="Q215" s="1" t="s">
        <v>777</v>
      </c>
      <c r="R215" s="1" t="s">
        <v>937</v>
      </c>
      <c r="S215" s="1" t="s">
        <v>1014</v>
      </c>
      <c r="T215" s="1" t="s">
        <v>222</v>
      </c>
      <c r="U215" s="1" t="s">
        <v>223</v>
      </c>
    </row>
    <row r="216" customFormat="false" ht="48" hidden="false" customHeight="true" outlineLevel="0" collapsed="false">
      <c r="A216" s="1" t="s">
        <v>43</v>
      </c>
      <c r="B216" s="1" t="s">
        <v>212</v>
      </c>
      <c r="C216" s="1" t="s">
        <v>931</v>
      </c>
      <c r="D216" s="1" t="s">
        <v>932</v>
      </c>
      <c r="E216" s="1" t="n">
        <v>23</v>
      </c>
      <c r="F216" s="1" t="s">
        <v>1015</v>
      </c>
      <c r="G216" s="1" t="s">
        <v>236</v>
      </c>
      <c r="H216" s="1" t="s">
        <v>1016</v>
      </c>
      <c r="I216" s="1" t="s">
        <v>218</v>
      </c>
      <c r="J216" s="1" t="s">
        <v>310</v>
      </c>
      <c r="K216" s="1" t="n">
        <v>51.99</v>
      </c>
      <c r="L216" s="1" t="n">
        <v>4.4</v>
      </c>
      <c r="M216" s="1" t="n">
        <v>54200</v>
      </c>
      <c r="N216" s="4" t="b">
        <f aca="false">FALSE()</f>
        <v>0</v>
      </c>
      <c r="O216" s="1" t="s">
        <v>1017</v>
      </c>
      <c r="P216" s="4" t="b">
        <f aca="false">FALSE()</f>
        <v>0</v>
      </c>
      <c r="Q216" s="1" t="s">
        <v>435</v>
      </c>
      <c r="R216" s="1" t="s">
        <v>937</v>
      </c>
      <c r="S216" s="1" t="s">
        <v>1018</v>
      </c>
      <c r="T216" s="1" t="s">
        <v>222</v>
      </c>
      <c r="U216" s="1" t="s">
        <v>223</v>
      </c>
    </row>
    <row r="217" customFormat="false" ht="48" hidden="false" customHeight="true" outlineLevel="0" collapsed="false">
      <c r="A217" s="1" t="s">
        <v>43</v>
      </c>
      <c r="B217" s="1" t="s">
        <v>212</v>
      </c>
      <c r="C217" s="1" t="s">
        <v>931</v>
      </c>
      <c r="D217" s="1" t="s">
        <v>932</v>
      </c>
      <c r="E217" s="1" t="n">
        <v>24</v>
      </c>
      <c r="F217" s="1" t="s">
        <v>1019</v>
      </c>
      <c r="G217" s="1" t="s">
        <v>236</v>
      </c>
      <c r="H217" s="1" t="s">
        <v>1020</v>
      </c>
      <c r="I217" s="1" t="s">
        <v>218</v>
      </c>
      <c r="J217" s="1" t="s">
        <v>689</v>
      </c>
      <c r="K217" s="1" t="n">
        <v>219.99</v>
      </c>
      <c r="L217" s="1" t="n">
        <v>4.6</v>
      </c>
      <c r="M217" s="1" t="n">
        <v>262</v>
      </c>
      <c r="N217" s="4" t="b">
        <f aca="false">FALSE()</f>
        <v>0</v>
      </c>
      <c r="P217" s="4" t="b">
        <f aca="false">TRUE()</f>
        <v>1</v>
      </c>
      <c r="R217" s="1" t="s">
        <v>937</v>
      </c>
      <c r="S217" s="1" t="s">
        <v>1021</v>
      </c>
      <c r="T217" s="1" t="s">
        <v>222</v>
      </c>
      <c r="U217" s="1" t="s">
        <v>223</v>
      </c>
    </row>
    <row r="218" customFormat="false" ht="48" hidden="false" customHeight="true" outlineLevel="0" collapsed="false">
      <c r="A218" s="1" t="s">
        <v>43</v>
      </c>
      <c r="B218" s="1" t="s">
        <v>212</v>
      </c>
      <c r="C218" s="1" t="s">
        <v>931</v>
      </c>
      <c r="D218" s="1" t="s">
        <v>932</v>
      </c>
      <c r="E218" s="1" t="n">
        <v>25</v>
      </c>
      <c r="F218" s="1" t="s">
        <v>1022</v>
      </c>
      <c r="G218" s="1" t="s">
        <v>1023</v>
      </c>
      <c r="H218" s="1" t="s">
        <v>1024</v>
      </c>
      <c r="I218" s="1" t="s">
        <v>218</v>
      </c>
      <c r="J218" s="1" t="s">
        <v>689</v>
      </c>
      <c r="K218" s="1" t="n">
        <v>319.47</v>
      </c>
      <c r="L218" s="1" t="n">
        <v>4.3</v>
      </c>
      <c r="M218" s="1" t="n">
        <v>3900</v>
      </c>
      <c r="N218" s="4" t="b">
        <f aca="false">FALSE()</f>
        <v>0</v>
      </c>
      <c r="O218" s="1" t="s">
        <v>1025</v>
      </c>
      <c r="P218" s="4" t="b">
        <f aca="false">TRUE()</f>
        <v>1</v>
      </c>
      <c r="R218" s="1" t="s">
        <v>937</v>
      </c>
      <c r="S218" s="1" t="s">
        <v>1026</v>
      </c>
      <c r="T218" s="1" t="s">
        <v>222</v>
      </c>
      <c r="U218" s="1" t="s">
        <v>223</v>
      </c>
    </row>
    <row r="219" customFormat="false" ht="48" hidden="false" customHeight="true" outlineLevel="0" collapsed="false">
      <c r="A219" s="1" t="s">
        <v>43</v>
      </c>
      <c r="B219" s="1" t="s">
        <v>212</v>
      </c>
      <c r="C219" s="1" t="s">
        <v>931</v>
      </c>
      <c r="D219" s="1" t="s">
        <v>932</v>
      </c>
      <c r="E219" s="1" t="n">
        <v>26</v>
      </c>
      <c r="F219" s="1" t="s">
        <v>1027</v>
      </c>
      <c r="G219" s="1" t="s">
        <v>681</v>
      </c>
      <c r="H219" s="1" t="s">
        <v>685</v>
      </c>
      <c r="I219" s="1" t="s">
        <v>218</v>
      </c>
      <c r="J219" s="1" t="s">
        <v>584</v>
      </c>
      <c r="K219" s="1" t="n">
        <v>89.99</v>
      </c>
      <c r="L219" s="1" t="n">
        <v>4.4</v>
      </c>
      <c r="M219" s="1" t="n">
        <v>14700</v>
      </c>
      <c r="N219" s="4" t="b">
        <f aca="false">FALSE()</f>
        <v>0</v>
      </c>
      <c r="O219" s="1" t="s">
        <v>1028</v>
      </c>
      <c r="P219" s="4" t="b">
        <f aca="false">FALSE()</f>
        <v>0</v>
      </c>
      <c r="R219" s="1" t="s">
        <v>937</v>
      </c>
      <c r="S219" s="1" t="s">
        <v>1029</v>
      </c>
      <c r="T219" s="1" t="s">
        <v>222</v>
      </c>
      <c r="U219" s="1" t="s">
        <v>223</v>
      </c>
    </row>
    <row r="220" customFormat="false" ht="48" hidden="false" customHeight="true" outlineLevel="0" collapsed="false">
      <c r="A220" s="1" t="s">
        <v>43</v>
      </c>
      <c r="B220" s="1" t="s">
        <v>212</v>
      </c>
      <c r="C220" s="1" t="s">
        <v>931</v>
      </c>
      <c r="D220" s="1" t="s">
        <v>932</v>
      </c>
      <c r="E220" s="1" t="n">
        <v>27</v>
      </c>
      <c r="F220" s="1" t="s">
        <v>1030</v>
      </c>
      <c r="G220" s="1" t="s">
        <v>229</v>
      </c>
      <c r="H220" s="1" t="s">
        <v>1031</v>
      </c>
      <c r="I220" s="1" t="s">
        <v>218</v>
      </c>
      <c r="J220" s="1" t="s">
        <v>310</v>
      </c>
      <c r="K220" s="1" t="n">
        <v>39.99</v>
      </c>
      <c r="L220" s="1" t="n">
        <v>4.2</v>
      </c>
      <c r="M220" s="1" t="n">
        <v>215</v>
      </c>
      <c r="N220" s="4" t="b">
        <f aca="false">FALSE()</f>
        <v>0</v>
      </c>
      <c r="O220" s="1" t="s">
        <v>1032</v>
      </c>
      <c r="P220" s="4" t="b">
        <f aca="false">FALSE()</f>
        <v>0</v>
      </c>
      <c r="Q220" s="1" t="s">
        <v>251</v>
      </c>
      <c r="R220" s="1" t="s">
        <v>937</v>
      </c>
      <c r="S220" s="1" t="s">
        <v>1033</v>
      </c>
      <c r="T220" s="1" t="s">
        <v>222</v>
      </c>
      <c r="U220" s="1" t="s">
        <v>223</v>
      </c>
    </row>
    <row r="221" customFormat="false" ht="48" hidden="false" customHeight="true" outlineLevel="0" collapsed="false">
      <c r="A221" s="1" t="s">
        <v>43</v>
      </c>
      <c r="B221" s="1" t="s">
        <v>212</v>
      </c>
      <c r="C221" s="1" t="s">
        <v>931</v>
      </c>
      <c r="D221" s="1" t="s">
        <v>932</v>
      </c>
      <c r="E221" s="1" t="n">
        <v>28</v>
      </c>
      <c r="F221" s="1" t="s">
        <v>1034</v>
      </c>
      <c r="G221" s="1" t="s">
        <v>236</v>
      </c>
      <c r="H221" s="1" t="s">
        <v>1035</v>
      </c>
      <c r="I221" s="1" t="s">
        <v>218</v>
      </c>
      <c r="J221" s="1" t="s">
        <v>310</v>
      </c>
      <c r="K221" s="1" t="n">
        <v>25.99</v>
      </c>
      <c r="L221" s="1" t="n">
        <v>4.4</v>
      </c>
      <c r="M221" s="1" t="n">
        <v>3200</v>
      </c>
      <c r="N221" s="4" t="b">
        <f aca="false">FALSE()</f>
        <v>0</v>
      </c>
      <c r="P221" s="4" t="b">
        <f aca="false">FALSE()</f>
        <v>0</v>
      </c>
      <c r="R221" s="1" t="s">
        <v>937</v>
      </c>
      <c r="S221" s="1" t="s">
        <v>1036</v>
      </c>
      <c r="T221" s="1" t="s">
        <v>222</v>
      </c>
      <c r="U221" s="1" t="s">
        <v>223</v>
      </c>
    </row>
    <row r="222" customFormat="false" ht="48" hidden="false" customHeight="true" outlineLevel="0" collapsed="false">
      <c r="A222" s="1" t="s">
        <v>43</v>
      </c>
      <c r="B222" s="1" t="s">
        <v>212</v>
      </c>
      <c r="C222" s="1" t="s">
        <v>931</v>
      </c>
      <c r="D222" s="1" t="s">
        <v>932</v>
      </c>
      <c r="E222" s="1" t="n">
        <v>29</v>
      </c>
      <c r="F222" s="1" t="s">
        <v>1037</v>
      </c>
      <c r="G222" s="1" t="s">
        <v>681</v>
      </c>
      <c r="H222" s="1" t="s">
        <v>1038</v>
      </c>
      <c r="I222" s="1" t="s">
        <v>231</v>
      </c>
      <c r="J222" s="1" t="s">
        <v>584</v>
      </c>
      <c r="K222" s="1" t="n">
        <v>113.99</v>
      </c>
      <c r="L222" s="1" t="n">
        <v>4.4</v>
      </c>
      <c r="M222" s="1" t="n">
        <v>2000</v>
      </c>
      <c r="N222" s="4" t="b">
        <f aca="false">FALSE()</f>
        <v>0</v>
      </c>
      <c r="P222" s="4" t="b">
        <f aca="false">FALSE()</f>
        <v>0</v>
      </c>
      <c r="R222" s="1" t="s">
        <v>937</v>
      </c>
      <c r="S222" s="1" t="s">
        <v>1039</v>
      </c>
      <c r="T222" s="1" t="s">
        <v>222</v>
      </c>
      <c r="U222" s="1" t="s">
        <v>223</v>
      </c>
    </row>
    <row r="223" customFormat="false" ht="48" hidden="false" customHeight="true" outlineLevel="0" collapsed="false">
      <c r="A223" s="1" t="s">
        <v>43</v>
      </c>
      <c r="B223" s="1" t="s">
        <v>212</v>
      </c>
      <c r="C223" s="1" t="s">
        <v>931</v>
      </c>
      <c r="D223" s="1" t="s">
        <v>932</v>
      </c>
      <c r="E223" s="1" t="n">
        <v>30</v>
      </c>
      <c r="F223" s="1" t="s">
        <v>1040</v>
      </c>
      <c r="G223" s="1" t="s">
        <v>236</v>
      </c>
      <c r="H223" s="1" t="s">
        <v>1041</v>
      </c>
      <c r="I223" s="1" t="s">
        <v>231</v>
      </c>
      <c r="J223" s="1" t="s">
        <v>689</v>
      </c>
      <c r="K223" s="1" t="n">
        <v>159.99</v>
      </c>
      <c r="L223" s="1" t="n">
        <v>3.8</v>
      </c>
      <c r="M223" s="1" t="n">
        <v>46</v>
      </c>
      <c r="N223" s="4" t="b">
        <f aca="false">FALSE()</f>
        <v>0</v>
      </c>
      <c r="P223" s="4" t="b">
        <f aca="false">TRUE()</f>
        <v>1</v>
      </c>
      <c r="R223" s="1" t="s">
        <v>937</v>
      </c>
      <c r="S223" s="1" t="s">
        <v>1042</v>
      </c>
      <c r="T223" s="1" t="s">
        <v>222</v>
      </c>
      <c r="U223" s="1" t="s">
        <v>223</v>
      </c>
    </row>
    <row r="224" customFormat="false" ht="48" hidden="false" customHeight="true" outlineLevel="0" collapsed="false">
      <c r="A224" s="1" t="s">
        <v>43</v>
      </c>
      <c r="B224" s="1" t="s">
        <v>212</v>
      </c>
      <c r="C224" s="1" t="s">
        <v>931</v>
      </c>
      <c r="D224" s="1" t="s">
        <v>932</v>
      </c>
      <c r="E224" s="1" t="n">
        <v>31</v>
      </c>
      <c r="F224" s="1" t="s">
        <v>1043</v>
      </c>
      <c r="G224" s="1" t="s">
        <v>236</v>
      </c>
      <c r="H224" s="1" t="s">
        <v>273</v>
      </c>
      <c r="I224" s="1" t="s">
        <v>231</v>
      </c>
      <c r="J224" s="1" t="s">
        <v>219</v>
      </c>
      <c r="K224" s="1" t="n">
        <v>94.99</v>
      </c>
      <c r="L224" s="1" t="n">
        <v>4.3</v>
      </c>
      <c r="M224" s="1" t="n">
        <v>7300</v>
      </c>
      <c r="N224" s="4" t="b">
        <f aca="false">FALSE()</f>
        <v>0</v>
      </c>
      <c r="O224" s="1" t="s">
        <v>1044</v>
      </c>
      <c r="P224" s="4" t="b">
        <f aca="false">FALSE()</f>
        <v>0</v>
      </c>
      <c r="Q224" s="1" t="s">
        <v>251</v>
      </c>
      <c r="R224" s="1" t="s">
        <v>937</v>
      </c>
      <c r="S224" s="1" t="s">
        <v>1045</v>
      </c>
      <c r="T224" s="1" t="s">
        <v>222</v>
      </c>
      <c r="U224" s="1" t="s">
        <v>223</v>
      </c>
    </row>
    <row r="225" customFormat="false" ht="48" hidden="false" customHeight="true" outlineLevel="0" collapsed="false">
      <c r="A225" s="1" t="s">
        <v>43</v>
      </c>
      <c r="B225" s="1" t="s">
        <v>212</v>
      </c>
      <c r="C225" s="1" t="s">
        <v>931</v>
      </c>
      <c r="D225" s="1" t="s">
        <v>932</v>
      </c>
      <c r="E225" s="1" t="n">
        <v>32</v>
      </c>
      <c r="F225" s="1" t="s">
        <v>1046</v>
      </c>
      <c r="G225" s="1" t="s">
        <v>236</v>
      </c>
      <c r="H225" s="1" t="s">
        <v>1047</v>
      </c>
      <c r="I225" s="1" t="s">
        <v>218</v>
      </c>
      <c r="J225" s="1" t="s">
        <v>689</v>
      </c>
      <c r="K225" s="1" t="n">
        <v>296.99</v>
      </c>
      <c r="L225" s="1" t="n">
        <v>3.7</v>
      </c>
      <c r="M225" s="1" t="n">
        <v>391</v>
      </c>
      <c r="N225" s="4" t="b">
        <f aca="false">FALSE()</f>
        <v>0</v>
      </c>
      <c r="P225" s="4" t="b">
        <f aca="false">TRUE()</f>
        <v>1</v>
      </c>
      <c r="R225" s="1" t="s">
        <v>937</v>
      </c>
      <c r="S225" s="1" t="s">
        <v>1048</v>
      </c>
      <c r="T225" s="1" t="s">
        <v>222</v>
      </c>
      <c r="U225" s="1" t="s">
        <v>223</v>
      </c>
    </row>
    <row r="226" customFormat="false" ht="48" hidden="false" customHeight="true" outlineLevel="0" collapsed="false">
      <c r="A226" s="1" t="s">
        <v>43</v>
      </c>
      <c r="B226" s="1" t="s">
        <v>212</v>
      </c>
      <c r="C226" s="1" t="s">
        <v>931</v>
      </c>
      <c r="D226" s="1" t="s">
        <v>932</v>
      </c>
      <c r="E226" s="1" t="n">
        <v>33</v>
      </c>
      <c r="F226" s="1" t="s">
        <v>1049</v>
      </c>
      <c r="G226" s="1" t="s">
        <v>236</v>
      </c>
      <c r="H226" s="1" t="s">
        <v>1050</v>
      </c>
      <c r="I226" s="1" t="s">
        <v>218</v>
      </c>
      <c r="J226" s="1" t="s">
        <v>310</v>
      </c>
      <c r="K226" s="1" t="n">
        <v>39.99</v>
      </c>
      <c r="L226" s="1" t="n">
        <v>4.3</v>
      </c>
      <c r="M226" s="1" t="n">
        <v>120500</v>
      </c>
      <c r="N226" s="4" t="b">
        <f aca="false">FALSE()</f>
        <v>0</v>
      </c>
      <c r="P226" s="4" t="b">
        <f aca="false">FALSE()</f>
        <v>0</v>
      </c>
      <c r="R226" s="1" t="s">
        <v>937</v>
      </c>
      <c r="S226" s="1" t="s">
        <v>1051</v>
      </c>
      <c r="T226" s="1" t="s">
        <v>222</v>
      </c>
      <c r="U226" s="1" t="s">
        <v>223</v>
      </c>
    </row>
    <row r="227" customFormat="false" ht="48" hidden="false" customHeight="true" outlineLevel="0" collapsed="false">
      <c r="A227" s="1" t="s">
        <v>43</v>
      </c>
      <c r="B227" s="1" t="s">
        <v>212</v>
      </c>
      <c r="C227" s="1" t="s">
        <v>931</v>
      </c>
      <c r="D227" s="1" t="s">
        <v>932</v>
      </c>
      <c r="E227" s="1" t="n">
        <v>34</v>
      </c>
      <c r="F227" s="1" t="s">
        <v>1052</v>
      </c>
      <c r="G227" s="1" t="s">
        <v>567</v>
      </c>
      <c r="H227" s="1" t="s">
        <v>1053</v>
      </c>
      <c r="I227" s="1" t="s">
        <v>218</v>
      </c>
      <c r="J227" s="1" t="s">
        <v>371</v>
      </c>
      <c r="K227" s="1" t="n">
        <v>25.94</v>
      </c>
      <c r="L227" s="1" t="n">
        <v>4.2</v>
      </c>
      <c r="M227" s="1" t="n">
        <v>826</v>
      </c>
      <c r="N227" s="4" t="b">
        <f aca="false">FALSE()</f>
        <v>0</v>
      </c>
      <c r="P227" s="4" t="b">
        <f aca="false">FALSE()</f>
        <v>0</v>
      </c>
      <c r="Q227" s="1" t="s">
        <v>233</v>
      </c>
      <c r="R227" s="1" t="s">
        <v>937</v>
      </c>
      <c r="S227" s="1" t="s">
        <v>1054</v>
      </c>
      <c r="T227" s="1" t="s">
        <v>222</v>
      </c>
      <c r="U227" s="1" t="s">
        <v>223</v>
      </c>
    </row>
    <row r="228" customFormat="false" ht="48" hidden="false" customHeight="true" outlineLevel="0" collapsed="false">
      <c r="A228" s="1" t="s">
        <v>43</v>
      </c>
      <c r="B228" s="1" t="s">
        <v>212</v>
      </c>
      <c r="C228" s="1" t="s">
        <v>931</v>
      </c>
      <c r="D228" s="1" t="s">
        <v>932</v>
      </c>
      <c r="E228" s="1" t="n">
        <v>35</v>
      </c>
      <c r="F228" s="1" t="s">
        <v>1055</v>
      </c>
      <c r="G228" s="1" t="s">
        <v>934</v>
      </c>
      <c r="H228" s="1" t="s">
        <v>1056</v>
      </c>
      <c r="I228" s="1" t="s">
        <v>289</v>
      </c>
      <c r="J228" s="1" t="s">
        <v>689</v>
      </c>
      <c r="K228" s="1" t="n">
        <v>106.46</v>
      </c>
      <c r="L228" s="1" t="n">
        <v>4.5</v>
      </c>
      <c r="M228" s="1" t="n">
        <v>47</v>
      </c>
      <c r="N228" s="4" t="b">
        <f aca="false">FALSE()</f>
        <v>0</v>
      </c>
      <c r="O228" s="1" t="s">
        <v>1057</v>
      </c>
      <c r="P228" s="4" t="b">
        <f aca="false">FALSE()</f>
        <v>0</v>
      </c>
      <c r="R228" s="1" t="s">
        <v>937</v>
      </c>
      <c r="S228" s="1" t="s">
        <v>1058</v>
      </c>
      <c r="T228" s="1" t="s">
        <v>222</v>
      </c>
      <c r="U228" s="1" t="s">
        <v>223</v>
      </c>
    </row>
    <row r="229" customFormat="false" ht="48" hidden="false" customHeight="true" outlineLevel="0" collapsed="false">
      <c r="A229" s="1" t="s">
        <v>43</v>
      </c>
      <c r="B229" s="1" t="s">
        <v>212</v>
      </c>
      <c r="C229" s="1" t="s">
        <v>931</v>
      </c>
      <c r="D229" s="1" t="s">
        <v>932</v>
      </c>
      <c r="E229" s="1" t="n">
        <v>36</v>
      </c>
      <c r="F229" s="1" t="s">
        <v>1059</v>
      </c>
      <c r="G229" s="1" t="s">
        <v>236</v>
      </c>
      <c r="H229" s="1" t="s">
        <v>1060</v>
      </c>
      <c r="I229" s="1" t="s">
        <v>218</v>
      </c>
      <c r="J229" s="1" t="s">
        <v>597</v>
      </c>
      <c r="K229" s="1" t="n">
        <v>47.99</v>
      </c>
      <c r="L229" s="1" t="n">
        <v>4.1</v>
      </c>
      <c r="M229" s="1" t="n">
        <v>4400</v>
      </c>
      <c r="N229" s="4" t="b">
        <f aca="false">FALSE()</f>
        <v>0</v>
      </c>
      <c r="P229" s="4" t="b">
        <f aca="false">FALSE()</f>
        <v>0</v>
      </c>
      <c r="Q229" s="1" t="s">
        <v>251</v>
      </c>
      <c r="R229" s="1" t="s">
        <v>937</v>
      </c>
      <c r="S229" s="1" t="s">
        <v>1061</v>
      </c>
      <c r="T229" s="1" t="s">
        <v>222</v>
      </c>
      <c r="U229" s="1" t="s">
        <v>223</v>
      </c>
    </row>
    <row r="230" customFormat="false" ht="48" hidden="false" customHeight="true" outlineLevel="0" collapsed="false">
      <c r="A230" s="1" t="s">
        <v>43</v>
      </c>
      <c r="B230" s="1" t="s">
        <v>212</v>
      </c>
      <c r="C230" s="1" t="s">
        <v>931</v>
      </c>
      <c r="D230" s="1" t="s">
        <v>932</v>
      </c>
      <c r="E230" s="1" t="n">
        <v>37</v>
      </c>
      <c r="F230" s="1" t="s">
        <v>1062</v>
      </c>
      <c r="G230" s="1" t="s">
        <v>229</v>
      </c>
      <c r="H230" s="1" t="s">
        <v>1063</v>
      </c>
      <c r="I230" s="1" t="s">
        <v>218</v>
      </c>
      <c r="J230" s="1" t="s">
        <v>219</v>
      </c>
      <c r="K230" s="1" t="n">
        <v>69.78</v>
      </c>
      <c r="L230" s="1" t="n">
        <v>4.3</v>
      </c>
      <c r="M230" s="1" t="n">
        <v>60900</v>
      </c>
      <c r="N230" s="4" t="b">
        <f aca="false">FALSE()</f>
        <v>0</v>
      </c>
      <c r="O230" s="1" t="s">
        <v>1064</v>
      </c>
      <c r="P230" s="4" t="b">
        <f aca="false">FALSE()</f>
        <v>0</v>
      </c>
      <c r="Q230" s="1" t="s">
        <v>251</v>
      </c>
      <c r="R230" s="1" t="s">
        <v>937</v>
      </c>
      <c r="S230" s="1" t="s">
        <v>1065</v>
      </c>
      <c r="T230" s="1" t="s">
        <v>222</v>
      </c>
      <c r="U230" s="1" t="s">
        <v>223</v>
      </c>
    </row>
    <row r="231" customFormat="false" ht="48" hidden="false" customHeight="true" outlineLevel="0" collapsed="false">
      <c r="A231" s="1" t="s">
        <v>43</v>
      </c>
      <c r="B231" s="1" t="s">
        <v>212</v>
      </c>
      <c r="C231" s="1" t="s">
        <v>931</v>
      </c>
      <c r="D231" s="1" t="s">
        <v>932</v>
      </c>
      <c r="E231" s="1" t="n">
        <v>38</v>
      </c>
      <c r="F231" s="1" t="s">
        <v>1066</v>
      </c>
      <c r="G231" s="1" t="s">
        <v>236</v>
      </c>
      <c r="H231" s="1" t="s">
        <v>1067</v>
      </c>
      <c r="I231" s="1" t="s">
        <v>218</v>
      </c>
      <c r="J231" s="1" t="s">
        <v>597</v>
      </c>
      <c r="K231" s="1" t="n">
        <v>67.97</v>
      </c>
      <c r="L231" s="1" t="n">
        <v>4.3</v>
      </c>
      <c r="M231" s="1" t="n">
        <v>376</v>
      </c>
      <c r="N231" s="4" t="b">
        <f aca="false">FALSE()</f>
        <v>0</v>
      </c>
      <c r="P231" s="4" t="b">
        <f aca="false">FALSE()</f>
        <v>0</v>
      </c>
      <c r="R231" s="1" t="s">
        <v>937</v>
      </c>
      <c r="S231" s="1" t="s">
        <v>1068</v>
      </c>
      <c r="T231" s="1" t="s">
        <v>222</v>
      </c>
      <c r="U231" s="1" t="s">
        <v>223</v>
      </c>
    </row>
    <row r="232" customFormat="false" ht="48" hidden="false" customHeight="true" outlineLevel="0" collapsed="false">
      <c r="A232" s="1" t="s">
        <v>43</v>
      </c>
      <c r="B232" s="1" t="s">
        <v>212</v>
      </c>
      <c r="C232" s="1" t="s">
        <v>931</v>
      </c>
      <c r="D232" s="1" t="s">
        <v>932</v>
      </c>
      <c r="E232" s="1" t="n">
        <v>39</v>
      </c>
      <c r="F232" s="1" t="s">
        <v>1069</v>
      </c>
      <c r="G232" s="1" t="s">
        <v>236</v>
      </c>
      <c r="H232" s="1" t="s">
        <v>1070</v>
      </c>
      <c r="I232" s="1" t="s">
        <v>218</v>
      </c>
      <c r="J232" s="1" t="s">
        <v>310</v>
      </c>
      <c r="K232" s="1" t="n">
        <v>81.99</v>
      </c>
      <c r="L232" s="1" t="n">
        <v>4.6</v>
      </c>
      <c r="M232" s="1" t="n">
        <v>16000</v>
      </c>
      <c r="N232" s="4" t="b">
        <f aca="false">FALSE()</f>
        <v>0</v>
      </c>
      <c r="O232" s="1" t="s">
        <v>1071</v>
      </c>
      <c r="P232" s="4" t="b">
        <f aca="false">FALSE()</f>
        <v>0</v>
      </c>
      <c r="Q232" s="1" t="s">
        <v>233</v>
      </c>
      <c r="R232" s="1" t="s">
        <v>937</v>
      </c>
      <c r="S232" s="1" t="s">
        <v>1072</v>
      </c>
      <c r="T232" s="1" t="s">
        <v>222</v>
      </c>
      <c r="U232" s="1" t="s">
        <v>223</v>
      </c>
    </row>
    <row r="233" customFormat="false" ht="48" hidden="false" customHeight="true" outlineLevel="0" collapsed="false">
      <c r="A233" s="1" t="s">
        <v>43</v>
      </c>
      <c r="B233" s="1" t="s">
        <v>212</v>
      </c>
      <c r="C233" s="1" t="s">
        <v>931</v>
      </c>
      <c r="D233" s="1" t="s">
        <v>932</v>
      </c>
      <c r="E233" s="1" t="n">
        <v>40</v>
      </c>
      <c r="F233" s="1" t="s">
        <v>1073</v>
      </c>
      <c r="G233" s="1" t="s">
        <v>236</v>
      </c>
      <c r="H233" s="1" t="s">
        <v>1074</v>
      </c>
      <c r="I233" s="1" t="s">
        <v>218</v>
      </c>
      <c r="J233" s="1" t="s">
        <v>689</v>
      </c>
      <c r="K233" s="1" t="n">
        <v>101.99</v>
      </c>
      <c r="L233" s="1" t="n">
        <v>4.2</v>
      </c>
      <c r="M233" s="1" t="n">
        <v>15</v>
      </c>
      <c r="N233" s="4" t="b">
        <f aca="false">FALSE()</f>
        <v>0</v>
      </c>
      <c r="O233" s="1" t="s">
        <v>1075</v>
      </c>
      <c r="P233" s="4" t="b">
        <f aca="false">FALSE()</f>
        <v>0</v>
      </c>
      <c r="R233" s="1" t="s">
        <v>937</v>
      </c>
      <c r="S233" s="1" t="s">
        <v>1076</v>
      </c>
      <c r="T233" s="1" t="s">
        <v>222</v>
      </c>
      <c r="U233" s="1" t="s">
        <v>223</v>
      </c>
    </row>
    <row r="234" customFormat="false" ht="48" hidden="false" customHeight="true" outlineLevel="0" collapsed="false">
      <c r="A234" s="1" t="s">
        <v>43</v>
      </c>
      <c r="B234" s="1" t="s">
        <v>212</v>
      </c>
      <c r="C234" s="1" t="s">
        <v>931</v>
      </c>
      <c r="D234" s="1" t="s">
        <v>932</v>
      </c>
      <c r="E234" s="1" t="n">
        <v>41</v>
      </c>
      <c r="F234" s="1" t="s">
        <v>1077</v>
      </c>
      <c r="G234" s="1" t="s">
        <v>236</v>
      </c>
      <c r="H234" s="1" t="s">
        <v>1078</v>
      </c>
      <c r="I234" s="1" t="s">
        <v>231</v>
      </c>
      <c r="J234" s="1" t="s">
        <v>310</v>
      </c>
      <c r="K234" s="1" t="n">
        <v>54.99</v>
      </c>
      <c r="L234" s="1" t="n">
        <v>4.3</v>
      </c>
      <c r="M234" s="1" t="n">
        <v>51</v>
      </c>
      <c r="N234" s="4" t="b">
        <f aca="false">FALSE()</f>
        <v>0</v>
      </c>
      <c r="O234" s="1" t="s">
        <v>1079</v>
      </c>
      <c r="P234" s="4" t="b">
        <f aca="false">FALSE()</f>
        <v>0</v>
      </c>
      <c r="R234" s="1" t="s">
        <v>937</v>
      </c>
      <c r="S234" s="1" t="s">
        <v>1080</v>
      </c>
      <c r="T234" s="1" t="s">
        <v>222</v>
      </c>
      <c r="U234" s="1" t="s">
        <v>223</v>
      </c>
    </row>
    <row r="235" customFormat="false" ht="48" hidden="false" customHeight="true" outlineLevel="0" collapsed="false">
      <c r="A235" s="1" t="s">
        <v>43</v>
      </c>
      <c r="B235" s="1" t="s">
        <v>212</v>
      </c>
      <c r="C235" s="1" t="s">
        <v>931</v>
      </c>
      <c r="D235" s="1" t="s">
        <v>932</v>
      </c>
      <c r="E235" s="1" t="n">
        <v>42</v>
      </c>
      <c r="F235" s="1" t="s">
        <v>1081</v>
      </c>
      <c r="G235" s="1" t="s">
        <v>582</v>
      </c>
      <c r="H235" s="1" t="s">
        <v>1082</v>
      </c>
      <c r="I235" s="1" t="s">
        <v>218</v>
      </c>
      <c r="J235" s="1" t="s">
        <v>584</v>
      </c>
      <c r="K235" s="1" t="n">
        <v>99.99</v>
      </c>
      <c r="L235" s="1" t="n">
        <v>4.4</v>
      </c>
      <c r="M235" s="1" t="n">
        <v>603</v>
      </c>
      <c r="N235" s="4" t="b">
        <f aca="false">FALSE()</f>
        <v>0</v>
      </c>
      <c r="P235" s="4" t="b">
        <f aca="false">FALSE()</f>
        <v>0</v>
      </c>
      <c r="R235" s="1" t="s">
        <v>937</v>
      </c>
      <c r="S235" s="1" t="s">
        <v>1083</v>
      </c>
      <c r="T235" s="1" t="s">
        <v>222</v>
      </c>
      <c r="U235" s="1" t="s">
        <v>223</v>
      </c>
    </row>
    <row r="236" customFormat="false" ht="48" hidden="false" customHeight="true" outlineLevel="0" collapsed="false">
      <c r="A236" s="1" t="s">
        <v>43</v>
      </c>
      <c r="B236" s="1" t="s">
        <v>212</v>
      </c>
      <c r="C236" s="1" t="s">
        <v>931</v>
      </c>
      <c r="D236" s="1" t="s">
        <v>932</v>
      </c>
      <c r="E236" s="1" t="n">
        <v>43</v>
      </c>
      <c r="F236" s="1" t="s">
        <v>1084</v>
      </c>
      <c r="G236" s="1" t="s">
        <v>236</v>
      </c>
      <c r="H236" s="1" t="s">
        <v>1085</v>
      </c>
      <c r="I236" s="1" t="s">
        <v>289</v>
      </c>
      <c r="J236" s="1" t="s">
        <v>597</v>
      </c>
      <c r="K236" s="1" t="n">
        <v>47.94</v>
      </c>
      <c r="L236" s="1" t="n">
        <v>4.4</v>
      </c>
      <c r="M236" s="1" t="n">
        <v>10400</v>
      </c>
      <c r="N236" s="4" t="b">
        <f aca="false">FALSE()</f>
        <v>0</v>
      </c>
      <c r="P236" s="4" t="b">
        <f aca="false">FALSE()</f>
        <v>0</v>
      </c>
      <c r="Q236" s="1" t="s">
        <v>233</v>
      </c>
      <c r="R236" s="1" t="s">
        <v>937</v>
      </c>
      <c r="S236" s="1" t="s">
        <v>1086</v>
      </c>
      <c r="T236" s="1" t="s">
        <v>222</v>
      </c>
      <c r="U236" s="1" t="s">
        <v>223</v>
      </c>
    </row>
    <row r="237" customFormat="false" ht="48" hidden="false" customHeight="true" outlineLevel="0" collapsed="false">
      <c r="A237" s="1" t="s">
        <v>43</v>
      </c>
      <c r="B237" s="1" t="s">
        <v>212</v>
      </c>
      <c r="C237" s="1" t="s">
        <v>931</v>
      </c>
      <c r="D237" s="1" t="s">
        <v>932</v>
      </c>
      <c r="E237" s="1" t="n">
        <v>44</v>
      </c>
      <c r="F237" s="1" t="s">
        <v>1087</v>
      </c>
      <c r="G237" s="1" t="s">
        <v>236</v>
      </c>
      <c r="H237" s="1" t="s">
        <v>1088</v>
      </c>
      <c r="I237" s="1" t="s">
        <v>402</v>
      </c>
      <c r="J237" s="1" t="s">
        <v>310</v>
      </c>
      <c r="K237" s="1" t="n">
        <v>79.99</v>
      </c>
      <c r="L237" s="1" t="n">
        <v>4.3</v>
      </c>
      <c r="M237" s="1" t="n">
        <v>4600</v>
      </c>
      <c r="N237" s="4" t="b">
        <f aca="false">FALSE()</f>
        <v>0</v>
      </c>
      <c r="P237" s="4" t="b">
        <f aca="false">FALSE()</f>
        <v>0</v>
      </c>
      <c r="Q237" s="1" t="s">
        <v>251</v>
      </c>
      <c r="R237" s="1" t="s">
        <v>937</v>
      </c>
      <c r="S237" s="1" t="s">
        <v>1089</v>
      </c>
      <c r="T237" s="1" t="s">
        <v>222</v>
      </c>
      <c r="U237" s="1" t="s">
        <v>223</v>
      </c>
    </row>
    <row r="238" customFormat="false" ht="48" hidden="false" customHeight="true" outlineLevel="0" collapsed="false">
      <c r="A238" s="1" t="s">
        <v>43</v>
      </c>
      <c r="B238" s="1" t="s">
        <v>212</v>
      </c>
      <c r="C238" s="1" t="s">
        <v>931</v>
      </c>
      <c r="D238" s="1" t="s">
        <v>932</v>
      </c>
      <c r="E238" s="1" t="n">
        <v>45</v>
      </c>
      <c r="F238" s="1" t="s">
        <v>680</v>
      </c>
      <c r="G238" s="1" t="s">
        <v>681</v>
      </c>
      <c r="H238" s="1" t="s">
        <v>682</v>
      </c>
      <c r="I238" s="1" t="s">
        <v>218</v>
      </c>
      <c r="J238" s="1" t="s">
        <v>584</v>
      </c>
      <c r="K238" s="1" t="n">
        <v>95.99</v>
      </c>
      <c r="L238" s="1" t="n">
        <v>4.6</v>
      </c>
      <c r="M238" s="1" t="n">
        <v>1800</v>
      </c>
      <c r="N238" s="4" t="b">
        <f aca="false">FALSE()</f>
        <v>0</v>
      </c>
      <c r="P238" s="4" t="b">
        <f aca="false">FALSE()</f>
        <v>0</v>
      </c>
      <c r="R238" s="1" t="s">
        <v>937</v>
      </c>
      <c r="S238" s="1" t="s">
        <v>683</v>
      </c>
      <c r="T238" s="1" t="s">
        <v>222</v>
      </c>
      <c r="U238" s="1" t="s">
        <v>223</v>
      </c>
    </row>
    <row r="239" customFormat="false" ht="48" hidden="false" customHeight="true" outlineLevel="0" collapsed="false">
      <c r="A239" s="1" t="s">
        <v>43</v>
      </c>
      <c r="B239" s="1" t="s">
        <v>212</v>
      </c>
      <c r="C239" s="1" t="s">
        <v>931</v>
      </c>
      <c r="D239" s="1" t="s">
        <v>932</v>
      </c>
      <c r="E239" s="1" t="n">
        <v>46</v>
      </c>
      <c r="F239" s="1" t="s">
        <v>1090</v>
      </c>
      <c r="G239" s="1" t="s">
        <v>236</v>
      </c>
      <c r="H239" s="1" t="s">
        <v>1091</v>
      </c>
      <c r="I239" s="1" t="s">
        <v>402</v>
      </c>
      <c r="J239" s="1" t="s">
        <v>310</v>
      </c>
      <c r="K239" s="1" t="n">
        <v>37.99</v>
      </c>
      <c r="L239" s="1" t="n">
        <v>4.2</v>
      </c>
      <c r="M239" s="1" t="n">
        <v>121</v>
      </c>
      <c r="N239" s="4" t="b">
        <f aca="false">FALSE()</f>
        <v>0</v>
      </c>
      <c r="O239" s="1" t="s">
        <v>1092</v>
      </c>
      <c r="P239" s="4" t="b">
        <f aca="false">FALSE()</f>
        <v>0</v>
      </c>
      <c r="R239" s="1" t="s">
        <v>937</v>
      </c>
      <c r="S239" s="1" t="s">
        <v>1093</v>
      </c>
      <c r="T239" s="1" t="s">
        <v>222</v>
      </c>
      <c r="U239" s="1" t="s">
        <v>223</v>
      </c>
    </row>
    <row r="240" customFormat="false" ht="48" hidden="false" customHeight="true" outlineLevel="0" collapsed="false">
      <c r="A240" s="1" t="s">
        <v>43</v>
      </c>
      <c r="B240" s="1" t="s">
        <v>212</v>
      </c>
      <c r="C240" s="1" t="s">
        <v>931</v>
      </c>
      <c r="D240" s="1" t="s">
        <v>932</v>
      </c>
      <c r="E240" s="1" t="n">
        <v>47</v>
      </c>
      <c r="F240" s="1" t="s">
        <v>1094</v>
      </c>
      <c r="G240" s="1" t="s">
        <v>567</v>
      </c>
      <c r="H240" s="1" t="s">
        <v>1095</v>
      </c>
      <c r="I240" s="1" t="s">
        <v>289</v>
      </c>
      <c r="J240" s="1" t="s">
        <v>597</v>
      </c>
      <c r="K240" s="1" t="n">
        <v>35.31</v>
      </c>
      <c r="L240" s="1" t="n">
        <v>4</v>
      </c>
      <c r="M240" s="1" t="n">
        <v>265</v>
      </c>
      <c r="N240" s="4" t="b">
        <f aca="false">FALSE()</f>
        <v>0</v>
      </c>
      <c r="P240" s="4" t="b">
        <f aca="false">FALSE()</f>
        <v>0</v>
      </c>
      <c r="Q240" s="1" t="s">
        <v>251</v>
      </c>
      <c r="R240" s="1" t="s">
        <v>937</v>
      </c>
      <c r="S240" s="1" t="s">
        <v>1096</v>
      </c>
      <c r="T240" s="1" t="s">
        <v>222</v>
      </c>
      <c r="U240" s="1" t="s">
        <v>223</v>
      </c>
    </row>
    <row r="241" customFormat="false" ht="48" hidden="false" customHeight="true" outlineLevel="0" collapsed="false">
      <c r="A241" s="1" t="s">
        <v>43</v>
      </c>
      <c r="B241" s="1" t="s">
        <v>212</v>
      </c>
      <c r="C241" s="1" t="s">
        <v>931</v>
      </c>
      <c r="D241" s="1" t="s">
        <v>932</v>
      </c>
      <c r="E241" s="1" t="n">
        <v>48</v>
      </c>
      <c r="F241" s="1" t="s">
        <v>1097</v>
      </c>
      <c r="G241" s="1" t="s">
        <v>677</v>
      </c>
      <c r="H241" s="1" t="s">
        <v>1098</v>
      </c>
      <c r="I241" s="1" t="s">
        <v>231</v>
      </c>
      <c r="J241" s="1" t="s">
        <v>597</v>
      </c>
      <c r="K241" s="1" t="n">
        <v>79.99</v>
      </c>
      <c r="L241" s="1" t="n">
        <v>4.4</v>
      </c>
      <c r="M241" s="1" t="n">
        <v>71200</v>
      </c>
      <c r="N241" s="4" t="b">
        <f aca="false">FALSE()</f>
        <v>0</v>
      </c>
      <c r="P241" s="4" t="b">
        <f aca="false">FALSE()</f>
        <v>0</v>
      </c>
      <c r="Q241" s="1" t="s">
        <v>251</v>
      </c>
      <c r="R241" s="1" t="s">
        <v>937</v>
      </c>
      <c r="S241" s="1" t="s">
        <v>1099</v>
      </c>
      <c r="T241" s="1" t="s">
        <v>222</v>
      </c>
      <c r="U241" s="1" t="s">
        <v>223</v>
      </c>
    </row>
    <row r="242" customFormat="false" ht="48" hidden="false" customHeight="true" outlineLevel="0" collapsed="false">
      <c r="A242" s="1" t="s">
        <v>43</v>
      </c>
      <c r="B242" s="1" t="s">
        <v>212</v>
      </c>
      <c r="C242" s="1" t="s">
        <v>1100</v>
      </c>
      <c r="D242" s="1" t="s">
        <v>1101</v>
      </c>
      <c r="E242" s="1" t="n">
        <v>1</v>
      </c>
      <c r="F242" s="1" t="s">
        <v>1102</v>
      </c>
      <c r="G242" s="1" t="s">
        <v>236</v>
      </c>
      <c r="H242" s="1" t="s">
        <v>1103</v>
      </c>
      <c r="I242" s="1" t="s">
        <v>231</v>
      </c>
      <c r="J242" s="1" t="s">
        <v>1104</v>
      </c>
      <c r="K242" s="1" t="n">
        <v>116.99</v>
      </c>
      <c r="L242" s="1" t="n">
        <v>4</v>
      </c>
      <c r="M242" s="1" t="n">
        <v>337</v>
      </c>
      <c r="N242" s="4" t="b">
        <f aca="false">FALSE()</f>
        <v>0</v>
      </c>
      <c r="P242" s="4" t="b">
        <f aca="false">TRUE()</f>
        <v>1</v>
      </c>
      <c r="R242" s="1" t="s">
        <v>1105</v>
      </c>
      <c r="S242" s="1" t="s">
        <v>1106</v>
      </c>
      <c r="T242" s="1" t="s">
        <v>222</v>
      </c>
      <c r="U242" s="1" t="s">
        <v>223</v>
      </c>
    </row>
    <row r="243" customFormat="false" ht="48" hidden="false" customHeight="true" outlineLevel="0" collapsed="false">
      <c r="A243" s="1" t="s">
        <v>43</v>
      </c>
      <c r="B243" s="1" t="s">
        <v>212</v>
      </c>
      <c r="C243" s="1" t="s">
        <v>1100</v>
      </c>
      <c r="D243" s="1" t="s">
        <v>1101</v>
      </c>
      <c r="E243" s="1" t="n">
        <v>2</v>
      </c>
      <c r="F243" s="1" t="s">
        <v>1107</v>
      </c>
      <c r="G243" s="1" t="s">
        <v>236</v>
      </c>
      <c r="H243" s="1" t="s">
        <v>1108</v>
      </c>
      <c r="I243" s="1" t="s">
        <v>231</v>
      </c>
      <c r="J243" s="1" t="s">
        <v>1104</v>
      </c>
      <c r="K243" s="1" t="n">
        <v>114.99</v>
      </c>
      <c r="L243" s="1" t="n">
        <v>4</v>
      </c>
      <c r="M243" s="1" t="n">
        <v>337</v>
      </c>
      <c r="N243" s="4" t="b">
        <f aca="false">FALSE()</f>
        <v>0</v>
      </c>
      <c r="P243" s="4" t="b">
        <f aca="false">TRUE()</f>
        <v>1</v>
      </c>
      <c r="R243" s="1" t="s">
        <v>1105</v>
      </c>
      <c r="S243" s="1" t="s">
        <v>1109</v>
      </c>
      <c r="T243" s="1" t="s">
        <v>222</v>
      </c>
      <c r="U243" s="1" t="s">
        <v>223</v>
      </c>
    </row>
    <row r="244" customFormat="false" ht="48" hidden="false" customHeight="true" outlineLevel="0" collapsed="false">
      <c r="A244" s="1" t="s">
        <v>43</v>
      </c>
      <c r="B244" s="1" t="s">
        <v>212</v>
      </c>
      <c r="C244" s="1" t="s">
        <v>1100</v>
      </c>
      <c r="D244" s="1" t="s">
        <v>1101</v>
      </c>
      <c r="E244" s="1" t="n">
        <v>3</v>
      </c>
      <c r="F244" s="1" t="s">
        <v>1110</v>
      </c>
      <c r="G244" s="1" t="s">
        <v>236</v>
      </c>
      <c r="H244" s="1" t="s">
        <v>1111</v>
      </c>
      <c r="I244" s="1" t="s">
        <v>231</v>
      </c>
      <c r="J244" s="1" t="s">
        <v>1104</v>
      </c>
      <c r="K244" s="1" t="n">
        <v>115.59</v>
      </c>
      <c r="L244" s="1" t="n">
        <v>4</v>
      </c>
      <c r="M244" s="1" t="n">
        <v>337</v>
      </c>
      <c r="N244" s="4" t="b">
        <f aca="false">FALSE()</f>
        <v>0</v>
      </c>
      <c r="O244" s="1" t="s">
        <v>1112</v>
      </c>
      <c r="P244" s="4" t="b">
        <f aca="false">TRUE()</f>
        <v>1</v>
      </c>
      <c r="R244" s="1" t="s">
        <v>1105</v>
      </c>
      <c r="S244" s="1" t="s">
        <v>1113</v>
      </c>
      <c r="T244" s="1" t="s">
        <v>222</v>
      </c>
      <c r="U244" s="1" t="s">
        <v>223</v>
      </c>
    </row>
    <row r="245" customFormat="false" ht="48" hidden="false" customHeight="true" outlineLevel="0" collapsed="false">
      <c r="A245" s="1" t="s">
        <v>43</v>
      </c>
      <c r="B245" s="1" t="s">
        <v>212</v>
      </c>
      <c r="C245" s="1" t="s">
        <v>1100</v>
      </c>
      <c r="D245" s="1" t="s">
        <v>1101</v>
      </c>
      <c r="E245" s="1" t="n">
        <v>4</v>
      </c>
      <c r="F245" s="1" t="s">
        <v>1114</v>
      </c>
      <c r="G245" s="1" t="s">
        <v>236</v>
      </c>
      <c r="H245" s="1" t="s">
        <v>1115</v>
      </c>
      <c r="I245" s="1" t="s">
        <v>218</v>
      </c>
      <c r="J245" s="1" t="s">
        <v>1104</v>
      </c>
      <c r="K245" s="1" t="n">
        <v>106.29</v>
      </c>
      <c r="L245" s="1" t="n">
        <v>4.3</v>
      </c>
      <c r="M245" s="1" t="n">
        <v>106</v>
      </c>
      <c r="N245" s="4" t="b">
        <f aca="false">FALSE()</f>
        <v>0</v>
      </c>
      <c r="P245" s="4" t="b">
        <f aca="false">TRUE()</f>
        <v>1</v>
      </c>
      <c r="R245" s="1" t="s">
        <v>1105</v>
      </c>
      <c r="S245" s="1" t="s">
        <v>1116</v>
      </c>
      <c r="T245" s="1" t="s">
        <v>222</v>
      </c>
      <c r="U245" s="1" t="s">
        <v>223</v>
      </c>
    </row>
    <row r="246" customFormat="false" ht="48" hidden="false" customHeight="true" outlineLevel="0" collapsed="false">
      <c r="A246" s="1" t="s">
        <v>43</v>
      </c>
      <c r="B246" s="1" t="s">
        <v>212</v>
      </c>
      <c r="C246" s="1" t="s">
        <v>1100</v>
      </c>
      <c r="D246" s="1" t="s">
        <v>1101</v>
      </c>
      <c r="E246" s="1" t="n">
        <v>5</v>
      </c>
      <c r="F246" s="1" t="s">
        <v>1117</v>
      </c>
      <c r="G246" s="1" t="s">
        <v>236</v>
      </c>
      <c r="H246" s="1" t="s">
        <v>1118</v>
      </c>
      <c r="I246" s="1" t="s">
        <v>242</v>
      </c>
      <c r="J246" s="1" t="s">
        <v>1104</v>
      </c>
      <c r="K246" s="1" t="n">
        <v>91.14</v>
      </c>
      <c r="L246" s="1" t="n">
        <v>4.2</v>
      </c>
      <c r="M246" s="1" t="n">
        <v>148</v>
      </c>
      <c r="N246" s="4" t="b">
        <f aca="false">FALSE()</f>
        <v>0</v>
      </c>
      <c r="P246" s="4" t="b">
        <f aca="false">TRUE()</f>
        <v>1</v>
      </c>
      <c r="R246" s="1" t="s">
        <v>1105</v>
      </c>
      <c r="S246" s="1" t="s">
        <v>1119</v>
      </c>
      <c r="T246" s="1" t="s">
        <v>222</v>
      </c>
      <c r="U246" s="1" t="s">
        <v>223</v>
      </c>
    </row>
    <row r="247" customFormat="false" ht="48" hidden="false" customHeight="true" outlineLevel="0" collapsed="false">
      <c r="A247" s="1" t="s">
        <v>43</v>
      </c>
      <c r="B247" s="1" t="s">
        <v>212</v>
      </c>
      <c r="C247" s="1" t="s">
        <v>1100</v>
      </c>
      <c r="D247" s="1" t="s">
        <v>1101</v>
      </c>
      <c r="E247" s="1" t="n">
        <v>6</v>
      </c>
      <c r="F247" s="1" t="s">
        <v>1120</v>
      </c>
      <c r="G247" s="1" t="s">
        <v>236</v>
      </c>
      <c r="H247" s="1" t="s">
        <v>1121</v>
      </c>
      <c r="I247" s="1" t="s">
        <v>242</v>
      </c>
      <c r="J247" s="1" t="s">
        <v>1104</v>
      </c>
      <c r="K247" s="1" t="n">
        <v>94.51</v>
      </c>
      <c r="L247" s="1" t="n">
        <v>4</v>
      </c>
      <c r="M247" s="1" t="n">
        <v>108</v>
      </c>
      <c r="N247" s="4" t="b">
        <f aca="false">FALSE()</f>
        <v>0</v>
      </c>
      <c r="O247" s="1" t="s">
        <v>1122</v>
      </c>
      <c r="P247" s="4" t="b">
        <f aca="false">TRUE()</f>
        <v>1</v>
      </c>
      <c r="R247" s="1" t="s">
        <v>1105</v>
      </c>
      <c r="S247" s="1" t="s">
        <v>1123</v>
      </c>
      <c r="T247" s="1" t="s">
        <v>222</v>
      </c>
      <c r="U247" s="1" t="s">
        <v>223</v>
      </c>
    </row>
    <row r="248" customFormat="false" ht="48" hidden="false" customHeight="true" outlineLevel="0" collapsed="false">
      <c r="A248" s="1" t="s">
        <v>43</v>
      </c>
      <c r="B248" s="1" t="s">
        <v>212</v>
      </c>
      <c r="C248" s="1" t="s">
        <v>1100</v>
      </c>
      <c r="D248" s="1" t="s">
        <v>1101</v>
      </c>
      <c r="E248" s="1" t="n">
        <v>7</v>
      </c>
      <c r="F248" s="1" t="s">
        <v>1124</v>
      </c>
      <c r="G248" s="1" t="s">
        <v>236</v>
      </c>
      <c r="H248" s="1" t="s">
        <v>1125</v>
      </c>
      <c r="I248" s="1" t="s">
        <v>218</v>
      </c>
      <c r="J248" s="1" t="s">
        <v>1104</v>
      </c>
      <c r="K248" s="1" t="n">
        <v>99.99</v>
      </c>
      <c r="L248" s="1" t="n">
        <v>4.5</v>
      </c>
      <c r="M248" s="1" t="n">
        <v>53</v>
      </c>
      <c r="N248" s="4" t="b">
        <f aca="false">FALSE()</f>
        <v>0</v>
      </c>
      <c r="O248" s="1" t="s">
        <v>1126</v>
      </c>
      <c r="P248" s="4" t="b">
        <f aca="false">TRUE()</f>
        <v>1</v>
      </c>
      <c r="R248" s="1" t="s">
        <v>1105</v>
      </c>
      <c r="S248" s="1" t="s">
        <v>1127</v>
      </c>
      <c r="T248" s="1" t="s">
        <v>222</v>
      </c>
      <c r="U248" s="1" t="s">
        <v>223</v>
      </c>
    </row>
    <row r="249" customFormat="false" ht="48" hidden="false" customHeight="true" outlineLevel="0" collapsed="false">
      <c r="A249" s="1" t="s">
        <v>43</v>
      </c>
      <c r="B249" s="1" t="s">
        <v>212</v>
      </c>
      <c r="C249" s="1" t="s">
        <v>1100</v>
      </c>
      <c r="D249" s="1" t="s">
        <v>1101</v>
      </c>
      <c r="E249" s="1" t="n">
        <v>8</v>
      </c>
      <c r="F249" s="1" t="s">
        <v>1128</v>
      </c>
      <c r="G249" s="1" t="s">
        <v>236</v>
      </c>
      <c r="H249" s="1" t="s">
        <v>1129</v>
      </c>
      <c r="I249" s="1" t="s">
        <v>218</v>
      </c>
      <c r="J249" s="1" t="s">
        <v>1104</v>
      </c>
      <c r="K249" s="1" t="n">
        <v>116.28</v>
      </c>
      <c r="L249" s="1" t="n">
        <v>4.3</v>
      </c>
      <c r="M249" s="1" t="n">
        <v>59</v>
      </c>
      <c r="N249" s="4" t="b">
        <f aca="false">FALSE()</f>
        <v>0</v>
      </c>
      <c r="O249" s="1" t="s">
        <v>1130</v>
      </c>
      <c r="P249" s="4" t="b">
        <f aca="false">TRUE()</f>
        <v>1</v>
      </c>
      <c r="R249" s="1" t="s">
        <v>1105</v>
      </c>
      <c r="S249" s="1" t="s">
        <v>1131</v>
      </c>
      <c r="T249" s="1" t="s">
        <v>222</v>
      </c>
      <c r="U249" s="1" t="s">
        <v>223</v>
      </c>
    </row>
    <row r="250" customFormat="false" ht="48" hidden="false" customHeight="true" outlineLevel="0" collapsed="false">
      <c r="A250" s="1" t="s">
        <v>43</v>
      </c>
      <c r="B250" s="1" t="s">
        <v>212</v>
      </c>
      <c r="C250" s="1" t="s">
        <v>1100</v>
      </c>
      <c r="D250" s="1" t="s">
        <v>1101</v>
      </c>
      <c r="E250" s="1" t="n">
        <v>9</v>
      </c>
      <c r="F250" s="1" t="s">
        <v>1132</v>
      </c>
      <c r="G250" s="1" t="s">
        <v>1133</v>
      </c>
      <c r="H250" s="1" t="s">
        <v>1134</v>
      </c>
      <c r="I250" s="1" t="s">
        <v>218</v>
      </c>
      <c r="J250" s="1" t="s">
        <v>1104</v>
      </c>
      <c r="K250" s="1" t="n">
        <v>69.99</v>
      </c>
      <c r="L250" s="1" t="n">
        <v>4</v>
      </c>
      <c r="M250" s="1" t="n">
        <v>634</v>
      </c>
      <c r="N250" s="4" t="b">
        <f aca="false">FALSE()</f>
        <v>0</v>
      </c>
      <c r="O250" s="1" t="s">
        <v>1135</v>
      </c>
      <c r="P250" s="4" t="b">
        <f aca="false">TRUE()</f>
        <v>1</v>
      </c>
      <c r="R250" s="1" t="s">
        <v>1105</v>
      </c>
      <c r="S250" s="1" t="s">
        <v>1136</v>
      </c>
      <c r="T250" s="1" t="s">
        <v>222</v>
      </c>
      <c r="U250" s="1" t="s">
        <v>223</v>
      </c>
    </row>
    <row r="251" customFormat="false" ht="48" hidden="false" customHeight="true" outlineLevel="0" collapsed="false">
      <c r="A251" s="1" t="s">
        <v>43</v>
      </c>
      <c r="B251" s="1" t="s">
        <v>212</v>
      </c>
      <c r="C251" s="1" t="s">
        <v>1100</v>
      </c>
      <c r="D251" s="1" t="s">
        <v>1101</v>
      </c>
      <c r="E251" s="1" t="n">
        <v>10</v>
      </c>
      <c r="F251" s="1" t="s">
        <v>1137</v>
      </c>
      <c r="G251" s="1" t="s">
        <v>229</v>
      </c>
      <c r="H251" s="1" t="s">
        <v>1138</v>
      </c>
      <c r="I251" s="1" t="s">
        <v>218</v>
      </c>
      <c r="J251" s="1" t="s">
        <v>219</v>
      </c>
      <c r="K251" s="1" t="n">
        <v>76.49</v>
      </c>
      <c r="L251" s="1" t="n">
        <v>4.3</v>
      </c>
      <c r="M251" s="1" t="n">
        <v>60900</v>
      </c>
      <c r="N251" s="4" t="b">
        <f aca="false">FALSE()</f>
        <v>0</v>
      </c>
      <c r="O251" s="1" t="s">
        <v>1139</v>
      </c>
      <c r="P251" s="4" t="b">
        <f aca="false">TRUE()</f>
        <v>1</v>
      </c>
      <c r="Q251" s="1" t="s">
        <v>233</v>
      </c>
      <c r="R251" s="1" t="s">
        <v>1105</v>
      </c>
      <c r="S251" s="1" t="s">
        <v>1140</v>
      </c>
      <c r="T251" s="1" t="s">
        <v>222</v>
      </c>
      <c r="U251" s="1" t="s">
        <v>223</v>
      </c>
    </row>
    <row r="252" customFormat="false" ht="48" hidden="false" customHeight="true" outlineLevel="0" collapsed="false">
      <c r="A252" s="1" t="s">
        <v>43</v>
      </c>
      <c r="B252" s="1" t="s">
        <v>212</v>
      </c>
      <c r="C252" s="1" t="s">
        <v>1100</v>
      </c>
      <c r="D252" s="1" t="s">
        <v>1101</v>
      </c>
      <c r="E252" s="1" t="n">
        <v>11</v>
      </c>
      <c r="F252" s="1" t="s">
        <v>1141</v>
      </c>
      <c r="G252" s="1" t="s">
        <v>236</v>
      </c>
      <c r="H252" s="1" t="s">
        <v>1142</v>
      </c>
      <c r="I252" s="1" t="s">
        <v>218</v>
      </c>
      <c r="J252" s="1" t="s">
        <v>1104</v>
      </c>
      <c r="K252" s="1" t="n">
        <v>136.99</v>
      </c>
      <c r="L252" s="1" t="n">
        <v>3.7</v>
      </c>
      <c r="M252" s="1" t="n">
        <v>232</v>
      </c>
      <c r="N252" s="4" t="b">
        <f aca="false">FALSE()</f>
        <v>0</v>
      </c>
      <c r="O252" s="1" t="s">
        <v>1143</v>
      </c>
      <c r="P252" s="4" t="b">
        <f aca="false">TRUE()</f>
        <v>1</v>
      </c>
      <c r="R252" s="1" t="s">
        <v>1105</v>
      </c>
      <c r="S252" s="1" t="s">
        <v>1144</v>
      </c>
      <c r="T252" s="1" t="s">
        <v>222</v>
      </c>
      <c r="U252" s="1" t="s">
        <v>223</v>
      </c>
    </row>
    <row r="253" customFormat="false" ht="48" hidden="false" customHeight="true" outlineLevel="0" collapsed="false">
      <c r="A253" s="1" t="s">
        <v>43</v>
      </c>
      <c r="B253" s="1" t="s">
        <v>212</v>
      </c>
      <c r="C253" s="1" t="s">
        <v>1100</v>
      </c>
      <c r="D253" s="1" t="s">
        <v>1101</v>
      </c>
      <c r="E253" s="1" t="n">
        <v>12</v>
      </c>
      <c r="F253" s="1" t="s">
        <v>1145</v>
      </c>
      <c r="G253" s="1" t="s">
        <v>229</v>
      </c>
      <c r="H253" s="1" t="s">
        <v>1146</v>
      </c>
      <c r="I253" s="1" t="s">
        <v>218</v>
      </c>
      <c r="J253" s="1" t="s">
        <v>219</v>
      </c>
      <c r="K253" s="1" t="n">
        <v>79.99</v>
      </c>
      <c r="L253" s="1" t="n">
        <v>4.3</v>
      </c>
      <c r="M253" s="1" t="n">
        <v>60900</v>
      </c>
      <c r="N253" s="4" t="b">
        <f aca="false">FALSE()</f>
        <v>0</v>
      </c>
      <c r="O253" s="1" t="s">
        <v>1147</v>
      </c>
      <c r="P253" s="4" t="b">
        <f aca="false">TRUE()</f>
        <v>1</v>
      </c>
      <c r="Q253" s="1" t="s">
        <v>435</v>
      </c>
      <c r="R253" s="1" t="s">
        <v>1105</v>
      </c>
      <c r="S253" s="1" t="s">
        <v>1148</v>
      </c>
      <c r="T253" s="1" t="s">
        <v>222</v>
      </c>
      <c r="U253" s="1" t="s">
        <v>223</v>
      </c>
    </row>
    <row r="254" customFormat="false" ht="48" hidden="false" customHeight="true" outlineLevel="0" collapsed="false">
      <c r="A254" s="1" t="s">
        <v>43</v>
      </c>
      <c r="B254" s="1" t="s">
        <v>212</v>
      </c>
      <c r="C254" s="1" t="s">
        <v>1100</v>
      </c>
      <c r="D254" s="1" t="s">
        <v>1101</v>
      </c>
      <c r="E254" s="1" t="n">
        <v>13</v>
      </c>
      <c r="F254" s="1" t="s">
        <v>1149</v>
      </c>
      <c r="G254" s="1" t="s">
        <v>236</v>
      </c>
      <c r="H254" s="1" t="s">
        <v>1150</v>
      </c>
      <c r="I254" s="1" t="s">
        <v>289</v>
      </c>
      <c r="J254" s="1" t="s">
        <v>1104</v>
      </c>
      <c r="K254" s="1" t="n">
        <v>67.28</v>
      </c>
      <c r="N254" s="4" t="b">
        <f aca="false">FALSE()</f>
        <v>0</v>
      </c>
      <c r="P254" s="4" t="b">
        <f aca="false">TRUE()</f>
        <v>1</v>
      </c>
      <c r="R254" s="1" t="s">
        <v>1105</v>
      </c>
      <c r="S254" s="1" t="s">
        <v>1151</v>
      </c>
      <c r="T254" s="1" t="s">
        <v>222</v>
      </c>
      <c r="U254" s="1" t="s">
        <v>223</v>
      </c>
    </row>
    <row r="255" customFormat="false" ht="48" hidden="false" customHeight="true" outlineLevel="0" collapsed="false">
      <c r="A255" s="1" t="s">
        <v>43</v>
      </c>
      <c r="B255" s="1" t="s">
        <v>212</v>
      </c>
      <c r="C255" s="1" t="s">
        <v>1100</v>
      </c>
      <c r="D255" s="1" t="s">
        <v>1101</v>
      </c>
      <c r="E255" s="1" t="n">
        <v>14</v>
      </c>
      <c r="F255" s="1" t="s">
        <v>1152</v>
      </c>
      <c r="G255" s="1" t="s">
        <v>236</v>
      </c>
      <c r="H255" s="1" t="s">
        <v>1153</v>
      </c>
      <c r="I255" s="1" t="s">
        <v>378</v>
      </c>
      <c r="J255" s="1" t="s">
        <v>1104</v>
      </c>
      <c r="K255" s="1" t="n">
        <v>97.04</v>
      </c>
      <c r="L255" s="1" t="n">
        <v>4.2</v>
      </c>
      <c r="M255" s="1" t="n">
        <v>9</v>
      </c>
      <c r="N255" s="4" t="b">
        <f aca="false">FALSE()</f>
        <v>0</v>
      </c>
      <c r="P255" s="4" t="b">
        <f aca="false">TRUE()</f>
        <v>1</v>
      </c>
      <c r="R255" s="1" t="s">
        <v>1105</v>
      </c>
      <c r="S255" s="1" t="s">
        <v>1154</v>
      </c>
      <c r="T255" s="1" t="s">
        <v>222</v>
      </c>
      <c r="U255" s="1" t="s">
        <v>223</v>
      </c>
    </row>
    <row r="256" customFormat="false" ht="48" hidden="false" customHeight="true" outlineLevel="0" collapsed="false">
      <c r="A256" s="1" t="s">
        <v>43</v>
      </c>
      <c r="B256" s="1" t="s">
        <v>212</v>
      </c>
      <c r="C256" s="1" t="s">
        <v>1100</v>
      </c>
      <c r="D256" s="1" t="s">
        <v>1101</v>
      </c>
      <c r="E256" s="1" t="n">
        <v>15</v>
      </c>
      <c r="F256" s="1" t="s">
        <v>1155</v>
      </c>
      <c r="G256" s="1" t="s">
        <v>236</v>
      </c>
      <c r="H256" s="1" t="s">
        <v>1156</v>
      </c>
      <c r="I256" s="1" t="s">
        <v>218</v>
      </c>
      <c r="J256" s="1" t="s">
        <v>1104</v>
      </c>
      <c r="K256" s="1" t="n">
        <v>123.89</v>
      </c>
      <c r="L256" s="1" t="n">
        <v>4.2</v>
      </c>
      <c r="M256" s="1" t="n">
        <v>340</v>
      </c>
      <c r="N256" s="4" t="b">
        <f aca="false">FALSE()</f>
        <v>0</v>
      </c>
      <c r="O256" s="1" t="s">
        <v>1157</v>
      </c>
      <c r="P256" s="4" t="b">
        <f aca="false">TRUE()</f>
        <v>1</v>
      </c>
      <c r="R256" s="1" t="s">
        <v>1105</v>
      </c>
      <c r="S256" s="1" t="s">
        <v>1158</v>
      </c>
      <c r="T256" s="1" t="s">
        <v>222</v>
      </c>
      <c r="U256" s="1" t="s">
        <v>223</v>
      </c>
    </row>
    <row r="257" customFormat="false" ht="48" hidden="false" customHeight="true" outlineLevel="0" collapsed="false">
      <c r="A257" s="1" t="s">
        <v>43</v>
      </c>
      <c r="B257" s="1" t="s">
        <v>212</v>
      </c>
      <c r="C257" s="1" t="s">
        <v>1100</v>
      </c>
      <c r="D257" s="1" t="s">
        <v>1101</v>
      </c>
      <c r="E257" s="1" t="n">
        <v>16</v>
      </c>
      <c r="F257" s="1" t="s">
        <v>1159</v>
      </c>
      <c r="G257" s="1" t="s">
        <v>236</v>
      </c>
      <c r="H257" s="1" t="s">
        <v>1160</v>
      </c>
      <c r="I257" s="1" t="s">
        <v>231</v>
      </c>
      <c r="J257" s="1" t="s">
        <v>1104</v>
      </c>
      <c r="K257" s="1" t="n">
        <v>109.99</v>
      </c>
      <c r="L257" s="1" t="n">
        <v>4.5</v>
      </c>
      <c r="M257" s="1" t="n">
        <v>53</v>
      </c>
      <c r="N257" s="4" t="b">
        <f aca="false">FALSE()</f>
        <v>0</v>
      </c>
      <c r="P257" s="4" t="b">
        <f aca="false">TRUE()</f>
        <v>1</v>
      </c>
      <c r="R257" s="1" t="s">
        <v>1105</v>
      </c>
      <c r="S257" s="1" t="s">
        <v>1161</v>
      </c>
      <c r="T257" s="1" t="s">
        <v>222</v>
      </c>
      <c r="U257" s="1" t="s">
        <v>223</v>
      </c>
    </row>
    <row r="258" customFormat="false" ht="48" hidden="false" customHeight="true" outlineLevel="0" collapsed="false">
      <c r="A258" s="1" t="s">
        <v>43</v>
      </c>
      <c r="B258" s="1" t="s">
        <v>212</v>
      </c>
      <c r="C258" s="1" t="s">
        <v>1100</v>
      </c>
      <c r="D258" s="1" t="s">
        <v>1101</v>
      </c>
      <c r="E258" s="1" t="n">
        <v>17</v>
      </c>
      <c r="F258" s="1" t="s">
        <v>1162</v>
      </c>
      <c r="G258" s="1" t="s">
        <v>236</v>
      </c>
      <c r="H258" s="1" t="s">
        <v>366</v>
      </c>
      <c r="I258" s="1" t="s">
        <v>218</v>
      </c>
      <c r="J258" s="1" t="s">
        <v>219</v>
      </c>
      <c r="K258" s="1" t="n">
        <v>87.99</v>
      </c>
      <c r="L258" s="1" t="n">
        <v>4.3</v>
      </c>
      <c r="M258" s="1" t="n">
        <v>7300</v>
      </c>
      <c r="N258" s="4" t="b">
        <f aca="false">FALSE()</f>
        <v>0</v>
      </c>
      <c r="O258" s="1" t="s">
        <v>1163</v>
      </c>
      <c r="P258" s="4" t="b">
        <f aca="false">TRUE()</f>
        <v>1</v>
      </c>
      <c r="Q258" s="1" t="s">
        <v>233</v>
      </c>
      <c r="R258" s="1" t="s">
        <v>1105</v>
      </c>
      <c r="S258" s="1" t="s">
        <v>1164</v>
      </c>
      <c r="T258" s="1" t="s">
        <v>222</v>
      </c>
      <c r="U258" s="1" t="s">
        <v>223</v>
      </c>
    </row>
    <row r="259" customFormat="false" ht="48" hidden="false" customHeight="true" outlineLevel="0" collapsed="false">
      <c r="A259" s="1" t="s">
        <v>43</v>
      </c>
      <c r="B259" s="1" t="s">
        <v>212</v>
      </c>
      <c r="C259" s="1" t="s">
        <v>1100</v>
      </c>
      <c r="D259" s="1" t="s">
        <v>1101</v>
      </c>
      <c r="E259" s="1" t="n">
        <v>18</v>
      </c>
      <c r="F259" s="1" t="s">
        <v>1165</v>
      </c>
      <c r="G259" s="1" t="s">
        <v>236</v>
      </c>
      <c r="H259" s="1" t="s">
        <v>1166</v>
      </c>
      <c r="I259" s="1" t="s">
        <v>231</v>
      </c>
      <c r="J259" s="1" t="s">
        <v>597</v>
      </c>
      <c r="K259" s="1" t="n">
        <v>149.31</v>
      </c>
      <c r="L259" s="1" t="n">
        <v>4.3</v>
      </c>
      <c r="M259" s="1" t="n">
        <v>206</v>
      </c>
      <c r="N259" s="4" t="b">
        <f aca="false">FALSE()</f>
        <v>0</v>
      </c>
      <c r="O259" s="1" t="s">
        <v>1167</v>
      </c>
      <c r="P259" s="4" t="b">
        <f aca="false">TRUE()</f>
        <v>1</v>
      </c>
      <c r="R259" s="1" t="s">
        <v>1105</v>
      </c>
      <c r="S259" s="1" t="s">
        <v>1168</v>
      </c>
      <c r="T259" s="1" t="s">
        <v>222</v>
      </c>
      <c r="U259" s="1" t="s">
        <v>223</v>
      </c>
    </row>
    <row r="260" customFormat="false" ht="48" hidden="false" customHeight="true" outlineLevel="0" collapsed="false">
      <c r="A260" s="1" t="s">
        <v>43</v>
      </c>
      <c r="B260" s="1" t="s">
        <v>212</v>
      </c>
      <c r="C260" s="1" t="s">
        <v>1100</v>
      </c>
      <c r="D260" s="1" t="s">
        <v>1101</v>
      </c>
      <c r="E260" s="1" t="n">
        <v>19</v>
      </c>
      <c r="F260" s="1" t="s">
        <v>1169</v>
      </c>
      <c r="G260" s="1" t="s">
        <v>873</v>
      </c>
      <c r="H260" s="1" t="s">
        <v>1170</v>
      </c>
      <c r="I260" s="1" t="s">
        <v>218</v>
      </c>
      <c r="J260" s="1" t="s">
        <v>1104</v>
      </c>
      <c r="K260" s="1" t="n">
        <v>86.66</v>
      </c>
      <c r="L260" s="1" t="n">
        <v>4.3</v>
      </c>
      <c r="M260" s="1" t="n">
        <v>527</v>
      </c>
      <c r="N260" s="4" t="b">
        <f aca="false">FALSE()</f>
        <v>0</v>
      </c>
      <c r="P260" s="4" t="b">
        <f aca="false">TRUE()</f>
        <v>1</v>
      </c>
      <c r="R260" s="1" t="s">
        <v>1105</v>
      </c>
      <c r="S260" s="1" t="s">
        <v>1171</v>
      </c>
      <c r="T260" s="1" t="s">
        <v>222</v>
      </c>
      <c r="U260" s="1" t="s">
        <v>223</v>
      </c>
    </row>
    <row r="261" customFormat="false" ht="48" hidden="false" customHeight="true" outlineLevel="0" collapsed="false">
      <c r="A261" s="1" t="s">
        <v>43</v>
      </c>
      <c r="B261" s="1" t="s">
        <v>212</v>
      </c>
      <c r="C261" s="1" t="s">
        <v>1100</v>
      </c>
      <c r="D261" s="1" t="s">
        <v>1101</v>
      </c>
      <c r="E261" s="1" t="n">
        <v>20</v>
      </c>
      <c r="F261" s="1" t="s">
        <v>708</v>
      </c>
      <c r="G261" s="1" t="s">
        <v>236</v>
      </c>
      <c r="H261" s="1" t="s">
        <v>709</v>
      </c>
      <c r="I261" s="1" t="s">
        <v>218</v>
      </c>
      <c r="J261" s="1" t="s">
        <v>597</v>
      </c>
      <c r="K261" s="1" t="n">
        <v>59.99</v>
      </c>
      <c r="L261" s="1" t="n">
        <v>4.2</v>
      </c>
      <c r="M261" s="1" t="n">
        <v>30000</v>
      </c>
      <c r="N261" s="4" t="b">
        <f aca="false">FALSE()</f>
        <v>0</v>
      </c>
      <c r="O261" s="1" t="s">
        <v>710</v>
      </c>
      <c r="P261" s="4" t="b">
        <f aca="false">TRUE()</f>
        <v>1</v>
      </c>
      <c r="Q261" s="1" t="s">
        <v>711</v>
      </c>
      <c r="R261" s="1" t="s">
        <v>1105</v>
      </c>
      <c r="S261" s="1" t="s">
        <v>712</v>
      </c>
      <c r="T261" s="1" t="s">
        <v>222</v>
      </c>
      <c r="U261" s="1" t="s">
        <v>223</v>
      </c>
    </row>
    <row r="262" customFormat="false" ht="48" hidden="false" customHeight="true" outlineLevel="0" collapsed="false">
      <c r="A262" s="1" t="s">
        <v>43</v>
      </c>
      <c r="B262" s="1" t="s">
        <v>212</v>
      </c>
      <c r="C262" s="1" t="s">
        <v>1100</v>
      </c>
      <c r="D262" s="1" t="s">
        <v>1101</v>
      </c>
      <c r="E262" s="1" t="n">
        <v>21</v>
      </c>
      <c r="F262" s="1" t="s">
        <v>1172</v>
      </c>
      <c r="G262" s="1" t="s">
        <v>236</v>
      </c>
      <c r="H262" s="1" t="s">
        <v>1173</v>
      </c>
      <c r="I262" s="1" t="s">
        <v>306</v>
      </c>
      <c r="J262" s="1" t="s">
        <v>1104</v>
      </c>
      <c r="K262" s="1" t="n">
        <v>155.18</v>
      </c>
      <c r="L262" s="1" t="n">
        <v>4.6</v>
      </c>
      <c r="M262" s="1" t="n">
        <v>10500</v>
      </c>
      <c r="N262" s="4" t="b">
        <f aca="false">FALSE()</f>
        <v>0</v>
      </c>
      <c r="P262" s="4" t="b">
        <f aca="false">TRUE()</f>
        <v>1</v>
      </c>
      <c r="R262" s="1" t="s">
        <v>1105</v>
      </c>
      <c r="S262" s="1" t="s">
        <v>1174</v>
      </c>
      <c r="T262" s="1" t="s">
        <v>222</v>
      </c>
      <c r="U262" s="1" t="s">
        <v>223</v>
      </c>
    </row>
    <row r="263" customFormat="false" ht="48" hidden="false" customHeight="true" outlineLevel="0" collapsed="false">
      <c r="A263" s="1" t="s">
        <v>43</v>
      </c>
      <c r="B263" s="1" t="s">
        <v>212</v>
      </c>
      <c r="C263" s="1" t="s">
        <v>1100</v>
      </c>
      <c r="D263" s="1" t="s">
        <v>1101</v>
      </c>
      <c r="E263" s="1" t="n">
        <v>22</v>
      </c>
      <c r="F263" s="1" t="s">
        <v>215</v>
      </c>
      <c r="G263" s="1" t="s">
        <v>216</v>
      </c>
      <c r="H263" s="1" t="s">
        <v>217</v>
      </c>
      <c r="I263" s="1" t="s">
        <v>218</v>
      </c>
      <c r="J263" s="1" t="s">
        <v>219</v>
      </c>
      <c r="K263" s="1" t="n">
        <v>49.99</v>
      </c>
      <c r="L263" s="1" t="n">
        <v>4.4</v>
      </c>
      <c r="M263" s="1" t="n">
        <v>44</v>
      </c>
      <c r="N263" s="4" t="b">
        <f aca="false">FALSE()</f>
        <v>0</v>
      </c>
      <c r="P263" s="4" t="b">
        <f aca="false">TRUE()</f>
        <v>1</v>
      </c>
      <c r="R263" s="1" t="s">
        <v>1105</v>
      </c>
      <c r="S263" s="1" t="s">
        <v>221</v>
      </c>
      <c r="T263" s="1" t="s">
        <v>222</v>
      </c>
      <c r="U263" s="1" t="s">
        <v>223</v>
      </c>
    </row>
    <row r="264" customFormat="false" ht="48" hidden="false" customHeight="true" outlineLevel="0" collapsed="false">
      <c r="A264" s="1" t="s">
        <v>43</v>
      </c>
      <c r="B264" s="1" t="s">
        <v>212</v>
      </c>
      <c r="C264" s="1" t="s">
        <v>1100</v>
      </c>
      <c r="D264" s="1" t="s">
        <v>1101</v>
      </c>
      <c r="E264" s="1" t="n">
        <v>23</v>
      </c>
      <c r="F264" s="1" t="s">
        <v>1175</v>
      </c>
      <c r="G264" s="1" t="s">
        <v>236</v>
      </c>
      <c r="H264" s="1" t="s">
        <v>1176</v>
      </c>
      <c r="I264" s="1" t="s">
        <v>378</v>
      </c>
      <c r="J264" s="1" t="s">
        <v>1104</v>
      </c>
      <c r="K264" s="1" t="n">
        <v>79.99</v>
      </c>
      <c r="L264" s="1" t="n">
        <v>4.2</v>
      </c>
      <c r="M264" s="1" t="n">
        <v>46</v>
      </c>
      <c r="N264" s="4" t="b">
        <f aca="false">FALSE()</f>
        <v>0</v>
      </c>
      <c r="O264" s="1" t="s">
        <v>1177</v>
      </c>
      <c r="P264" s="4" t="b">
        <f aca="false">TRUE()</f>
        <v>1</v>
      </c>
      <c r="R264" s="1" t="s">
        <v>1105</v>
      </c>
      <c r="S264" s="1" t="s">
        <v>1178</v>
      </c>
      <c r="T264" s="1" t="s">
        <v>222</v>
      </c>
      <c r="U264" s="1" t="s">
        <v>223</v>
      </c>
    </row>
    <row r="265" customFormat="false" ht="48" hidden="false" customHeight="true" outlineLevel="0" collapsed="false">
      <c r="A265" s="1" t="s">
        <v>43</v>
      </c>
      <c r="B265" s="1" t="s">
        <v>212</v>
      </c>
      <c r="C265" s="1" t="s">
        <v>1100</v>
      </c>
      <c r="D265" s="1" t="s">
        <v>1101</v>
      </c>
      <c r="E265" s="1" t="n">
        <v>24</v>
      </c>
      <c r="F265" s="1" t="s">
        <v>1179</v>
      </c>
      <c r="G265" s="1" t="s">
        <v>225</v>
      </c>
      <c r="H265" s="1" t="s">
        <v>1180</v>
      </c>
      <c r="I265" s="1" t="s">
        <v>231</v>
      </c>
      <c r="J265" s="1" t="s">
        <v>219</v>
      </c>
      <c r="K265" s="1" t="n">
        <v>99.99</v>
      </c>
      <c r="L265" s="1" t="n">
        <v>4.4</v>
      </c>
      <c r="M265" s="1" t="n">
        <v>3300</v>
      </c>
      <c r="N265" s="4" t="b">
        <f aca="false">FALSE()</f>
        <v>0</v>
      </c>
      <c r="P265" s="4" t="b">
        <f aca="false">TRUE()</f>
        <v>1</v>
      </c>
      <c r="Q265" s="1" t="s">
        <v>251</v>
      </c>
      <c r="R265" s="1" t="s">
        <v>1105</v>
      </c>
      <c r="S265" s="1" t="s">
        <v>1181</v>
      </c>
      <c r="T265" s="1" t="s">
        <v>222</v>
      </c>
      <c r="U265" s="1" t="s">
        <v>223</v>
      </c>
    </row>
    <row r="266" customFormat="false" ht="48" hidden="false" customHeight="true" outlineLevel="0" collapsed="false">
      <c r="A266" s="1" t="s">
        <v>43</v>
      </c>
      <c r="B266" s="1" t="s">
        <v>212</v>
      </c>
      <c r="C266" s="1" t="s">
        <v>1100</v>
      </c>
      <c r="D266" s="1" t="s">
        <v>1101</v>
      </c>
      <c r="E266" s="1" t="n">
        <v>25</v>
      </c>
      <c r="F266" s="1" t="s">
        <v>1182</v>
      </c>
      <c r="G266" s="1" t="s">
        <v>236</v>
      </c>
      <c r="H266" s="1" t="s">
        <v>1183</v>
      </c>
      <c r="I266" s="1" t="s">
        <v>218</v>
      </c>
      <c r="J266" s="1" t="s">
        <v>219</v>
      </c>
      <c r="K266" s="1" t="n">
        <v>72.99</v>
      </c>
      <c r="L266" s="1" t="n">
        <v>4.4</v>
      </c>
      <c r="M266" s="1" t="n">
        <v>742</v>
      </c>
      <c r="N266" s="4" t="b">
        <f aca="false">FALSE()</f>
        <v>0</v>
      </c>
      <c r="P266" s="4" t="b">
        <f aca="false">TRUE()</f>
        <v>1</v>
      </c>
      <c r="R266" s="1" t="s">
        <v>1105</v>
      </c>
      <c r="S266" s="1" t="s">
        <v>1184</v>
      </c>
      <c r="T266" s="1" t="s">
        <v>222</v>
      </c>
      <c r="U266" s="1" t="s">
        <v>223</v>
      </c>
    </row>
    <row r="267" customFormat="false" ht="48" hidden="false" customHeight="true" outlineLevel="0" collapsed="false">
      <c r="A267" s="1" t="s">
        <v>43</v>
      </c>
      <c r="B267" s="1" t="s">
        <v>212</v>
      </c>
      <c r="C267" s="1" t="s">
        <v>1100</v>
      </c>
      <c r="D267" s="1" t="s">
        <v>1101</v>
      </c>
      <c r="E267" s="1" t="n">
        <v>26</v>
      </c>
      <c r="F267" s="1" t="s">
        <v>1185</v>
      </c>
      <c r="G267" s="1" t="s">
        <v>236</v>
      </c>
      <c r="H267" s="1" t="s">
        <v>1186</v>
      </c>
      <c r="I267" s="1" t="s">
        <v>231</v>
      </c>
      <c r="J267" s="1" t="s">
        <v>1104</v>
      </c>
      <c r="K267" s="1" t="n">
        <v>209.88</v>
      </c>
      <c r="L267" s="1" t="n">
        <v>4.8</v>
      </c>
      <c r="M267" s="1" t="n">
        <v>20</v>
      </c>
      <c r="N267" s="4" t="b">
        <f aca="false">FALSE()</f>
        <v>0</v>
      </c>
      <c r="P267" s="4" t="b">
        <f aca="false">TRUE()</f>
        <v>1</v>
      </c>
      <c r="R267" s="1" t="s">
        <v>1105</v>
      </c>
      <c r="S267" s="1" t="s">
        <v>1187</v>
      </c>
      <c r="T267" s="1" t="s">
        <v>222</v>
      </c>
      <c r="U267" s="1" t="s">
        <v>223</v>
      </c>
    </row>
    <row r="268" customFormat="false" ht="48" hidden="false" customHeight="true" outlineLevel="0" collapsed="false">
      <c r="A268" s="1" t="s">
        <v>43</v>
      </c>
      <c r="B268" s="1" t="s">
        <v>212</v>
      </c>
      <c r="C268" s="1" t="s">
        <v>1100</v>
      </c>
      <c r="D268" s="1" t="s">
        <v>1101</v>
      </c>
      <c r="E268" s="1" t="n">
        <v>27</v>
      </c>
      <c r="F268" s="1" t="s">
        <v>1188</v>
      </c>
      <c r="G268" s="1" t="s">
        <v>236</v>
      </c>
      <c r="H268" s="1" t="s">
        <v>1189</v>
      </c>
      <c r="I268" s="1" t="s">
        <v>218</v>
      </c>
      <c r="J268" s="1" t="s">
        <v>1104</v>
      </c>
      <c r="K268" s="1" t="n">
        <v>157.14</v>
      </c>
      <c r="L268" s="1" t="n">
        <v>4.6</v>
      </c>
      <c r="M268" s="1" t="n">
        <v>47</v>
      </c>
      <c r="N268" s="4" t="b">
        <f aca="false">FALSE()</f>
        <v>0</v>
      </c>
      <c r="P268" s="4" t="b">
        <f aca="false">TRUE()</f>
        <v>1</v>
      </c>
      <c r="R268" s="1" t="s">
        <v>1105</v>
      </c>
      <c r="S268" s="1" t="s">
        <v>1190</v>
      </c>
      <c r="T268" s="1" t="s">
        <v>222</v>
      </c>
      <c r="U268" s="1" t="s">
        <v>223</v>
      </c>
    </row>
    <row r="269" customFormat="false" ht="48" hidden="false" customHeight="true" outlineLevel="0" collapsed="false">
      <c r="A269" s="1" t="s">
        <v>43</v>
      </c>
      <c r="B269" s="1" t="s">
        <v>212</v>
      </c>
      <c r="C269" s="1" t="s">
        <v>1100</v>
      </c>
      <c r="D269" s="1" t="s">
        <v>1101</v>
      </c>
      <c r="E269" s="1" t="n">
        <v>28</v>
      </c>
      <c r="F269" s="1" t="s">
        <v>1191</v>
      </c>
      <c r="G269" s="1" t="s">
        <v>236</v>
      </c>
      <c r="H269" s="1" t="s">
        <v>1192</v>
      </c>
      <c r="I269" s="1" t="s">
        <v>218</v>
      </c>
      <c r="J269" s="1" t="s">
        <v>310</v>
      </c>
      <c r="K269" s="1" t="n">
        <v>33.99</v>
      </c>
      <c r="L269" s="1" t="n">
        <v>4.4</v>
      </c>
      <c r="M269" s="1" t="n">
        <v>444800</v>
      </c>
      <c r="N269" s="4" t="b">
        <f aca="false">FALSE()</f>
        <v>0</v>
      </c>
      <c r="O269" s="1" t="s">
        <v>970</v>
      </c>
      <c r="P269" s="4" t="b">
        <f aca="false">TRUE()</f>
        <v>1</v>
      </c>
      <c r="Q269" s="1" t="s">
        <v>418</v>
      </c>
      <c r="R269" s="1" t="s">
        <v>1105</v>
      </c>
      <c r="S269" s="1" t="s">
        <v>1193</v>
      </c>
      <c r="T269" s="1" t="s">
        <v>222</v>
      </c>
      <c r="U269" s="1" t="s">
        <v>223</v>
      </c>
    </row>
    <row r="270" customFormat="false" ht="48" hidden="false" customHeight="true" outlineLevel="0" collapsed="false">
      <c r="A270" s="1" t="s">
        <v>43</v>
      </c>
      <c r="B270" s="1" t="s">
        <v>212</v>
      </c>
      <c r="C270" s="1" t="s">
        <v>1100</v>
      </c>
      <c r="D270" s="1" t="s">
        <v>1101</v>
      </c>
      <c r="E270" s="1" t="n">
        <v>29</v>
      </c>
      <c r="F270" s="1" t="s">
        <v>1194</v>
      </c>
      <c r="G270" s="1" t="s">
        <v>236</v>
      </c>
      <c r="H270" s="1" t="s">
        <v>1195</v>
      </c>
      <c r="I270" s="1" t="s">
        <v>218</v>
      </c>
      <c r="J270" s="1" t="s">
        <v>1104</v>
      </c>
      <c r="K270" s="1" t="n">
        <v>82</v>
      </c>
      <c r="L270" s="1" t="n">
        <v>4.3</v>
      </c>
      <c r="M270" s="1" t="n">
        <v>170</v>
      </c>
      <c r="N270" s="4" t="b">
        <f aca="false">FALSE()</f>
        <v>0</v>
      </c>
      <c r="P270" s="4" t="b">
        <f aca="false">TRUE()</f>
        <v>1</v>
      </c>
      <c r="R270" s="1" t="s">
        <v>1105</v>
      </c>
      <c r="S270" s="1" t="s">
        <v>1196</v>
      </c>
      <c r="T270" s="1" t="s">
        <v>222</v>
      </c>
      <c r="U270" s="1" t="s">
        <v>223</v>
      </c>
    </row>
    <row r="271" customFormat="false" ht="48" hidden="false" customHeight="true" outlineLevel="0" collapsed="false">
      <c r="A271" s="1" t="s">
        <v>43</v>
      </c>
      <c r="B271" s="1" t="s">
        <v>212</v>
      </c>
      <c r="C271" s="1" t="s">
        <v>1100</v>
      </c>
      <c r="D271" s="1" t="s">
        <v>1101</v>
      </c>
      <c r="E271" s="1" t="n">
        <v>30</v>
      </c>
      <c r="F271" s="1" t="s">
        <v>1197</v>
      </c>
      <c r="G271" s="1" t="s">
        <v>979</v>
      </c>
      <c r="H271" s="1" t="s">
        <v>1198</v>
      </c>
      <c r="I271" s="1" t="s">
        <v>218</v>
      </c>
      <c r="J271" s="1" t="s">
        <v>689</v>
      </c>
      <c r="K271" s="1" t="n">
        <v>55.99</v>
      </c>
      <c r="L271" s="1" t="n">
        <v>4.4</v>
      </c>
      <c r="M271" s="1" t="n">
        <v>1100</v>
      </c>
      <c r="N271" s="4" t="b">
        <f aca="false">FALSE()</f>
        <v>0</v>
      </c>
      <c r="O271" s="1" t="s">
        <v>1199</v>
      </c>
      <c r="P271" s="4" t="b">
        <f aca="false">TRUE()</f>
        <v>1</v>
      </c>
      <c r="R271" s="1" t="s">
        <v>1105</v>
      </c>
      <c r="S271" s="1" t="s">
        <v>1200</v>
      </c>
      <c r="T271" s="1" t="s">
        <v>222</v>
      </c>
      <c r="U271" s="1" t="s">
        <v>223</v>
      </c>
    </row>
    <row r="272" customFormat="false" ht="48" hidden="false" customHeight="true" outlineLevel="0" collapsed="false">
      <c r="A272" s="1" t="s">
        <v>43</v>
      </c>
      <c r="B272" s="1" t="s">
        <v>212</v>
      </c>
      <c r="C272" s="1" t="s">
        <v>1100</v>
      </c>
      <c r="D272" s="1" t="s">
        <v>1101</v>
      </c>
      <c r="E272" s="1" t="n">
        <v>31</v>
      </c>
      <c r="F272" s="1" t="s">
        <v>1201</v>
      </c>
      <c r="G272" s="1" t="s">
        <v>677</v>
      </c>
      <c r="H272" s="1" t="s">
        <v>1202</v>
      </c>
      <c r="I272" s="1" t="s">
        <v>218</v>
      </c>
      <c r="J272" s="1" t="s">
        <v>597</v>
      </c>
      <c r="K272" s="1" t="n">
        <v>67.99</v>
      </c>
      <c r="L272" s="1" t="n">
        <v>4.3</v>
      </c>
      <c r="M272" s="1" t="n">
        <v>2200</v>
      </c>
      <c r="N272" s="4" t="b">
        <f aca="false">FALSE()</f>
        <v>0</v>
      </c>
      <c r="O272" s="1" t="s">
        <v>1203</v>
      </c>
      <c r="P272" s="4" t="b">
        <f aca="false">TRUE()</f>
        <v>1</v>
      </c>
      <c r="Q272" s="1" t="s">
        <v>251</v>
      </c>
      <c r="R272" s="1" t="s">
        <v>1105</v>
      </c>
      <c r="S272" s="1" t="s">
        <v>1204</v>
      </c>
      <c r="T272" s="1" t="s">
        <v>222</v>
      </c>
      <c r="U272" s="1" t="s">
        <v>223</v>
      </c>
    </row>
    <row r="273" customFormat="false" ht="48" hidden="false" customHeight="true" outlineLevel="0" collapsed="false">
      <c r="A273" s="1" t="s">
        <v>43</v>
      </c>
      <c r="B273" s="1" t="s">
        <v>212</v>
      </c>
      <c r="C273" s="1" t="s">
        <v>1100</v>
      </c>
      <c r="D273" s="1" t="s">
        <v>1101</v>
      </c>
      <c r="E273" s="1" t="n">
        <v>32</v>
      </c>
      <c r="F273" s="1" t="s">
        <v>1205</v>
      </c>
      <c r="G273" s="1" t="s">
        <v>236</v>
      </c>
      <c r="H273" s="1" t="s">
        <v>1206</v>
      </c>
      <c r="I273" s="1" t="s">
        <v>299</v>
      </c>
      <c r="J273" s="1" t="s">
        <v>1104</v>
      </c>
      <c r="L273" s="1" t="n">
        <v>4.3</v>
      </c>
      <c r="M273" s="1" t="n">
        <v>1000</v>
      </c>
      <c r="N273" s="4" t="b">
        <f aca="false">FALSE()</f>
        <v>0</v>
      </c>
      <c r="P273" s="4" t="b">
        <f aca="false">TRUE()</f>
        <v>1</v>
      </c>
      <c r="R273" s="1" t="s">
        <v>1105</v>
      </c>
      <c r="S273" s="1" t="s">
        <v>1207</v>
      </c>
      <c r="T273" s="1" t="s">
        <v>222</v>
      </c>
      <c r="U273" s="1" t="s">
        <v>223</v>
      </c>
    </row>
    <row r="274" customFormat="false" ht="48" hidden="false" customHeight="true" outlineLevel="0" collapsed="false">
      <c r="A274" s="1" t="s">
        <v>43</v>
      </c>
      <c r="B274" s="1" t="s">
        <v>212</v>
      </c>
      <c r="C274" s="1" t="s">
        <v>1100</v>
      </c>
      <c r="D274" s="1" t="s">
        <v>1101</v>
      </c>
      <c r="E274" s="1" t="n">
        <v>33</v>
      </c>
      <c r="F274" s="1" t="s">
        <v>1208</v>
      </c>
      <c r="G274" s="1" t="s">
        <v>1133</v>
      </c>
      <c r="H274" s="1" t="s">
        <v>1209</v>
      </c>
      <c r="I274" s="1" t="s">
        <v>231</v>
      </c>
      <c r="J274" s="1" t="s">
        <v>1104</v>
      </c>
      <c r="K274" s="1" t="n">
        <v>122.4</v>
      </c>
      <c r="L274" s="1" t="n">
        <v>4.1</v>
      </c>
      <c r="M274" s="1" t="n">
        <v>178</v>
      </c>
      <c r="N274" s="4" t="b">
        <f aca="false">FALSE()</f>
        <v>0</v>
      </c>
      <c r="P274" s="4" t="b">
        <f aca="false">TRUE()</f>
        <v>1</v>
      </c>
      <c r="R274" s="1" t="s">
        <v>1105</v>
      </c>
      <c r="S274" s="1" t="s">
        <v>1210</v>
      </c>
      <c r="T274" s="1" t="s">
        <v>222</v>
      </c>
      <c r="U274" s="1" t="s">
        <v>223</v>
      </c>
    </row>
    <row r="275" customFormat="false" ht="48" hidden="false" customHeight="true" outlineLevel="0" collapsed="false">
      <c r="A275" s="1" t="s">
        <v>43</v>
      </c>
      <c r="B275" s="1" t="s">
        <v>212</v>
      </c>
      <c r="C275" s="1" t="s">
        <v>1100</v>
      </c>
      <c r="D275" s="1" t="s">
        <v>1101</v>
      </c>
      <c r="E275" s="1" t="n">
        <v>34</v>
      </c>
      <c r="F275" s="1" t="s">
        <v>1211</v>
      </c>
      <c r="G275" s="1" t="s">
        <v>236</v>
      </c>
      <c r="H275" s="1" t="s">
        <v>1212</v>
      </c>
      <c r="I275" s="1" t="s">
        <v>289</v>
      </c>
      <c r="J275" s="1" t="s">
        <v>1104</v>
      </c>
      <c r="K275" s="1" t="n">
        <v>83.67</v>
      </c>
      <c r="L275" s="1" t="n">
        <v>4.7</v>
      </c>
      <c r="M275" s="1" t="n">
        <v>17</v>
      </c>
      <c r="N275" s="4" t="b">
        <f aca="false">FALSE()</f>
        <v>0</v>
      </c>
      <c r="P275" s="4" t="b">
        <f aca="false">TRUE()</f>
        <v>1</v>
      </c>
      <c r="R275" s="1" t="s">
        <v>1105</v>
      </c>
      <c r="S275" s="1" t="s">
        <v>1213</v>
      </c>
      <c r="T275" s="1" t="s">
        <v>222</v>
      </c>
      <c r="U275" s="1" t="s">
        <v>223</v>
      </c>
    </row>
    <row r="276" customFormat="false" ht="48" hidden="false" customHeight="true" outlineLevel="0" collapsed="false">
      <c r="A276" s="1" t="s">
        <v>43</v>
      </c>
      <c r="B276" s="1" t="s">
        <v>212</v>
      </c>
      <c r="C276" s="1" t="s">
        <v>1100</v>
      </c>
      <c r="D276" s="1" t="s">
        <v>1101</v>
      </c>
      <c r="E276" s="1" t="n">
        <v>35</v>
      </c>
      <c r="F276" s="1" t="s">
        <v>1214</v>
      </c>
      <c r="G276" s="1" t="s">
        <v>236</v>
      </c>
      <c r="H276" s="1" t="s">
        <v>1215</v>
      </c>
      <c r="I276" s="1" t="s">
        <v>231</v>
      </c>
      <c r="J276" s="1" t="s">
        <v>1104</v>
      </c>
      <c r="K276" s="1" t="n">
        <v>129.99</v>
      </c>
      <c r="L276" s="1" t="n">
        <v>4.5</v>
      </c>
      <c r="M276" s="1" t="n">
        <v>186</v>
      </c>
      <c r="N276" s="4" t="b">
        <f aca="false">FALSE()</f>
        <v>0</v>
      </c>
      <c r="P276" s="4" t="b">
        <f aca="false">TRUE()</f>
        <v>1</v>
      </c>
      <c r="R276" s="1" t="s">
        <v>1105</v>
      </c>
      <c r="S276" s="1" t="s">
        <v>1216</v>
      </c>
      <c r="T276" s="1" t="s">
        <v>222</v>
      </c>
      <c r="U276" s="1" t="s">
        <v>223</v>
      </c>
    </row>
    <row r="277" customFormat="false" ht="48" hidden="false" customHeight="true" outlineLevel="0" collapsed="false">
      <c r="A277" s="1" t="s">
        <v>43</v>
      </c>
      <c r="B277" s="1" t="s">
        <v>212</v>
      </c>
      <c r="C277" s="1" t="s">
        <v>1100</v>
      </c>
      <c r="D277" s="1" t="s">
        <v>1101</v>
      </c>
      <c r="E277" s="1" t="n">
        <v>36</v>
      </c>
      <c r="F277" s="1" t="s">
        <v>1217</v>
      </c>
      <c r="G277" s="1" t="s">
        <v>236</v>
      </c>
      <c r="H277" s="1" t="s">
        <v>1218</v>
      </c>
      <c r="I277" s="1" t="s">
        <v>218</v>
      </c>
      <c r="J277" s="1" t="s">
        <v>1104</v>
      </c>
      <c r="K277" s="1" t="n">
        <v>113.94</v>
      </c>
      <c r="L277" s="1" t="n">
        <v>4.6</v>
      </c>
      <c r="M277" s="1" t="n">
        <v>18</v>
      </c>
      <c r="N277" s="4" t="b">
        <f aca="false">FALSE()</f>
        <v>0</v>
      </c>
      <c r="P277" s="4" t="b">
        <f aca="false">TRUE()</f>
        <v>1</v>
      </c>
      <c r="R277" s="1" t="s">
        <v>1105</v>
      </c>
      <c r="S277" s="1" t="s">
        <v>1219</v>
      </c>
      <c r="T277" s="1" t="s">
        <v>222</v>
      </c>
      <c r="U277" s="1" t="s">
        <v>223</v>
      </c>
    </row>
    <row r="278" customFormat="false" ht="48" hidden="false" customHeight="true" outlineLevel="0" collapsed="false">
      <c r="A278" s="1" t="s">
        <v>43</v>
      </c>
      <c r="B278" s="1" t="s">
        <v>212</v>
      </c>
      <c r="C278" s="1" t="s">
        <v>1100</v>
      </c>
      <c r="D278" s="1" t="s">
        <v>1101</v>
      </c>
      <c r="E278" s="1" t="n">
        <v>37</v>
      </c>
      <c r="F278" s="1" t="s">
        <v>1220</v>
      </c>
      <c r="G278" s="1" t="s">
        <v>236</v>
      </c>
      <c r="H278" s="1" t="s">
        <v>1221</v>
      </c>
      <c r="I278" s="1" t="s">
        <v>218</v>
      </c>
      <c r="J278" s="1" t="s">
        <v>597</v>
      </c>
      <c r="K278" s="1" t="n">
        <v>114.99</v>
      </c>
      <c r="L278" s="1" t="n">
        <v>4.4</v>
      </c>
      <c r="M278" s="1" t="n">
        <v>14500</v>
      </c>
      <c r="N278" s="4" t="b">
        <f aca="false">FALSE()</f>
        <v>0</v>
      </c>
      <c r="O278" s="1" t="s">
        <v>1222</v>
      </c>
      <c r="P278" s="4" t="b">
        <f aca="false">TRUE()</f>
        <v>1</v>
      </c>
      <c r="Q278" s="1" t="s">
        <v>233</v>
      </c>
      <c r="R278" s="1" t="s">
        <v>1105</v>
      </c>
      <c r="S278" s="1" t="s">
        <v>1223</v>
      </c>
      <c r="T278" s="1" t="s">
        <v>222</v>
      </c>
      <c r="U278" s="1" t="s">
        <v>223</v>
      </c>
    </row>
    <row r="279" customFormat="false" ht="48" hidden="false" customHeight="true" outlineLevel="0" collapsed="false">
      <c r="A279" s="1" t="s">
        <v>43</v>
      </c>
      <c r="B279" s="1" t="s">
        <v>212</v>
      </c>
      <c r="C279" s="1" t="s">
        <v>1100</v>
      </c>
      <c r="D279" s="1" t="s">
        <v>1101</v>
      </c>
      <c r="E279" s="1" t="n">
        <v>38</v>
      </c>
      <c r="F279" s="1" t="s">
        <v>1224</v>
      </c>
      <c r="G279" s="1" t="s">
        <v>677</v>
      </c>
      <c r="H279" s="1" t="s">
        <v>1225</v>
      </c>
      <c r="I279" s="1" t="s">
        <v>218</v>
      </c>
      <c r="J279" s="1" t="s">
        <v>597</v>
      </c>
      <c r="K279" s="1" t="n">
        <v>75.99</v>
      </c>
      <c r="L279" s="1" t="n">
        <v>4.4</v>
      </c>
      <c r="M279" s="1" t="n">
        <v>71200</v>
      </c>
      <c r="N279" s="4" t="b">
        <f aca="false">FALSE()</f>
        <v>0</v>
      </c>
      <c r="P279" s="4" t="b">
        <f aca="false">TRUE()</f>
        <v>1</v>
      </c>
      <c r="Q279" s="1" t="s">
        <v>251</v>
      </c>
      <c r="R279" s="1" t="s">
        <v>1105</v>
      </c>
      <c r="S279" s="1" t="s">
        <v>1226</v>
      </c>
      <c r="T279" s="1" t="s">
        <v>222</v>
      </c>
      <c r="U279" s="1" t="s">
        <v>223</v>
      </c>
    </row>
    <row r="280" customFormat="false" ht="48" hidden="false" customHeight="true" outlineLevel="0" collapsed="false">
      <c r="A280" s="1" t="s">
        <v>43</v>
      </c>
      <c r="B280" s="1" t="s">
        <v>212</v>
      </c>
      <c r="C280" s="1" t="s">
        <v>1100</v>
      </c>
      <c r="D280" s="1" t="s">
        <v>1101</v>
      </c>
      <c r="E280" s="1" t="n">
        <v>39</v>
      </c>
      <c r="F280" s="1" t="s">
        <v>1227</v>
      </c>
      <c r="G280" s="1" t="s">
        <v>236</v>
      </c>
      <c r="H280" s="1" t="s">
        <v>1228</v>
      </c>
      <c r="I280" s="1" t="s">
        <v>218</v>
      </c>
      <c r="J280" s="1" t="s">
        <v>1104</v>
      </c>
      <c r="K280" s="1" t="n">
        <v>74.99</v>
      </c>
      <c r="L280" s="1" t="n">
        <v>4.1</v>
      </c>
      <c r="M280" s="1" t="n">
        <v>65</v>
      </c>
      <c r="N280" s="4" t="b">
        <f aca="false">FALSE()</f>
        <v>0</v>
      </c>
      <c r="P280" s="4" t="b">
        <f aca="false">TRUE()</f>
        <v>1</v>
      </c>
      <c r="R280" s="1" t="s">
        <v>1105</v>
      </c>
      <c r="S280" s="1" t="s">
        <v>1229</v>
      </c>
      <c r="T280" s="1" t="s">
        <v>222</v>
      </c>
      <c r="U280" s="1" t="s">
        <v>223</v>
      </c>
    </row>
    <row r="281" customFormat="false" ht="48" hidden="false" customHeight="true" outlineLevel="0" collapsed="false">
      <c r="A281" s="1" t="s">
        <v>43</v>
      </c>
      <c r="B281" s="1" t="s">
        <v>212</v>
      </c>
      <c r="C281" s="1" t="s">
        <v>1100</v>
      </c>
      <c r="D281" s="1" t="s">
        <v>1101</v>
      </c>
      <c r="E281" s="1" t="n">
        <v>40</v>
      </c>
      <c r="F281" s="1" t="s">
        <v>1230</v>
      </c>
      <c r="G281" s="1" t="s">
        <v>236</v>
      </c>
      <c r="H281" s="1" t="s">
        <v>1231</v>
      </c>
      <c r="I281" s="1" t="s">
        <v>306</v>
      </c>
      <c r="J281" s="1" t="s">
        <v>310</v>
      </c>
      <c r="K281" s="1" t="n">
        <v>134.99</v>
      </c>
      <c r="L281" s="1" t="n">
        <v>3.7</v>
      </c>
      <c r="M281" s="1" t="n">
        <v>4100</v>
      </c>
      <c r="N281" s="4" t="b">
        <f aca="false">FALSE()</f>
        <v>0</v>
      </c>
      <c r="P281" s="4" t="b">
        <f aca="false">TRUE()</f>
        <v>1</v>
      </c>
      <c r="R281" s="1" t="s">
        <v>1105</v>
      </c>
      <c r="S281" s="1" t="s">
        <v>1232</v>
      </c>
      <c r="T281" s="1" t="s">
        <v>222</v>
      </c>
      <c r="U281" s="1" t="s">
        <v>223</v>
      </c>
    </row>
    <row r="282" customFormat="false" ht="48" hidden="false" customHeight="true" outlineLevel="0" collapsed="false">
      <c r="A282" s="1" t="s">
        <v>43</v>
      </c>
      <c r="B282" s="1" t="s">
        <v>212</v>
      </c>
      <c r="C282" s="1" t="s">
        <v>1100</v>
      </c>
      <c r="D282" s="1" t="s">
        <v>1101</v>
      </c>
      <c r="E282" s="1" t="n">
        <v>41</v>
      </c>
      <c r="F282" s="1" t="s">
        <v>1233</v>
      </c>
      <c r="G282" s="1" t="s">
        <v>934</v>
      </c>
      <c r="H282" s="1" t="s">
        <v>1234</v>
      </c>
      <c r="I282" s="1" t="s">
        <v>289</v>
      </c>
      <c r="J282" s="1" t="s">
        <v>1104</v>
      </c>
      <c r="K282" s="1" t="n">
        <v>70.79</v>
      </c>
      <c r="L282" s="1" t="n">
        <v>3.6</v>
      </c>
      <c r="M282" s="1" t="n">
        <v>26</v>
      </c>
      <c r="N282" s="4" t="b">
        <f aca="false">FALSE()</f>
        <v>0</v>
      </c>
      <c r="P282" s="4" t="b">
        <f aca="false">TRUE()</f>
        <v>1</v>
      </c>
      <c r="R282" s="1" t="s">
        <v>1105</v>
      </c>
      <c r="S282" s="1" t="s">
        <v>1235</v>
      </c>
      <c r="T282" s="1" t="s">
        <v>222</v>
      </c>
      <c r="U282" s="1" t="s">
        <v>223</v>
      </c>
    </row>
    <row r="283" customFormat="false" ht="48" hidden="false" customHeight="true" outlineLevel="0" collapsed="false">
      <c r="A283" s="1" t="s">
        <v>43</v>
      </c>
      <c r="B283" s="1" t="s">
        <v>212</v>
      </c>
      <c r="C283" s="1" t="s">
        <v>1100</v>
      </c>
      <c r="D283" s="1" t="s">
        <v>1101</v>
      </c>
      <c r="E283" s="1" t="n">
        <v>42</v>
      </c>
      <c r="F283" s="1" t="s">
        <v>1236</v>
      </c>
      <c r="G283" s="1" t="s">
        <v>236</v>
      </c>
      <c r="H283" s="1" t="s">
        <v>246</v>
      </c>
      <c r="I283" s="1" t="s">
        <v>218</v>
      </c>
      <c r="J283" s="1" t="s">
        <v>219</v>
      </c>
      <c r="K283" s="1" t="n">
        <v>85.99</v>
      </c>
      <c r="L283" s="1" t="n">
        <v>4.4</v>
      </c>
      <c r="M283" s="1" t="n">
        <v>827</v>
      </c>
      <c r="N283" s="4" t="b">
        <f aca="false">FALSE()</f>
        <v>0</v>
      </c>
      <c r="O283" s="1" t="s">
        <v>247</v>
      </c>
      <c r="P283" s="4" t="b">
        <f aca="false">TRUE()</f>
        <v>1</v>
      </c>
      <c r="R283" s="1" t="s">
        <v>1105</v>
      </c>
      <c r="S283" s="1" t="s">
        <v>1237</v>
      </c>
      <c r="T283" s="1" t="s">
        <v>222</v>
      </c>
      <c r="U283" s="1" t="s">
        <v>223</v>
      </c>
    </row>
    <row r="284" customFormat="false" ht="48" hidden="false" customHeight="true" outlineLevel="0" collapsed="false">
      <c r="A284" s="1" t="s">
        <v>43</v>
      </c>
      <c r="B284" s="1" t="s">
        <v>212</v>
      </c>
      <c r="C284" s="1" t="s">
        <v>1100</v>
      </c>
      <c r="D284" s="1" t="s">
        <v>1101</v>
      </c>
      <c r="E284" s="1" t="n">
        <v>43</v>
      </c>
      <c r="F284" s="1" t="s">
        <v>1238</v>
      </c>
      <c r="G284" s="1" t="s">
        <v>236</v>
      </c>
      <c r="H284" s="1" t="s">
        <v>1239</v>
      </c>
      <c r="I284" s="1" t="s">
        <v>218</v>
      </c>
      <c r="J284" s="1" t="s">
        <v>1104</v>
      </c>
      <c r="K284" s="1" t="n">
        <v>248.23</v>
      </c>
      <c r="L284" s="1" t="n">
        <v>4.4</v>
      </c>
      <c r="M284" s="1" t="n">
        <v>147</v>
      </c>
      <c r="N284" s="4" t="b">
        <f aca="false">FALSE()</f>
        <v>0</v>
      </c>
      <c r="P284" s="4" t="b">
        <f aca="false">TRUE()</f>
        <v>1</v>
      </c>
      <c r="R284" s="1" t="s">
        <v>1105</v>
      </c>
      <c r="S284" s="1" t="s">
        <v>1240</v>
      </c>
      <c r="T284" s="1" t="s">
        <v>222</v>
      </c>
      <c r="U284" s="1" t="s">
        <v>223</v>
      </c>
    </row>
    <row r="285" customFormat="false" ht="48" hidden="false" customHeight="true" outlineLevel="0" collapsed="false">
      <c r="A285" s="1" t="s">
        <v>43</v>
      </c>
      <c r="B285" s="1" t="s">
        <v>212</v>
      </c>
      <c r="C285" s="1" t="s">
        <v>1100</v>
      </c>
      <c r="D285" s="1" t="s">
        <v>1101</v>
      </c>
      <c r="E285" s="1" t="n">
        <v>44</v>
      </c>
      <c r="F285" s="1" t="s">
        <v>1241</v>
      </c>
      <c r="G285" s="1" t="s">
        <v>1242</v>
      </c>
      <c r="H285" s="1" t="s">
        <v>1243</v>
      </c>
      <c r="I285" s="1" t="s">
        <v>231</v>
      </c>
      <c r="J285" s="1" t="s">
        <v>1104</v>
      </c>
      <c r="K285" s="1" t="n">
        <v>376.53</v>
      </c>
      <c r="L285" s="1" t="n">
        <v>4</v>
      </c>
      <c r="M285" s="1" t="n">
        <v>215</v>
      </c>
      <c r="N285" s="4" t="b">
        <f aca="false">FALSE()</f>
        <v>0</v>
      </c>
      <c r="O285" s="1" t="s">
        <v>1244</v>
      </c>
      <c r="P285" s="4" t="b">
        <f aca="false">TRUE()</f>
        <v>1</v>
      </c>
      <c r="R285" s="1" t="s">
        <v>1105</v>
      </c>
      <c r="S285" s="1" t="s">
        <v>1245</v>
      </c>
      <c r="T285" s="1" t="s">
        <v>222</v>
      </c>
      <c r="U285" s="1" t="s">
        <v>223</v>
      </c>
    </row>
    <row r="286" customFormat="false" ht="48" hidden="false" customHeight="true" outlineLevel="0" collapsed="false">
      <c r="A286" s="1" t="s">
        <v>43</v>
      </c>
      <c r="B286" s="1" t="s">
        <v>212</v>
      </c>
      <c r="C286" s="1" t="s">
        <v>1100</v>
      </c>
      <c r="D286" s="1" t="s">
        <v>1101</v>
      </c>
      <c r="E286" s="1" t="n">
        <v>45</v>
      </c>
      <c r="F286" s="1" t="s">
        <v>1246</v>
      </c>
      <c r="G286" s="1" t="s">
        <v>1133</v>
      </c>
      <c r="H286" s="1" t="s">
        <v>1247</v>
      </c>
      <c r="I286" s="1" t="s">
        <v>231</v>
      </c>
      <c r="J286" s="1" t="s">
        <v>1104</v>
      </c>
      <c r="K286" s="1" t="n">
        <v>126.99</v>
      </c>
      <c r="L286" s="1" t="n">
        <v>3.6</v>
      </c>
      <c r="M286" s="1" t="n">
        <v>3</v>
      </c>
      <c r="N286" s="4" t="b">
        <f aca="false">FALSE()</f>
        <v>0</v>
      </c>
      <c r="P286" s="4" t="b">
        <f aca="false">TRUE()</f>
        <v>1</v>
      </c>
      <c r="R286" s="1" t="s">
        <v>1105</v>
      </c>
      <c r="S286" s="1" t="s">
        <v>1248</v>
      </c>
      <c r="T286" s="1" t="s">
        <v>222</v>
      </c>
      <c r="U286" s="1" t="s">
        <v>223</v>
      </c>
    </row>
    <row r="287" customFormat="false" ht="48" hidden="false" customHeight="true" outlineLevel="0" collapsed="false">
      <c r="A287" s="1" t="s">
        <v>43</v>
      </c>
      <c r="B287" s="1" t="s">
        <v>212</v>
      </c>
      <c r="C287" s="1" t="s">
        <v>1100</v>
      </c>
      <c r="D287" s="1" t="s">
        <v>1101</v>
      </c>
      <c r="E287" s="1" t="n">
        <v>46</v>
      </c>
      <c r="F287" s="1" t="s">
        <v>1249</v>
      </c>
      <c r="G287" s="1" t="s">
        <v>236</v>
      </c>
      <c r="H287" s="1" t="s">
        <v>1250</v>
      </c>
      <c r="I287" s="1" t="s">
        <v>218</v>
      </c>
      <c r="J287" s="1" t="s">
        <v>1104</v>
      </c>
      <c r="K287" s="1" t="n">
        <v>122.51</v>
      </c>
      <c r="L287" s="1" t="n">
        <v>4.2</v>
      </c>
      <c r="M287" s="1" t="n">
        <v>61</v>
      </c>
      <c r="N287" s="4" t="b">
        <f aca="false">FALSE()</f>
        <v>0</v>
      </c>
      <c r="O287" s="1" t="s">
        <v>1251</v>
      </c>
      <c r="P287" s="4" t="b">
        <f aca="false">TRUE()</f>
        <v>1</v>
      </c>
      <c r="R287" s="1" t="s">
        <v>1105</v>
      </c>
      <c r="S287" s="1" t="s">
        <v>1252</v>
      </c>
      <c r="T287" s="1" t="s">
        <v>222</v>
      </c>
      <c r="U287" s="1" t="s">
        <v>223</v>
      </c>
    </row>
    <row r="288" customFormat="false" ht="48" hidden="false" customHeight="true" outlineLevel="0" collapsed="false">
      <c r="A288" s="1" t="s">
        <v>43</v>
      </c>
      <c r="B288" s="1" t="s">
        <v>212</v>
      </c>
      <c r="C288" s="1" t="s">
        <v>1100</v>
      </c>
      <c r="D288" s="1" t="s">
        <v>1101</v>
      </c>
      <c r="E288" s="1" t="n">
        <v>47</v>
      </c>
      <c r="F288" s="1" t="s">
        <v>1253</v>
      </c>
      <c r="G288" s="1" t="s">
        <v>236</v>
      </c>
      <c r="H288" s="1" t="s">
        <v>1254</v>
      </c>
      <c r="I288" s="1" t="s">
        <v>218</v>
      </c>
      <c r="J288" s="1" t="s">
        <v>1104</v>
      </c>
      <c r="K288" s="1" t="n">
        <v>101.49</v>
      </c>
      <c r="N288" s="4" t="b">
        <f aca="false">FALSE()</f>
        <v>0</v>
      </c>
      <c r="P288" s="4" t="b">
        <f aca="false">TRUE()</f>
        <v>1</v>
      </c>
      <c r="R288" s="1" t="s">
        <v>1105</v>
      </c>
      <c r="S288" s="1" t="s">
        <v>1255</v>
      </c>
      <c r="T288" s="1" t="s">
        <v>222</v>
      </c>
      <c r="U288" s="1" t="s">
        <v>223</v>
      </c>
    </row>
    <row r="289" customFormat="false" ht="48" hidden="false" customHeight="true" outlineLevel="0" collapsed="false">
      <c r="A289" s="1" t="s">
        <v>43</v>
      </c>
      <c r="B289" s="1" t="s">
        <v>212</v>
      </c>
      <c r="C289" s="1" t="s">
        <v>1100</v>
      </c>
      <c r="D289" s="1" t="s">
        <v>1101</v>
      </c>
      <c r="E289" s="1" t="n">
        <v>48</v>
      </c>
      <c r="F289" s="1" t="s">
        <v>1256</v>
      </c>
      <c r="G289" s="1" t="s">
        <v>236</v>
      </c>
      <c r="H289" s="1" t="s">
        <v>1257</v>
      </c>
      <c r="I289" s="1" t="s">
        <v>306</v>
      </c>
      <c r="J289" s="1" t="s">
        <v>310</v>
      </c>
      <c r="K289" s="1" t="n">
        <v>90.98</v>
      </c>
      <c r="L289" s="1" t="n">
        <v>4.2</v>
      </c>
      <c r="M289" s="1" t="n">
        <v>43</v>
      </c>
      <c r="N289" s="4" t="b">
        <f aca="false">FALSE()</f>
        <v>0</v>
      </c>
      <c r="P289" s="4" t="b">
        <f aca="false">TRUE()</f>
        <v>1</v>
      </c>
      <c r="R289" s="1" t="s">
        <v>1105</v>
      </c>
      <c r="S289" s="1" t="s">
        <v>1258</v>
      </c>
      <c r="T289" s="1" t="s">
        <v>222</v>
      </c>
      <c r="U289" s="1" t="s">
        <v>223</v>
      </c>
    </row>
    <row r="290" customFormat="false" ht="48" hidden="false" customHeight="true" outlineLevel="0" collapsed="false">
      <c r="A290" s="1" t="s">
        <v>43</v>
      </c>
      <c r="B290" s="1" t="s">
        <v>212</v>
      </c>
      <c r="C290" s="1" t="s">
        <v>75</v>
      </c>
      <c r="D290" s="1" t="s">
        <v>1259</v>
      </c>
      <c r="E290" s="1" t="n">
        <v>1</v>
      </c>
      <c r="F290" s="1" t="s">
        <v>1260</v>
      </c>
      <c r="G290" s="1" t="s">
        <v>1261</v>
      </c>
      <c r="H290" s="1" t="s">
        <v>1262</v>
      </c>
      <c r="I290" s="1" t="s">
        <v>218</v>
      </c>
      <c r="J290" s="1" t="s">
        <v>597</v>
      </c>
      <c r="K290" s="1" t="n">
        <v>22.99</v>
      </c>
      <c r="L290" s="1" t="n">
        <v>4.4</v>
      </c>
      <c r="M290" s="1" t="n">
        <v>1700</v>
      </c>
      <c r="N290" s="4" t="b">
        <f aca="false">FALSE()</f>
        <v>0</v>
      </c>
      <c r="P290" s="4" t="b">
        <f aca="false">TRUE()</f>
        <v>1</v>
      </c>
      <c r="Q290" s="1" t="s">
        <v>451</v>
      </c>
      <c r="R290" s="1" t="s">
        <v>1263</v>
      </c>
      <c r="S290" s="1" t="s">
        <v>1264</v>
      </c>
      <c r="T290" s="1" t="s">
        <v>222</v>
      </c>
      <c r="U290" s="1" t="s">
        <v>223</v>
      </c>
    </row>
    <row r="291" customFormat="false" ht="48" hidden="false" customHeight="true" outlineLevel="0" collapsed="false">
      <c r="A291" s="1" t="s">
        <v>43</v>
      </c>
      <c r="B291" s="1" t="s">
        <v>212</v>
      </c>
      <c r="C291" s="1" t="s">
        <v>75</v>
      </c>
      <c r="D291" s="1" t="s">
        <v>1259</v>
      </c>
      <c r="E291" s="1" t="n">
        <v>2</v>
      </c>
      <c r="F291" s="1" t="s">
        <v>1265</v>
      </c>
      <c r="G291" s="1" t="s">
        <v>567</v>
      </c>
      <c r="H291" s="1" t="s">
        <v>1266</v>
      </c>
      <c r="I291" s="1" t="s">
        <v>1267</v>
      </c>
      <c r="J291" s="1" t="s">
        <v>597</v>
      </c>
      <c r="K291" s="1" t="n">
        <v>24.98</v>
      </c>
      <c r="L291" s="1" t="n">
        <v>4.4</v>
      </c>
      <c r="M291" s="1" t="n">
        <v>28000</v>
      </c>
      <c r="N291" s="4" t="b">
        <f aca="false">FALSE()</f>
        <v>0</v>
      </c>
      <c r="P291" s="4" t="b">
        <f aca="false">TRUE()</f>
        <v>1</v>
      </c>
      <c r="Q291" s="1" t="s">
        <v>435</v>
      </c>
      <c r="R291" s="1" t="s">
        <v>1263</v>
      </c>
      <c r="S291" s="1" t="s">
        <v>1268</v>
      </c>
      <c r="T291" s="1" t="s">
        <v>222</v>
      </c>
      <c r="U291" s="1" t="s">
        <v>223</v>
      </c>
    </row>
    <row r="292" customFormat="false" ht="48" hidden="false" customHeight="true" outlineLevel="0" collapsed="false">
      <c r="A292" s="1" t="s">
        <v>43</v>
      </c>
      <c r="B292" s="1" t="s">
        <v>212</v>
      </c>
      <c r="C292" s="1" t="s">
        <v>75</v>
      </c>
      <c r="D292" s="1" t="s">
        <v>1259</v>
      </c>
      <c r="E292" s="1" t="n">
        <v>3</v>
      </c>
      <c r="F292" s="1" t="s">
        <v>1269</v>
      </c>
      <c r="G292" s="1" t="s">
        <v>1261</v>
      </c>
      <c r="H292" s="1" t="s">
        <v>1270</v>
      </c>
      <c r="I292" s="1" t="s">
        <v>1267</v>
      </c>
      <c r="J292" s="1" t="s">
        <v>597</v>
      </c>
      <c r="K292" s="1" t="n">
        <v>18.99</v>
      </c>
      <c r="L292" s="1" t="n">
        <v>4.4</v>
      </c>
      <c r="M292" s="1" t="n">
        <v>1700</v>
      </c>
      <c r="N292" s="4" t="b">
        <f aca="false">FALSE()</f>
        <v>0</v>
      </c>
      <c r="P292" s="4" t="b">
        <f aca="false">TRUE()</f>
        <v>1</v>
      </c>
      <c r="Q292" s="1" t="s">
        <v>233</v>
      </c>
      <c r="R292" s="1" t="s">
        <v>1263</v>
      </c>
      <c r="S292" s="1" t="s">
        <v>1271</v>
      </c>
      <c r="T292" s="1" t="s">
        <v>222</v>
      </c>
      <c r="U292" s="1" t="s">
        <v>223</v>
      </c>
    </row>
    <row r="293" customFormat="false" ht="48" hidden="false" customHeight="true" outlineLevel="0" collapsed="false">
      <c r="A293" s="1" t="s">
        <v>43</v>
      </c>
      <c r="B293" s="1" t="s">
        <v>212</v>
      </c>
      <c r="C293" s="1" t="s">
        <v>75</v>
      </c>
      <c r="D293" s="1" t="s">
        <v>1259</v>
      </c>
      <c r="E293" s="1" t="n">
        <v>4</v>
      </c>
      <c r="F293" s="1" t="s">
        <v>1272</v>
      </c>
      <c r="G293" s="1" t="s">
        <v>677</v>
      </c>
      <c r="H293" s="1" t="s">
        <v>1273</v>
      </c>
      <c r="I293" s="1" t="s">
        <v>218</v>
      </c>
      <c r="J293" s="1" t="s">
        <v>597</v>
      </c>
      <c r="K293" s="1" t="n">
        <v>19.54</v>
      </c>
      <c r="L293" s="1" t="n">
        <v>4.4</v>
      </c>
      <c r="M293" s="1" t="n">
        <v>19800</v>
      </c>
      <c r="N293" s="4" t="b">
        <f aca="false">FALSE()</f>
        <v>0</v>
      </c>
      <c r="O293" s="1" t="s">
        <v>1274</v>
      </c>
      <c r="P293" s="4" t="b">
        <f aca="false">TRUE()</f>
        <v>1</v>
      </c>
      <c r="Q293" s="1" t="s">
        <v>233</v>
      </c>
      <c r="R293" s="1" t="s">
        <v>1263</v>
      </c>
      <c r="S293" s="1" t="s">
        <v>1275</v>
      </c>
      <c r="T293" s="1" t="s">
        <v>222</v>
      </c>
      <c r="U293" s="1" t="s">
        <v>223</v>
      </c>
    </row>
    <row r="294" customFormat="false" ht="48" hidden="false" customHeight="true" outlineLevel="0" collapsed="false">
      <c r="A294" s="1" t="s">
        <v>43</v>
      </c>
      <c r="B294" s="1" t="s">
        <v>212</v>
      </c>
      <c r="C294" s="1" t="s">
        <v>75</v>
      </c>
      <c r="D294" s="1" t="s">
        <v>1259</v>
      </c>
      <c r="E294" s="1" t="n">
        <v>5</v>
      </c>
      <c r="F294" s="1" t="s">
        <v>1276</v>
      </c>
      <c r="G294" s="1" t="s">
        <v>236</v>
      </c>
      <c r="H294" s="1" t="s">
        <v>1277</v>
      </c>
      <c r="I294" s="1" t="s">
        <v>1267</v>
      </c>
      <c r="J294" s="1" t="s">
        <v>597</v>
      </c>
      <c r="K294" s="1" t="n">
        <v>15.11</v>
      </c>
      <c r="L294" s="1" t="n">
        <v>4.6</v>
      </c>
      <c r="M294" s="1" t="n">
        <v>1300</v>
      </c>
      <c r="N294" s="4" t="b">
        <f aca="false">FALSE()</f>
        <v>0</v>
      </c>
      <c r="O294" s="1" t="s">
        <v>1278</v>
      </c>
      <c r="P294" s="4" t="b">
        <f aca="false">TRUE()</f>
        <v>1</v>
      </c>
      <c r="R294" s="1" t="s">
        <v>1263</v>
      </c>
      <c r="S294" s="1" t="s">
        <v>1279</v>
      </c>
      <c r="T294" s="1" t="s">
        <v>222</v>
      </c>
      <c r="U294" s="1" t="s">
        <v>223</v>
      </c>
    </row>
    <row r="295" customFormat="false" ht="48" hidden="false" customHeight="true" outlineLevel="0" collapsed="false">
      <c r="A295" s="1" t="s">
        <v>43</v>
      </c>
      <c r="B295" s="1" t="s">
        <v>212</v>
      </c>
      <c r="C295" s="1" t="s">
        <v>75</v>
      </c>
      <c r="D295" s="1" t="s">
        <v>1259</v>
      </c>
      <c r="E295" s="1" t="n">
        <v>6</v>
      </c>
      <c r="F295" s="1" t="s">
        <v>1280</v>
      </c>
      <c r="G295" s="1" t="s">
        <v>236</v>
      </c>
      <c r="H295" s="1" t="s">
        <v>1281</v>
      </c>
      <c r="I295" s="1" t="s">
        <v>218</v>
      </c>
      <c r="J295" s="1" t="s">
        <v>597</v>
      </c>
      <c r="K295" s="1" t="n">
        <v>17.77</v>
      </c>
      <c r="L295" s="1" t="n">
        <v>4</v>
      </c>
      <c r="M295" s="1" t="n">
        <v>158</v>
      </c>
      <c r="N295" s="4" t="b">
        <f aca="false">FALSE()</f>
        <v>0</v>
      </c>
      <c r="P295" s="4" t="b">
        <f aca="false">TRUE()</f>
        <v>1</v>
      </c>
      <c r="R295" s="1" t="s">
        <v>1263</v>
      </c>
      <c r="S295" s="1" t="s">
        <v>1282</v>
      </c>
      <c r="T295" s="1" t="s">
        <v>222</v>
      </c>
      <c r="U295" s="1" t="s">
        <v>223</v>
      </c>
    </row>
    <row r="296" customFormat="false" ht="48" hidden="false" customHeight="true" outlineLevel="0" collapsed="false">
      <c r="A296" s="1" t="s">
        <v>43</v>
      </c>
      <c r="B296" s="1" t="s">
        <v>212</v>
      </c>
      <c r="C296" s="1" t="s">
        <v>75</v>
      </c>
      <c r="D296" s="1" t="s">
        <v>1259</v>
      </c>
      <c r="E296" s="1" t="n">
        <v>7</v>
      </c>
      <c r="F296" s="1" t="s">
        <v>1283</v>
      </c>
      <c r="G296" s="1" t="s">
        <v>567</v>
      </c>
      <c r="H296" s="1" t="s">
        <v>1284</v>
      </c>
      <c r="I296" s="1" t="s">
        <v>218</v>
      </c>
      <c r="J296" s="1" t="s">
        <v>597</v>
      </c>
      <c r="K296" s="1" t="n">
        <v>17.53</v>
      </c>
      <c r="L296" s="1" t="n">
        <v>4.4</v>
      </c>
      <c r="M296" s="1" t="n">
        <v>16400</v>
      </c>
      <c r="N296" s="4" t="b">
        <f aca="false">FALSE()</f>
        <v>0</v>
      </c>
      <c r="P296" s="4" t="b">
        <f aca="false">TRUE()</f>
        <v>1</v>
      </c>
      <c r="Q296" s="1" t="s">
        <v>451</v>
      </c>
      <c r="R296" s="1" t="s">
        <v>1263</v>
      </c>
      <c r="S296" s="1" t="s">
        <v>1285</v>
      </c>
      <c r="T296" s="1" t="s">
        <v>222</v>
      </c>
      <c r="U296" s="1" t="s">
        <v>223</v>
      </c>
    </row>
    <row r="297" customFormat="false" ht="48" hidden="false" customHeight="true" outlineLevel="0" collapsed="false">
      <c r="A297" s="1" t="s">
        <v>43</v>
      </c>
      <c r="B297" s="1" t="s">
        <v>212</v>
      </c>
      <c r="C297" s="1" t="s">
        <v>75</v>
      </c>
      <c r="D297" s="1" t="s">
        <v>1259</v>
      </c>
      <c r="E297" s="1" t="n">
        <v>8</v>
      </c>
      <c r="F297" s="1" t="s">
        <v>1286</v>
      </c>
      <c r="G297" s="1" t="s">
        <v>567</v>
      </c>
      <c r="H297" s="1" t="s">
        <v>1287</v>
      </c>
      <c r="I297" s="1" t="s">
        <v>1267</v>
      </c>
      <c r="J297" s="1" t="s">
        <v>597</v>
      </c>
      <c r="K297" s="1" t="n">
        <v>24.72</v>
      </c>
      <c r="L297" s="1" t="n">
        <v>4.4</v>
      </c>
      <c r="M297" s="1" t="n">
        <v>28000</v>
      </c>
      <c r="N297" s="4" t="b">
        <f aca="false">FALSE()</f>
        <v>0</v>
      </c>
      <c r="P297" s="4" t="b">
        <f aca="false">TRUE()</f>
        <v>1</v>
      </c>
      <c r="R297" s="1" t="s">
        <v>1263</v>
      </c>
      <c r="S297" s="1" t="s">
        <v>1288</v>
      </c>
      <c r="T297" s="1" t="s">
        <v>222</v>
      </c>
      <c r="U297" s="1" t="s">
        <v>223</v>
      </c>
    </row>
    <row r="298" customFormat="false" ht="48" hidden="false" customHeight="true" outlineLevel="0" collapsed="false">
      <c r="A298" s="1" t="s">
        <v>43</v>
      </c>
      <c r="B298" s="1" t="s">
        <v>212</v>
      </c>
      <c r="C298" s="1" t="s">
        <v>75</v>
      </c>
      <c r="D298" s="1" t="s">
        <v>1259</v>
      </c>
      <c r="E298" s="1" t="n">
        <v>9</v>
      </c>
      <c r="F298" s="1" t="s">
        <v>1289</v>
      </c>
      <c r="G298" s="1" t="s">
        <v>236</v>
      </c>
      <c r="H298" s="1" t="s">
        <v>1290</v>
      </c>
      <c r="I298" s="1" t="s">
        <v>1267</v>
      </c>
      <c r="J298" s="1" t="s">
        <v>597</v>
      </c>
      <c r="K298" s="1" t="n">
        <v>17.99</v>
      </c>
      <c r="L298" s="1" t="n">
        <v>4.4</v>
      </c>
      <c r="M298" s="1" t="n">
        <v>4200</v>
      </c>
      <c r="N298" s="4" t="b">
        <f aca="false">FALSE()</f>
        <v>0</v>
      </c>
      <c r="O298" s="1" t="s">
        <v>1291</v>
      </c>
      <c r="P298" s="4" t="b">
        <f aca="false">TRUE()</f>
        <v>1</v>
      </c>
      <c r="Q298" s="1" t="s">
        <v>251</v>
      </c>
      <c r="R298" s="1" t="s">
        <v>1263</v>
      </c>
      <c r="S298" s="1" t="s">
        <v>1292</v>
      </c>
      <c r="T298" s="1" t="s">
        <v>222</v>
      </c>
      <c r="U298" s="1" t="s">
        <v>223</v>
      </c>
    </row>
    <row r="299" customFormat="false" ht="48" hidden="false" customHeight="true" outlineLevel="0" collapsed="false">
      <c r="A299" s="1" t="s">
        <v>43</v>
      </c>
      <c r="B299" s="1" t="s">
        <v>212</v>
      </c>
      <c r="C299" s="1" t="s">
        <v>75</v>
      </c>
      <c r="D299" s="1" t="s">
        <v>1259</v>
      </c>
      <c r="E299" s="1" t="n">
        <v>10</v>
      </c>
      <c r="F299" s="1" t="s">
        <v>1293</v>
      </c>
      <c r="G299" s="1" t="s">
        <v>774</v>
      </c>
      <c r="H299" s="1" t="s">
        <v>1294</v>
      </c>
      <c r="I299" s="1" t="s">
        <v>218</v>
      </c>
      <c r="J299" s="1" t="s">
        <v>371</v>
      </c>
      <c r="K299" s="1" t="n">
        <v>18.99</v>
      </c>
      <c r="L299" s="1" t="n">
        <v>4.6</v>
      </c>
      <c r="M299" s="1" t="n">
        <v>70100</v>
      </c>
      <c r="N299" s="4" t="b">
        <f aca="false">FALSE()</f>
        <v>0</v>
      </c>
      <c r="O299" s="1" t="s">
        <v>1295</v>
      </c>
      <c r="P299" s="4" t="b">
        <f aca="false">TRUE()</f>
        <v>1</v>
      </c>
      <c r="Q299" s="1" t="s">
        <v>618</v>
      </c>
      <c r="R299" s="1" t="s">
        <v>1263</v>
      </c>
      <c r="S299" s="1" t="s">
        <v>1296</v>
      </c>
      <c r="T299" s="1" t="s">
        <v>222</v>
      </c>
      <c r="U299" s="1" t="s">
        <v>223</v>
      </c>
    </row>
    <row r="300" customFormat="false" ht="48" hidden="false" customHeight="true" outlineLevel="0" collapsed="false">
      <c r="A300" s="1" t="s">
        <v>43</v>
      </c>
      <c r="B300" s="1" t="s">
        <v>212</v>
      </c>
      <c r="C300" s="1" t="s">
        <v>75</v>
      </c>
      <c r="D300" s="1" t="s">
        <v>1259</v>
      </c>
      <c r="E300" s="1" t="n">
        <v>11</v>
      </c>
      <c r="F300" s="1" t="s">
        <v>1297</v>
      </c>
      <c r="G300" s="1" t="s">
        <v>236</v>
      </c>
      <c r="H300" s="1" t="s">
        <v>1298</v>
      </c>
      <c r="I300" s="1" t="s">
        <v>218</v>
      </c>
      <c r="J300" s="1" t="s">
        <v>597</v>
      </c>
      <c r="K300" s="1" t="n">
        <v>11.39</v>
      </c>
      <c r="L300" s="1" t="n">
        <v>4.6</v>
      </c>
      <c r="M300" s="1" t="n">
        <v>8</v>
      </c>
      <c r="N300" s="4" t="b">
        <f aca="false">FALSE()</f>
        <v>0</v>
      </c>
      <c r="P300" s="4" t="b">
        <f aca="false">TRUE()</f>
        <v>1</v>
      </c>
      <c r="R300" s="1" t="s">
        <v>1263</v>
      </c>
      <c r="S300" s="1" t="s">
        <v>1299</v>
      </c>
      <c r="T300" s="1" t="s">
        <v>222</v>
      </c>
      <c r="U300" s="1" t="s">
        <v>223</v>
      </c>
    </row>
    <row r="301" customFormat="false" ht="48" hidden="false" customHeight="true" outlineLevel="0" collapsed="false">
      <c r="A301" s="1" t="s">
        <v>43</v>
      </c>
      <c r="B301" s="1" t="s">
        <v>212</v>
      </c>
      <c r="C301" s="1" t="s">
        <v>75</v>
      </c>
      <c r="D301" s="1" t="s">
        <v>1259</v>
      </c>
      <c r="E301" s="1" t="n">
        <v>12</v>
      </c>
      <c r="F301" s="1" t="s">
        <v>1300</v>
      </c>
      <c r="G301" s="1" t="s">
        <v>236</v>
      </c>
      <c r="H301" s="1" t="s">
        <v>1301</v>
      </c>
      <c r="I301" s="1" t="s">
        <v>1267</v>
      </c>
      <c r="J301" s="1" t="s">
        <v>597</v>
      </c>
      <c r="K301" s="1" t="n">
        <v>16.99</v>
      </c>
      <c r="L301" s="1" t="n">
        <v>4.2</v>
      </c>
      <c r="M301" s="1" t="n">
        <v>1700</v>
      </c>
      <c r="N301" s="4" t="b">
        <f aca="false">FALSE()</f>
        <v>0</v>
      </c>
      <c r="O301" s="1" t="s">
        <v>247</v>
      </c>
      <c r="P301" s="4" t="b">
        <f aca="false">TRUE()</f>
        <v>1</v>
      </c>
      <c r="R301" s="1" t="s">
        <v>1263</v>
      </c>
      <c r="S301" s="1" t="s">
        <v>1302</v>
      </c>
      <c r="T301" s="1" t="s">
        <v>222</v>
      </c>
      <c r="U301" s="1" t="s">
        <v>223</v>
      </c>
    </row>
    <row r="302" customFormat="false" ht="48" hidden="false" customHeight="true" outlineLevel="0" collapsed="false">
      <c r="A302" s="1" t="s">
        <v>43</v>
      </c>
      <c r="B302" s="1" t="s">
        <v>212</v>
      </c>
      <c r="C302" s="1" t="s">
        <v>75</v>
      </c>
      <c r="D302" s="1" t="s">
        <v>1259</v>
      </c>
      <c r="E302" s="1" t="n">
        <v>13</v>
      </c>
      <c r="F302" s="1" t="s">
        <v>1303</v>
      </c>
      <c r="G302" s="1" t="s">
        <v>236</v>
      </c>
      <c r="H302" s="1" t="s">
        <v>1304</v>
      </c>
      <c r="I302" s="1" t="s">
        <v>218</v>
      </c>
      <c r="J302" s="1" t="s">
        <v>597</v>
      </c>
      <c r="K302" s="1" t="n">
        <v>10.99</v>
      </c>
      <c r="L302" s="1" t="n">
        <v>4.2</v>
      </c>
      <c r="M302" s="1" t="n">
        <v>44</v>
      </c>
      <c r="N302" s="4" t="b">
        <f aca="false">FALSE()</f>
        <v>0</v>
      </c>
      <c r="P302" s="4" t="b">
        <f aca="false">TRUE()</f>
        <v>1</v>
      </c>
      <c r="Q302" s="1" t="s">
        <v>451</v>
      </c>
      <c r="R302" s="1" t="s">
        <v>1263</v>
      </c>
      <c r="S302" s="1" t="s">
        <v>1305</v>
      </c>
      <c r="T302" s="1" t="s">
        <v>222</v>
      </c>
      <c r="U302" s="1" t="s">
        <v>223</v>
      </c>
    </row>
    <row r="303" customFormat="false" ht="48" hidden="false" customHeight="true" outlineLevel="0" collapsed="false">
      <c r="A303" s="1" t="s">
        <v>43</v>
      </c>
      <c r="B303" s="1" t="s">
        <v>212</v>
      </c>
      <c r="C303" s="1" t="s">
        <v>75</v>
      </c>
      <c r="D303" s="1" t="s">
        <v>1259</v>
      </c>
      <c r="E303" s="1" t="n">
        <v>14</v>
      </c>
      <c r="F303" s="1" t="s">
        <v>1306</v>
      </c>
      <c r="G303" s="1" t="s">
        <v>677</v>
      </c>
      <c r="H303" s="1" t="s">
        <v>1307</v>
      </c>
      <c r="I303" s="1" t="s">
        <v>218</v>
      </c>
      <c r="J303" s="1" t="s">
        <v>597</v>
      </c>
      <c r="K303" s="1" t="n">
        <v>17.99</v>
      </c>
      <c r="L303" s="1" t="n">
        <v>4.4</v>
      </c>
      <c r="M303" s="1" t="n">
        <v>1500</v>
      </c>
      <c r="N303" s="4" t="b">
        <f aca="false">FALSE()</f>
        <v>0</v>
      </c>
      <c r="P303" s="4" t="b">
        <f aca="false">TRUE()</f>
        <v>1</v>
      </c>
      <c r="Q303" s="1" t="s">
        <v>251</v>
      </c>
      <c r="R303" s="1" t="s">
        <v>1263</v>
      </c>
      <c r="S303" s="1" t="s">
        <v>1308</v>
      </c>
      <c r="T303" s="1" t="s">
        <v>222</v>
      </c>
      <c r="U303" s="1" t="s">
        <v>223</v>
      </c>
    </row>
    <row r="304" customFormat="false" ht="48" hidden="false" customHeight="true" outlineLevel="0" collapsed="false">
      <c r="A304" s="1" t="s">
        <v>43</v>
      </c>
      <c r="B304" s="1" t="s">
        <v>212</v>
      </c>
      <c r="C304" s="1" t="s">
        <v>75</v>
      </c>
      <c r="D304" s="1" t="s">
        <v>1259</v>
      </c>
      <c r="E304" s="1" t="n">
        <v>15</v>
      </c>
      <c r="F304" s="1" t="s">
        <v>1309</v>
      </c>
      <c r="G304" s="1" t="s">
        <v>567</v>
      </c>
      <c r="H304" s="1" t="s">
        <v>1310</v>
      </c>
      <c r="I304" s="1" t="s">
        <v>1267</v>
      </c>
      <c r="J304" s="1" t="s">
        <v>310</v>
      </c>
      <c r="K304" s="1" t="n">
        <v>17.91</v>
      </c>
      <c r="L304" s="1" t="n">
        <v>4.3</v>
      </c>
      <c r="M304" s="1" t="n">
        <v>5500</v>
      </c>
      <c r="N304" s="4" t="b">
        <f aca="false">FALSE()</f>
        <v>0</v>
      </c>
      <c r="O304" s="1" t="s">
        <v>1311</v>
      </c>
      <c r="P304" s="4" t="b">
        <f aca="false">TRUE()</f>
        <v>1</v>
      </c>
      <c r="R304" s="1" t="s">
        <v>1263</v>
      </c>
      <c r="S304" s="1" t="s">
        <v>1312</v>
      </c>
      <c r="T304" s="1" t="s">
        <v>222</v>
      </c>
      <c r="U304" s="1" t="s">
        <v>223</v>
      </c>
    </row>
    <row r="305" customFormat="false" ht="48" hidden="false" customHeight="true" outlineLevel="0" collapsed="false">
      <c r="A305" s="1" t="s">
        <v>43</v>
      </c>
      <c r="B305" s="1" t="s">
        <v>212</v>
      </c>
      <c r="C305" s="1" t="s">
        <v>75</v>
      </c>
      <c r="D305" s="1" t="s">
        <v>1259</v>
      </c>
      <c r="E305" s="1" t="n">
        <v>16</v>
      </c>
      <c r="F305" s="1" t="s">
        <v>1313</v>
      </c>
      <c r="G305" s="1" t="s">
        <v>236</v>
      </c>
      <c r="H305" s="1" t="s">
        <v>1314</v>
      </c>
      <c r="I305" s="1" t="s">
        <v>218</v>
      </c>
      <c r="J305" s="1" t="s">
        <v>597</v>
      </c>
      <c r="K305" s="1" t="n">
        <v>15.99</v>
      </c>
      <c r="L305" s="1" t="n">
        <v>4.3</v>
      </c>
      <c r="M305" s="1" t="n">
        <v>82</v>
      </c>
      <c r="N305" s="4" t="b">
        <f aca="false">FALSE()</f>
        <v>0</v>
      </c>
      <c r="P305" s="4" t="b">
        <f aca="false">TRUE()</f>
        <v>1</v>
      </c>
      <c r="R305" s="1" t="s">
        <v>1263</v>
      </c>
      <c r="S305" s="1" t="s">
        <v>1315</v>
      </c>
      <c r="T305" s="1" t="s">
        <v>222</v>
      </c>
      <c r="U305" s="1" t="s">
        <v>223</v>
      </c>
    </row>
    <row r="306" customFormat="false" ht="48" hidden="false" customHeight="true" outlineLevel="0" collapsed="false">
      <c r="A306" s="1" t="s">
        <v>43</v>
      </c>
      <c r="B306" s="1" t="s">
        <v>212</v>
      </c>
      <c r="C306" s="1" t="s">
        <v>75</v>
      </c>
      <c r="D306" s="1" t="s">
        <v>1259</v>
      </c>
      <c r="E306" s="1" t="n">
        <v>17</v>
      </c>
      <c r="F306" s="1" t="s">
        <v>1316</v>
      </c>
      <c r="G306" s="1" t="s">
        <v>677</v>
      </c>
      <c r="H306" s="1" t="s">
        <v>1317</v>
      </c>
      <c r="I306" s="1" t="s">
        <v>218</v>
      </c>
      <c r="J306" s="1" t="s">
        <v>597</v>
      </c>
      <c r="K306" s="1" t="n">
        <v>19.99</v>
      </c>
      <c r="L306" s="1" t="n">
        <v>4.4</v>
      </c>
      <c r="M306" s="1" t="n">
        <v>1500</v>
      </c>
      <c r="N306" s="4" t="b">
        <f aca="false">FALSE()</f>
        <v>0</v>
      </c>
      <c r="P306" s="4" t="b">
        <f aca="false">TRUE()</f>
        <v>1</v>
      </c>
      <c r="R306" s="1" t="s">
        <v>1263</v>
      </c>
      <c r="S306" s="1" t="s">
        <v>1318</v>
      </c>
      <c r="T306" s="1" t="s">
        <v>222</v>
      </c>
      <c r="U306" s="1" t="s">
        <v>223</v>
      </c>
    </row>
    <row r="307" customFormat="false" ht="48" hidden="false" customHeight="true" outlineLevel="0" collapsed="false">
      <c r="A307" s="1" t="s">
        <v>43</v>
      </c>
      <c r="B307" s="1" t="s">
        <v>212</v>
      </c>
      <c r="C307" s="1" t="s">
        <v>75</v>
      </c>
      <c r="D307" s="1" t="s">
        <v>1259</v>
      </c>
      <c r="E307" s="1" t="n">
        <v>18</v>
      </c>
      <c r="F307" s="1" t="s">
        <v>1319</v>
      </c>
      <c r="G307" s="1" t="s">
        <v>236</v>
      </c>
      <c r="H307" s="1" t="s">
        <v>1320</v>
      </c>
      <c r="I307" s="1" t="s">
        <v>218</v>
      </c>
      <c r="J307" s="1" t="s">
        <v>597</v>
      </c>
      <c r="K307" s="1" t="n">
        <v>39.99</v>
      </c>
      <c r="L307" s="1" t="n">
        <v>4.2</v>
      </c>
      <c r="M307" s="1" t="n">
        <v>103</v>
      </c>
      <c r="N307" s="4" t="b">
        <f aca="false">FALSE()</f>
        <v>0</v>
      </c>
      <c r="P307" s="4" t="b">
        <f aca="false">TRUE()</f>
        <v>1</v>
      </c>
      <c r="Q307" s="1" t="s">
        <v>251</v>
      </c>
      <c r="R307" s="1" t="s">
        <v>1263</v>
      </c>
      <c r="S307" s="1" t="s">
        <v>1321</v>
      </c>
      <c r="T307" s="1" t="s">
        <v>222</v>
      </c>
      <c r="U307" s="1" t="s">
        <v>223</v>
      </c>
    </row>
    <row r="308" customFormat="false" ht="48" hidden="false" customHeight="true" outlineLevel="0" collapsed="false">
      <c r="A308" s="1" t="s">
        <v>43</v>
      </c>
      <c r="B308" s="1" t="s">
        <v>212</v>
      </c>
      <c r="C308" s="1" t="s">
        <v>75</v>
      </c>
      <c r="D308" s="1" t="s">
        <v>1259</v>
      </c>
      <c r="E308" s="1" t="n">
        <v>19</v>
      </c>
      <c r="F308" s="1" t="s">
        <v>1322</v>
      </c>
      <c r="G308" s="1" t="s">
        <v>236</v>
      </c>
      <c r="H308" s="1" t="s">
        <v>1323</v>
      </c>
      <c r="I308" s="1" t="s">
        <v>218</v>
      </c>
      <c r="J308" s="1" t="s">
        <v>597</v>
      </c>
      <c r="K308" s="1" t="n">
        <v>13.59</v>
      </c>
      <c r="L308" s="1" t="n">
        <v>4</v>
      </c>
      <c r="M308" s="1" t="n">
        <v>106</v>
      </c>
      <c r="N308" s="4" t="b">
        <f aca="false">FALSE()</f>
        <v>0</v>
      </c>
      <c r="P308" s="4" t="b">
        <f aca="false">TRUE()</f>
        <v>1</v>
      </c>
      <c r="R308" s="1" t="s">
        <v>1263</v>
      </c>
      <c r="S308" s="1" t="s">
        <v>1324</v>
      </c>
      <c r="T308" s="1" t="s">
        <v>222</v>
      </c>
      <c r="U308" s="1" t="s">
        <v>223</v>
      </c>
    </row>
    <row r="309" customFormat="false" ht="48" hidden="false" customHeight="true" outlineLevel="0" collapsed="false">
      <c r="A309" s="1" t="s">
        <v>43</v>
      </c>
      <c r="B309" s="1" t="s">
        <v>212</v>
      </c>
      <c r="C309" s="1" t="s">
        <v>75</v>
      </c>
      <c r="D309" s="1" t="s">
        <v>1259</v>
      </c>
      <c r="E309" s="1" t="n">
        <v>20</v>
      </c>
      <c r="F309" s="1" t="s">
        <v>1325</v>
      </c>
      <c r="G309" s="1" t="s">
        <v>236</v>
      </c>
      <c r="H309" s="1" t="s">
        <v>1326</v>
      </c>
      <c r="I309" s="1" t="s">
        <v>218</v>
      </c>
      <c r="J309" s="1" t="s">
        <v>689</v>
      </c>
      <c r="K309" s="1" t="n">
        <v>13.42</v>
      </c>
      <c r="L309" s="1" t="n">
        <v>3.8</v>
      </c>
      <c r="M309" s="1" t="n">
        <v>307</v>
      </c>
      <c r="N309" s="4" t="b">
        <f aca="false">FALSE()</f>
        <v>0</v>
      </c>
      <c r="P309" s="4" t="b">
        <f aca="false">TRUE()</f>
        <v>1</v>
      </c>
      <c r="R309" s="1" t="s">
        <v>1263</v>
      </c>
      <c r="S309" s="1" t="s">
        <v>1327</v>
      </c>
      <c r="T309" s="1" t="s">
        <v>222</v>
      </c>
      <c r="U309" s="1" t="s">
        <v>223</v>
      </c>
    </row>
    <row r="310" customFormat="false" ht="48" hidden="false" customHeight="true" outlineLevel="0" collapsed="false">
      <c r="A310" s="1" t="s">
        <v>43</v>
      </c>
      <c r="B310" s="1" t="s">
        <v>212</v>
      </c>
      <c r="C310" s="1" t="s">
        <v>75</v>
      </c>
      <c r="D310" s="1" t="s">
        <v>1259</v>
      </c>
      <c r="E310" s="1" t="n">
        <v>21</v>
      </c>
      <c r="F310" s="1" t="s">
        <v>1328</v>
      </c>
      <c r="G310" s="1" t="s">
        <v>236</v>
      </c>
      <c r="H310" s="1" t="s">
        <v>1329</v>
      </c>
      <c r="I310" s="1" t="s">
        <v>1267</v>
      </c>
      <c r="J310" s="1" t="s">
        <v>597</v>
      </c>
      <c r="K310" s="1" t="n">
        <v>33.99</v>
      </c>
      <c r="L310" s="1" t="n">
        <v>4.8</v>
      </c>
      <c r="M310" s="1" t="n">
        <v>603</v>
      </c>
      <c r="N310" s="4" t="b">
        <f aca="false">FALSE()</f>
        <v>0</v>
      </c>
      <c r="P310" s="4" t="b">
        <f aca="false">TRUE()</f>
        <v>1</v>
      </c>
      <c r="Q310" s="1" t="s">
        <v>418</v>
      </c>
      <c r="R310" s="1" t="s">
        <v>1263</v>
      </c>
      <c r="S310" s="1" t="s">
        <v>1330</v>
      </c>
      <c r="T310" s="1" t="s">
        <v>222</v>
      </c>
      <c r="U310" s="1" t="s">
        <v>223</v>
      </c>
    </row>
    <row r="311" customFormat="false" ht="48" hidden="false" customHeight="true" outlineLevel="0" collapsed="false">
      <c r="A311" s="1" t="s">
        <v>43</v>
      </c>
      <c r="B311" s="1" t="s">
        <v>212</v>
      </c>
      <c r="C311" s="1" t="s">
        <v>75</v>
      </c>
      <c r="D311" s="1" t="s">
        <v>1259</v>
      </c>
      <c r="E311" s="1" t="n">
        <v>22</v>
      </c>
      <c r="F311" s="1" t="s">
        <v>1331</v>
      </c>
      <c r="G311" s="1" t="s">
        <v>236</v>
      </c>
      <c r="H311" s="1" t="s">
        <v>1332</v>
      </c>
      <c r="I311" s="1" t="s">
        <v>1267</v>
      </c>
      <c r="J311" s="1" t="s">
        <v>597</v>
      </c>
      <c r="K311" s="1" t="n">
        <v>15.99</v>
      </c>
      <c r="L311" s="1" t="n">
        <v>4.4</v>
      </c>
      <c r="M311" s="1" t="n">
        <v>470</v>
      </c>
      <c r="N311" s="4" t="b">
        <f aca="false">FALSE()</f>
        <v>0</v>
      </c>
      <c r="P311" s="4" t="b">
        <f aca="false">TRUE()</f>
        <v>1</v>
      </c>
      <c r="Q311" s="1" t="s">
        <v>251</v>
      </c>
      <c r="R311" s="1" t="s">
        <v>1263</v>
      </c>
      <c r="S311" s="1" t="s">
        <v>1333</v>
      </c>
      <c r="T311" s="1" t="s">
        <v>222</v>
      </c>
      <c r="U311" s="1" t="s">
        <v>223</v>
      </c>
    </row>
    <row r="312" customFormat="false" ht="48" hidden="false" customHeight="true" outlineLevel="0" collapsed="false">
      <c r="A312" s="1" t="s">
        <v>43</v>
      </c>
      <c r="B312" s="1" t="s">
        <v>212</v>
      </c>
      <c r="C312" s="1" t="s">
        <v>75</v>
      </c>
      <c r="D312" s="1" t="s">
        <v>1259</v>
      </c>
      <c r="E312" s="1" t="n">
        <v>23</v>
      </c>
      <c r="F312" s="1" t="s">
        <v>1334</v>
      </c>
      <c r="G312" s="1" t="s">
        <v>236</v>
      </c>
      <c r="H312" s="1" t="s">
        <v>1335</v>
      </c>
      <c r="I312" s="1" t="s">
        <v>1267</v>
      </c>
      <c r="J312" s="1" t="s">
        <v>597</v>
      </c>
      <c r="K312" s="1" t="n">
        <v>16.99</v>
      </c>
      <c r="L312" s="1" t="n">
        <v>4.4</v>
      </c>
      <c r="M312" s="1" t="n">
        <v>176</v>
      </c>
      <c r="N312" s="4" t="b">
        <f aca="false">FALSE()</f>
        <v>0</v>
      </c>
      <c r="O312" s="1" t="s">
        <v>247</v>
      </c>
      <c r="P312" s="4" t="b">
        <f aca="false">TRUE()</f>
        <v>1</v>
      </c>
      <c r="R312" s="1" t="s">
        <v>1263</v>
      </c>
      <c r="S312" s="1" t="s">
        <v>1336</v>
      </c>
      <c r="T312" s="1" t="s">
        <v>222</v>
      </c>
      <c r="U312" s="1" t="s">
        <v>223</v>
      </c>
    </row>
    <row r="313" customFormat="false" ht="48" hidden="false" customHeight="true" outlineLevel="0" collapsed="false">
      <c r="A313" s="1" t="s">
        <v>43</v>
      </c>
      <c r="B313" s="1" t="s">
        <v>212</v>
      </c>
      <c r="C313" s="1" t="s">
        <v>75</v>
      </c>
      <c r="D313" s="1" t="s">
        <v>1259</v>
      </c>
      <c r="E313" s="1" t="n">
        <v>24</v>
      </c>
      <c r="F313" s="1" t="s">
        <v>1337</v>
      </c>
      <c r="G313" s="1" t="s">
        <v>236</v>
      </c>
      <c r="H313" s="1" t="s">
        <v>1338</v>
      </c>
      <c r="I313" s="1" t="s">
        <v>218</v>
      </c>
      <c r="J313" s="1" t="s">
        <v>597</v>
      </c>
      <c r="K313" s="1" t="n">
        <v>11.39</v>
      </c>
      <c r="L313" s="1" t="n">
        <v>4.3</v>
      </c>
      <c r="M313" s="1" t="n">
        <v>21</v>
      </c>
      <c r="N313" s="4" t="b">
        <f aca="false">FALSE()</f>
        <v>0</v>
      </c>
      <c r="P313" s="4" t="b">
        <f aca="false">TRUE()</f>
        <v>1</v>
      </c>
      <c r="R313" s="1" t="s">
        <v>1263</v>
      </c>
      <c r="S313" s="1" t="s">
        <v>1339</v>
      </c>
      <c r="T313" s="1" t="s">
        <v>222</v>
      </c>
      <c r="U313" s="1" t="s">
        <v>223</v>
      </c>
    </row>
    <row r="314" customFormat="false" ht="48" hidden="false" customHeight="true" outlineLevel="0" collapsed="false">
      <c r="A314" s="1" t="s">
        <v>43</v>
      </c>
      <c r="B314" s="1" t="s">
        <v>212</v>
      </c>
      <c r="C314" s="1" t="s">
        <v>75</v>
      </c>
      <c r="D314" s="1" t="s">
        <v>1259</v>
      </c>
      <c r="E314" s="1" t="n">
        <v>25</v>
      </c>
      <c r="F314" s="1" t="s">
        <v>1340</v>
      </c>
      <c r="G314" s="1" t="s">
        <v>236</v>
      </c>
      <c r="H314" s="1" t="s">
        <v>1341</v>
      </c>
      <c r="I314" s="1" t="s">
        <v>218</v>
      </c>
      <c r="J314" s="1" t="s">
        <v>597</v>
      </c>
      <c r="K314" s="1" t="n">
        <v>43.99</v>
      </c>
      <c r="L314" s="1" t="n">
        <v>4.5</v>
      </c>
      <c r="M314" s="1" t="n">
        <v>7200</v>
      </c>
      <c r="N314" s="4" t="b">
        <f aca="false">FALSE()</f>
        <v>0</v>
      </c>
      <c r="P314" s="4" t="b">
        <f aca="false">TRUE()</f>
        <v>1</v>
      </c>
      <c r="Q314" s="1" t="s">
        <v>233</v>
      </c>
      <c r="R314" s="1" t="s">
        <v>1263</v>
      </c>
      <c r="S314" s="1" t="s">
        <v>1342</v>
      </c>
      <c r="T314" s="1" t="s">
        <v>222</v>
      </c>
      <c r="U314" s="1" t="s">
        <v>223</v>
      </c>
    </row>
    <row r="315" customFormat="false" ht="48" hidden="false" customHeight="true" outlineLevel="0" collapsed="false">
      <c r="A315" s="1" t="s">
        <v>43</v>
      </c>
      <c r="B315" s="1" t="s">
        <v>212</v>
      </c>
      <c r="C315" s="1" t="s">
        <v>75</v>
      </c>
      <c r="D315" s="1" t="s">
        <v>1259</v>
      </c>
      <c r="E315" s="1" t="n">
        <v>26</v>
      </c>
      <c r="F315" s="1" t="s">
        <v>1343</v>
      </c>
      <c r="G315" s="1" t="s">
        <v>236</v>
      </c>
      <c r="H315" s="1" t="s">
        <v>1344</v>
      </c>
      <c r="I315" s="1" t="s">
        <v>306</v>
      </c>
      <c r="J315" s="1" t="s">
        <v>597</v>
      </c>
      <c r="K315" s="1" t="n">
        <v>19.99</v>
      </c>
      <c r="L315" s="1" t="n">
        <v>4.5</v>
      </c>
      <c r="M315" s="1" t="n">
        <v>4300</v>
      </c>
      <c r="N315" s="4" t="b">
        <f aca="false">FALSE()</f>
        <v>0</v>
      </c>
      <c r="O315" s="1" t="s">
        <v>1345</v>
      </c>
      <c r="P315" s="4" t="b">
        <f aca="false">TRUE()</f>
        <v>1</v>
      </c>
      <c r="Q315" s="1" t="s">
        <v>435</v>
      </c>
      <c r="R315" s="1" t="s">
        <v>1263</v>
      </c>
      <c r="S315" s="1" t="s">
        <v>1346</v>
      </c>
      <c r="T315" s="1" t="s">
        <v>222</v>
      </c>
      <c r="U315" s="1" t="s">
        <v>223</v>
      </c>
    </row>
    <row r="316" customFormat="false" ht="48" hidden="false" customHeight="true" outlineLevel="0" collapsed="false">
      <c r="A316" s="1" t="s">
        <v>43</v>
      </c>
      <c r="B316" s="1" t="s">
        <v>212</v>
      </c>
      <c r="C316" s="1" t="s">
        <v>75</v>
      </c>
      <c r="D316" s="1" t="s">
        <v>1259</v>
      </c>
      <c r="E316" s="1" t="n">
        <v>27</v>
      </c>
      <c r="F316" s="1" t="s">
        <v>1347</v>
      </c>
      <c r="G316" s="1" t="s">
        <v>604</v>
      </c>
      <c r="H316" s="1" t="s">
        <v>1348</v>
      </c>
      <c r="I316" s="1" t="s">
        <v>1267</v>
      </c>
      <c r="J316" s="1" t="s">
        <v>597</v>
      </c>
      <c r="K316" s="1" t="n">
        <v>26.99</v>
      </c>
      <c r="L316" s="1" t="n">
        <v>4.5</v>
      </c>
      <c r="M316" s="1" t="n">
        <v>2900</v>
      </c>
      <c r="N316" s="4" t="b">
        <f aca="false">FALSE()</f>
        <v>0</v>
      </c>
      <c r="P316" s="4" t="b">
        <f aca="false">TRUE()</f>
        <v>1</v>
      </c>
      <c r="R316" s="1" t="s">
        <v>1263</v>
      </c>
      <c r="S316" s="1" t="s">
        <v>1349</v>
      </c>
      <c r="T316" s="1" t="s">
        <v>222</v>
      </c>
      <c r="U316" s="1" t="s">
        <v>223</v>
      </c>
    </row>
    <row r="317" customFormat="false" ht="48" hidden="false" customHeight="true" outlineLevel="0" collapsed="false">
      <c r="A317" s="1" t="s">
        <v>43</v>
      </c>
      <c r="B317" s="1" t="s">
        <v>212</v>
      </c>
      <c r="C317" s="1" t="s">
        <v>75</v>
      </c>
      <c r="D317" s="1" t="s">
        <v>1259</v>
      </c>
      <c r="E317" s="1" t="n">
        <v>28</v>
      </c>
      <c r="F317" s="1" t="s">
        <v>1350</v>
      </c>
      <c r="G317" s="1" t="s">
        <v>236</v>
      </c>
      <c r="H317" s="1" t="s">
        <v>1351</v>
      </c>
      <c r="I317" s="1" t="s">
        <v>1267</v>
      </c>
      <c r="J317" s="1" t="s">
        <v>689</v>
      </c>
      <c r="K317" s="1" t="n">
        <v>14.13</v>
      </c>
      <c r="L317" s="1" t="n">
        <v>3.8</v>
      </c>
      <c r="M317" s="1" t="n">
        <v>50</v>
      </c>
      <c r="N317" s="4" t="b">
        <f aca="false">FALSE()</f>
        <v>0</v>
      </c>
      <c r="P317" s="4" t="b">
        <f aca="false">TRUE()</f>
        <v>1</v>
      </c>
      <c r="R317" s="1" t="s">
        <v>1263</v>
      </c>
      <c r="S317" s="1" t="s">
        <v>1352</v>
      </c>
      <c r="T317" s="1" t="s">
        <v>222</v>
      </c>
      <c r="U317" s="1" t="s">
        <v>223</v>
      </c>
    </row>
    <row r="318" customFormat="false" ht="48" hidden="false" customHeight="true" outlineLevel="0" collapsed="false">
      <c r="A318" s="1" t="s">
        <v>43</v>
      </c>
      <c r="B318" s="1" t="s">
        <v>212</v>
      </c>
      <c r="C318" s="1" t="s">
        <v>75</v>
      </c>
      <c r="D318" s="1" t="s">
        <v>1259</v>
      </c>
      <c r="E318" s="1" t="n">
        <v>29</v>
      </c>
      <c r="F318" s="1" t="s">
        <v>1353</v>
      </c>
      <c r="G318" s="1" t="s">
        <v>236</v>
      </c>
      <c r="H318" s="1" t="s">
        <v>1354</v>
      </c>
      <c r="I318" s="1" t="s">
        <v>218</v>
      </c>
      <c r="J318" s="1" t="s">
        <v>597</v>
      </c>
      <c r="K318" s="1" t="n">
        <v>45.99</v>
      </c>
      <c r="L318" s="1" t="n">
        <v>4.2</v>
      </c>
      <c r="M318" s="1" t="n">
        <v>2400</v>
      </c>
      <c r="N318" s="4" t="b">
        <f aca="false">FALSE()</f>
        <v>0</v>
      </c>
      <c r="O318" s="1" t="s">
        <v>1355</v>
      </c>
      <c r="P318" s="4" t="b">
        <f aca="false">TRUE()</f>
        <v>1</v>
      </c>
      <c r="Q318" s="1" t="s">
        <v>233</v>
      </c>
      <c r="R318" s="1" t="s">
        <v>1263</v>
      </c>
      <c r="S318" s="1" t="s">
        <v>1356</v>
      </c>
      <c r="T318" s="1" t="s">
        <v>222</v>
      </c>
      <c r="U318" s="1" t="s">
        <v>223</v>
      </c>
    </row>
    <row r="319" customFormat="false" ht="48" hidden="false" customHeight="true" outlineLevel="0" collapsed="false">
      <c r="A319" s="1" t="s">
        <v>43</v>
      </c>
      <c r="B319" s="1" t="s">
        <v>212</v>
      </c>
      <c r="C319" s="1" t="s">
        <v>75</v>
      </c>
      <c r="D319" s="1" t="s">
        <v>1259</v>
      </c>
      <c r="E319" s="1" t="n">
        <v>30</v>
      </c>
      <c r="F319" s="1" t="s">
        <v>1357</v>
      </c>
      <c r="G319" s="1" t="s">
        <v>236</v>
      </c>
      <c r="H319" s="1" t="s">
        <v>1358</v>
      </c>
      <c r="I319" s="1" t="s">
        <v>402</v>
      </c>
      <c r="J319" s="1" t="s">
        <v>371</v>
      </c>
      <c r="K319" s="1" t="n">
        <v>12.99</v>
      </c>
      <c r="L319" s="1" t="n">
        <v>4.3</v>
      </c>
      <c r="M319" s="1" t="n">
        <v>247</v>
      </c>
      <c r="N319" s="4" t="b">
        <f aca="false">FALSE()</f>
        <v>0</v>
      </c>
      <c r="O319" s="1" t="s">
        <v>1359</v>
      </c>
      <c r="P319" s="4" t="b">
        <f aca="false">TRUE()</f>
        <v>1</v>
      </c>
      <c r="R319" s="1" t="s">
        <v>1263</v>
      </c>
      <c r="S319" s="1" t="s">
        <v>1360</v>
      </c>
      <c r="T319" s="1" t="s">
        <v>222</v>
      </c>
      <c r="U319" s="1" t="s">
        <v>223</v>
      </c>
    </row>
    <row r="320" customFormat="false" ht="48" hidden="false" customHeight="true" outlineLevel="0" collapsed="false">
      <c r="A320" s="1" t="s">
        <v>43</v>
      </c>
      <c r="B320" s="1" t="s">
        <v>212</v>
      </c>
      <c r="C320" s="1" t="s">
        <v>75</v>
      </c>
      <c r="D320" s="1" t="s">
        <v>1259</v>
      </c>
      <c r="E320" s="1" t="n">
        <v>31</v>
      </c>
      <c r="F320" s="1" t="s">
        <v>1361</v>
      </c>
      <c r="G320" s="1" t="s">
        <v>1362</v>
      </c>
      <c r="H320" s="1" t="s">
        <v>1363</v>
      </c>
      <c r="I320" s="1" t="s">
        <v>218</v>
      </c>
      <c r="J320" s="1" t="s">
        <v>597</v>
      </c>
      <c r="K320" s="1" t="n">
        <v>31.12</v>
      </c>
      <c r="L320" s="1" t="n">
        <v>4.4</v>
      </c>
      <c r="M320" s="1" t="n">
        <v>2000</v>
      </c>
      <c r="N320" s="4" t="b">
        <f aca="false">FALSE()</f>
        <v>0</v>
      </c>
      <c r="O320" s="1" t="s">
        <v>1364</v>
      </c>
      <c r="P320" s="4" t="b">
        <f aca="false">TRUE()</f>
        <v>1</v>
      </c>
      <c r="R320" s="1" t="s">
        <v>1263</v>
      </c>
      <c r="S320" s="1" t="s">
        <v>1365</v>
      </c>
      <c r="T320" s="1" t="s">
        <v>222</v>
      </c>
      <c r="U320" s="1" t="s">
        <v>223</v>
      </c>
    </row>
    <row r="321" customFormat="false" ht="48" hidden="false" customHeight="true" outlineLevel="0" collapsed="false">
      <c r="A321" s="1" t="s">
        <v>43</v>
      </c>
      <c r="B321" s="1" t="s">
        <v>212</v>
      </c>
      <c r="C321" s="1" t="s">
        <v>75</v>
      </c>
      <c r="D321" s="1" t="s">
        <v>1259</v>
      </c>
      <c r="E321" s="1" t="n">
        <v>32</v>
      </c>
      <c r="F321" s="1" t="s">
        <v>1366</v>
      </c>
      <c r="G321" s="1" t="s">
        <v>236</v>
      </c>
      <c r="H321" s="1" t="s">
        <v>1367</v>
      </c>
      <c r="I321" s="1" t="s">
        <v>306</v>
      </c>
      <c r="J321" s="1" t="s">
        <v>597</v>
      </c>
      <c r="K321" s="1" t="n">
        <v>16.95</v>
      </c>
      <c r="L321" s="1" t="n">
        <v>4.4</v>
      </c>
      <c r="M321" s="1" t="n">
        <v>15800</v>
      </c>
      <c r="N321" s="4" t="b">
        <f aca="false">FALSE()</f>
        <v>0</v>
      </c>
      <c r="O321" s="1" t="s">
        <v>1368</v>
      </c>
      <c r="P321" s="4" t="b">
        <f aca="false">TRUE()</f>
        <v>1</v>
      </c>
      <c r="Q321" s="1" t="s">
        <v>251</v>
      </c>
      <c r="R321" s="1" t="s">
        <v>1263</v>
      </c>
      <c r="S321" s="1" t="s">
        <v>1369</v>
      </c>
      <c r="T321" s="1" t="s">
        <v>222</v>
      </c>
      <c r="U321" s="1" t="s">
        <v>223</v>
      </c>
    </row>
    <row r="322" customFormat="false" ht="48" hidden="false" customHeight="true" outlineLevel="0" collapsed="false">
      <c r="A322" s="1" t="s">
        <v>43</v>
      </c>
      <c r="B322" s="1" t="s">
        <v>212</v>
      </c>
      <c r="C322" s="1" t="s">
        <v>75</v>
      </c>
      <c r="D322" s="1" t="s">
        <v>1259</v>
      </c>
      <c r="E322" s="1" t="n">
        <v>33</v>
      </c>
      <c r="F322" s="1" t="s">
        <v>1370</v>
      </c>
      <c r="G322" s="1" t="s">
        <v>236</v>
      </c>
      <c r="H322" s="1" t="s">
        <v>1371</v>
      </c>
      <c r="I322" s="1" t="s">
        <v>218</v>
      </c>
      <c r="J322" s="1" t="s">
        <v>310</v>
      </c>
      <c r="K322" s="1" t="n">
        <v>34.99</v>
      </c>
      <c r="L322" s="1" t="n">
        <v>4.6</v>
      </c>
      <c r="M322" s="1" t="n">
        <v>57600</v>
      </c>
      <c r="N322" s="4" t="b">
        <f aca="false">FALSE()</f>
        <v>0</v>
      </c>
      <c r="P322" s="4" t="b">
        <f aca="false">TRUE()</f>
        <v>1</v>
      </c>
      <c r="R322" s="1" t="s">
        <v>1263</v>
      </c>
      <c r="S322" s="1" t="s">
        <v>1372</v>
      </c>
      <c r="T322" s="1" t="s">
        <v>222</v>
      </c>
      <c r="U322" s="1" t="s">
        <v>223</v>
      </c>
    </row>
    <row r="323" customFormat="false" ht="48" hidden="false" customHeight="true" outlineLevel="0" collapsed="false">
      <c r="A323" s="1" t="s">
        <v>43</v>
      </c>
      <c r="B323" s="1" t="s">
        <v>212</v>
      </c>
      <c r="C323" s="1" t="s">
        <v>75</v>
      </c>
      <c r="D323" s="1" t="s">
        <v>1259</v>
      </c>
      <c r="E323" s="1" t="n">
        <v>34</v>
      </c>
      <c r="F323" s="1" t="s">
        <v>1373</v>
      </c>
      <c r="G323" s="1" t="s">
        <v>236</v>
      </c>
      <c r="H323" s="1" t="s">
        <v>1374</v>
      </c>
      <c r="I323" s="1" t="s">
        <v>218</v>
      </c>
      <c r="J323" s="1" t="s">
        <v>597</v>
      </c>
      <c r="K323" s="1" t="n">
        <v>27.99</v>
      </c>
      <c r="L323" s="1" t="n">
        <v>4.4</v>
      </c>
      <c r="M323" s="1" t="n">
        <v>889</v>
      </c>
      <c r="N323" s="4" t="b">
        <f aca="false">FALSE()</f>
        <v>0</v>
      </c>
      <c r="O323" s="1" t="s">
        <v>1375</v>
      </c>
      <c r="P323" s="4" t="b">
        <f aca="false">TRUE()</f>
        <v>1</v>
      </c>
      <c r="R323" s="1" t="s">
        <v>1263</v>
      </c>
      <c r="S323" s="1" t="s">
        <v>1376</v>
      </c>
      <c r="T323" s="1" t="s">
        <v>222</v>
      </c>
      <c r="U323" s="1" t="s">
        <v>223</v>
      </c>
    </row>
    <row r="324" customFormat="false" ht="48" hidden="false" customHeight="true" outlineLevel="0" collapsed="false">
      <c r="A324" s="1" t="s">
        <v>43</v>
      </c>
      <c r="B324" s="1" t="s">
        <v>212</v>
      </c>
      <c r="C324" s="1" t="s">
        <v>75</v>
      </c>
      <c r="D324" s="1" t="s">
        <v>1259</v>
      </c>
      <c r="E324" s="1" t="n">
        <v>35</v>
      </c>
      <c r="F324" s="1" t="s">
        <v>1377</v>
      </c>
      <c r="G324" s="1" t="s">
        <v>236</v>
      </c>
      <c r="H324" s="1" t="s">
        <v>1378</v>
      </c>
      <c r="I324" s="1" t="s">
        <v>1267</v>
      </c>
      <c r="J324" s="1" t="s">
        <v>597</v>
      </c>
      <c r="K324" s="1" t="n">
        <v>16.99</v>
      </c>
      <c r="L324" s="1" t="n">
        <v>4.6</v>
      </c>
      <c r="M324" s="1" t="n">
        <v>464</v>
      </c>
      <c r="N324" s="4" t="b">
        <f aca="false">FALSE()</f>
        <v>0</v>
      </c>
      <c r="P324" s="4" t="b">
        <f aca="false">TRUE()</f>
        <v>1</v>
      </c>
      <c r="R324" s="1" t="s">
        <v>1263</v>
      </c>
      <c r="S324" s="1" t="s">
        <v>1379</v>
      </c>
      <c r="T324" s="1" t="s">
        <v>222</v>
      </c>
      <c r="U324" s="1" t="s">
        <v>223</v>
      </c>
    </row>
    <row r="325" customFormat="false" ht="48" hidden="false" customHeight="true" outlineLevel="0" collapsed="false">
      <c r="A325" s="1" t="s">
        <v>43</v>
      </c>
      <c r="B325" s="1" t="s">
        <v>212</v>
      </c>
      <c r="C325" s="1" t="s">
        <v>75</v>
      </c>
      <c r="D325" s="1" t="s">
        <v>1259</v>
      </c>
      <c r="E325" s="1" t="n">
        <v>36</v>
      </c>
      <c r="F325" s="1" t="s">
        <v>1380</v>
      </c>
      <c r="G325" s="1" t="s">
        <v>236</v>
      </c>
      <c r="H325" s="1" t="s">
        <v>1381</v>
      </c>
      <c r="I325" s="1" t="s">
        <v>231</v>
      </c>
      <c r="J325" s="1" t="s">
        <v>597</v>
      </c>
      <c r="K325" s="1" t="n">
        <v>22.99</v>
      </c>
      <c r="L325" s="1" t="n">
        <v>4.6</v>
      </c>
      <c r="M325" s="1" t="n">
        <v>14</v>
      </c>
      <c r="N325" s="4" t="b">
        <f aca="false">FALSE()</f>
        <v>0</v>
      </c>
      <c r="O325" s="1" t="s">
        <v>247</v>
      </c>
      <c r="P325" s="4" t="b">
        <f aca="false">TRUE()</f>
        <v>1</v>
      </c>
      <c r="R325" s="1" t="s">
        <v>1263</v>
      </c>
      <c r="S325" s="1" t="s">
        <v>1382</v>
      </c>
      <c r="T325" s="1" t="s">
        <v>222</v>
      </c>
      <c r="U325" s="1" t="s">
        <v>223</v>
      </c>
    </row>
    <row r="326" customFormat="false" ht="48" hidden="false" customHeight="true" outlineLevel="0" collapsed="false">
      <c r="A326" s="1" t="s">
        <v>43</v>
      </c>
      <c r="B326" s="1" t="s">
        <v>212</v>
      </c>
      <c r="C326" s="1" t="s">
        <v>75</v>
      </c>
      <c r="D326" s="1" t="s">
        <v>1259</v>
      </c>
      <c r="E326" s="1" t="n">
        <v>37</v>
      </c>
      <c r="F326" s="1" t="s">
        <v>1383</v>
      </c>
      <c r="G326" s="1" t="s">
        <v>236</v>
      </c>
      <c r="H326" s="1" t="s">
        <v>1384</v>
      </c>
      <c r="I326" s="1" t="s">
        <v>1267</v>
      </c>
      <c r="J326" s="1" t="s">
        <v>310</v>
      </c>
      <c r="K326" s="1" t="n">
        <v>12.65</v>
      </c>
      <c r="L326" s="1" t="n">
        <v>4.3</v>
      </c>
      <c r="M326" s="1" t="n">
        <v>8900</v>
      </c>
      <c r="N326" s="4" t="b">
        <f aca="false">FALSE()</f>
        <v>0</v>
      </c>
      <c r="O326" s="1" t="s">
        <v>776</v>
      </c>
      <c r="P326" s="4" t="b">
        <f aca="false">TRUE()</f>
        <v>1</v>
      </c>
      <c r="Q326" s="1" t="s">
        <v>409</v>
      </c>
      <c r="R326" s="1" t="s">
        <v>1263</v>
      </c>
      <c r="S326" s="1" t="s">
        <v>1385</v>
      </c>
      <c r="T326" s="1" t="s">
        <v>222</v>
      </c>
      <c r="U326" s="1" t="s">
        <v>223</v>
      </c>
    </row>
    <row r="327" customFormat="false" ht="48" hidden="false" customHeight="true" outlineLevel="0" collapsed="false">
      <c r="A327" s="1" t="s">
        <v>43</v>
      </c>
      <c r="B327" s="1" t="s">
        <v>212</v>
      </c>
      <c r="C327" s="1" t="s">
        <v>75</v>
      </c>
      <c r="D327" s="1" t="s">
        <v>1259</v>
      </c>
      <c r="E327" s="1" t="n">
        <v>38</v>
      </c>
      <c r="F327" s="1" t="s">
        <v>1386</v>
      </c>
      <c r="G327" s="1" t="s">
        <v>236</v>
      </c>
      <c r="H327" s="1" t="s">
        <v>1387</v>
      </c>
      <c r="I327" s="1" t="s">
        <v>1267</v>
      </c>
      <c r="J327" s="1" t="s">
        <v>597</v>
      </c>
      <c r="K327" s="1" t="n">
        <v>56.96</v>
      </c>
      <c r="L327" s="1" t="n">
        <v>4.5</v>
      </c>
      <c r="M327" s="1" t="n">
        <v>366</v>
      </c>
      <c r="N327" s="4" t="b">
        <f aca="false">FALSE()</f>
        <v>0</v>
      </c>
      <c r="O327" s="1" t="s">
        <v>1388</v>
      </c>
      <c r="P327" s="4" t="b">
        <f aca="false">TRUE()</f>
        <v>1</v>
      </c>
      <c r="R327" s="1" t="s">
        <v>1263</v>
      </c>
      <c r="S327" s="1" t="s">
        <v>1389</v>
      </c>
      <c r="T327" s="1" t="s">
        <v>222</v>
      </c>
      <c r="U327" s="1" t="s">
        <v>223</v>
      </c>
    </row>
    <row r="328" customFormat="false" ht="48" hidden="false" customHeight="true" outlineLevel="0" collapsed="false">
      <c r="A328" s="1" t="s">
        <v>43</v>
      </c>
      <c r="B328" s="1" t="s">
        <v>212</v>
      </c>
      <c r="C328" s="1" t="s">
        <v>75</v>
      </c>
      <c r="D328" s="1" t="s">
        <v>1259</v>
      </c>
      <c r="E328" s="1" t="n">
        <v>39</v>
      </c>
      <c r="F328" s="1" t="s">
        <v>1390</v>
      </c>
      <c r="G328" s="1" t="s">
        <v>236</v>
      </c>
      <c r="H328" s="1" t="s">
        <v>1391</v>
      </c>
      <c r="I328" s="1" t="s">
        <v>1267</v>
      </c>
      <c r="J328" s="1" t="s">
        <v>584</v>
      </c>
      <c r="K328" s="1" t="n">
        <v>15.99</v>
      </c>
      <c r="L328" s="1" t="n">
        <v>4.7</v>
      </c>
      <c r="M328" s="1" t="n">
        <v>71</v>
      </c>
      <c r="N328" s="4" t="b">
        <f aca="false">FALSE()</f>
        <v>0</v>
      </c>
      <c r="P328" s="4" t="b">
        <f aca="false">TRUE()</f>
        <v>1</v>
      </c>
      <c r="R328" s="1" t="s">
        <v>1263</v>
      </c>
      <c r="S328" s="1" t="s">
        <v>1392</v>
      </c>
      <c r="T328" s="1" t="s">
        <v>222</v>
      </c>
      <c r="U328" s="1" t="s">
        <v>223</v>
      </c>
    </row>
    <row r="329" customFormat="false" ht="48" hidden="false" customHeight="true" outlineLevel="0" collapsed="false">
      <c r="A329" s="1" t="s">
        <v>43</v>
      </c>
      <c r="B329" s="1" t="s">
        <v>212</v>
      </c>
      <c r="C329" s="1" t="s">
        <v>75</v>
      </c>
      <c r="D329" s="1" t="s">
        <v>1259</v>
      </c>
      <c r="E329" s="1" t="n">
        <v>40</v>
      </c>
      <c r="F329" s="1" t="s">
        <v>1393</v>
      </c>
      <c r="G329" s="1" t="s">
        <v>236</v>
      </c>
      <c r="H329" s="1" t="s">
        <v>1394</v>
      </c>
      <c r="I329" s="1" t="s">
        <v>1267</v>
      </c>
      <c r="J329" s="1" t="s">
        <v>597</v>
      </c>
      <c r="K329" s="1" t="n">
        <v>31.18</v>
      </c>
      <c r="L329" s="1" t="n">
        <v>4.5</v>
      </c>
      <c r="M329" s="1" t="n">
        <v>490</v>
      </c>
      <c r="N329" s="4" t="b">
        <f aca="false">FALSE()</f>
        <v>0</v>
      </c>
      <c r="P329" s="4" t="b">
        <f aca="false">TRUE()</f>
        <v>1</v>
      </c>
      <c r="R329" s="1" t="s">
        <v>1263</v>
      </c>
      <c r="S329" s="1" t="s">
        <v>1395</v>
      </c>
      <c r="T329" s="1" t="s">
        <v>222</v>
      </c>
      <c r="U329" s="1" t="s">
        <v>223</v>
      </c>
    </row>
    <row r="330" customFormat="false" ht="48" hidden="false" customHeight="true" outlineLevel="0" collapsed="false">
      <c r="A330" s="1" t="s">
        <v>43</v>
      </c>
      <c r="B330" s="1" t="s">
        <v>212</v>
      </c>
      <c r="C330" s="1" t="s">
        <v>75</v>
      </c>
      <c r="D330" s="1" t="s">
        <v>1259</v>
      </c>
      <c r="E330" s="1" t="n">
        <v>41</v>
      </c>
      <c r="F330" s="1" t="s">
        <v>1396</v>
      </c>
      <c r="G330" s="1" t="s">
        <v>280</v>
      </c>
      <c r="H330" s="1" t="s">
        <v>1397</v>
      </c>
      <c r="I330" s="1" t="s">
        <v>218</v>
      </c>
      <c r="J330" s="1" t="s">
        <v>219</v>
      </c>
      <c r="K330" s="1" t="n">
        <v>29.65</v>
      </c>
      <c r="L330" s="1" t="n">
        <v>4.2</v>
      </c>
      <c r="M330" s="1" t="n">
        <v>3700</v>
      </c>
      <c r="N330" s="4" t="b">
        <f aca="false">FALSE()</f>
        <v>0</v>
      </c>
      <c r="O330" s="1" t="s">
        <v>1398</v>
      </c>
      <c r="P330" s="4" t="b">
        <f aca="false">TRUE()</f>
        <v>1</v>
      </c>
      <c r="R330" s="1" t="s">
        <v>1263</v>
      </c>
      <c r="S330" s="1" t="s">
        <v>1399</v>
      </c>
      <c r="T330" s="1" t="s">
        <v>222</v>
      </c>
      <c r="U330" s="1" t="s">
        <v>223</v>
      </c>
    </row>
    <row r="331" customFormat="false" ht="48" hidden="false" customHeight="true" outlineLevel="0" collapsed="false">
      <c r="A331" s="1" t="s">
        <v>43</v>
      </c>
      <c r="B331" s="1" t="s">
        <v>212</v>
      </c>
      <c r="C331" s="1" t="s">
        <v>75</v>
      </c>
      <c r="D331" s="1" t="s">
        <v>1259</v>
      </c>
      <c r="E331" s="1" t="n">
        <v>42</v>
      </c>
      <c r="F331" s="1" t="s">
        <v>1400</v>
      </c>
      <c r="G331" s="1" t="s">
        <v>1401</v>
      </c>
      <c r="H331" s="1" t="s">
        <v>1402</v>
      </c>
      <c r="I331" s="1" t="s">
        <v>218</v>
      </c>
      <c r="J331" s="1" t="s">
        <v>597</v>
      </c>
      <c r="K331" s="1" t="n">
        <v>16.99</v>
      </c>
      <c r="L331" s="1" t="n">
        <v>4.5</v>
      </c>
      <c r="M331" s="1" t="n">
        <v>1100</v>
      </c>
      <c r="N331" s="4" t="b">
        <f aca="false">FALSE()</f>
        <v>0</v>
      </c>
      <c r="P331" s="4" t="b">
        <f aca="false">TRUE()</f>
        <v>1</v>
      </c>
      <c r="R331" s="1" t="s">
        <v>1263</v>
      </c>
      <c r="S331" s="1" t="s">
        <v>1403</v>
      </c>
      <c r="T331" s="1" t="s">
        <v>222</v>
      </c>
      <c r="U331" s="1" t="s">
        <v>223</v>
      </c>
    </row>
    <row r="332" customFormat="false" ht="48" hidden="false" customHeight="true" outlineLevel="0" collapsed="false">
      <c r="A332" s="1" t="s">
        <v>43</v>
      </c>
      <c r="B332" s="1" t="s">
        <v>212</v>
      </c>
      <c r="C332" s="1" t="s">
        <v>75</v>
      </c>
      <c r="D332" s="1" t="s">
        <v>1259</v>
      </c>
      <c r="E332" s="1" t="n">
        <v>43</v>
      </c>
      <c r="F332" s="1" t="s">
        <v>1404</v>
      </c>
      <c r="G332" s="1" t="s">
        <v>236</v>
      </c>
      <c r="H332" s="1" t="s">
        <v>1405</v>
      </c>
      <c r="I332" s="1" t="s">
        <v>218</v>
      </c>
      <c r="J332" s="1" t="s">
        <v>597</v>
      </c>
      <c r="K332" s="1" t="n">
        <v>44.99</v>
      </c>
      <c r="L332" s="1" t="n">
        <v>4.1</v>
      </c>
      <c r="M332" s="1" t="n">
        <v>4400</v>
      </c>
      <c r="N332" s="4" t="b">
        <f aca="false">FALSE()</f>
        <v>0</v>
      </c>
      <c r="P332" s="4" t="b">
        <f aca="false">TRUE()</f>
        <v>1</v>
      </c>
      <c r="Q332" s="1" t="s">
        <v>435</v>
      </c>
      <c r="R332" s="1" t="s">
        <v>1263</v>
      </c>
      <c r="S332" s="1" t="s">
        <v>1406</v>
      </c>
      <c r="T332" s="1" t="s">
        <v>222</v>
      </c>
      <c r="U332" s="1" t="s">
        <v>223</v>
      </c>
    </row>
    <row r="333" customFormat="false" ht="48" hidden="false" customHeight="true" outlineLevel="0" collapsed="false">
      <c r="A333" s="1" t="s">
        <v>43</v>
      </c>
      <c r="B333" s="1" t="s">
        <v>212</v>
      </c>
      <c r="C333" s="1" t="s">
        <v>75</v>
      </c>
      <c r="D333" s="1" t="s">
        <v>1259</v>
      </c>
      <c r="E333" s="1" t="n">
        <v>44</v>
      </c>
      <c r="F333" s="1" t="s">
        <v>1407</v>
      </c>
      <c r="G333" s="1" t="s">
        <v>236</v>
      </c>
      <c r="H333" s="1" t="s">
        <v>1408</v>
      </c>
      <c r="I333" s="1" t="s">
        <v>231</v>
      </c>
      <c r="J333" s="1" t="s">
        <v>597</v>
      </c>
      <c r="K333" s="1" t="n">
        <v>31.34</v>
      </c>
      <c r="L333" s="1" t="n">
        <v>4.6</v>
      </c>
      <c r="M333" s="1" t="n">
        <v>343</v>
      </c>
      <c r="N333" s="4" t="b">
        <f aca="false">FALSE()</f>
        <v>0</v>
      </c>
      <c r="P333" s="4" t="b">
        <f aca="false">TRUE()</f>
        <v>1</v>
      </c>
      <c r="R333" s="1" t="s">
        <v>1263</v>
      </c>
      <c r="S333" s="1" t="s">
        <v>1409</v>
      </c>
      <c r="T333" s="1" t="s">
        <v>222</v>
      </c>
      <c r="U333" s="1" t="s">
        <v>223</v>
      </c>
    </row>
    <row r="334" customFormat="false" ht="48" hidden="false" customHeight="true" outlineLevel="0" collapsed="false">
      <c r="A334" s="1" t="s">
        <v>43</v>
      </c>
      <c r="B334" s="1" t="s">
        <v>212</v>
      </c>
      <c r="C334" s="1" t="s">
        <v>75</v>
      </c>
      <c r="D334" s="1" t="s">
        <v>1259</v>
      </c>
      <c r="E334" s="1" t="n">
        <v>45</v>
      </c>
      <c r="F334" s="1" t="s">
        <v>1410</v>
      </c>
      <c r="G334" s="1" t="s">
        <v>236</v>
      </c>
      <c r="H334" s="1" t="s">
        <v>1411</v>
      </c>
      <c r="I334" s="1" t="s">
        <v>218</v>
      </c>
      <c r="J334" s="1" t="s">
        <v>597</v>
      </c>
      <c r="K334" s="1" t="n">
        <v>27.99</v>
      </c>
      <c r="L334" s="1" t="n">
        <v>4.2</v>
      </c>
      <c r="M334" s="1" t="n">
        <v>629</v>
      </c>
      <c r="N334" s="4" t="b">
        <f aca="false">FALSE()</f>
        <v>0</v>
      </c>
      <c r="O334" s="1" t="s">
        <v>1412</v>
      </c>
      <c r="P334" s="4" t="b">
        <f aca="false">TRUE()</f>
        <v>1</v>
      </c>
      <c r="R334" s="1" t="s">
        <v>1263</v>
      </c>
      <c r="S334" s="1" t="s">
        <v>1413</v>
      </c>
      <c r="T334" s="1" t="s">
        <v>222</v>
      </c>
      <c r="U334" s="1" t="s">
        <v>223</v>
      </c>
    </row>
    <row r="335" customFormat="false" ht="48" hidden="false" customHeight="true" outlineLevel="0" collapsed="false">
      <c r="A335" s="1" t="s">
        <v>43</v>
      </c>
      <c r="B335" s="1" t="s">
        <v>212</v>
      </c>
      <c r="C335" s="1" t="s">
        <v>75</v>
      </c>
      <c r="D335" s="1" t="s">
        <v>1259</v>
      </c>
      <c r="E335" s="1" t="n">
        <v>46</v>
      </c>
      <c r="F335" s="1" t="s">
        <v>1414</v>
      </c>
      <c r="G335" s="1" t="s">
        <v>1415</v>
      </c>
      <c r="H335" s="1" t="s">
        <v>1416</v>
      </c>
      <c r="I335" s="1" t="s">
        <v>218</v>
      </c>
      <c r="J335" s="1" t="s">
        <v>689</v>
      </c>
      <c r="K335" s="1" t="n">
        <v>14.99</v>
      </c>
      <c r="L335" s="1" t="n">
        <v>4</v>
      </c>
      <c r="M335" s="1" t="n">
        <v>58</v>
      </c>
      <c r="N335" s="4" t="b">
        <f aca="false">FALSE()</f>
        <v>0</v>
      </c>
      <c r="P335" s="4" t="b">
        <f aca="false">TRUE()</f>
        <v>1</v>
      </c>
      <c r="R335" s="1" t="s">
        <v>1263</v>
      </c>
      <c r="S335" s="1" t="s">
        <v>1417</v>
      </c>
      <c r="T335" s="1" t="s">
        <v>222</v>
      </c>
      <c r="U335" s="1" t="s">
        <v>223</v>
      </c>
    </row>
    <row r="336" customFormat="false" ht="48" hidden="false" customHeight="true" outlineLevel="0" collapsed="false">
      <c r="A336" s="1" t="s">
        <v>43</v>
      </c>
      <c r="B336" s="1" t="s">
        <v>212</v>
      </c>
      <c r="C336" s="1" t="s">
        <v>75</v>
      </c>
      <c r="D336" s="1" t="s">
        <v>1259</v>
      </c>
      <c r="E336" s="1" t="n">
        <v>47</v>
      </c>
      <c r="F336" s="1" t="s">
        <v>1418</v>
      </c>
      <c r="G336" s="1" t="s">
        <v>236</v>
      </c>
      <c r="H336" s="1" t="s">
        <v>1419</v>
      </c>
      <c r="I336" s="1" t="s">
        <v>231</v>
      </c>
      <c r="J336" s="1" t="s">
        <v>597</v>
      </c>
      <c r="K336" s="1" t="n">
        <v>29.99</v>
      </c>
      <c r="L336" s="1" t="n">
        <v>4.2</v>
      </c>
      <c r="M336" s="1" t="n">
        <v>475</v>
      </c>
      <c r="N336" s="4" t="b">
        <f aca="false">FALSE()</f>
        <v>0</v>
      </c>
      <c r="O336" s="1" t="s">
        <v>1420</v>
      </c>
      <c r="P336" s="4" t="b">
        <f aca="false">TRUE()</f>
        <v>1</v>
      </c>
      <c r="R336" s="1" t="s">
        <v>1263</v>
      </c>
      <c r="S336" s="1" t="s">
        <v>1421</v>
      </c>
      <c r="T336" s="1" t="s">
        <v>222</v>
      </c>
      <c r="U336" s="1" t="s">
        <v>223</v>
      </c>
    </row>
    <row r="337" customFormat="false" ht="48" hidden="false" customHeight="true" outlineLevel="0" collapsed="false">
      <c r="A337" s="1" t="s">
        <v>43</v>
      </c>
      <c r="B337" s="1" t="s">
        <v>212</v>
      </c>
      <c r="C337" s="1" t="s">
        <v>75</v>
      </c>
      <c r="D337" s="1" t="s">
        <v>1259</v>
      </c>
      <c r="E337" s="1" t="n">
        <v>48</v>
      </c>
      <c r="F337" s="1" t="s">
        <v>1422</v>
      </c>
      <c r="G337" s="1" t="s">
        <v>229</v>
      </c>
      <c r="H337" s="1" t="s">
        <v>1423</v>
      </c>
      <c r="I337" s="1" t="s">
        <v>218</v>
      </c>
      <c r="J337" s="1" t="s">
        <v>310</v>
      </c>
      <c r="K337" s="1" t="n">
        <v>11.99</v>
      </c>
      <c r="L337" s="1" t="n">
        <v>4.6</v>
      </c>
      <c r="M337" s="1" t="n">
        <v>8100</v>
      </c>
      <c r="N337" s="4" t="b">
        <f aca="false">FALSE()</f>
        <v>0</v>
      </c>
      <c r="P337" s="4" t="b">
        <f aca="false">TRUE()</f>
        <v>1</v>
      </c>
      <c r="Q337" s="1" t="s">
        <v>233</v>
      </c>
      <c r="R337" s="1" t="s">
        <v>1263</v>
      </c>
      <c r="S337" s="1" t="s">
        <v>1424</v>
      </c>
      <c r="T337" s="1" t="s">
        <v>222</v>
      </c>
      <c r="U337" s="1" t="s">
        <v>223</v>
      </c>
    </row>
    <row r="338" customFormat="false" ht="48" hidden="false" customHeight="true" outlineLevel="0" collapsed="false">
      <c r="A338" s="1" t="s">
        <v>43</v>
      </c>
      <c r="B338" s="1" t="s">
        <v>212</v>
      </c>
      <c r="C338" s="1" t="s">
        <v>111</v>
      </c>
      <c r="D338" s="1" t="s">
        <v>1425</v>
      </c>
      <c r="E338" s="1" t="n">
        <v>1</v>
      </c>
      <c r="F338" s="1" t="s">
        <v>1426</v>
      </c>
      <c r="G338" s="1" t="s">
        <v>774</v>
      </c>
      <c r="H338" s="1" t="s">
        <v>1427</v>
      </c>
      <c r="I338" s="1" t="s">
        <v>218</v>
      </c>
      <c r="J338" s="1" t="s">
        <v>219</v>
      </c>
      <c r="K338" s="1" t="n">
        <v>32.98</v>
      </c>
      <c r="L338" s="1" t="n">
        <v>4.5</v>
      </c>
      <c r="M338" s="1" t="n">
        <v>45800</v>
      </c>
      <c r="N338" s="4" t="b">
        <f aca="false">FALSE()</f>
        <v>0</v>
      </c>
      <c r="O338" s="1" t="s">
        <v>1428</v>
      </c>
      <c r="P338" s="4" t="b">
        <f aca="false">TRUE()</f>
        <v>1</v>
      </c>
      <c r="Q338" s="1" t="s">
        <v>1429</v>
      </c>
      <c r="R338" s="1" t="s">
        <v>1430</v>
      </c>
      <c r="S338" s="1" t="s">
        <v>1431</v>
      </c>
      <c r="T338" s="1" t="s">
        <v>222</v>
      </c>
      <c r="U338" s="1" t="s">
        <v>223</v>
      </c>
    </row>
    <row r="339" customFormat="false" ht="48" hidden="false" customHeight="true" outlineLevel="0" collapsed="false">
      <c r="A339" s="1" t="s">
        <v>43</v>
      </c>
      <c r="B339" s="1" t="s">
        <v>212</v>
      </c>
      <c r="C339" s="1" t="s">
        <v>111</v>
      </c>
      <c r="D339" s="1" t="s">
        <v>1425</v>
      </c>
      <c r="E339" s="1" t="n">
        <v>2</v>
      </c>
      <c r="F339" s="1" t="s">
        <v>1432</v>
      </c>
      <c r="G339" s="1" t="s">
        <v>774</v>
      </c>
      <c r="H339" s="1" t="s">
        <v>1433</v>
      </c>
      <c r="I339" s="1" t="s">
        <v>242</v>
      </c>
      <c r="J339" s="1" t="s">
        <v>219</v>
      </c>
      <c r="K339" s="1" t="n">
        <v>31.99</v>
      </c>
      <c r="L339" s="1" t="n">
        <v>4.5</v>
      </c>
      <c r="M339" s="1" t="n">
        <v>45800</v>
      </c>
      <c r="N339" s="4" t="b">
        <f aca="false">FALSE()</f>
        <v>0</v>
      </c>
      <c r="O339" s="1" t="s">
        <v>1434</v>
      </c>
      <c r="P339" s="4" t="b">
        <f aca="false">TRUE()</f>
        <v>1</v>
      </c>
      <c r="Q339" s="1" t="s">
        <v>766</v>
      </c>
      <c r="R339" s="1" t="s">
        <v>1430</v>
      </c>
      <c r="S339" s="1" t="s">
        <v>1435</v>
      </c>
      <c r="T339" s="1" t="s">
        <v>222</v>
      </c>
      <c r="U339" s="1" t="s">
        <v>223</v>
      </c>
    </row>
    <row r="340" customFormat="false" ht="48" hidden="false" customHeight="true" outlineLevel="0" collapsed="false">
      <c r="A340" s="1" t="s">
        <v>43</v>
      </c>
      <c r="B340" s="1" t="s">
        <v>212</v>
      </c>
      <c r="C340" s="1" t="s">
        <v>111</v>
      </c>
      <c r="D340" s="1" t="s">
        <v>1425</v>
      </c>
      <c r="E340" s="1" t="n">
        <v>3</v>
      </c>
      <c r="F340" s="1" t="s">
        <v>1436</v>
      </c>
      <c r="G340" s="1" t="s">
        <v>216</v>
      </c>
      <c r="H340" s="1" t="s">
        <v>1437</v>
      </c>
      <c r="I340" s="1" t="s">
        <v>218</v>
      </c>
      <c r="J340" s="1" t="s">
        <v>219</v>
      </c>
      <c r="K340" s="1" t="n">
        <v>21.99</v>
      </c>
      <c r="L340" s="1" t="n">
        <v>4.5</v>
      </c>
      <c r="M340" s="1" t="n">
        <v>3600</v>
      </c>
      <c r="N340" s="4" t="b">
        <f aca="false">FALSE()</f>
        <v>0</v>
      </c>
      <c r="P340" s="4" t="b">
        <f aca="false">TRUE()</f>
        <v>1</v>
      </c>
      <c r="Q340" s="1" t="s">
        <v>711</v>
      </c>
      <c r="R340" s="1" t="s">
        <v>1430</v>
      </c>
      <c r="S340" s="1" t="s">
        <v>1438</v>
      </c>
      <c r="T340" s="1" t="s">
        <v>222</v>
      </c>
      <c r="U340" s="1" t="s">
        <v>223</v>
      </c>
    </row>
    <row r="341" customFormat="false" ht="48" hidden="false" customHeight="true" outlineLevel="0" collapsed="false">
      <c r="A341" s="1" t="s">
        <v>43</v>
      </c>
      <c r="B341" s="1" t="s">
        <v>212</v>
      </c>
      <c r="C341" s="1" t="s">
        <v>111</v>
      </c>
      <c r="D341" s="1" t="s">
        <v>1425</v>
      </c>
      <c r="E341" s="1" t="n">
        <v>4</v>
      </c>
      <c r="F341" s="1" t="s">
        <v>1439</v>
      </c>
      <c r="G341" s="1" t="s">
        <v>774</v>
      </c>
      <c r="H341" s="1" t="s">
        <v>1440</v>
      </c>
      <c r="I341" s="1" t="s">
        <v>218</v>
      </c>
      <c r="J341" s="1" t="s">
        <v>310</v>
      </c>
      <c r="K341" s="1" t="n">
        <v>29.44</v>
      </c>
      <c r="L341" s="1" t="n">
        <v>4.5</v>
      </c>
      <c r="M341" s="1" t="n">
        <v>63500</v>
      </c>
      <c r="N341" s="4" t="b">
        <f aca="false">FALSE()</f>
        <v>0</v>
      </c>
      <c r="O341" s="1" t="s">
        <v>1441</v>
      </c>
      <c r="P341" s="4" t="b">
        <f aca="false">TRUE()</f>
        <v>1</v>
      </c>
      <c r="Q341" s="1" t="s">
        <v>711</v>
      </c>
      <c r="R341" s="1" t="s">
        <v>1430</v>
      </c>
      <c r="S341" s="1" t="s">
        <v>1442</v>
      </c>
      <c r="T341" s="1" t="s">
        <v>222</v>
      </c>
      <c r="U341" s="1" t="s">
        <v>223</v>
      </c>
    </row>
    <row r="342" customFormat="false" ht="48" hidden="false" customHeight="true" outlineLevel="0" collapsed="false">
      <c r="A342" s="1" t="s">
        <v>43</v>
      </c>
      <c r="B342" s="1" t="s">
        <v>212</v>
      </c>
      <c r="C342" s="1" t="s">
        <v>111</v>
      </c>
      <c r="D342" s="1" t="s">
        <v>1425</v>
      </c>
      <c r="E342" s="1" t="n">
        <v>5</v>
      </c>
      <c r="F342" s="1" t="s">
        <v>911</v>
      </c>
      <c r="G342" s="1" t="s">
        <v>236</v>
      </c>
      <c r="H342" s="1" t="s">
        <v>912</v>
      </c>
      <c r="I342" s="1" t="s">
        <v>218</v>
      </c>
      <c r="J342" s="1" t="s">
        <v>219</v>
      </c>
      <c r="K342" s="1" t="n">
        <v>36.9</v>
      </c>
      <c r="L342" s="1" t="n">
        <v>4.5</v>
      </c>
      <c r="M342" s="1" t="n">
        <v>4000</v>
      </c>
      <c r="N342" s="4" t="b">
        <f aca="false">FALSE()</f>
        <v>0</v>
      </c>
      <c r="O342" s="1" t="s">
        <v>913</v>
      </c>
      <c r="P342" s="4" t="b">
        <f aca="false">TRUE()</f>
        <v>1</v>
      </c>
      <c r="Q342" s="1" t="s">
        <v>711</v>
      </c>
      <c r="R342" s="1" t="s">
        <v>1430</v>
      </c>
      <c r="S342" s="1" t="s">
        <v>914</v>
      </c>
      <c r="T342" s="1" t="s">
        <v>222</v>
      </c>
      <c r="U342" s="1" t="s">
        <v>223</v>
      </c>
    </row>
    <row r="343" customFormat="false" ht="48" hidden="false" customHeight="true" outlineLevel="0" collapsed="false">
      <c r="A343" s="1" t="s">
        <v>43</v>
      </c>
      <c r="B343" s="1" t="s">
        <v>212</v>
      </c>
      <c r="C343" s="1" t="s">
        <v>111</v>
      </c>
      <c r="D343" s="1" t="s">
        <v>1425</v>
      </c>
      <c r="E343" s="1" t="n">
        <v>6</v>
      </c>
      <c r="F343" s="1" t="s">
        <v>1443</v>
      </c>
      <c r="G343" s="1" t="s">
        <v>567</v>
      </c>
      <c r="H343" s="1" t="s">
        <v>1444</v>
      </c>
      <c r="I343" s="1" t="s">
        <v>218</v>
      </c>
      <c r="J343" s="1" t="s">
        <v>310</v>
      </c>
      <c r="K343" s="1" t="n">
        <v>21.91</v>
      </c>
      <c r="L343" s="1" t="n">
        <v>4.4</v>
      </c>
      <c r="M343" s="1" t="n">
        <v>1600</v>
      </c>
      <c r="N343" s="4" t="b">
        <f aca="false">FALSE()</f>
        <v>0</v>
      </c>
      <c r="P343" s="4" t="b">
        <f aca="false">TRUE()</f>
        <v>1</v>
      </c>
      <c r="Q343" s="1" t="s">
        <v>711</v>
      </c>
      <c r="R343" s="1" t="s">
        <v>1430</v>
      </c>
      <c r="S343" s="1" t="s">
        <v>1445</v>
      </c>
      <c r="T343" s="1" t="s">
        <v>222</v>
      </c>
      <c r="U343" s="1" t="s">
        <v>223</v>
      </c>
    </row>
    <row r="344" customFormat="false" ht="48" hidden="false" customHeight="true" outlineLevel="0" collapsed="false">
      <c r="A344" s="1" t="s">
        <v>43</v>
      </c>
      <c r="B344" s="1" t="s">
        <v>212</v>
      </c>
      <c r="C344" s="1" t="s">
        <v>111</v>
      </c>
      <c r="D344" s="1" t="s">
        <v>1425</v>
      </c>
      <c r="E344" s="1" t="n">
        <v>7</v>
      </c>
      <c r="F344" s="1" t="s">
        <v>1446</v>
      </c>
      <c r="G344" s="1" t="s">
        <v>1447</v>
      </c>
      <c r="H344" s="1" t="s">
        <v>1448</v>
      </c>
      <c r="I344" s="1" t="s">
        <v>218</v>
      </c>
      <c r="J344" s="1" t="s">
        <v>310</v>
      </c>
      <c r="K344" s="1" t="n">
        <v>35.99</v>
      </c>
      <c r="L344" s="1" t="n">
        <v>4.5</v>
      </c>
      <c r="M344" s="1" t="n">
        <v>31000</v>
      </c>
      <c r="N344" s="4" t="b">
        <f aca="false">FALSE()</f>
        <v>0</v>
      </c>
      <c r="O344" s="1" t="s">
        <v>311</v>
      </c>
      <c r="P344" s="4" t="b">
        <f aca="false">TRUE()</f>
        <v>1</v>
      </c>
      <c r="Q344" s="1" t="s">
        <v>777</v>
      </c>
      <c r="R344" s="1" t="s">
        <v>1430</v>
      </c>
      <c r="S344" s="1" t="s">
        <v>1449</v>
      </c>
      <c r="T344" s="1" t="s">
        <v>222</v>
      </c>
      <c r="U344" s="1" t="s">
        <v>223</v>
      </c>
    </row>
    <row r="345" customFormat="false" ht="48" hidden="false" customHeight="true" outlineLevel="0" collapsed="false">
      <c r="A345" s="1" t="s">
        <v>43</v>
      </c>
      <c r="B345" s="1" t="s">
        <v>212</v>
      </c>
      <c r="C345" s="1" t="s">
        <v>111</v>
      </c>
      <c r="D345" s="1" t="s">
        <v>1425</v>
      </c>
      <c r="E345" s="1" t="n">
        <v>8</v>
      </c>
      <c r="F345" s="1" t="s">
        <v>1450</v>
      </c>
      <c r="G345" s="1" t="s">
        <v>1451</v>
      </c>
      <c r="H345" s="1" t="s">
        <v>1452</v>
      </c>
      <c r="I345" s="1" t="s">
        <v>218</v>
      </c>
      <c r="J345" s="1" t="s">
        <v>219</v>
      </c>
      <c r="K345" s="1" t="n">
        <v>44.99</v>
      </c>
      <c r="L345" s="1" t="n">
        <v>4.6</v>
      </c>
      <c r="M345" s="1" t="n">
        <v>39600</v>
      </c>
      <c r="N345" s="4" t="b">
        <f aca="false">FALSE()</f>
        <v>0</v>
      </c>
      <c r="O345" s="1" t="s">
        <v>468</v>
      </c>
      <c r="P345" s="4" t="b">
        <f aca="false">TRUE()</f>
        <v>1</v>
      </c>
      <c r="Q345" s="1" t="s">
        <v>435</v>
      </c>
      <c r="R345" s="1" t="s">
        <v>1430</v>
      </c>
      <c r="S345" s="1" t="s">
        <v>1453</v>
      </c>
      <c r="T345" s="1" t="s">
        <v>222</v>
      </c>
      <c r="U345" s="1" t="s">
        <v>223</v>
      </c>
    </row>
    <row r="346" customFormat="false" ht="48" hidden="false" customHeight="true" outlineLevel="0" collapsed="false">
      <c r="A346" s="1" t="s">
        <v>43</v>
      </c>
      <c r="B346" s="1" t="s">
        <v>212</v>
      </c>
      <c r="C346" s="1" t="s">
        <v>111</v>
      </c>
      <c r="D346" s="1" t="s">
        <v>1425</v>
      </c>
      <c r="E346" s="1" t="n">
        <v>9</v>
      </c>
      <c r="F346" s="1" t="s">
        <v>1454</v>
      </c>
      <c r="G346" s="1" t="s">
        <v>236</v>
      </c>
      <c r="H346" s="1" t="s">
        <v>1455</v>
      </c>
      <c r="I346" s="1" t="s">
        <v>289</v>
      </c>
      <c r="J346" s="1" t="s">
        <v>310</v>
      </c>
      <c r="K346" s="1" t="n">
        <v>17.99</v>
      </c>
      <c r="L346" s="1" t="n">
        <v>4.4</v>
      </c>
      <c r="M346" s="1" t="n">
        <v>2000</v>
      </c>
      <c r="N346" s="4" t="b">
        <f aca="false">FALSE()</f>
        <v>0</v>
      </c>
      <c r="P346" s="4" t="b">
        <f aca="false">TRUE()</f>
        <v>1</v>
      </c>
      <c r="Q346" s="1" t="s">
        <v>439</v>
      </c>
      <c r="R346" s="1" t="s">
        <v>1430</v>
      </c>
      <c r="S346" s="1" t="s">
        <v>1456</v>
      </c>
      <c r="T346" s="1" t="s">
        <v>222</v>
      </c>
      <c r="U346" s="1" t="s">
        <v>223</v>
      </c>
    </row>
    <row r="347" customFormat="false" ht="48" hidden="false" customHeight="true" outlineLevel="0" collapsed="false">
      <c r="A347" s="1" t="s">
        <v>43</v>
      </c>
      <c r="B347" s="1" t="s">
        <v>212</v>
      </c>
      <c r="C347" s="1" t="s">
        <v>111</v>
      </c>
      <c r="D347" s="1" t="s">
        <v>1425</v>
      </c>
      <c r="E347" s="1" t="n">
        <v>10</v>
      </c>
      <c r="F347" s="1" t="s">
        <v>1457</v>
      </c>
      <c r="G347" s="1" t="s">
        <v>774</v>
      </c>
      <c r="H347" s="1" t="s">
        <v>1458</v>
      </c>
      <c r="I347" s="1" t="s">
        <v>289</v>
      </c>
      <c r="J347" s="1" t="s">
        <v>219</v>
      </c>
      <c r="K347" s="1" t="n">
        <v>24.29</v>
      </c>
      <c r="L347" s="1" t="n">
        <v>4.5</v>
      </c>
      <c r="M347" s="1" t="n">
        <v>45800</v>
      </c>
      <c r="N347" s="4" t="b">
        <f aca="false">FALSE()</f>
        <v>0</v>
      </c>
      <c r="O347" s="1" t="s">
        <v>1459</v>
      </c>
      <c r="P347" s="4" t="b">
        <f aca="false">TRUE()</f>
        <v>1</v>
      </c>
      <c r="Q347" s="1" t="s">
        <v>766</v>
      </c>
      <c r="R347" s="1" t="s">
        <v>1430</v>
      </c>
      <c r="S347" s="1" t="s">
        <v>1460</v>
      </c>
      <c r="T347" s="1" t="s">
        <v>222</v>
      </c>
      <c r="U347" s="1" t="s">
        <v>223</v>
      </c>
    </row>
    <row r="348" customFormat="false" ht="48" hidden="false" customHeight="true" outlineLevel="0" collapsed="false">
      <c r="A348" s="1" t="s">
        <v>43</v>
      </c>
      <c r="B348" s="1" t="s">
        <v>212</v>
      </c>
      <c r="C348" s="1" t="s">
        <v>111</v>
      </c>
      <c r="D348" s="1" t="s">
        <v>1425</v>
      </c>
      <c r="E348" s="1" t="n">
        <v>11</v>
      </c>
      <c r="F348" s="1" t="s">
        <v>1461</v>
      </c>
      <c r="G348" s="1" t="s">
        <v>236</v>
      </c>
      <c r="H348" s="1" t="s">
        <v>1462</v>
      </c>
      <c r="I348" s="1" t="s">
        <v>289</v>
      </c>
      <c r="J348" s="1" t="s">
        <v>219</v>
      </c>
      <c r="K348" s="1" t="n">
        <v>31.9</v>
      </c>
      <c r="L348" s="1" t="n">
        <v>4.5</v>
      </c>
      <c r="M348" s="1" t="n">
        <v>4000</v>
      </c>
      <c r="N348" s="4" t="b">
        <f aca="false">FALSE()</f>
        <v>0</v>
      </c>
      <c r="O348" s="1" t="s">
        <v>1463</v>
      </c>
      <c r="P348" s="4" t="b">
        <f aca="false">TRUE()</f>
        <v>1</v>
      </c>
      <c r="Q348" s="1" t="s">
        <v>439</v>
      </c>
      <c r="R348" s="1" t="s">
        <v>1430</v>
      </c>
      <c r="S348" s="1" t="s">
        <v>1464</v>
      </c>
      <c r="T348" s="1" t="s">
        <v>222</v>
      </c>
      <c r="U348" s="1" t="s">
        <v>223</v>
      </c>
    </row>
    <row r="349" customFormat="false" ht="48" hidden="false" customHeight="true" outlineLevel="0" collapsed="false">
      <c r="A349" s="1" t="s">
        <v>43</v>
      </c>
      <c r="B349" s="1" t="s">
        <v>212</v>
      </c>
      <c r="C349" s="1" t="s">
        <v>111</v>
      </c>
      <c r="D349" s="1" t="s">
        <v>1425</v>
      </c>
      <c r="E349" s="1" t="n">
        <v>12</v>
      </c>
      <c r="F349" s="1" t="s">
        <v>1465</v>
      </c>
      <c r="G349" s="1" t="s">
        <v>774</v>
      </c>
      <c r="H349" s="1" t="s">
        <v>1466</v>
      </c>
      <c r="I349" s="1" t="s">
        <v>218</v>
      </c>
      <c r="J349" s="1" t="s">
        <v>310</v>
      </c>
      <c r="K349" s="1" t="n">
        <v>28.49</v>
      </c>
      <c r="L349" s="1" t="n">
        <v>4.6</v>
      </c>
      <c r="M349" s="1" t="n">
        <v>176400</v>
      </c>
      <c r="N349" s="4" t="b">
        <f aca="false">FALSE()</f>
        <v>0</v>
      </c>
      <c r="O349" s="1" t="s">
        <v>1467</v>
      </c>
      <c r="P349" s="4" t="b">
        <f aca="false">TRUE()</f>
        <v>1</v>
      </c>
      <c r="Q349" s="1" t="s">
        <v>766</v>
      </c>
      <c r="R349" s="1" t="s">
        <v>1430</v>
      </c>
      <c r="S349" s="1" t="s">
        <v>1468</v>
      </c>
      <c r="T349" s="1" t="s">
        <v>222</v>
      </c>
      <c r="U349" s="1" t="s">
        <v>223</v>
      </c>
    </row>
    <row r="350" customFormat="false" ht="48" hidden="false" customHeight="true" outlineLevel="0" collapsed="false">
      <c r="A350" s="1" t="s">
        <v>43</v>
      </c>
      <c r="B350" s="1" t="s">
        <v>212</v>
      </c>
      <c r="C350" s="1" t="s">
        <v>111</v>
      </c>
      <c r="D350" s="1" t="s">
        <v>1425</v>
      </c>
      <c r="E350" s="1" t="n">
        <v>13</v>
      </c>
      <c r="F350" s="1" t="s">
        <v>1469</v>
      </c>
      <c r="G350" s="1" t="s">
        <v>236</v>
      </c>
      <c r="H350" s="1" t="s">
        <v>1470</v>
      </c>
      <c r="I350" s="1" t="s">
        <v>218</v>
      </c>
      <c r="J350" s="1" t="s">
        <v>219</v>
      </c>
      <c r="K350" s="1" t="n">
        <v>27.99</v>
      </c>
      <c r="L350" s="1" t="n">
        <v>4.4</v>
      </c>
      <c r="M350" s="1" t="n">
        <v>10800</v>
      </c>
      <c r="N350" s="4" t="b">
        <f aca="false">FALSE()</f>
        <v>0</v>
      </c>
      <c r="O350" s="1" t="s">
        <v>1471</v>
      </c>
      <c r="P350" s="4" t="b">
        <f aca="false">TRUE()</f>
        <v>1</v>
      </c>
      <c r="Q350" s="1" t="s">
        <v>711</v>
      </c>
      <c r="R350" s="1" t="s">
        <v>1430</v>
      </c>
      <c r="S350" s="1" t="s">
        <v>1472</v>
      </c>
      <c r="T350" s="1" t="s">
        <v>222</v>
      </c>
      <c r="U350" s="1" t="s">
        <v>223</v>
      </c>
    </row>
    <row r="351" customFormat="false" ht="48" hidden="false" customHeight="true" outlineLevel="0" collapsed="false">
      <c r="A351" s="1" t="s">
        <v>43</v>
      </c>
      <c r="B351" s="1" t="s">
        <v>212</v>
      </c>
      <c r="C351" s="1" t="s">
        <v>111</v>
      </c>
      <c r="D351" s="1" t="s">
        <v>1425</v>
      </c>
      <c r="E351" s="1" t="n">
        <v>14</v>
      </c>
      <c r="F351" s="1" t="s">
        <v>1473</v>
      </c>
      <c r="G351" s="1" t="s">
        <v>1447</v>
      </c>
      <c r="H351" s="1" t="s">
        <v>1474</v>
      </c>
      <c r="I351" s="1" t="s">
        <v>218</v>
      </c>
      <c r="J351" s="1" t="s">
        <v>310</v>
      </c>
      <c r="K351" s="1" t="n">
        <v>35.99</v>
      </c>
      <c r="L351" s="1" t="n">
        <v>4.6</v>
      </c>
      <c r="M351" s="1" t="n">
        <v>14200</v>
      </c>
      <c r="N351" s="4" t="b">
        <f aca="false">FALSE()</f>
        <v>0</v>
      </c>
      <c r="P351" s="4" t="b">
        <f aca="false">TRUE()</f>
        <v>1</v>
      </c>
      <c r="Q351" s="1" t="s">
        <v>439</v>
      </c>
      <c r="R351" s="1" t="s">
        <v>1430</v>
      </c>
      <c r="S351" s="1" t="s">
        <v>1475</v>
      </c>
      <c r="T351" s="1" t="s">
        <v>222</v>
      </c>
      <c r="U351" s="1" t="s">
        <v>223</v>
      </c>
    </row>
    <row r="352" customFormat="false" ht="48" hidden="false" customHeight="true" outlineLevel="0" collapsed="false">
      <c r="A352" s="1" t="s">
        <v>43</v>
      </c>
      <c r="B352" s="1" t="s">
        <v>212</v>
      </c>
      <c r="C352" s="1" t="s">
        <v>111</v>
      </c>
      <c r="D352" s="1" t="s">
        <v>1425</v>
      </c>
      <c r="E352" s="1" t="n">
        <v>15</v>
      </c>
      <c r="F352" s="1" t="s">
        <v>1476</v>
      </c>
      <c r="G352" s="1" t="s">
        <v>236</v>
      </c>
      <c r="H352" s="1" t="s">
        <v>1477</v>
      </c>
      <c r="I352" s="1" t="s">
        <v>218</v>
      </c>
      <c r="J352" s="1" t="s">
        <v>310</v>
      </c>
      <c r="K352" s="1" t="n">
        <v>37.59</v>
      </c>
      <c r="L352" s="1" t="n">
        <v>4.6</v>
      </c>
      <c r="M352" s="1" t="n">
        <v>2100</v>
      </c>
      <c r="N352" s="4" t="b">
        <f aca="false">FALSE()</f>
        <v>0</v>
      </c>
      <c r="O352" s="1" t="s">
        <v>1478</v>
      </c>
      <c r="P352" s="4" t="b">
        <f aca="false">TRUE()</f>
        <v>1</v>
      </c>
      <c r="Q352" s="1" t="s">
        <v>233</v>
      </c>
      <c r="R352" s="1" t="s">
        <v>1430</v>
      </c>
      <c r="S352" s="1" t="s">
        <v>1479</v>
      </c>
      <c r="T352" s="1" t="s">
        <v>222</v>
      </c>
      <c r="U352" s="1" t="s">
        <v>223</v>
      </c>
    </row>
    <row r="353" customFormat="false" ht="48" hidden="false" customHeight="true" outlineLevel="0" collapsed="false">
      <c r="A353" s="1" t="s">
        <v>43</v>
      </c>
      <c r="B353" s="1" t="s">
        <v>212</v>
      </c>
      <c r="C353" s="1" t="s">
        <v>111</v>
      </c>
      <c r="D353" s="1" t="s">
        <v>1425</v>
      </c>
      <c r="E353" s="1" t="n">
        <v>16</v>
      </c>
      <c r="F353" s="1" t="s">
        <v>1480</v>
      </c>
      <c r="G353" s="1" t="s">
        <v>236</v>
      </c>
      <c r="H353" s="1" t="s">
        <v>1481</v>
      </c>
      <c r="I353" s="1" t="s">
        <v>218</v>
      </c>
      <c r="J353" s="1" t="s">
        <v>310</v>
      </c>
      <c r="K353" s="1" t="n">
        <v>31.95</v>
      </c>
      <c r="L353" s="1" t="n">
        <v>4.6</v>
      </c>
      <c r="M353" s="1" t="n">
        <v>4600</v>
      </c>
      <c r="N353" s="4" t="b">
        <f aca="false">FALSE()</f>
        <v>0</v>
      </c>
      <c r="O353" s="1" t="s">
        <v>247</v>
      </c>
      <c r="P353" s="4" t="b">
        <f aca="false">TRUE()</f>
        <v>1</v>
      </c>
      <c r="Q353" s="1" t="s">
        <v>618</v>
      </c>
      <c r="R353" s="1" t="s">
        <v>1430</v>
      </c>
      <c r="S353" s="1" t="s">
        <v>1482</v>
      </c>
      <c r="T353" s="1" t="s">
        <v>222</v>
      </c>
      <c r="U353" s="1" t="s">
        <v>223</v>
      </c>
    </row>
    <row r="354" customFormat="false" ht="48" hidden="false" customHeight="true" outlineLevel="0" collapsed="false">
      <c r="A354" s="1" t="s">
        <v>43</v>
      </c>
      <c r="B354" s="1" t="s">
        <v>212</v>
      </c>
      <c r="C354" s="1" t="s">
        <v>111</v>
      </c>
      <c r="D354" s="1" t="s">
        <v>1425</v>
      </c>
      <c r="E354" s="1" t="n">
        <v>17</v>
      </c>
      <c r="F354" s="1" t="s">
        <v>1483</v>
      </c>
      <c r="G354" s="1" t="s">
        <v>236</v>
      </c>
      <c r="H354" s="1" t="s">
        <v>1484</v>
      </c>
      <c r="I354" s="1" t="s">
        <v>218</v>
      </c>
      <c r="J354" s="1" t="s">
        <v>310</v>
      </c>
      <c r="K354" s="1" t="n">
        <v>29.99</v>
      </c>
      <c r="L354" s="1" t="n">
        <v>4.4</v>
      </c>
      <c r="M354" s="1" t="n">
        <v>1600</v>
      </c>
      <c r="N354" s="4" t="b">
        <f aca="false">FALSE()</f>
        <v>0</v>
      </c>
      <c r="P354" s="4" t="b">
        <f aca="false">TRUE()</f>
        <v>1</v>
      </c>
      <c r="Q354" s="1" t="s">
        <v>251</v>
      </c>
      <c r="R354" s="1" t="s">
        <v>1430</v>
      </c>
      <c r="S354" s="1" t="s">
        <v>1485</v>
      </c>
      <c r="T354" s="1" t="s">
        <v>222</v>
      </c>
      <c r="U354" s="1" t="s">
        <v>223</v>
      </c>
    </row>
    <row r="355" customFormat="false" ht="48" hidden="false" customHeight="true" outlineLevel="0" collapsed="false">
      <c r="A355" s="1" t="s">
        <v>43</v>
      </c>
      <c r="B355" s="1" t="s">
        <v>212</v>
      </c>
      <c r="C355" s="1" t="s">
        <v>111</v>
      </c>
      <c r="D355" s="1" t="s">
        <v>1425</v>
      </c>
      <c r="E355" s="1" t="n">
        <v>18</v>
      </c>
      <c r="F355" s="1" t="s">
        <v>1486</v>
      </c>
      <c r="G355" s="1" t="s">
        <v>236</v>
      </c>
      <c r="H355" s="1" t="s">
        <v>1487</v>
      </c>
      <c r="I355" s="1" t="s">
        <v>242</v>
      </c>
      <c r="J355" s="1" t="s">
        <v>310</v>
      </c>
      <c r="K355" s="1" t="n">
        <v>21.99</v>
      </c>
      <c r="L355" s="1" t="n">
        <v>4.5</v>
      </c>
      <c r="M355" s="1" t="n">
        <v>16400</v>
      </c>
      <c r="N355" s="4" t="b">
        <f aca="false">FALSE()</f>
        <v>0</v>
      </c>
      <c r="P355" s="4" t="b">
        <f aca="false">TRUE()</f>
        <v>1</v>
      </c>
      <c r="Q355" s="1" t="s">
        <v>711</v>
      </c>
      <c r="R355" s="1" t="s">
        <v>1430</v>
      </c>
      <c r="S355" s="1" t="s">
        <v>1488</v>
      </c>
      <c r="T355" s="1" t="s">
        <v>222</v>
      </c>
      <c r="U355" s="1" t="s">
        <v>223</v>
      </c>
    </row>
    <row r="356" customFormat="false" ht="48" hidden="false" customHeight="true" outlineLevel="0" collapsed="false">
      <c r="A356" s="1" t="s">
        <v>43</v>
      </c>
      <c r="B356" s="1" t="s">
        <v>212</v>
      </c>
      <c r="C356" s="1" t="s">
        <v>111</v>
      </c>
      <c r="D356" s="1" t="s">
        <v>1425</v>
      </c>
      <c r="E356" s="1" t="n">
        <v>19</v>
      </c>
      <c r="F356" s="1" t="s">
        <v>1489</v>
      </c>
      <c r="G356" s="1" t="s">
        <v>236</v>
      </c>
      <c r="H356" s="1" t="s">
        <v>1490</v>
      </c>
      <c r="I356" s="1" t="s">
        <v>218</v>
      </c>
      <c r="J356" s="1" t="s">
        <v>310</v>
      </c>
      <c r="K356" s="1" t="n">
        <v>21.99</v>
      </c>
      <c r="L356" s="1" t="n">
        <v>4.5</v>
      </c>
      <c r="M356" s="1" t="n">
        <v>1700</v>
      </c>
      <c r="N356" s="4" t="b">
        <f aca="false">FALSE()</f>
        <v>0</v>
      </c>
      <c r="P356" s="4" t="b">
        <f aca="false">TRUE()</f>
        <v>1</v>
      </c>
      <c r="Q356" s="1" t="s">
        <v>451</v>
      </c>
      <c r="R356" s="1" t="s">
        <v>1430</v>
      </c>
      <c r="S356" s="1" t="s">
        <v>1491</v>
      </c>
      <c r="T356" s="1" t="s">
        <v>222</v>
      </c>
      <c r="U356" s="1" t="s">
        <v>223</v>
      </c>
    </row>
    <row r="357" customFormat="false" ht="48" hidden="false" customHeight="true" outlineLevel="0" collapsed="false">
      <c r="A357" s="1" t="s">
        <v>43</v>
      </c>
      <c r="B357" s="1" t="s">
        <v>212</v>
      </c>
      <c r="C357" s="1" t="s">
        <v>111</v>
      </c>
      <c r="D357" s="1" t="s">
        <v>1425</v>
      </c>
      <c r="E357" s="1" t="n">
        <v>20</v>
      </c>
      <c r="F357" s="1" t="s">
        <v>1492</v>
      </c>
      <c r="G357" s="1" t="s">
        <v>774</v>
      </c>
      <c r="H357" s="1" t="s">
        <v>1493</v>
      </c>
      <c r="I357" s="1" t="s">
        <v>218</v>
      </c>
      <c r="J357" s="1" t="s">
        <v>310</v>
      </c>
      <c r="K357" s="1" t="n">
        <v>25.99</v>
      </c>
      <c r="L357" s="1" t="n">
        <v>4.5</v>
      </c>
      <c r="M357" s="1" t="n">
        <v>3700</v>
      </c>
      <c r="N357" s="4" t="b">
        <f aca="false">FALSE()</f>
        <v>0</v>
      </c>
      <c r="O357" s="1" t="s">
        <v>1494</v>
      </c>
      <c r="P357" s="4" t="b">
        <f aca="false">TRUE()</f>
        <v>1</v>
      </c>
      <c r="Q357" s="1" t="s">
        <v>233</v>
      </c>
      <c r="R357" s="1" t="s">
        <v>1430</v>
      </c>
      <c r="S357" s="1" t="s">
        <v>1495</v>
      </c>
      <c r="T357" s="1" t="s">
        <v>222</v>
      </c>
      <c r="U357" s="1" t="s">
        <v>223</v>
      </c>
    </row>
    <row r="358" customFormat="false" ht="48" hidden="false" customHeight="true" outlineLevel="0" collapsed="false">
      <c r="A358" s="1" t="s">
        <v>43</v>
      </c>
      <c r="B358" s="1" t="s">
        <v>212</v>
      </c>
      <c r="C358" s="1" t="s">
        <v>111</v>
      </c>
      <c r="D358" s="1" t="s">
        <v>1425</v>
      </c>
      <c r="E358" s="1" t="n">
        <v>21</v>
      </c>
      <c r="F358" s="1" t="s">
        <v>1496</v>
      </c>
      <c r="G358" s="1" t="s">
        <v>774</v>
      </c>
      <c r="H358" s="1" t="s">
        <v>1497</v>
      </c>
      <c r="I358" s="1" t="s">
        <v>218</v>
      </c>
      <c r="J358" s="1" t="s">
        <v>310</v>
      </c>
      <c r="K358" s="1" t="n">
        <v>71.99</v>
      </c>
      <c r="L358" s="1" t="n">
        <v>4.5</v>
      </c>
      <c r="M358" s="1" t="n">
        <v>129900</v>
      </c>
      <c r="N358" s="4" t="b">
        <f aca="false">FALSE()</f>
        <v>0</v>
      </c>
      <c r="P358" s="4" t="b">
        <f aca="false">TRUE()</f>
        <v>1</v>
      </c>
      <c r="Q358" s="1" t="s">
        <v>451</v>
      </c>
      <c r="R358" s="1" t="s">
        <v>1430</v>
      </c>
      <c r="S358" s="1" t="s">
        <v>1498</v>
      </c>
      <c r="T358" s="1" t="s">
        <v>222</v>
      </c>
      <c r="U358" s="1" t="s">
        <v>223</v>
      </c>
    </row>
    <row r="359" customFormat="false" ht="48" hidden="false" customHeight="true" outlineLevel="0" collapsed="false">
      <c r="A359" s="1" t="s">
        <v>43</v>
      </c>
      <c r="B359" s="1" t="s">
        <v>212</v>
      </c>
      <c r="C359" s="1" t="s">
        <v>111</v>
      </c>
      <c r="D359" s="1" t="s">
        <v>1425</v>
      </c>
      <c r="E359" s="1" t="n">
        <v>22</v>
      </c>
      <c r="F359" s="1" t="s">
        <v>1499</v>
      </c>
      <c r="G359" s="1" t="s">
        <v>236</v>
      </c>
      <c r="H359" s="1" t="s">
        <v>1500</v>
      </c>
      <c r="I359" s="1" t="s">
        <v>218</v>
      </c>
      <c r="J359" s="1" t="s">
        <v>219</v>
      </c>
      <c r="K359" s="1" t="n">
        <v>28.99</v>
      </c>
      <c r="L359" s="1" t="n">
        <v>4.5</v>
      </c>
      <c r="M359" s="1" t="n">
        <v>6400</v>
      </c>
      <c r="N359" s="4" t="b">
        <f aca="false">FALSE()</f>
        <v>0</v>
      </c>
      <c r="O359" s="1" t="s">
        <v>247</v>
      </c>
      <c r="P359" s="4" t="b">
        <f aca="false">TRUE()</f>
        <v>1</v>
      </c>
      <c r="Q359" s="1" t="s">
        <v>439</v>
      </c>
      <c r="R359" s="1" t="s">
        <v>1430</v>
      </c>
      <c r="S359" s="1" t="s">
        <v>1501</v>
      </c>
      <c r="T359" s="1" t="s">
        <v>222</v>
      </c>
      <c r="U359" s="1" t="s">
        <v>223</v>
      </c>
    </row>
    <row r="360" customFormat="false" ht="48" hidden="false" customHeight="true" outlineLevel="0" collapsed="false">
      <c r="A360" s="1" t="s">
        <v>43</v>
      </c>
      <c r="B360" s="1" t="s">
        <v>212</v>
      </c>
      <c r="C360" s="1" t="s">
        <v>111</v>
      </c>
      <c r="D360" s="1" t="s">
        <v>1425</v>
      </c>
      <c r="E360" s="1" t="n">
        <v>23</v>
      </c>
      <c r="F360" s="1" t="s">
        <v>1502</v>
      </c>
      <c r="G360" s="1" t="s">
        <v>774</v>
      </c>
      <c r="H360" s="1" t="s">
        <v>1503</v>
      </c>
      <c r="I360" s="1" t="s">
        <v>306</v>
      </c>
      <c r="J360" s="1" t="s">
        <v>310</v>
      </c>
      <c r="K360" s="1" t="n">
        <v>38.75</v>
      </c>
      <c r="L360" s="1" t="n">
        <v>4.5</v>
      </c>
      <c r="M360" s="1" t="n">
        <v>23500</v>
      </c>
      <c r="N360" s="4" t="b">
        <f aca="false">FALSE()</f>
        <v>0</v>
      </c>
      <c r="O360" s="1" t="s">
        <v>1504</v>
      </c>
      <c r="P360" s="4" t="b">
        <f aca="false">TRUE()</f>
        <v>1</v>
      </c>
      <c r="Q360" s="1" t="s">
        <v>618</v>
      </c>
      <c r="R360" s="1" t="s">
        <v>1430</v>
      </c>
      <c r="S360" s="1" t="s">
        <v>1505</v>
      </c>
      <c r="T360" s="1" t="s">
        <v>222</v>
      </c>
      <c r="U360" s="1" t="s">
        <v>223</v>
      </c>
    </row>
    <row r="361" customFormat="false" ht="48" hidden="false" customHeight="true" outlineLevel="0" collapsed="false">
      <c r="A361" s="1" t="s">
        <v>43</v>
      </c>
      <c r="B361" s="1" t="s">
        <v>212</v>
      </c>
      <c r="C361" s="1" t="s">
        <v>111</v>
      </c>
      <c r="D361" s="1" t="s">
        <v>1425</v>
      </c>
      <c r="E361" s="1" t="n">
        <v>24</v>
      </c>
      <c r="F361" s="1" t="s">
        <v>1506</v>
      </c>
      <c r="G361" s="1" t="s">
        <v>236</v>
      </c>
      <c r="H361" s="1" t="s">
        <v>1507</v>
      </c>
      <c r="I361" s="1" t="s">
        <v>218</v>
      </c>
      <c r="J361" s="1" t="s">
        <v>310</v>
      </c>
      <c r="K361" s="1" t="n">
        <v>21.99</v>
      </c>
      <c r="L361" s="1" t="n">
        <v>4.3</v>
      </c>
      <c r="M361" s="1" t="n">
        <v>145</v>
      </c>
      <c r="N361" s="4" t="b">
        <f aca="false">FALSE()</f>
        <v>0</v>
      </c>
      <c r="P361" s="4" t="b">
        <f aca="false">TRUE()</f>
        <v>1</v>
      </c>
      <c r="Q361" s="1" t="s">
        <v>435</v>
      </c>
      <c r="R361" s="1" t="s">
        <v>1430</v>
      </c>
      <c r="S361" s="1" t="s">
        <v>1508</v>
      </c>
      <c r="T361" s="1" t="s">
        <v>222</v>
      </c>
      <c r="U361" s="1" t="s">
        <v>223</v>
      </c>
    </row>
    <row r="362" customFormat="false" ht="48" hidden="false" customHeight="true" outlineLevel="0" collapsed="false">
      <c r="A362" s="1" t="s">
        <v>43</v>
      </c>
      <c r="B362" s="1" t="s">
        <v>212</v>
      </c>
      <c r="C362" s="1" t="s">
        <v>111</v>
      </c>
      <c r="D362" s="1" t="s">
        <v>1425</v>
      </c>
      <c r="E362" s="1" t="n">
        <v>25</v>
      </c>
      <c r="F362" s="1" t="s">
        <v>1509</v>
      </c>
      <c r="G362" s="1" t="s">
        <v>236</v>
      </c>
      <c r="H362" s="1" t="s">
        <v>1510</v>
      </c>
      <c r="I362" s="1" t="s">
        <v>218</v>
      </c>
      <c r="J362" s="1" t="s">
        <v>219</v>
      </c>
      <c r="K362" s="1" t="n">
        <v>64.99</v>
      </c>
      <c r="L362" s="1" t="n">
        <v>4.6</v>
      </c>
      <c r="M362" s="1" t="n">
        <v>2800</v>
      </c>
      <c r="N362" s="4" t="b">
        <f aca="false">FALSE()</f>
        <v>0</v>
      </c>
      <c r="P362" s="4" t="b">
        <f aca="false">TRUE()</f>
        <v>1</v>
      </c>
      <c r="Q362" s="1" t="s">
        <v>233</v>
      </c>
      <c r="R362" s="1" t="s">
        <v>1430</v>
      </c>
      <c r="S362" s="1" t="s">
        <v>1511</v>
      </c>
      <c r="T362" s="1" t="s">
        <v>222</v>
      </c>
      <c r="U362" s="1" t="s">
        <v>223</v>
      </c>
    </row>
    <row r="363" customFormat="false" ht="48" hidden="false" customHeight="true" outlineLevel="0" collapsed="false">
      <c r="A363" s="1" t="s">
        <v>43</v>
      </c>
      <c r="B363" s="1" t="s">
        <v>212</v>
      </c>
      <c r="C363" s="1" t="s">
        <v>111</v>
      </c>
      <c r="D363" s="1" t="s">
        <v>1425</v>
      </c>
      <c r="E363" s="1" t="n">
        <v>26</v>
      </c>
      <c r="F363" s="1" t="s">
        <v>1512</v>
      </c>
      <c r="G363" s="1" t="s">
        <v>236</v>
      </c>
      <c r="H363" s="1" t="s">
        <v>1513</v>
      </c>
      <c r="I363" s="1" t="s">
        <v>218</v>
      </c>
      <c r="J363" s="1" t="s">
        <v>310</v>
      </c>
      <c r="K363" s="1" t="n">
        <v>21.99</v>
      </c>
      <c r="L363" s="1" t="n">
        <v>4.5</v>
      </c>
      <c r="M363" s="1" t="n">
        <v>3200</v>
      </c>
      <c r="N363" s="4" t="b">
        <f aca="false">FALSE()</f>
        <v>0</v>
      </c>
      <c r="P363" s="4" t="b">
        <f aca="false">TRUE()</f>
        <v>1</v>
      </c>
      <c r="Q363" s="1" t="s">
        <v>435</v>
      </c>
      <c r="R363" s="1" t="s">
        <v>1430</v>
      </c>
      <c r="S363" s="1" t="s">
        <v>1514</v>
      </c>
      <c r="T363" s="1" t="s">
        <v>222</v>
      </c>
      <c r="U363" s="1" t="s">
        <v>223</v>
      </c>
    </row>
    <row r="364" customFormat="false" ht="48" hidden="false" customHeight="true" outlineLevel="0" collapsed="false">
      <c r="A364" s="1" t="s">
        <v>43</v>
      </c>
      <c r="B364" s="1" t="s">
        <v>212</v>
      </c>
      <c r="C364" s="1" t="s">
        <v>111</v>
      </c>
      <c r="D364" s="1" t="s">
        <v>1425</v>
      </c>
      <c r="E364" s="1" t="n">
        <v>27</v>
      </c>
      <c r="F364" s="1" t="s">
        <v>1515</v>
      </c>
      <c r="G364" s="1" t="s">
        <v>236</v>
      </c>
      <c r="H364" s="1" t="s">
        <v>1516</v>
      </c>
      <c r="I364" s="1" t="s">
        <v>218</v>
      </c>
      <c r="J364" s="1" t="s">
        <v>310</v>
      </c>
      <c r="K364" s="1" t="n">
        <v>28.9</v>
      </c>
      <c r="L364" s="1" t="n">
        <v>4.4</v>
      </c>
      <c r="M364" s="1" t="n">
        <v>835</v>
      </c>
      <c r="N364" s="4" t="b">
        <f aca="false">FALSE()</f>
        <v>0</v>
      </c>
      <c r="P364" s="4" t="b">
        <f aca="false">TRUE()</f>
        <v>1</v>
      </c>
      <c r="Q364" s="1" t="s">
        <v>451</v>
      </c>
      <c r="R364" s="1" t="s">
        <v>1430</v>
      </c>
      <c r="S364" s="1" t="s">
        <v>1517</v>
      </c>
      <c r="T364" s="1" t="s">
        <v>222</v>
      </c>
      <c r="U364" s="1" t="s">
        <v>223</v>
      </c>
    </row>
    <row r="365" customFormat="false" ht="48" hidden="false" customHeight="true" outlineLevel="0" collapsed="false">
      <c r="A365" s="1" t="s">
        <v>43</v>
      </c>
      <c r="B365" s="1" t="s">
        <v>212</v>
      </c>
      <c r="C365" s="1" t="s">
        <v>111</v>
      </c>
      <c r="D365" s="1" t="s">
        <v>1425</v>
      </c>
      <c r="E365" s="1" t="n">
        <v>28</v>
      </c>
      <c r="F365" s="1" t="s">
        <v>1518</v>
      </c>
      <c r="G365" s="1" t="s">
        <v>1519</v>
      </c>
      <c r="H365" s="1" t="s">
        <v>1520</v>
      </c>
      <c r="I365" s="1" t="s">
        <v>218</v>
      </c>
      <c r="J365" s="1" t="s">
        <v>310</v>
      </c>
      <c r="K365" s="1" t="n">
        <v>40.05</v>
      </c>
      <c r="L365" s="1" t="n">
        <v>4.4</v>
      </c>
      <c r="M365" s="1" t="n">
        <v>10000</v>
      </c>
      <c r="N365" s="4" t="b">
        <f aca="false">FALSE()</f>
        <v>0</v>
      </c>
      <c r="P365" s="4" t="b">
        <f aca="false">TRUE()</f>
        <v>1</v>
      </c>
      <c r="R365" s="1" t="s">
        <v>1430</v>
      </c>
      <c r="S365" s="1" t="s">
        <v>1521</v>
      </c>
      <c r="T365" s="1" t="s">
        <v>222</v>
      </c>
      <c r="U365" s="1" t="s">
        <v>223</v>
      </c>
    </row>
    <row r="366" customFormat="false" ht="48" hidden="false" customHeight="true" outlineLevel="0" collapsed="false">
      <c r="A366" s="1" t="s">
        <v>43</v>
      </c>
      <c r="B366" s="1" t="s">
        <v>212</v>
      </c>
      <c r="C366" s="1" t="s">
        <v>111</v>
      </c>
      <c r="D366" s="1" t="s">
        <v>1425</v>
      </c>
      <c r="E366" s="1" t="n">
        <v>29</v>
      </c>
      <c r="F366" s="1" t="s">
        <v>1522</v>
      </c>
      <c r="G366" s="1" t="s">
        <v>236</v>
      </c>
      <c r="H366" s="1" t="s">
        <v>1523</v>
      </c>
      <c r="I366" s="1" t="s">
        <v>242</v>
      </c>
      <c r="J366" s="1" t="s">
        <v>310</v>
      </c>
      <c r="K366" s="1" t="n">
        <v>36.99</v>
      </c>
      <c r="L366" s="1" t="n">
        <v>4.4</v>
      </c>
      <c r="M366" s="1" t="n">
        <v>151</v>
      </c>
      <c r="N366" s="4" t="b">
        <f aca="false">FALSE()</f>
        <v>0</v>
      </c>
      <c r="O366" s="1" t="s">
        <v>247</v>
      </c>
      <c r="P366" s="4" t="b">
        <f aca="false">TRUE()</f>
        <v>1</v>
      </c>
      <c r="R366" s="1" t="s">
        <v>1430</v>
      </c>
      <c r="S366" s="1" t="s">
        <v>1524</v>
      </c>
      <c r="T366" s="1" t="s">
        <v>222</v>
      </c>
      <c r="U366" s="1" t="s">
        <v>223</v>
      </c>
    </row>
    <row r="367" customFormat="false" ht="48" hidden="false" customHeight="true" outlineLevel="0" collapsed="false">
      <c r="A367" s="1" t="s">
        <v>43</v>
      </c>
      <c r="B367" s="1" t="s">
        <v>212</v>
      </c>
      <c r="C367" s="1" t="s">
        <v>111</v>
      </c>
      <c r="D367" s="1" t="s">
        <v>1425</v>
      </c>
      <c r="E367" s="1" t="n">
        <v>30</v>
      </c>
      <c r="F367" s="1" t="s">
        <v>1525</v>
      </c>
      <c r="G367" s="1" t="s">
        <v>236</v>
      </c>
      <c r="H367" s="1" t="s">
        <v>1526</v>
      </c>
      <c r="I367" s="1" t="s">
        <v>289</v>
      </c>
      <c r="J367" s="1" t="s">
        <v>310</v>
      </c>
      <c r="K367" s="1" t="n">
        <v>18.99</v>
      </c>
      <c r="L367" s="1" t="n">
        <v>4.4</v>
      </c>
      <c r="M367" s="1" t="n">
        <v>1000</v>
      </c>
      <c r="N367" s="4" t="b">
        <f aca="false">FALSE()</f>
        <v>0</v>
      </c>
      <c r="O367" s="1" t="s">
        <v>1527</v>
      </c>
      <c r="P367" s="4" t="b">
        <f aca="false">TRUE()</f>
        <v>1</v>
      </c>
      <c r="Q367" s="1" t="s">
        <v>233</v>
      </c>
      <c r="R367" s="1" t="s">
        <v>1430</v>
      </c>
      <c r="S367" s="1" t="s">
        <v>1528</v>
      </c>
      <c r="T367" s="1" t="s">
        <v>222</v>
      </c>
      <c r="U367" s="1" t="s">
        <v>223</v>
      </c>
    </row>
    <row r="368" customFormat="false" ht="48" hidden="false" customHeight="true" outlineLevel="0" collapsed="false">
      <c r="A368" s="1" t="s">
        <v>43</v>
      </c>
      <c r="B368" s="1" t="s">
        <v>212</v>
      </c>
      <c r="C368" s="1" t="s">
        <v>111</v>
      </c>
      <c r="D368" s="1" t="s">
        <v>1425</v>
      </c>
      <c r="E368" s="1" t="n">
        <v>31</v>
      </c>
      <c r="F368" s="1" t="s">
        <v>1529</v>
      </c>
      <c r="G368" s="1" t="s">
        <v>1447</v>
      </c>
      <c r="H368" s="1" t="s">
        <v>1530</v>
      </c>
      <c r="I368" s="1" t="s">
        <v>218</v>
      </c>
      <c r="J368" s="1" t="s">
        <v>310</v>
      </c>
      <c r="K368" s="1" t="n">
        <v>39.99</v>
      </c>
      <c r="L368" s="1" t="n">
        <v>4.5</v>
      </c>
      <c r="M368" s="1" t="n">
        <v>31000</v>
      </c>
      <c r="N368" s="4" t="b">
        <f aca="false">FALSE()</f>
        <v>0</v>
      </c>
      <c r="P368" s="4" t="b">
        <f aca="false">TRUE()</f>
        <v>1</v>
      </c>
      <c r="Q368" s="1" t="s">
        <v>233</v>
      </c>
      <c r="R368" s="1" t="s">
        <v>1430</v>
      </c>
      <c r="S368" s="1" t="s">
        <v>1531</v>
      </c>
      <c r="T368" s="1" t="s">
        <v>222</v>
      </c>
      <c r="U368" s="1" t="s">
        <v>223</v>
      </c>
    </row>
    <row r="369" customFormat="false" ht="48" hidden="false" customHeight="true" outlineLevel="0" collapsed="false">
      <c r="A369" s="1" t="s">
        <v>43</v>
      </c>
      <c r="B369" s="1" t="s">
        <v>212</v>
      </c>
      <c r="C369" s="1" t="s">
        <v>111</v>
      </c>
      <c r="D369" s="1" t="s">
        <v>1425</v>
      </c>
      <c r="E369" s="1" t="n">
        <v>32</v>
      </c>
      <c r="F369" s="1" t="s">
        <v>1532</v>
      </c>
      <c r="G369" s="1" t="s">
        <v>236</v>
      </c>
      <c r="H369" s="1" t="s">
        <v>1533</v>
      </c>
      <c r="I369" s="1" t="s">
        <v>218</v>
      </c>
      <c r="J369" s="1" t="s">
        <v>310</v>
      </c>
      <c r="K369" s="1" t="n">
        <v>47.99</v>
      </c>
      <c r="L369" s="1" t="n">
        <v>4.7</v>
      </c>
      <c r="M369" s="1" t="n">
        <v>149</v>
      </c>
      <c r="N369" s="4" t="b">
        <f aca="false">FALSE()</f>
        <v>0</v>
      </c>
      <c r="O369" s="1" t="s">
        <v>1534</v>
      </c>
      <c r="P369" s="4" t="b">
        <f aca="false">TRUE()</f>
        <v>1</v>
      </c>
      <c r="Q369" s="1" t="s">
        <v>439</v>
      </c>
      <c r="R369" s="1" t="s">
        <v>1430</v>
      </c>
      <c r="S369" s="1" t="s">
        <v>1535</v>
      </c>
      <c r="T369" s="1" t="s">
        <v>222</v>
      </c>
      <c r="U369" s="1" t="s">
        <v>223</v>
      </c>
    </row>
    <row r="370" customFormat="false" ht="48" hidden="false" customHeight="true" outlineLevel="0" collapsed="false">
      <c r="A370" s="1" t="s">
        <v>43</v>
      </c>
      <c r="B370" s="1" t="s">
        <v>212</v>
      </c>
      <c r="C370" s="1" t="s">
        <v>111</v>
      </c>
      <c r="D370" s="1" t="s">
        <v>1425</v>
      </c>
      <c r="E370" s="1" t="n">
        <v>33</v>
      </c>
      <c r="F370" s="1" t="s">
        <v>1536</v>
      </c>
      <c r="G370" s="1" t="s">
        <v>236</v>
      </c>
      <c r="H370" s="1" t="s">
        <v>1537</v>
      </c>
      <c r="I370" s="1" t="s">
        <v>242</v>
      </c>
      <c r="J370" s="1" t="s">
        <v>219</v>
      </c>
      <c r="K370" s="1" t="n">
        <v>23.99</v>
      </c>
      <c r="L370" s="1" t="n">
        <v>4.7</v>
      </c>
      <c r="M370" s="1" t="n">
        <v>115</v>
      </c>
      <c r="N370" s="4" t="b">
        <f aca="false">FALSE()</f>
        <v>0</v>
      </c>
      <c r="P370" s="4" t="b">
        <f aca="false">TRUE()</f>
        <v>1</v>
      </c>
      <c r="Q370" s="1" t="s">
        <v>251</v>
      </c>
      <c r="R370" s="1" t="s">
        <v>1430</v>
      </c>
      <c r="S370" s="1" t="s">
        <v>1538</v>
      </c>
      <c r="T370" s="1" t="s">
        <v>222</v>
      </c>
      <c r="U370" s="1" t="s">
        <v>223</v>
      </c>
    </row>
    <row r="371" customFormat="false" ht="48" hidden="false" customHeight="true" outlineLevel="0" collapsed="false">
      <c r="A371" s="1" t="s">
        <v>43</v>
      </c>
      <c r="B371" s="1" t="s">
        <v>212</v>
      </c>
      <c r="C371" s="1" t="s">
        <v>111</v>
      </c>
      <c r="D371" s="1" t="s">
        <v>1425</v>
      </c>
      <c r="E371" s="1" t="n">
        <v>34</v>
      </c>
      <c r="F371" s="1" t="s">
        <v>1539</v>
      </c>
      <c r="G371" s="1" t="s">
        <v>236</v>
      </c>
      <c r="H371" s="1" t="s">
        <v>1540</v>
      </c>
      <c r="I371" s="1" t="s">
        <v>289</v>
      </c>
      <c r="J371" s="1" t="s">
        <v>310</v>
      </c>
      <c r="K371" s="1" t="n">
        <v>34.97</v>
      </c>
      <c r="L371" s="1" t="n">
        <v>4.5</v>
      </c>
      <c r="M371" s="1" t="n">
        <v>9700</v>
      </c>
      <c r="N371" s="4" t="b">
        <f aca="false">FALSE()</f>
        <v>0</v>
      </c>
      <c r="P371" s="4" t="b">
        <f aca="false">TRUE()</f>
        <v>1</v>
      </c>
      <c r="R371" s="1" t="s">
        <v>1430</v>
      </c>
      <c r="S371" s="1" t="s">
        <v>1541</v>
      </c>
      <c r="T371" s="1" t="s">
        <v>222</v>
      </c>
      <c r="U371" s="1" t="s">
        <v>223</v>
      </c>
    </row>
    <row r="372" customFormat="false" ht="48" hidden="false" customHeight="true" outlineLevel="0" collapsed="false">
      <c r="A372" s="1" t="s">
        <v>43</v>
      </c>
      <c r="B372" s="1" t="s">
        <v>212</v>
      </c>
      <c r="C372" s="1" t="s">
        <v>111</v>
      </c>
      <c r="D372" s="1" t="s">
        <v>1425</v>
      </c>
      <c r="E372" s="1" t="n">
        <v>35</v>
      </c>
      <c r="F372" s="1" t="s">
        <v>1542</v>
      </c>
      <c r="G372" s="1" t="s">
        <v>236</v>
      </c>
      <c r="H372" s="1" t="s">
        <v>1543</v>
      </c>
      <c r="I372" s="1" t="s">
        <v>218</v>
      </c>
      <c r="J372" s="1" t="s">
        <v>310</v>
      </c>
      <c r="K372" s="1" t="n">
        <v>35.99</v>
      </c>
      <c r="L372" s="1" t="n">
        <v>4.6</v>
      </c>
      <c r="M372" s="1" t="n">
        <v>12900</v>
      </c>
      <c r="N372" s="4" t="b">
        <f aca="false">FALSE()</f>
        <v>0</v>
      </c>
      <c r="O372" s="1" t="s">
        <v>1544</v>
      </c>
      <c r="P372" s="4" t="b">
        <f aca="false">TRUE()</f>
        <v>1</v>
      </c>
      <c r="Q372" s="1" t="s">
        <v>233</v>
      </c>
      <c r="R372" s="1" t="s">
        <v>1430</v>
      </c>
      <c r="S372" s="1" t="s">
        <v>1545</v>
      </c>
      <c r="T372" s="1" t="s">
        <v>222</v>
      </c>
      <c r="U372" s="1" t="s">
        <v>223</v>
      </c>
    </row>
    <row r="373" customFormat="false" ht="48" hidden="false" customHeight="true" outlineLevel="0" collapsed="false">
      <c r="A373" s="1" t="s">
        <v>43</v>
      </c>
      <c r="B373" s="1" t="s">
        <v>212</v>
      </c>
      <c r="C373" s="1" t="s">
        <v>111</v>
      </c>
      <c r="D373" s="1" t="s">
        <v>1425</v>
      </c>
      <c r="E373" s="1" t="n">
        <v>36</v>
      </c>
      <c r="F373" s="1" t="s">
        <v>1546</v>
      </c>
      <c r="G373" s="1" t="s">
        <v>236</v>
      </c>
      <c r="H373" s="1" t="s">
        <v>1547</v>
      </c>
      <c r="I373" s="1" t="s">
        <v>218</v>
      </c>
      <c r="J373" s="1" t="s">
        <v>310</v>
      </c>
      <c r="K373" s="1" t="n">
        <v>23.45</v>
      </c>
      <c r="L373" s="1" t="n">
        <v>4.8</v>
      </c>
      <c r="M373" s="1" t="n">
        <v>56</v>
      </c>
      <c r="N373" s="4" t="b">
        <f aca="false">FALSE()</f>
        <v>0</v>
      </c>
      <c r="O373" s="1" t="s">
        <v>1311</v>
      </c>
      <c r="P373" s="4" t="b">
        <f aca="false">TRUE()</f>
        <v>1</v>
      </c>
      <c r="Q373" s="1" t="s">
        <v>435</v>
      </c>
      <c r="R373" s="1" t="s">
        <v>1430</v>
      </c>
      <c r="S373" s="1" t="s">
        <v>1548</v>
      </c>
      <c r="T373" s="1" t="s">
        <v>222</v>
      </c>
      <c r="U373" s="1" t="s">
        <v>223</v>
      </c>
    </row>
    <row r="374" customFormat="false" ht="48" hidden="false" customHeight="true" outlineLevel="0" collapsed="false">
      <c r="A374" s="1" t="s">
        <v>43</v>
      </c>
      <c r="B374" s="1" t="s">
        <v>212</v>
      </c>
      <c r="C374" s="1" t="s">
        <v>111</v>
      </c>
      <c r="D374" s="1" t="s">
        <v>1425</v>
      </c>
      <c r="E374" s="1" t="n">
        <v>37</v>
      </c>
      <c r="F374" s="1" t="s">
        <v>1549</v>
      </c>
      <c r="G374" s="1" t="s">
        <v>236</v>
      </c>
      <c r="H374" s="1" t="s">
        <v>1550</v>
      </c>
      <c r="I374" s="1" t="s">
        <v>218</v>
      </c>
      <c r="J374" s="1" t="s">
        <v>310</v>
      </c>
      <c r="K374" s="1" t="n">
        <v>32.99</v>
      </c>
      <c r="L374" s="1" t="n">
        <v>4.6</v>
      </c>
      <c r="M374" s="1" t="n">
        <v>14</v>
      </c>
      <c r="N374" s="4" t="b">
        <f aca="false">FALSE()</f>
        <v>0</v>
      </c>
      <c r="O374" s="1" t="s">
        <v>1551</v>
      </c>
      <c r="P374" s="4" t="b">
        <f aca="false">TRUE()</f>
        <v>1</v>
      </c>
      <c r="R374" s="1" t="s">
        <v>1430</v>
      </c>
      <c r="S374" s="1" t="s">
        <v>1552</v>
      </c>
      <c r="T374" s="1" t="s">
        <v>222</v>
      </c>
      <c r="U374" s="1" t="s">
        <v>223</v>
      </c>
    </row>
    <row r="375" customFormat="false" ht="48" hidden="false" customHeight="true" outlineLevel="0" collapsed="false">
      <c r="A375" s="1" t="s">
        <v>43</v>
      </c>
      <c r="B375" s="1" t="s">
        <v>212</v>
      </c>
      <c r="C375" s="1" t="s">
        <v>111</v>
      </c>
      <c r="D375" s="1" t="s">
        <v>1425</v>
      </c>
      <c r="E375" s="1" t="n">
        <v>38</v>
      </c>
      <c r="F375" s="1" t="s">
        <v>1553</v>
      </c>
      <c r="G375" s="1" t="s">
        <v>236</v>
      </c>
      <c r="H375" s="1" t="s">
        <v>1554</v>
      </c>
      <c r="I375" s="1" t="s">
        <v>306</v>
      </c>
      <c r="J375" s="1" t="s">
        <v>310</v>
      </c>
      <c r="K375" s="1" t="n">
        <v>28.96</v>
      </c>
      <c r="L375" s="1" t="n">
        <v>4.2</v>
      </c>
      <c r="M375" s="1" t="n">
        <v>111</v>
      </c>
      <c r="N375" s="4" t="b">
        <f aca="false">FALSE()</f>
        <v>0</v>
      </c>
      <c r="P375" s="4" t="b">
        <f aca="false">TRUE()</f>
        <v>1</v>
      </c>
      <c r="Q375" s="1" t="s">
        <v>409</v>
      </c>
      <c r="R375" s="1" t="s">
        <v>1430</v>
      </c>
      <c r="S375" s="1" t="s">
        <v>1555</v>
      </c>
      <c r="T375" s="1" t="s">
        <v>222</v>
      </c>
      <c r="U375" s="1" t="s">
        <v>223</v>
      </c>
    </row>
    <row r="376" customFormat="false" ht="48" hidden="false" customHeight="true" outlineLevel="0" collapsed="false">
      <c r="A376" s="1" t="s">
        <v>43</v>
      </c>
      <c r="B376" s="1" t="s">
        <v>212</v>
      </c>
      <c r="C376" s="1" t="s">
        <v>111</v>
      </c>
      <c r="D376" s="1" t="s">
        <v>1425</v>
      </c>
      <c r="E376" s="1" t="n">
        <v>39</v>
      </c>
      <c r="F376" s="1" t="s">
        <v>1556</v>
      </c>
      <c r="G376" s="1" t="s">
        <v>236</v>
      </c>
      <c r="H376" s="1" t="s">
        <v>1557</v>
      </c>
      <c r="I376" s="1" t="s">
        <v>242</v>
      </c>
      <c r="J376" s="1" t="s">
        <v>310</v>
      </c>
      <c r="K376" s="1" t="n">
        <v>29.99</v>
      </c>
      <c r="L376" s="1" t="n">
        <v>4.6</v>
      </c>
      <c r="M376" s="1" t="n">
        <v>475</v>
      </c>
      <c r="N376" s="4" t="b">
        <f aca="false">FALSE()</f>
        <v>0</v>
      </c>
      <c r="P376" s="4" t="b">
        <f aca="false">TRUE()</f>
        <v>1</v>
      </c>
      <c r="R376" s="1" t="s">
        <v>1430</v>
      </c>
      <c r="S376" s="1" t="s">
        <v>1558</v>
      </c>
      <c r="T376" s="1" t="s">
        <v>222</v>
      </c>
      <c r="U376" s="1" t="s">
        <v>223</v>
      </c>
    </row>
    <row r="377" customFormat="false" ht="48" hidden="false" customHeight="true" outlineLevel="0" collapsed="false">
      <c r="A377" s="1" t="s">
        <v>43</v>
      </c>
      <c r="B377" s="1" t="s">
        <v>212</v>
      </c>
      <c r="C377" s="1" t="s">
        <v>111</v>
      </c>
      <c r="D377" s="1" t="s">
        <v>1425</v>
      </c>
      <c r="E377" s="1" t="n">
        <v>40</v>
      </c>
      <c r="F377" s="1" t="s">
        <v>1559</v>
      </c>
      <c r="G377" s="1" t="s">
        <v>236</v>
      </c>
      <c r="H377" s="1" t="s">
        <v>1560</v>
      </c>
      <c r="I377" s="1" t="s">
        <v>218</v>
      </c>
      <c r="J377" s="1" t="s">
        <v>310</v>
      </c>
      <c r="K377" s="1" t="n">
        <v>22.06</v>
      </c>
      <c r="L377" s="1" t="n">
        <v>3.1</v>
      </c>
      <c r="M377" s="1" t="n">
        <v>30700</v>
      </c>
      <c r="N377" s="4" t="b">
        <f aca="false">FALSE()</f>
        <v>0</v>
      </c>
      <c r="P377" s="4" t="b">
        <f aca="false">TRUE()</f>
        <v>1</v>
      </c>
      <c r="Q377" s="1" t="s">
        <v>233</v>
      </c>
      <c r="R377" s="1" t="s">
        <v>1430</v>
      </c>
      <c r="S377" s="1" t="s">
        <v>1561</v>
      </c>
      <c r="T377" s="1" t="s">
        <v>222</v>
      </c>
      <c r="U377" s="1" t="s">
        <v>223</v>
      </c>
    </row>
    <row r="378" customFormat="false" ht="48" hidden="false" customHeight="true" outlineLevel="0" collapsed="false">
      <c r="A378" s="1" t="s">
        <v>43</v>
      </c>
      <c r="B378" s="1" t="s">
        <v>212</v>
      </c>
      <c r="C378" s="1" t="s">
        <v>111</v>
      </c>
      <c r="D378" s="1" t="s">
        <v>1425</v>
      </c>
      <c r="E378" s="1" t="n">
        <v>41</v>
      </c>
      <c r="F378" s="1" t="s">
        <v>1562</v>
      </c>
      <c r="G378" s="1" t="s">
        <v>236</v>
      </c>
      <c r="H378" s="1" t="s">
        <v>1563</v>
      </c>
      <c r="I378" s="1" t="s">
        <v>218</v>
      </c>
      <c r="J378" s="1" t="s">
        <v>310</v>
      </c>
      <c r="K378" s="1" t="n">
        <v>22.99</v>
      </c>
      <c r="L378" s="1" t="n">
        <v>4.4</v>
      </c>
      <c r="M378" s="1" t="n">
        <v>3500</v>
      </c>
      <c r="N378" s="4" t="b">
        <f aca="false">FALSE()</f>
        <v>0</v>
      </c>
      <c r="P378" s="4" t="b">
        <f aca="false">TRUE()</f>
        <v>1</v>
      </c>
      <c r="R378" s="1" t="s">
        <v>1430</v>
      </c>
      <c r="S378" s="1" t="s">
        <v>1564</v>
      </c>
      <c r="T378" s="1" t="s">
        <v>222</v>
      </c>
      <c r="U378" s="1" t="s">
        <v>223</v>
      </c>
    </row>
    <row r="379" customFormat="false" ht="48" hidden="false" customHeight="true" outlineLevel="0" collapsed="false">
      <c r="A379" s="1" t="s">
        <v>43</v>
      </c>
      <c r="B379" s="1" t="s">
        <v>212</v>
      </c>
      <c r="C379" s="1" t="s">
        <v>111</v>
      </c>
      <c r="D379" s="1" t="s">
        <v>1425</v>
      </c>
      <c r="E379" s="1" t="n">
        <v>42</v>
      </c>
      <c r="F379" s="1" t="s">
        <v>1565</v>
      </c>
      <c r="G379" s="1" t="s">
        <v>236</v>
      </c>
      <c r="H379" s="1" t="s">
        <v>1566</v>
      </c>
      <c r="I379" s="1" t="s">
        <v>306</v>
      </c>
      <c r="J379" s="1" t="s">
        <v>310</v>
      </c>
      <c r="K379" s="1" t="n">
        <v>37.91</v>
      </c>
      <c r="L379" s="1" t="n">
        <v>4.7</v>
      </c>
      <c r="M379" s="1" t="n">
        <v>26600</v>
      </c>
      <c r="N379" s="4" t="b">
        <f aca="false">FALSE()</f>
        <v>0</v>
      </c>
      <c r="P379" s="4" t="b">
        <f aca="false">TRUE()</f>
        <v>1</v>
      </c>
      <c r="Q379" s="1" t="s">
        <v>418</v>
      </c>
      <c r="R379" s="1" t="s">
        <v>1430</v>
      </c>
      <c r="S379" s="1" t="s">
        <v>1567</v>
      </c>
      <c r="T379" s="1" t="s">
        <v>222</v>
      </c>
      <c r="U379" s="1" t="s">
        <v>223</v>
      </c>
    </row>
    <row r="380" customFormat="false" ht="48" hidden="false" customHeight="true" outlineLevel="0" collapsed="false">
      <c r="A380" s="1" t="s">
        <v>43</v>
      </c>
      <c r="B380" s="1" t="s">
        <v>212</v>
      </c>
      <c r="C380" s="1" t="s">
        <v>111</v>
      </c>
      <c r="D380" s="1" t="s">
        <v>1425</v>
      </c>
      <c r="E380" s="1" t="n">
        <v>43</v>
      </c>
      <c r="F380" s="1" t="s">
        <v>1568</v>
      </c>
      <c r="G380" s="1" t="s">
        <v>236</v>
      </c>
      <c r="H380" s="1" t="s">
        <v>1569</v>
      </c>
      <c r="I380" s="1" t="s">
        <v>231</v>
      </c>
      <c r="J380" s="1" t="s">
        <v>310</v>
      </c>
      <c r="K380" s="1" t="n">
        <v>79.99</v>
      </c>
      <c r="L380" s="1" t="n">
        <v>4.5</v>
      </c>
      <c r="M380" s="1" t="n">
        <v>787</v>
      </c>
      <c r="N380" s="4" t="b">
        <f aca="false">FALSE()</f>
        <v>0</v>
      </c>
      <c r="P380" s="4" t="b">
        <f aca="false">TRUE()</f>
        <v>1</v>
      </c>
      <c r="Q380" s="1" t="s">
        <v>435</v>
      </c>
      <c r="R380" s="1" t="s">
        <v>1430</v>
      </c>
      <c r="S380" s="1" t="s">
        <v>1570</v>
      </c>
      <c r="T380" s="1" t="s">
        <v>222</v>
      </c>
      <c r="U380" s="1" t="s">
        <v>223</v>
      </c>
    </row>
    <row r="381" customFormat="false" ht="48" hidden="false" customHeight="true" outlineLevel="0" collapsed="false">
      <c r="A381" s="1" t="s">
        <v>43</v>
      </c>
      <c r="B381" s="1" t="s">
        <v>212</v>
      </c>
      <c r="C381" s="1" t="s">
        <v>111</v>
      </c>
      <c r="D381" s="1" t="s">
        <v>1425</v>
      </c>
      <c r="E381" s="1" t="n">
        <v>44</v>
      </c>
      <c r="F381" s="1" t="s">
        <v>1571</v>
      </c>
      <c r="G381" s="1" t="s">
        <v>236</v>
      </c>
      <c r="H381" s="1" t="s">
        <v>1572</v>
      </c>
      <c r="I381" s="1" t="s">
        <v>306</v>
      </c>
      <c r="J381" s="1" t="s">
        <v>310</v>
      </c>
      <c r="K381" s="1" t="n">
        <v>36.99</v>
      </c>
      <c r="L381" s="1" t="n">
        <v>4.5</v>
      </c>
      <c r="M381" s="1" t="n">
        <v>1200</v>
      </c>
      <c r="N381" s="4" t="b">
        <f aca="false">FALSE()</f>
        <v>0</v>
      </c>
      <c r="P381" s="4" t="b">
        <f aca="false">TRUE()</f>
        <v>1</v>
      </c>
      <c r="R381" s="1" t="s">
        <v>1430</v>
      </c>
      <c r="S381" s="1" t="s">
        <v>1573</v>
      </c>
      <c r="T381" s="1" t="s">
        <v>222</v>
      </c>
      <c r="U381" s="1" t="s">
        <v>223</v>
      </c>
    </row>
    <row r="382" customFormat="false" ht="48" hidden="false" customHeight="true" outlineLevel="0" collapsed="false">
      <c r="A382" s="1" t="s">
        <v>43</v>
      </c>
      <c r="B382" s="1" t="s">
        <v>212</v>
      </c>
      <c r="C382" s="1" t="s">
        <v>111</v>
      </c>
      <c r="D382" s="1" t="s">
        <v>1425</v>
      </c>
      <c r="E382" s="1" t="n">
        <v>45</v>
      </c>
      <c r="F382" s="1" t="s">
        <v>1574</v>
      </c>
      <c r="G382" s="1" t="s">
        <v>236</v>
      </c>
      <c r="H382" s="1" t="s">
        <v>1575</v>
      </c>
      <c r="I382" s="1" t="s">
        <v>289</v>
      </c>
      <c r="J382" s="1" t="s">
        <v>310</v>
      </c>
      <c r="K382" s="1" t="n">
        <v>13</v>
      </c>
      <c r="L382" s="1" t="n">
        <v>3.9</v>
      </c>
      <c r="M382" s="1" t="n">
        <v>2400</v>
      </c>
      <c r="N382" s="4" t="b">
        <f aca="false">FALSE()</f>
        <v>0</v>
      </c>
      <c r="P382" s="4" t="b">
        <f aca="false">TRUE()</f>
        <v>1</v>
      </c>
      <c r="Q382" s="1" t="s">
        <v>251</v>
      </c>
      <c r="R382" s="1" t="s">
        <v>1430</v>
      </c>
      <c r="S382" s="1" t="s">
        <v>1576</v>
      </c>
      <c r="T382" s="1" t="s">
        <v>222</v>
      </c>
      <c r="U382" s="1" t="s">
        <v>223</v>
      </c>
    </row>
    <row r="383" customFormat="false" ht="48" hidden="false" customHeight="true" outlineLevel="0" collapsed="false">
      <c r="A383" s="1" t="s">
        <v>43</v>
      </c>
      <c r="B383" s="1" t="s">
        <v>212</v>
      </c>
      <c r="C383" s="1" t="s">
        <v>111</v>
      </c>
      <c r="D383" s="1" t="s">
        <v>1425</v>
      </c>
      <c r="E383" s="1" t="n">
        <v>46</v>
      </c>
      <c r="F383" s="1" t="s">
        <v>1577</v>
      </c>
      <c r="G383" s="1" t="s">
        <v>236</v>
      </c>
      <c r="H383" s="1" t="s">
        <v>1578</v>
      </c>
      <c r="I383" s="1" t="s">
        <v>289</v>
      </c>
      <c r="J383" s="1" t="s">
        <v>310</v>
      </c>
      <c r="K383" s="1" t="n">
        <v>15.99</v>
      </c>
      <c r="L383" s="1" t="n">
        <v>3.5</v>
      </c>
      <c r="M383" s="1" t="n">
        <v>12</v>
      </c>
      <c r="N383" s="4" t="b">
        <f aca="false">FALSE()</f>
        <v>0</v>
      </c>
      <c r="P383" s="4" t="b">
        <f aca="false">TRUE()</f>
        <v>1</v>
      </c>
      <c r="R383" s="1" t="s">
        <v>1430</v>
      </c>
      <c r="S383" s="1" t="s">
        <v>1579</v>
      </c>
      <c r="T383" s="1" t="s">
        <v>222</v>
      </c>
      <c r="U383" s="1" t="s">
        <v>223</v>
      </c>
    </row>
    <row r="384" customFormat="false" ht="48" hidden="false" customHeight="true" outlineLevel="0" collapsed="false">
      <c r="A384" s="1" t="s">
        <v>43</v>
      </c>
      <c r="B384" s="1" t="s">
        <v>212</v>
      </c>
      <c r="C384" s="1" t="s">
        <v>111</v>
      </c>
      <c r="D384" s="1" t="s">
        <v>1425</v>
      </c>
      <c r="E384" s="1" t="n">
        <v>47</v>
      </c>
      <c r="F384" s="1" t="s">
        <v>1580</v>
      </c>
      <c r="G384" s="1" t="s">
        <v>774</v>
      </c>
      <c r="H384" s="1" t="s">
        <v>1581</v>
      </c>
      <c r="I384" s="1" t="s">
        <v>306</v>
      </c>
      <c r="J384" s="1" t="s">
        <v>310</v>
      </c>
      <c r="K384" s="1" t="n">
        <v>31.99</v>
      </c>
      <c r="L384" s="1" t="n">
        <v>4.6</v>
      </c>
      <c r="M384" s="1" t="n">
        <v>2800</v>
      </c>
      <c r="N384" s="4" t="b">
        <f aca="false">FALSE()</f>
        <v>0</v>
      </c>
      <c r="P384" s="4" t="b">
        <f aca="false">TRUE()</f>
        <v>1</v>
      </c>
      <c r="Q384" s="1" t="s">
        <v>711</v>
      </c>
      <c r="R384" s="1" t="s">
        <v>1430</v>
      </c>
      <c r="S384" s="1" t="s">
        <v>1582</v>
      </c>
      <c r="T384" s="1" t="s">
        <v>222</v>
      </c>
      <c r="U384" s="1" t="s">
        <v>223</v>
      </c>
    </row>
    <row r="385" customFormat="false" ht="48" hidden="false" customHeight="true" outlineLevel="0" collapsed="false">
      <c r="A385" s="1" t="s">
        <v>43</v>
      </c>
      <c r="B385" s="1" t="s">
        <v>212</v>
      </c>
      <c r="C385" s="1" t="s">
        <v>111</v>
      </c>
      <c r="D385" s="1" t="s">
        <v>1425</v>
      </c>
      <c r="E385" s="1" t="n">
        <v>48</v>
      </c>
      <c r="F385" s="1" t="s">
        <v>1583</v>
      </c>
      <c r="G385" s="1" t="s">
        <v>774</v>
      </c>
      <c r="H385" s="1" t="s">
        <v>1584</v>
      </c>
      <c r="I385" s="1" t="s">
        <v>218</v>
      </c>
      <c r="J385" s="1" t="s">
        <v>310</v>
      </c>
      <c r="K385" s="1" t="n">
        <v>32.99</v>
      </c>
      <c r="L385" s="1" t="n">
        <v>4.5</v>
      </c>
      <c r="M385" s="1" t="n">
        <v>49500</v>
      </c>
      <c r="N385" s="4" t="b">
        <f aca="false">FALSE()</f>
        <v>0</v>
      </c>
      <c r="P385" s="4" t="b">
        <f aca="false">TRUE()</f>
        <v>1</v>
      </c>
      <c r="Q385" s="1" t="s">
        <v>435</v>
      </c>
      <c r="R385" s="1" t="s">
        <v>1430</v>
      </c>
      <c r="S385" s="1" t="s">
        <v>1585</v>
      </c>
      <c r="T385" s="1" t="s">
        <v>222</v>
      </c>
      <c r="U385" s="1" t="s">
        <v>223</v>
      </c>
    </row>
    <row r="386" customFormat="false" ht="48" hidden="false" customHeight="true" outlineLevel="0" collapsed="false">
      <c r="A386" s="1" t="s">
        <v>43</v>
      </c>
      <c r="B386" s="1" t="s">
        <v>212</v>
      </c>
      <c r="C386" s="1" t="s">
        <v>102</v>
      </c>
      <c r="D386" s="1" t="s">
        <v>1586</v>
      </c>
      <c r="E386" s="1" t="n">
        <v>1</v>
      </c>
      <c r="F386" s="1" t="s">
        <v>1587</v>
      </c>
      <c r="G386" s="1" t="s">
        <v>1588</v>
      </c>
      <c r="H386" s="1" t="s">
        <v>1589</v>
      </c>
      <c r="I386" s="1" t="s">
        <v>218</v>
      </c>
      <c r="J386" s="1" t="s">
        <v>597</v>
      </c>
      <c r="K386" s="1" t="n">
        <v>65.99</v>
      </c>
      <c r="L386" s="1" t="n">
        <v>4.3</v>
      </c>
      <c r="M386" s="1" t="n">
        <v>137</v>
      </c>
      <c r="N386" s="4" t="b">
        <f aca="false">FALSE()</f>
        <v>0</v>
      </c>
      <c r="O386" s="1" t="s">
        <v>1590</v>
      </c>
      <c r="P386" s="4" t="b">
        <f aca="false">TRUE()</f>
        <v>1</v>
      </c>
      <c r="R386" s="1" t="s">
        <v>1591</v>
      </c>
      <c r="S386" s="1" t="s">
        <v>1592</v>
      </c>
      <c r="T386" s="1" t="s">
        <v>222</v>
      </c>
      <c r="U386" s="1" t="s">
        <v>223</v>
      </c>
    </row>
    <row r="387" customFormat="false" ht="48" hidden="false" customHeight="true" outlineLevel="0" collapsed="false">
      <c r="A387" s="1" t="s">
        <v>43</v>
      </c>
      <c r="B387" s="1" t="s">
        <v>212</v>
      </c>
      <c r="C387" s="1" t="s">
        <v>102</v>
      </c>
      <c r="D387" s="1" t="s">
        <v>1586</v>
      </c>
      <c r="E387" s="1" t="n">
        <v>2</v>
      </c>
      <c r="F387" s="1" t="s">
        <v>1593</v>
      </c>
      <c r="G387" s="1" t="s">
        <v>1588</v>
      </c>
      <c r="H387" s="1" t="s">
        <v>1594</v>
      </c>
      <c r="I387" s="1" t="s">
        <v>289</v>
      </c>
      <c r="J387" s="1" t="s">
        <v>597</v>
      </c>
      <c r="K387" s="1" t="n">
        <v>55.99</v>
      </c>
      <c r="L387" s="1" t="n">
        <v>4.2</v>
      </c>
      <c r="M387" s="1" t="n">
        <v>308</v>
      </c>
      <c r="N387" s="4" t="b">
        <f aca="false">FALSE()</f>
        <v>0</v>
      </c>
      <c r="O387" s="1" t="s">
        <v>1595</v>
      </c>
      <c r="P387" s="4" t="b">
        <f aca="false">TRUE()</f>
        <v>1</v>
      </c>
      <c r="R387" s="1" t="s">
        <v>1591</v>
      </c>
      <c r="S387" s="1" t="s">
        <v>1596</v>
      </c>
      <c r="T387" s="1" t="s">
        <v>222</v>
      </c>
      <c r="U387" s="1" t="s">
        <v>223</v>
      </c>
    </row>
    <row r="388" customFormat="false" ht="48" hidden="false" customHeight="true" outlineLevel="0" collapsed="false">
      <c r="A388" s="1" t="s">
        <v>43</v>
      </c>
      <c r="B388" s="1" t="s">
        <v>212</v>
      </c>
      <c r="C388" s="1" t="s">
        <v>102</v>
      </c>
      <c r="D388" s="1" t="s">
        <v>1586</v>
      </c>
      <c r="E388" s="1" t="n">
        <v>3</v>
      </c>
      <c r="F388" s="1" t="s">
        <v>1597</v>
      </c>
      <c r="G388" s="1" t="s">
        <v>1588</v>
      </c>
      <c r="H388" s="1" t="s">
        <v>1598</v>
      </c>
      <c r="I388" s="1" t="s">
        <v>289</v>
      </c>
      <c r="J388" s="1" t="s">
        <v>597</v>
      </c>
      <c r="K388" s="1" t="n">
        <v>59.99</v>
      </c>
      <c r="L388" s="1" t="n">
        <v>4.4</v>
      </c>
      <c r="M388" s="1" t="n">
        <v>38</v>
      </c>
      <c r="N388" s="4" t="b">
        <f aca="false">FALSE()</f>
        <v>0</v>
      </c>
      <c r="P388" s="4" t="b">
        <f aca="false">TRUE()</f>
        <v>1</v>
      </c>
      <c r="R388" s="1" t="s">
        <v>1591</v>
      </c>
      <c r="S388" s="1" t="s">
        <v>1599</v>
      </c>
      <c r="T388" s="1" t="s">
        <v>222</v>
      </c>
      <c r="U388" s="1" t="s">
        <v>223</v>
      </c>
    </row>
    <row r="389" customFormat="false" ht="48" hidden="false" customHeight="true" outlineLevel="0" collapsed="false">
      <c r="A389" s="1" t="s">
        <v>43</v>
      </c>
      <c r="B389" s="1" t="s">
        <v>212</v>
      </c>
      <c r="C389" s="1" t="s">
        <v>102</v>
      </c>
      <c r="D389" s="1" t="s">
        <v>1586</v>
      </c>
      <c r="E389" s="1" t="n">
        <v>4</v>
      </c>
      <c r="F389" s="1" t="s">
        <v>1600</v>
      </c>
      <c r="G389" s="1" t="s">
        <v>236</v>
      </c>
      <c r="H389" s="1" t="s">
        <v>1601</v>
      </c>
      <c r="I389" s="1" t="s">
        <v>218</v>
      </c>
      <c r="J389" s="1" t="s">
        <v>597</v>
      </c>
      <c r="K389" s="1" t="n">
        <v>119.99</v>
      </c>
      <c r="L389" s="1" t="n">
        <v>3.9</v>
      </c>
      <c r="M389" s="1" t="n">
        <v>37</v>
      </c>
      <c r="N389" s="4" t="b">
        <f aca="false">FALSE()</f>
        <v>0</v>
      </c>
      <c r="P389" s="4" t="b">
        <f aca="false">TRUE()</f>
        <v>1</v>
      </c>
      <c r="R389" s="1" t="s">
        <v>1591</v>
      </c>
      <c r="S389" s="1" t="s">
        <v>1602</v>
      </c>
      <c r="T389" s="1" t="s">
        <v>222</v>
      </c>
      <c r="U389" s="1" t="s">
        <v>223</v>
      </c>
    </row>
    <row r="390" customFormat="false" ht="48" hidden="false" customHeight="true" outlineLevel="0" collapsed="false">
      <c r="A390" s="1" t="s">
        <v>43</v>
      </c>
      <c r="B390" s="1" t="s">
        <v>212</v>
      </c>
      <c r="C390" s="1" t="s">
        <v>102</v>
      </c>
      <c r="D390" s="1" t="s">
        <v>1586</v>
      </c>
      <c r="E390" s="1" t="n">
        <v>5</v>
      </c>
      <c r="F390" s="1" t="s">
        <v>1603</v>
      </c>
      <c r="G390" s="1" t="s">
        <v>236</v>
      </c>
      <c r="H390" s="1" t="s">
        <v>1604</v>
      </c>
      <c r="I390" s="1" t="s">
        <v>231</v>
      </c>
      <c r="J390" s="1" t="s">
        <v>597</v>
      </c>
      <c r="K390" s="1" t="n">
        <v>58.49</v>
      </c>
      <c r="L390" s="1" t="n">
        <v>4.6</v>
      </c>
      <c r="M390" s="1" t="n">
        <v>906</v>
      </c>
      <c r="N390" s="4" t="b">
        <f aca="false">FALSE()</f>
        <v>0</v>
      </c>
      <c r="O390" s="1" t="s">
        <v>1605</v>
      </c>
      <c r="P390" s="4" t="b">
        <f aca="false">TRUE()</f>
        <v>1</v>
      </c>
      <c r="R390" s="1" t="s">
        <v>1591</v>
      </c>
      <c r="S390" s="1" t="s">
        <v>1606</v>
      </c>
      <c r="T390" s="1" t="s">
        <v>222</v>
      </c>
      <c r="U390" s="1" t="s">
        <v>223</v>
      </c>
    </row>
    <row r="391" customFormat="false" ht="48" hidden="false" customHeight="true" outlineLevel="0" collapsed="false">
      <c r="A391" s="1" t="s">
        <v>43</v>
      </c>
      <c r="B391" s="1" t="s">
        <v>212</v>
      </c>
      <c r="C391" s="1" t="s">
        <v>102</v>
      </c>
      <c r="D391" s="1" t="s">
        <v>1586</v>
      </c>
      <c r="E391" s="1" t="n">
        <v>6</v>
      </c>
      <c r="F391" s="1" t="s">
        <v>1607</v>
      </c>
      <c r="G391" s="1" t="s">
        <v>236</v>
      </c>
      <c r="H391" s="1" t="s">
        <v>1608</v>
      </c>
      <c r="I391" s="1" t="s">
        <v>218</v>
      </c>
      <c r="J391" s="1" t="s">
        <v>597</v>
      </c>
      <c r="K391" s="1" t="n">
        <v>119.99</v>
      </c>
      <c r="L391" s="1" t="n">
        <v>4.1</v>
      </c>
      <c r="M391" s="1" t="n">
        <v>65</v>
      </c>
      <c r="N391" s="4" t="b">
        <f aca="false">FALSE()</f>
        <v>0</v>
      </c>
      <c r="O391" s="1" t="s">
        <v>1609</v>
      </c>
      <c r="P391" s="4" t="b">
        <f aca="false">TRUE()</f>
        <v>1</v>
      </c>
      <c r="R391" s="1" t="s">
        <v>1591</v>
      </c>
      <c r="S391" s="1" t="s">
        <v>1610</v>
      </c>
      <c r="T391" s="1" t="s">
        <v>222</v>
      </c>
      <c r="U391" s="1" t="s">
        <v>223</v>
      </c>
    </row>
    <row r="392" customFormat="false" ht="48" hidden="false" customHeight="true" outlineLevel="0" collapsed="false">
      <c r="A392" s="1" t="s">
        <v>43</v>
      </c>
      <c r="B392" s="1" t="s">
        <v>212</v>
      </c>
      <c r="C392" s="1" t="s">
        <v>102</v>
      </c>
      <c r="D392" s="1" t="s">
        <v>1586</v>
      </c>
      <c r="E392" s="1" t="n">
        <v>7</v>
      </c>
      <c r="F392" s="1" t="s">
        <v>1611</v>
      </c>
      <c r="G392" s="1" t="s">
        <v>236</v>
      </c>
      <c r="H392" s="1" t="s">
        <v>1612</v>
      </c>
      <c r="I392" s="1" t="s">
        <v>218</v>
      </c>
      <c r="J392" s="1" t="s">
        <v>597</v>
      </c>
      <c r="K392" s="1" t="n">
        <v>118.89</v>
      </c>
      <c r="L392" s="1" t="n">
        <v>4.5</v>
      </c>
      <c r="M392" s="1" t="n">
        <v>799</v>
      </c>
      <c r="N392" s="4" t="b">
        <f aca="false">FALSE()</f>
        <v>0</v>
      </c>
      <c r="P392" s="4" t="b">
        <f aca="false">TRUE()</f>
        <v>1</v>
      </c>
      <c r="R392" s="1" t="s">
        <v>1591</v>
      </c>
      <c r="S392" s="1" t="s">
        <v>1613</v>
      </c>
      <c r="T392" s="1" t="s">
        <v>222</v>
      </c>
      <c r="U392" s="1" t="s">
        <v>223</v>
      </c>
    </row>
    <row r="393" customFormat="false" ht="48" hidden="false" customHeight="true" outlineLevel="0" collapsed="false">
      <c r="A393" s="1" t="s">
        <v>43</v>
      </c>
      <c r="B393" s="1" t="s">
        <v>212</v>
      </c>
      <c r="C393" s="1" t="s">
        <v>102</v>
      </c>
      <c r="D393" s="1" t="s">
        <v>1586</v>
      </c>
      <c r="E393" s="1" t="n">
        <v>8</v>
      </c>
      <c r="F393" s="1" t="s">
        <v>1614</v>
      </c>
      <c r="G393" s="1" t="s">
        <v>236</v>
      </c>
      <c r="H393" s="1" t="s">
        <v>1615</v>
      </c>
      <c r="I393" s="1" t="s">
        <v>218</v>
      </c>
      <c r="J393" s="1" t="s">
        <v>597</v>
      </c>
      <c r="K393" s="1" t="n">
        <v>99.99</v>
      </c>
      <c r="L393" s="1" t="n">
        <v>4.6</v>
      </c>
      <c r="M393" s="1" t="n">
        <v>45</v>
      </c>
      <c r="N393" s="4" t="b">
        <f aca="false">FALSE()</f>
        <v>0</v>
      </c>
      <c r="P393" s="4" t="b">
        <f aca="false">TRUE()</f>
        <v>1</v>
      </c>
      <c r="R393" s="1" t="s">
        <v>1591</v>
      </c>
      <c r="S393" s="1" t="s">
        <v>1616</v>
      </c>
      <c r="T393" s="1" t="s">
        <v>222</v>
      </c>
      <c r="U393" s="1" t="s">
        <v>223</v>
      </c>
    </row>
    <row r="394" customFormat="false" ht="48" hidden="false" customHeight="true" outlineLevel="0" collapsed="false">
      <c r="A394" s="1" t="s">
        <v>43</v>
      </c>
      <c r="B394" s="1" t="s">
        <v>212</v>
      </c>
      <c r="C394" s="1" t="s">
        <v>102</v>
      </c>
      <c r="D394" s="1" t="s">
        <v>1586</v>
      </c>
      <c r="E394" s="1" t="n">
        <v>9</v>
      </c>
      <c r="F394" s="1" t="s">
        <v>1617</v>
      </c>
      <c r="G394" s="1" t="s">
        <v>236</v>
      </c>
      <c r="H394" s="1" t="s">
        <v>1618</v>
      </c>
      <c r="I394" s="1" t="s">
        <v>218</v>
      </c>
      <c r="J394" s="1" t="s">
        <v>597</v>
      </c>
      <c r="K394" s="1" t="n">
        <v>89.99</v>
      </c>
      <c r="L394" s="1" t="n">
        <v>4.6</v>
      </c>
      <c r="M394" s="1" t="n">
        <v>45</v>
      </c>
      <c r="N394" s="4" t="b">
        <f aca="false">FALSE()</f>
        <v>0</v>
      </c>
      <c r="P394" s="4" t="b">
        <f aca="false">TRUE()</f>
        <v>1</v>
      </c>
      <c r="R394" s="1" t="s">
        <v>1591</v>
      </c>
      <c r="S394" s="1" t="s">
        <v>1619</v>
      </c>
      <c r="T394" s="1" t="s">
        <v>222</v>
      </c>
      <c r="U394" s="1" t="s">
        <v>223</v>
      </c>
    </row>
    <row r="395" customFormat="false" ht="48" hidden="false" customHeight="true" outlineLevel="0" collapsed="false">
      <c r="A395" s="1" t="s">
        <v>43</v>
      </c>
      <c r="B395" s="1" t="s">
        <v>212</v>
      </c>
      <c r="C395" s="1" t="s">
        <v>102</v>
      </c>
      <c r="D395" s="1" t="s">
        <v>1586</v>
      </c>
      <c r="E395" s="1" t="n">
        <v>10</v>
      </c>
      <c r="F395" s="1" t="s">
        <v>1620</v>
      </c>
      <c r="G395" s="1" t="s">
        <v>236</v>
      </c>
      <c r="H395" s="1" t="s">
        <v>1621</v>
      </c>
      <c r="I395" s="1" t="s">
        <v>231</v>
      </c>
      <c r="J395" s="1" t="s">
        <v>310</v>
      </c>
      <c r="K395" s="1" t="n">
        <v>49.99</v>
      </c>
      <c r="L395" s="1" t="n">
        <v>4.5</v>
      </c>
      <c r="M395" s="1" t="n">
        <v>3000</v>
      </c>
      <c r="N395" s="4" t="b">
        <f aca="false">FALSE()</f>
        <v>0</v>
      </c>
      <c r="P395" s="4" t="b">
        <f aca="false">TRUE()</f>
        <v>1</v>
      </c>
      <c r="R395" s="1" t="s">
        <v>1591</v>
      </c>
      <c r="S395" s="1" t="s">
        <v>1622</v>
      </c>
      <c r="T395" s="1" t="s">
        <v>222</v>
      </c>
      <c r="U395" s="1" t="s">
        <v>223</v>
      </c>
    </row>
    <row r="396" customFormat="false" ht="48" hidden="false" customHeight="true" outlineLevel="0" collapsed="false">
      <c r="A396" s="1" t="s">
        <v>43</v>
      </c>
      <c r="B396" s="1" t="s">
        <v>212</v>
      </c>
      <c r="C396" s="1" t="s">
        <v>102</v>
      </c>
      <c r="D396" s="1" t="s">
        <v>1586</v>
      </c>
      <c r="E396" s="1" t="n">
        <v>11</v>
      </c>
      <c r="F396" s="1" t="s">
        <v>1623</v>
      </c>
      <c r="G396" s="1" t="s">
        <v>236</v>
      </c>
      <c r="H396" s="1" t="s">
        <v>1624</v>
      </c>
      <c r="I396" s="1" t="s">
        <v>218</v>
      </c>
      <c r="J396" s="1" t="s">
        <v>597</v>
      </c>
      <c r="K396" s="1" t="n">
        <v>99.99</v>
      </c>
      <c r="L396" s="1" t="n">
        <v>4.6</v>
      </c>
      <c r="M396" s="1" t="n">
        <v>45</v>
      </c>
      <c r="N396" s="4" t="b">
        <f aca="false">FALSE()</f>
        <v>0</v>
      </c>
      <c r="P396" s="4" t="b">
        <f aca="false">TRUE()</f>
        <v>1</v>
      </c>
      <c r="R396" s="1" t="s">
        <v>1591</v>
      </c>
      <c r="S396" s="1" t="s">
        <v>1625</v>
      </c>
      <c r="T396" s="1" t="s">
        <v>222</v>
      </c>
      <c r="U396" s="1" t="s">
        <v>223</v>
      </c>
    </row>
    <row r="397" customFormat="false" ht="48" hidden="false" customHeight="true" outlineLevel="0" collapsed="false">
      <c r="A397" s="1" t="s">
        <v>43</v>
      </c>
      <c r="B397" s="1" t="s">
        <v>212</v>
      </c>
      <c r="C397" s="1" t="s">
        <v>102</v>
      </c>
      <c r="D397" s="1" t="s">
        <v>1586</v>
      </c>
      <c r="E397" s="1" t="n">
        <v>12</v>
      </c>
      <c r="F397" s="1" t="s">
        <v>1626</v>
      </c>
      <c r="G397" s="1" t="s">
        <v>236</v>
      </c>
      <c r="H397" s="1" t="s">
        <v>1627</v>
      </c>
      <c r="I397" s="1" t="s">
        <v>231</v>
      </c>
      <c r="J397" s="1" t="s">
        <v>597</v>
      </c>
      <c r="K397" s="1" t="n">
        <v>157.12</v>
      </c>
      <c r="L397" s="1" t="n">
        <v>4.5</v>
      </c>
      <c r="M397" s="1" t="n">
        <v>477</v>
      </c>
      <c r="N397" s="4" t="b">
        <f aca="false">FALSE()</f>
        <v>0</v>
      </c>
      <c r="O397" s="1" t="s">
        <v>1628</v>
      </c>
      <c r="P397" s="4" t="b">
        <f aca="false">TRUE()</f>
        <v>1</v>
      </c>
      <c r="R397" s="1" t="s">
        <v>1591</v>
      </c>
      <c r="S397" s="1" t="s">
        <v>1629</v>
      </c>
      <c r="T397" s="1" t="s">
        <v>222</v>
      </c>
      <c r="U397" s="1" t="s">
        <v>223</v>
      </c>
    </row>
    <row r="398" customFormat="false" ht="48" hidden="false" customHeight="true" outlineLevel="0" collapsed="false">
      <c r="A398" s="1" t="s">
        <v>43</v>
      </c>
      <c r="B398" s="1" t="s">
        <v>212</v>
      </c>
      <c r="C398" s="1" t="s">
        <v>102</v>
      </c>
      <c r="D398" s="1" t="s">
        <v>1586</v>
      </c>
      <c r="E398" s="1" t="n">
        <v>13</v>
      </c>
      <c r="F398" s="1" t="s">
        <v>1630</v>
      </c>
      <c r="G398" s="1" t="s">
        <v>236</v>
      </c>
      <c r="H398" s="1" t="s">
        <v>1631</v>
      </c>
      <c r="I398" s="1" t="s">
        <v>218</v>
      </c>
      <c r="J398" s="1" t="s">
        <v>310</v>
      </c>
      <c r="K398" s="1" t="n">
        <v>35.99</v>
      </c>
      <c r="L398" s="1" t="n">
        <v>4.5</v>
      </c>
      <c r="M398" s="1" t="n">
        <v>2500</v>
      </c>
      <c r="N398" s="4" t="b">
        <f aca="false">FALSE()</f>
        <v>0</v>
      </c>
      <c r="O398" s="1" t="s">
        <v>1632</v>
      </c>
      <c r="P398" s="4" t="b">
        <f aca="false">TRUE()</f>
        <v>1</v>
      </c>
      <c r="Q398" s="1" t="s">
        <v>251</v>
      </c>
      <c r="R398" s="1" t="s">
        <v>1591</v>
      </c>
      <c r="S398" s="1" t="s">
        <v>1633</v>
      </c>
      <c r="T398" s="1" t="s">
        <v>222</v>
      </c>
      <c r="U398" s="1" t="s">
        <v>223</v>
      </c>
    </row>
    <row r="399" customFormat="false" ht="48" hidden="false" customHeight="true" outlineLevel="0" collapsed="false">
      <c r="A399" s="1" t="s">
        <v>43</v>
      </c>
      <c r="B399" s="1" t="s">
        <v>212</v>
      </c>
      <c r="C399" s="1" t="s">
        <v>102</v>
      </c>
      <c r="D399" s="1" t="s">
        <v>1586</v>
      </c>
      <c r="E399" s="1" t="n">
        <v>14</v>
      </c>
      <c r="F399" s="1" t="s">
        <v>1634</v>
      </c>
      <c r="G399" s="1" t="s">
        <v>236</v>
      </c>
      <c r="H399" s="1" t="s">
        <v>1635</v>
      </c>
      <c r="I399" s="1" t="s">
        <v>218</v>
      </c>
      <c r="J399" s="1" t="s">
        <v>597</v>
      </c>
      <c r="K399" s="1" t="n">
        <v>116.89</v>
      </c>
      <c r="L399" s="1" t="n">
        <v>4.6</v>
      </c>
      <c r="M399" s="1" t="n">
        <v>429</v>
      </c>
      <c r="N399" s="4" t="b">
        <f aca="false">FALSE()</f>
        <v>0</v>
      </c>
      <c r="P399" s="4" t="b">
        <f aca="false">TRUE()</f>
        <v>1</v>
      </c>
      <c r="R399" s="1" t="s">
        <v>1591</v>
      </c>
      <c r="S399" s="1" t="s">
        <v>1636</v>
      </c>
      <c r="T399" s="1" t="s">
        <v>222</v>
      </c>
      <c r="U399" s="1" t="s">
        <v>223</v>
      </c>
    </row>
    <row r="400" customFormat="false" ht="48" hidden="false" customHeight="true" outlineLevel="0" collapsed="false">
      <c r="A400" s="1" t="s">
        <v>43</v>
      </c>
      <c r="B400" s="1" t="s">
        <v>212</v>
      </c>
      <c r="C400" s="1" t="s">
        <v>102</v>
      </c>
      <c r="D400" s="1" t="s">
        <v>1586</v>
      </c>
      <c r="E400" s="1" t="n">
        <v>15</v>
      </c>
      <c r="F400" s="1" t="s">
        <v>1637</v>
      </c>
      <c r="G400" s="1" t="s">
        <v>236</v>
      </c>
      <c r="H400" s="1" t="s">
        <v>1638</v>
      </c>
      <c r="I400" s="1" t="s">
        <v>218</v>
      </c>
      <c r="J400" s="1" t="s">
        <v>689</v>
      </c>
      <c r="K400" s="1" t="n">
        <v>132.02</v>
      </c>
      <c r="L400" s="1" t="n">
        <v>4.6</v>
      </c>
      <c r="M400" s="1" t="n">
        <v>789</v>
      </c>
      <c r="N400" s="4" t="b">
        <f aca="false">FALSE()</f>
        <v>0</v>
      </c>
      <c r="P400" s="4" t="b">
        <f aca="false">TRUE()</f>
        <v>1</v>
      </c>
      <c r="R400" s="1" t="s">
        <v>1591</v>
      </c>
      <c r="S400" s="1" t="s">
        <v>1639</v>
      </c>
      <c r="T400" s="1" t="s">
        <v>222</v>
      </c>
      <c r="U400" s="1" t="s">
        <v>223</v>
      </c>
    </row>
    <row r="401" customFormat="false" ht="48" hidden="false" customHeight="true" outlineLevel="0" collapsed="false">
      <c r="A401" s="1" t="s">
        <v>43</v>
      </c>
      <c r="B401" s="1" t="s">
        <v>212</v>
      </c>
      <c r="C401" s="1" t="s">
        <v>102</v>
      </c>
      <c r="D401" s="1" t="s">
        <v>1586</v>
      </c>
      <c r="E401" s="1" t="n">
        <v>16</v>
      </c>
      <c r="F401" s="1" t="s">
        <v>1640</v>
      </c>
      <c r="G401" s="1" t="s">
        <v>236</v>
      </c>
      <c r="H401" s="1" t="s">
        <v>1641</v>
      </c>
      <c r="I401" s="1" t="s">
        <v>218</v>
      </c>
      <c r="J401" s="1" t="s">
        <v>597</v>
      </c>
      <c r="K401" s="1" t="n">
        <v>89.99</v>
      </c>
      <c r="L401" s="1" t="n">
        <v>4.7</v>
      </c>
      <c r="M401" s="1" t="n">
        <v>41</v>
      </c>
      <c r="N401" s="4" t="b">
        <f aca="false">FALSE()</f>
        <v>0</v>
      </c>
      <c r="P401" s="4" t="b">
        <f aca="false">TRUE()</f>
        <v>1</v>
      </c>
      <c r="R401" s="1" t="s">
        <v>1591</v>
      </c>
      <c r="S401" s="1" t="s">
        <v>1642</v>
      </c>
      <c r="T401" s="1" t="s">
        <v>222</v>
      </c>
      <c r="U401" s="1" t="s">
        <v>223</v>
      </c>
    </row>
    <row r="402" customFormat="false" ht="48" hidden="false" customHeight="true" outlineLevel="0" collapsed="false">
      <c r="A402" s="1" t="s">
        <v>43</v>
      </c>
      <c r="B402" s="1" t="s">
        <v>212</v>
      </c>
      <c r="C402" s="1" t="s">
        <v>102</v>
      </c>
      <c r="D402" s="1" t="s">
        <v>1586</v>
      </c>
      <c r="E402" s="1" t="n">
        <v>17</v>
      </c>
      <c r="F402" s="1" t="s">
        <v>1643</v>
      </c>
      <c r="G402" s="1" t="s">
        <v>236</v>
      </c>
      <c r="H402" s="1" t="s">
        <v>1644</v>
      </c>
      <c r="I402" s="1" t="s">
        <v>218</v>
      </c>
      <c r="J402" s="1" t="s">
        <v>597</v>
      </c>
      <c r="K402" s="1" t="n">
        <v>55.24</v>
      </c>
      <c r="L402" s="1" t="n">
        <v>4.6</v>
      </c>
      <c r="M402" s="1" t="n">
        <v>13000</v>
      </c>
      <c r="N402" s="4" t="b">
        <f aca="false">FALSE()</f>
        <v>0</v>
      </c>
      <c r="O402" s="1" t="s">
        <v>1645</v>
      </c>
      <c r="P402" s="4" t="b">
        <f aca="false">TRUE()</f>
        <v>1</v>
      </c>
      <c r="Q402" s="1" t="s">
        <v>233</v>
      </c>
      <c r="R402" s="1" t="s">
        <v>1591</v>
      </c>
      <c r="S402" s="1" t="s">
        <v>1646</v>
      </c>
      <c r="T402" s="1" t="s">
        <v>222</v>
      </c>
      <c r="U402" s="1" t="s">
        <v>223</v>
      </c>
    </row>
    <row r="403" customFormat="false" ht="48" hidden="false" customHeight="true" outlineLevel="0" collapsed="false">
      <c r="A403" s="1" t="s">
        <v>43</v>
      </c>
      <c r="B403" s="1" t="s">
        <v>212</v>
      </c>
      <c r="C403" s="1" t="s">
        <v>102</v>
      </c>
      <c r="D403" s="1" t="s">
        <v>1586</v>
      </c>
      <c r="E403" s="1" t="n">
        <v>18</v>
      </c>
      <c r="F403" s="1" t="s">
        <v>1647</v>
      </c>
      <c r="G403" s="1" t="s">
        <v>236</v>
      </c>
      <c r="H403" s="1" t="s">
        <v>1648</v>
      </c>
      <c r="I403" s="1" t="s">
        <v>289</v>
      </c>
      <c r="J403" s="1" t="s">
        <v>310</v>
      </c>
      <c r="K403" s="1" t="n">
        <v>102.1</v>
      </c>
      <c r="L403" s="1" t="n">
        <v>4.6</v>
      </c>
      <c r="M403" s="1" t="n">
        <v>3400</v>
      </c>
      <c r="N403" s="4" t="b">
        <f aca="false">FALSE()</f>
        <v>0</v>
      </c>
      <c r="P403" s="4" t="b">
        <f aca="false">TRUE()</f>
        <v>1</v>
      </c>
      <c r="R403" s="1" t="s">
        <v>1591</v>
      </c>
      <c r="S403" s="1" t="s">
        <v>1649</v>
      </c>
      <c r="T403" s="1" t="s">
        <v>222</v>
      </c>
      <c r="U403" s="1" t="s">
        <v>223</v>
      </c>
    </row>
    <row r="404" customFormat="false" ht="48" hidden="false" customHeight="true" outlineLevel="0" collapsed="false">
      <c r="A404" s="1" t="s">
        <v>43</v>
      </c>
      <c r="B404" s="1" t="s">
        <v>212</v>
      </c>
      <c r="C404" s="1" t="s">
        <v>102</v>
      </c>
      <c r="D404" s="1" t="s">
        <v>1586</v>
      </c>
      <c r="E404" s="1" t="n">
        <v>19</v>
      </c>
      <c r="F404" s="1" t="s">
        <v>1650</v>
      </c>
      <c r="G404" s="1" t="s">
        <v>774</v>
      </c>
      <c r="H404" s="1" t="s">
        <v>1651</v>
      </c>
      <c r="I404" s="1" t="s">
        <v>218</v>
      </c>
      <c r="J404" s="1" t="s">
        <v>597</v>
      </c>
      <c r="K404" s="1" t="n">
        <v>46.99</v>
      </c>
      <c r="L404" s="1" t="n">
        <v>4.6</v>
      </c>
      <c r="M404" s="1" t="n">
        <v>10300</v>
      </c>
      <c r="N404" s="4" t="b">
        <f aca="false">FALSE()</f>
        <v>0</v>
      </c>
      <c r="P404" s="4" t="b">
        <f aca="false">TRUE()</f>
        <v>1</v>
      </c>
      <c r="Q404" s="1" t="s">
        <v>251</v>
      </c>
      <c r="R404" s="1" t="s">
        <v>1591</v>
      </c>
      <c r="S404" s="1" t="s">
        <v>1652</v>
      </c>
      <c r="T404" s="1" t="s">
        <v>222</v>
      </c>
      <c r="U404" s="1" t="s">
        <v>223</v>
      </c>
    </row>
    <row r="405" customFormat="false" ht="48" hidden="false" customHeight="true" outlineLevel="0" collapsed="false">
      <c r="A405" s="1" t="s">
        <v>43</v>
      </c>
      <c r="B405" s="1" t="s">
        <v>212</v>
      </c>
      <c r="C405" s="1" t="s">
        <v>102</v>
      </c>
      <c r="D405" s="1" t="s">
        <v>1586</v>
      </c>
      <c r="E405" s="1" t="n">
        <v>20</v>
      </c>
      <c r="F405" s="1" t="s">
        <v>1653</v>
      </c>
      <c r="G405" s="1" t="s">
        <v>236</v>
      </c>
      <c r="H405" s="1" t="s">
        <v>1654</v>
      </c>
      <c r="I405" s="1" t="s">
        <v>218</v>
      </c>
      <c r="J405" s="1" t="s">
        <v>689</v>
      </c>
      <c r="L405" s="1" t="n">
        <v>4.6</v>
      </c>
      <c r="M405" s="1" t="n">
        <v>789</v>
      </c>
      <c r="N405" s="4" t="b">
        <f aca="false">FALSE()</f>
        <v>0</v>
      </c>
      <c r="P405" s="4" t="b">
        <f aca="false">TRUE()</f>
        <v>1</v>
      </c>
      <c r="R405" s="1" t="s">
        <v>1591</v>
      </c>
      <c r="S405" s="1" t="s">
        <v>1655</v>
      </c>
      <c r="T405" s="1" t="s">
        <v>222</v>
      </c>
      <c r="U405" s="1" t="s">
        <v>223</v>
      </c>
    </row>
    <row r="406" customFormat="false" ht="48" hidden="false" customHeight="true" outlineLevel="0" collapsed="false">
      <c r="A406" s="1" t="s">
        <v>43</v>
      </c>
      <c r="B406" s="1" t="s">
        <v>212</v>
      </c>
      <c r="C406" s="1" t="s">
        <v>102</v>
      </c>
      <c r="D406" s="1" t="s">
        <v>1586</v>
      </c>
      <c r="E406" s="1" t="n">
        <v>21</v>
      </c>
      <c r="F406" s="1" t="s">
        <v>1656</v>
      </c>
      <c r="G406" s="1" t="s">
        <v>236</v>
      </c>
      <c r="H406" s="1" t="s">
        <v>1657</v>
      </c>
      <c r="I406" s="1" t="s">
        <v>231</v>
      </c>
      <c r="J406" s="1" t="s">
        <v>689</v>
      </c>
      <c r="K406" s="1" t="n">
        <v>121.59</v>
      </c>
      <c r="L406" s="1" t="n">
        <v>3.8</v>
      </c>
      <c r="M406" s="1" t="n">
        <v>62</v>
      </c>
      <c r="N406" s="4" t="b">
        <f aca="false">FALSE()</f>
        <v>0</v>
      </c>
      <c r="O406" s="1" t="s">
        <v>1658</v>
      </c>
      <c r="P406" s="4" t="b">
        <f aca="false">TRUE()</f>
        <v>1</v>
      </c>
      <c r="R406" s="1" t="s">
        <v>1591</v>
      </c>
      <c r="S406" s="1" t="s">
        <v>1659</v>
      </c>
      <c r="T406" s="1" t="s">
        <v>222</v>
      </c>
      <c r="U406" s="1" t="s">
        <v>223</v>
      </c>
    </row>
    <row r="407" customFormat="false" ht="48" hidden="false" customHeight="true" outlineLevel="0" collapsed="false">
      <c r="A407" s="1" t="s">
        <v>43</v>
      </c>
      <c r="B407" s="1" t="s">
        <v>212</v>
      </c>
      <c r="C407" s="1" t="s">
        <v>102</v>
      </c>
      <c r="D407" s="1" t="s">
        <v>1586</v>
      </c>
      <c r="E407" s="1" t="n">
        <v>22</v>
      </c>
      <c r="F407" s="1" t="s">
        <v>1660</v>
      </c>
      <c r="G407" s="1" t="s">
        <v>236</v>
      </c>
      <c r="H407" s="1" t="s">
        <v>1661</v>
      </c>
      <c r="I407" s="1" t="s">
        <v>218</v>
      </c>
      <c r="J407" s="1" t="s">
        <v>597</v>
      </c>
      <c r="L407" s="1" t="n">
        <v>3.8</v>
      </c>
      <c r="M407" s="1" t="n">
        <v>264</v>
      </c>
      <c r="N407" s="4" t="b">
        <f aca="false">FALSE()</f>
        <v>0</v>
      </c>
      <c r="P407" s="4" t="b">
        <f aca="false">TRUE()</f>
        <v>1</v>
      </c>
      <c r="R407" s="1" t="s">
        <v>1591</v>
      </c>
      <c r="S407" s="1" t="s">
        <v>1662</v>
      </c>
      <c r="T407" s="1" t="s">
        <v>222</v>
      </c>
      <c r="U407" s="1" t="s">
        <v>223</v>
      </c>
    </row>
    <row r="408" customFormat="false" ht="48" hidden="false" customHeight="true" outlineLevel="0" collapsed="false">
      <c r="A408" s="1" t="s">
        <v>43</v>
      </c>
      <c r="B408" s="1" t="s">
        <v>212</v>
      </c>
      <c r="C408" s="1" t="s">
        <v>102</v>
      </c>
      <c r="D408" s="1" t="s">
        <v>1586</v>
      </c>
      <c r="E408" s="1" t="n">
        <v>23</v>
      </c>
      <c r="F408" s="1" t="s">
        <v>1663</v>
      </c>
      <c r="G408" s="1" t="s">
        <v>236</v>
      </c>
      <c r="H408" s="1" t="s">
        <v>1664</v>
      </c>
      <c r="I408" s="1" t="s">
        <v>289</v>
      </c>
      <c r="J408" s="1" t="s">
        <v>597</v>
      </c>
      <c r="K408" s="1" t="n">
        <v>135.78</v>
      </c>
      <c r="L408" s="1" t="n">
        <v>4.2</v>
      </c>
      <c r="M408" s="1" t="n">
        <v>171</v>
      </c>
      <c r="N408" s="4" t="b">
        <f aca="false">FALSE()</f>
        <v>0</v>
      </c>
      <c r="O408" s="1" t="s">
        <v>1665</v>
      </c>
      <c r="P408" s="4" t="b">
        <f aca="false">TRUE()</f>
        <v>1</v>
      </c>
      <c r="R408" s="1" t="s">
        <v>1591</v>
      </c>
      <c r="S408" s="1" t="s">
        <v>1666</v>
      </c>
      <c r="T408" s="1" t="s">
        <v>222</v>
      </c>
      <c r="U408" s="1" t="s">
        <v>223</v>
      </c>
    </row>
    <row r="409" customFormat="false" ht="48" hidden="false" customHeight="true" outlineLevel="0" collapsed="false">
      <c r="A409" s="1" t="s">
        <v>43</v>
      </c>
      <c r="B409" s="1" t="s">
        <v>212</v>
      </c>
      <c r="C409" s="1" t="s">
        <v>102</v>
      </c>
      <c r="D409" s="1" t="s">
        <v>1586</v>
      </c>
      <c r="E409" s="1" t="n">
        <v>24</v>
      </c>
      <c r="F409" s="1" t="s">
        <v>1667</v>
      </c>
      <c r="G409" s="1" t="s">
        <v>236</v>
      </c>
      <c r="H409" s="1" t="s">
        <v>1668</v>
      </c>
      <c r="I409" s="1" t="s">
        <v>218</v>
      </c>
      <c r="J409" s="1" t="s">
        <v>597</v>
      </c>
      <c r="K409" s="1" t="n">
        <v>109.95</v>
      </c>
      <c r="L409" s="1" t="n">
        <v>4.5</v>
      </c>
      <c r="M409" s="1" t="n">
        <v>173</v>
      </c>
      <c r="N409" s="4" t="b">
        <f aca="false">FALSE()</f>
        <v>0</v>
      </c>
      <c r="O409" s="1" t="s">
        <v>674</v>
      </c>
      <c r="P409" s="4" t="b">
        <f aca="false">TRUE()</f>
        <v>1</v>
      </c>
      <c r="R409" s="1" t="s">
        <v>1591</v>
      </c>
      <c r="S409" s="1" t="s">
        <v>1669</v>
      </c>
      <c r="T409" s="1" t="s">
        <v>222</v>
      </c>
      <c r="U409" s="1" t="s">
        <v>223</v>
      </c>
    </row>
    <row r="410" customFormat="false" ht="48" hidden="false" customHeight="true" outlineLevel="0" collapsed="false">
      <c r="A410" s="1" t="s">
        <v>43</v>
      </c>
      <c r="B410" s="1" t="s">
        <v>212</v>
      </c>
      <c r="C410" s="1" t="s">
        <v>102</v>
      </c>
      <c r="D410" s="1" t="s">
        <v>1586</v>
      </c>
      <c r="E410" s="1" t="n">
        <v>25</v>
      </c>
      <c r="F410" s="1" t="s">
        <v>1670</v>
      </c>
      <c r="G410" s="1" t="s">
        <v>236</v>
      </c>
      <c r="H410" s="1" t="s">
        <v>1671</v>
      </c>
      <c r="I410" s="1" t="s">
        <v>218</v>
      </c>
      <c r="J410" s="1" t="s">
        <v>371</v>
      </c>
      <c r="K410" s="1" t="n">
        <v>58.99</v>
      </c>
      <c r="L410" s="1" t="n">
        <v>4.6</v>
      </c>
      <c r="M410" s="1" t="n">
        <v>310</v>
      </c>
      <c r="N410" s="4" t="b">
        <f aca="false">FALSE()</f>
        <v>0</v>
      </c>
      <c r="O410" s="1" t="s">
        <v>247</v>
      </c>
      <c r="P410" s="4" t="b">
        <f aca="false">TRUE()</f>
        <v>1</v>
      </c>
      <c r="R410" s="1" t="s">
        <v>1591</v>
      </c>
      <c r="S410" s="1" t="s">
        <v>1672</v>
      </c>
      <c r="T410" s="1" t="s">
        <v>222</v>
      </c>
      <c r="U410" s="1" t="s">
        <v>223</v>
      </c>
    </row>
    <row r="411" customFormat="false" ht="48" hidden="false" customHeight="true" outlineLevel="0" collapsed="false">
      <c r="A411" s="1" t="s">
        <v>43</v>
      </c>
      <c r="B411" s="1" t="s">
        <v>212</v>
      </c>
      <c r="C411" s="1" t="s">
        <v>102</v>
      </c>
      <c r="D411" s="1" t="s">
        <v>1586</v>
      </c>
      <c r="E411" s="1" t="n">
        <v>26</v>
      </c>
      <c r="F411" s="1" t="s">
        <v>1673</v>
      </c>
      <c r="G411" s="1" t="s">
        <v>236</v>
      </c>
      <c r="H411" s="1" t="s">
        <v>1674</v>
      </c>
      <c r="I411" s="1" t="s">
        <v>218</v>
      </c>
      <c r="J411" s="1" t="s">
        <v>597</v>
      </c>
      <c r="K411" s="1" t="n">
        <v>89.99</v>
      </c>
      <c r="L411" s="1" t="n">
        <v>4.4</v>
      </c>
      <c r="M411" s="1" t="n">
        <v>256</v>
      </c>
      <c r="N411" s="4" t="b">
        <f aca="false">FALSE()</f>
        <v>0</v>
      </c>
      <c r="P411" s="4" t="b">
        <f aca="false">TRUE()</f>
        <v>1</v>
      </c>
      <c r="Q411" s="1" t="s">
        <v>435</v>
      </c>
      <c r="R411" s="1" t="s">
        <v>1591</v>
      </c>
      <c r="S411" s="1" t="s">
        <v>1675</v>
      </c>
      <c r="T411" s="1" t="s">
        <v>222</v>
      </c>
      <c r="U411" s="1" t="s">
        <v>223</v>
      </c>
    </row>
    <row r="412" customFormat="false" ht="48" hidden="false" customHeight="true" outlineLevel="0" collapsed="false">
      <c r="A412" s="1" t="s">
        <v>43</v>
      </c>
      <c r="B412" s="1" t="s">
        <v>212</v>
      </c>
      <c r="C412" s="1" t="s">
        <v>102</v>
      </c>
      <c r="D412" s="1" t="s">
        <v>1586</v>
      </c>
      <c r="E412" s="1" t="n">
        <v>27</v>
      </c>
      <c r="F412" s="1" t="s">
        <v>1676</v>
      </c>
      <c r="G412" s="1" t="s">
        <v>236</v>
      </c>
      <c r="H412" s="1" t="s">
        <v>1677</v>
      </c>
      <c r="I412" s="1" t="s">
        <v>218</v>
      </c>
      <c r="J412" s="1" t="s">
        <v>597</v>
      </c>
      <c r="L412" s="1" t="n">
        <v>4.1</v>
      </c>
      <c r="M412" s="1" t="n">
        <v>65</v>
      </c>
      <c r="N412" s="4" t="b">
        <f aca="false">FALSE()</f>
        <v>0</v>
      </c>
      <c r="P412" s="4" t="b">
        <f aca="false">TRUE()</f>
        <v>1</v>
      </c>
      <c r="R412" s="1" t="s">
        <v>1591</v>
      </c>
      <c r="S412" s="1" t="s">
        <v>1678</v>
      </c>
      <c r="T412" s="1" t="s">
        <v>222</v>
      </c>
      <c r="U412" s="1" t="s">
        <v>223</v>
      </c>
    </row>
    <row r="413" customFormat="false" ht="48" hidden="false" customHeight="true" outlineLevel="0" collapsed="false">
      <c r="A413" s="1" t="s">
        <v>43</v>
      </c>
      <c r="B413" s="1" t="s">
        <v>212</v>
      </c>
      <c r="C413" s="1" t="s">
        <v>102</v>
      </c>
      <c r="D413" s="1" t="s">
        <v>1586</v>
      </c>
      <c r="E413" s="1" t="n">
        <v>28</v>
      </c>
      <c r="F413" s="1" t="s">
        <v>1679</v>
      </c>
      <c r="G413" s="1" t="s">
        <v>236</v>
      </c>
      <c r="H413" s="1" t="s">
        <v>1680</v>
      </c>
      <c r="I413" s="1" t="s">
        <v>218</v>
      </c>
      <c r="J413" s="1" t="s">
        <v>597</v>
      </c>
      <c r="K413" s="1" t="n">
        <v>176.76</v>
      </c>
      <c r="L413" s="1" t="n">
        <v>4.5</v>
      </c>
      <c r="M413" s="1" t="n">
        <v>3500</v>
      </c>
      <c r="N413" s="4" t="b">
        <f aca="false">FALSE()</f>
        <v>0</v>
      </c>
      <c r="P413" s="4" t="b">
        <f aca="false">TRUE()</f>
        <v>1</v>
      </c>
      <c r="R413" s="1" t="s">
        <v>1591</v>
      </c>
      <c r="S413" s="1" t="s">
        <v>1681</v>
      </c>
      <c r="T413" s="1" t="s">
        <v>222</v>
      </c>
      <c r="U413" s="1" t="s">
        <v>223</v>
      </c>
    </row>
    <row r="414" customFormat="false" ht="48" hidden="false" customHeight="true" outlineLevel="0" collapsed="false">
      <c r="A414" s="1" t="s">
        <v>43</v>
      </c>
      <c r="B414" s="1" t="s">
        <v>212</v>
      </c>
      <c r="C414" s="1" t="s">
        <v>102</v>
      </c>
      <c r="D414" s="1" t="s">
        <v>1586</v>
      </c>
      <c r="E414" s="1" t="n">
        <v>29</v>
      </c>
      <c r="F414" s="1" t="s">
        <v>1682</v>
      </c>
      <c r="G414" s="1" t="s">
        <v>774</v>
      </c>
      <c r="H414" s="1" t="s">
        <v>1683</v>
      </c>
      <c r="I414" s="1" t="s">
        <v>218</v>
      </c>
      <c r="J414" s="1" t="s">
        <v>310</v>
      </c>
      <c r="K414" s="1" t="n">
        <v>34.19</v>
      </c>
      <c r="L414" s="1" t="n">
        <v>4.5</v>
      </c>
      <c r="M414" s="1" t="n">
        <v>46000</v>
      </c>
      <c r="N414" s="4" t="b">
        <f aca="false">FALSE()</f>
        <v>0</v>
      </c>
      <c r="O414" s="1" t="s">
        <v>1684</v>
      </c>
      <c r="P414" s="4" t="b">
        <f aca="false">TRUE()</f>
        <v>1</v>
      </c>
      <c r="Q414" s="1" t="s">
        <v>766</v>
      </c>
      <c r="R414" s="1" t="s">
        <v>1591</v>
      </c>
      <c r="S414" s="1" t="s">
        <v>1685</v>
      </c>
      <c r="T414" s="1" t="s">
        <v>222</v>
      </c>
      <c r="U414" s="1" t="s">
        <v>223</v>
      </c>
    </row>
    <row r="415" customFormat="false" ht="48" hidden="false" customHeight="true" outlineLevel="0" collapsed="false">
      <c r="A415" s="1" t="s">
        <v>43</v>
      </c>
      <c r="B415" s="1" t="s">
        <v>212</v>
      </c>
      <c r="C415" s="1" t="s">
        <v>102</v>
      </c>
      <c r="D415" s="1" t="s">
        <v>1586</v>
      </c>
      <c r="E415" s="1" t="n">
        <v>30</v>
      </c>
      <c r="F415" s="1" t="s">
        <v>1686</v>
      </c>
      <c r="G415" s="1" t="s">
        <v>236</v>
      </c>
      <c r="H415" s="1" t="s">
        <v>1687</v>
      </c>
      <c r="I415" s="1" t="s">
        <v>218</v>
      </c>
      <c r="J415" s="1" t="s">
        <v>597</v>
      </c>
      <c r="K415" s="1" t="n">
        <v>124.49</v>
      </c>
      <c r="L415" s="1" t="n">
        <v>4.5</v>
      </c>
      <c r="M415" s="1" t="n">
        <v>3000</v>
      </c>
      <c r="N415" s="4" t="b">
        <f aca="false">FALSE()</f>
        <v>0</v>
      </c>
      <c r="P415" s="4" t="b">
        <f aca="false">TRUE()</f>
        <v>1</v>
      </c>
      <c r="R415" s="1" t="s">
        <v>1591</v>
      </c>
      <c r="S415" s="1" t="s">
        <v>1688</v>
      </c>
      <c r="T415" s="1" t="s">
        <v>222</v>
      </c>
      <c r="U415" s="1" t="s">
        <v>223</v>
      </c>
    </row>
    <row r="416" customFormat="false" ht="48" hidden="false" customHeight="true" outlineLevel="0" collapsed="false">
      <c r="A416" s="1" t="s">
        <v>43</v>
      </c>
      <c r="B416" s="1" t="s">
        <v>212</v>
      </c>
      <c r="C416" s="1" t="s">
        <v>102</v>
      </c>
      <c r="D416" s="1" t="s">
        <v>1586</v>
      </c>
      <c r="E416" s="1" t="n">
        <v>31</v>
      </c>
      <c r="F416" s="1" t="s">
        <v>1689</v>
      </c>
      <c r="G416" s="1" t="s">
        <v>236</v>
      </c>
      <c r="H416" s="1" t="s">
        <v>1690</v>
      </c>
      <c r="I416" s="1" t="s">
        <v>231</v>
      </c>
      <c r="J416" s="1" t="s">
        <v>597</v>
      </c>
      <c r="L416" s="1" t="n">
        <v>4.5</v>
      </c>
      <c r="M416" s="1" t="n">
        <v>3500</v>
      </c>
      <c r="N416" s="4" t="b">
        <f aca="false">FALSE()</f>
        <v>0</v>
      </c>
      <c r="P416" s="4" t="b">
        <f aca="false">TRUE()</f>
        <v>1</v>
      </c>
      <c r="R416" s="1" t="s">
        <v>1591</v>
      </c>
      <c r="S416" s="1" t="s">
        <v>1691</v>
      </c>
      <c r="T416" s="1" t="s">
        <v>222</v>
      </c>
      <c r="U416" s="1" t="s">
        <v>223</v>
      </c>
    </row>
    <row r="417" customFormat="false" ht="48" hidden="false" customHeight="true" outlineLevel="0" collapsed="false">
      <c r="A417" s="1" t="s">
        <v>43</v>
      </c>
      <c r="B417" s="1" t="s">
        <v>212</v>
      </c>
      <c r="C417" s="1" t="s">
        <v>102</v>
      </c>
      <c r="D417" s="1" t="s">
        <v>1586</v>
      </c>
      <c r="E417" s="1" t="n">
        <v>32</v>
      </c>
      <c r="F417" s="1" t="s">
        <v>1692</v>
      </c>
      <c r="G417" s="1" t="s">
        <v>236</v>
      </c>
      <c r="H417" s="1" t="s">
        <v>1693</v>
      </c>
      <c r="I417" s="1" t="s">
        <v>306</v>
      </c>
      <c r="J417" s="1" t="s">
        <v>597</v>
      </c>
      <c r="K417" s="1" t="n">
        <v>72.15</v>
      </c>
      <c r="L417" s="1" t="n">
        <v>4.6</v>
      </c>
      <c r="M417" s="1" t="n">
        <v>1000</v>
      </c>
      <c r="N417" s="4" t="b">
        <f aca="false">FALSE()</f>
        <v>0</v>
      </c>
      <c r="O417" s="1" t="s">
        <v>1694</v>
      </c>
      <c r="P417" s="4" t="b">
        <f aca="false">TRUE()</f>
        <v>1</v>
      </c>
      <c r="R417" s="1" t="s">
        <v>1591</v>
      </c>
      <c r="S417" s="1" t="s">
        <v>1695</v>
      </c>
      <c r="T417" s="1" t="s">
        <v>222</v>
      </c>
      <c r="U417" s="1" t="s">
        <v>223</v>
      </c>
    </row>
    <row r="418" customFormat="false" ht="48" hidden="false" customHeight="true" outlineLevel="0" collapsed="false">
      <c r="A418" s="1" t="s">
        <v>43</v>
      </c>
      <c r="B418" s="1" t="s">
        <v>212</v>
      </c>
      <c r="C418" s="1" t="s">
        <v>102</v>
      </c>
      <c r="D418" s="1" t="s">
        <v>1586</v>
      </c>
      <c r="E418" s="1" t="n">
        <v>33</v>
      </c>
      <c r="F418" s="1" t="s">
        <v>1696</v>
      </c>
      <c r="G418" s="1" t="s">
        <v>236</v>
      </c>
      <c r="H418" s="1" t="s">
        <v>1697</v>
      </c>
      <c r="I418" s="1" t="s">
        <v>289</v>
      </c>
      <c r="J418" s="1" t="s">
        <v>597</v>
      </c>
      <c r="K418" s="1" t="n">
        <v>103.59</v>
      </c>
      <c r="L418" s="1" t="n">
        <v>4.6</v>
      </c>
      <c r="M418" s="1" t="n">
        <v>3500</v>
      </c>
      <c r="N418" s="4" t="b">
        <f aca="false">FALSE()</f>
        <v>0</v>
      </c>
      <c r="P418" s="4" t="b">
        <f aca="false">TRUE()</f>
        <v>1</v>
      </c>
      <c r="R418" s="1" t="s">
        <v>1591</v>
      </c>
      <c r="S418" s="1" t="s">
        <v>1698</v>
      </c>
      <c r="T418" s="1" t="s">
        <v>222</v>
      </c>
      <c r="U418" s="1" t="s">
        <v>223</v>
      </c>
    </row>
    <row r="419" customFormat="false" ht="48" hidden="false" customHeight="true" outlineLevel="0" collapsed="false">
      <c r="A419" s="1" t="s">
        <v>43</v>
      </c>
      <c r="B419" s="1" t="s">
        <v>212</v>
      </c>
      <c r="C419" s="1" t="s">
        <v>102</v>
      </c>
      <c r="D419" s="1" t="s">
        <v>1586</v>
      </c>
      <c r="E419" s="1" t="n">
        <v>34</v>
      </c>
      <c r="F419" s="1" t="s">
        <v>1699</v>
      </c>
      <c r="G419" s="1" t="s">
        <v>236</v>
      </c>
      <c r="H419" s="1" t="s">
        <v>1700</v>
      </c>
      <c r="I419" s="1" t="s">
        <v>218</v>
      </c>
      <c r="J419" s="1" t="s">
        <v>597</v>
      </c>
      <c r="K419" s="1" t="n">
        <v>115.96</v>
      </c>
      <c r="L419" s="1" t="n">
        <v>4.6</v>
      </c>
      <c r="M419" s="1" t="n">
        <v>238</v>
      </c>
      <c r="N419" s="4" t="b">
        <f aca="false">FALSE()</f>
        <v>0</v>
      </c>
      <c r="O419" s="1" t="s">
        <v>1701</v>
      </c>
      <c r="P419" s="4" t="b">
        <f aca="false">TRUE()</f>
        <v>1</v>
      </c>
      <c r="R419" s="1" t="s">
        <v>1591</v>
      </c>
      <c r="S419" s="1" t="s">
        <v>1702</v>
      </c>
      <c r="T419" s="1" t="s">
        <v>222</v>
      </c>
      <c r="U419" s="1" t="s">
        <v>223</v>
      </c>
    </row>
    <row r="420" customFormat="false" ht="48" hidden="false" customHeight="true" outlineLevel="0" collapsed="false">
      <c r="A420" s="1" t="s">
        <v>43</v>
      </c>
      <c r="B420" s="1" t="s">
        <v>212</v>
      </c>
      <c r="C420" s="1" t="s">
        <v>102</v>
      </c>
      <c r="D420" s="1" t="s">
        <v>1586</v>
      </c>
      <c r="E420" s="1" t="n">
        <v>35</v>
      </c>
      <c r="F420" s="1" t="s">
        <v>1703</v>
      </c>
      <c r="G420" s="1" t="s">
        <v>471</v>
      </c>
      <c r="H420" s="1" t="s">
        <v>1704</v>
      </c>
      <c r="I420" s="1" t="s">
        <v>289</v>
      </c>
      <c r="J420" s="1" t="s">
        <v>597</v>
      </c>
      <c r="K420" s="1" t="n">
        <v>89.99</v>
      </c>
      <c r="L420" s="1" t="n">
        <v>4.1</v>
      </c>
      <c r="M420" s="1" t="n">
        <v>24</v>
      </c>
      <c r="N420" s="4" t="b">
        <f aca="false">FALSE()</f>
        <v>0</v>
      </c>
      <c r="P420" s="4" t="b">
        <f aca="false">TRUE()</f>
        <v>1</v>
      </c>
      <c r="R420" s="1" t="s">
        <v>1591</v>
      </c>
      <c r="S420" s="1" t="s">
        <v>1705</v>
      </c>
      <c r="T420" s="1" t="s">
        <v>222</v>
      </c>
      <c r="U420" s="1" t="s">
        <v>223</v>
      </c>
    </row>
    <row r="421" customFormat="false" ht="48" hidden="false" customHeight="true" outlineLevel="0" collapsed="false">
      <c r="A421" s="1" t="s">
        <v>43</v>
      </c>
      <c r="B421" s="1" t="s">
        <v>212</v>
      </c>
      <c r="C421" s="1" t="s">
        <v>102</v>
      </c>
      <c r="D421" s="1" t="s">
        <v>1586</v>
      </c>
      <c r="E421" s="1" t="n">
        <v>36</v>
      </c>
      <c r="F421" s="1" t="s">
        <v>1706</v>
      </c>
      <c r="G421" s="1" t="s">
        <v>1707</v>
      </c>
      <c r="H421" s="1" t="s">
        <v>1708</v>
      </c>
      <c r="I421" s="1" t="s">
        <v>218</v>
      </c>
      <c r="J421" s="1" t="s">
        <v>371</v>
      </c>
      <c r="K421" s="1" t="n">
        <v>46.99</v>
      </c>
      <c r="L421" s="1" t="n">
        <v>4.5</v>
      </c>
      <c r="M421" s="1" t="n">
        <v>16400</v>
      </c>
      <c r="N421" s="4" t="b">
        <f aca="false">FALSE()</f>
        <v>0</v>
      </c>
      <c r="O421" s="1" t="s">
        <v>1709</v>
      </c>
      <c r="P421" s="4" t="b">
        <f aca="false">TRUE()</f>
        <v>1</v>
      </c>
      <c r="Q421" s="1" t="s">
        <v>233</v>
      </c>
      <c r="R421" s="1" t="s">
        <v>1591</v>
      </c>
      <c r="S421" s="1" t="s">
        <v>1710</v>
      </c>
      <c r="T421" s="1" t="s">
        <v>222</v>
      </c>
      <c r="U421" s="1" t="s">
        <v>223</v>
      </c>
    </row>
    <row r="422" customFormat="false" ht="48" hidden="false" customHeight="true" outlineLevel="0" collapsed="false">
      <c r="A422" s="1" t="s">
        <v>43</v>
      </c>
      <c r="B422" s="1" t="s">
        <v>212</v>
      </c>
      <c r="C422" s="1" t="s">
        <v>102</v>
      </c>
      <c r="D422" s="1" t="s">
        <v>1586</v>
      </c>
      <c r="E422" s="1" t="n">
        <v>37</v>
      </c>
      <c r="F422" s="1" t="s">
        <v>1711</v>
      </c>
      <c r="G422" s="1" t="s">
        <v>236</v>
      </c>
      <c r="H422" s="1" t="s">
        <v>1712</v>
      </c>
      <c r="I422" s="1" t="s">
        <v>231</v>
      </c>
      <c r="J422" s="1" t="s">
        <v>310</v>
      </c>
      <c r="K422" s="1" t="n">
        <v>76.49</v>
      </c>
      <c r="L422" s="1" t="n">
        <v>4.5</v>
      </c>
      <c r="M422" s="1" t="n">
        <v>961</v>
      </c>
      <c r="N422" s="4" t="b">
        <f aca="false">FALSE()</f>
        <v>0</v>
      </c>
      <c r="O422" s="1" t="s">
        <v>1713</v>
      </c>
      <c r="P422" s="4" t="b">
        <f aca="false">TRUE()</f>
        <v>1</v>
      </c>
      <c r="Q422" s="1" t="s">
        <v>233</v>
      </c>
      <c r="R422" s="1" t="s">
        <v>1591</v>
      </c>
      <c r="S422" s="1" t="s">
        <v>1714</v>
      </c>
      <c r="T422" s="1" t="s">
        <v>222</v>
      </c>
      <c r="U422" s="1" t="s">
        <v>223</v>
      </c>
    </row>
    <row r="423" customFormat="false" ht="48" hidden="false" customHeight="true" outlineLevel="0" collapsed="false">
      <c r="A423" s="1" t="s">
        <v>43</v>
      </c>
      <c r="B423" s="1" t="s">
        <v>212</v>
      </c>
      <c r="C423" s="1" t="s">
        <v>102</v>
      </c>
      <c r="D423" s="1" t="s">
        <v>1586</v>
      </c>
      <c r="E423" s="1" t="n">
        <v>38</v>
      </c>
      <c r="F423" s="1" t="s">
        <v>1715</v>
      </c>
      <c r="G423" s="1" t="s">
        <v>236</v>
      </c>
      <c r="H423" s="1" t="s">
        <v>1716</v>
      </c>
      <c r="I423" s="1" t="s">
        <v>306</v>
      </c>
      <c r="J423" s="1" t="s">
        <v>597</v>
      </c>
      <c r="K423" s="1" t="n">
        <v>36.99</v>
      </c>
      <c r="L423" s="1" t="n">
        <v>4.6</v>
      </c>
      <c r="M423" s="1" t="n">
        <v>139</v>
      </c>
      <c r="N423" s="4" t="b">
        <f aca="false">FALSE()</f>
        <v>0</v>
      </c>
      <c r="P423" s="4" t="b">
        <f aca="false">TRUE()</f>
        <v>1</v>
      </c>
      <c r="Q423" s="1" t="s">
        <v>435</v>
      </c>
      <c r="R423" s="1" t="s">
        <v>1591</v>
      </c>
      <c r="S423" s="1" t="s">
        <v>1717</v>
      </c>
      <c r="T423" s="1" t="s">
        <v>222</v>
      </c>
      <c r="U423" s="1" t="s">
        <v>223</v>
      </c>
    </row>
    <row r="424" customFormat="false" ht="48" hidden="false" customHeight="true" outlineLevel="0" collapsed="false">
      <c r="A424" s="1" t="s">
        <v>43</v>
      </c>
      <c r="B424" s="1" t="s">
        <v>212</v>
      </c>
      <c r="C424" s="1" t="s">
        <v>102</v>
      </c>
      <c r="D424" s="1" t="s">
        <v>1586</v>
      </c>
      <c r="E424" s="1" t="n">
        <v>39</v>
      </c>
      <c r="F424" s="1" t="s">
        <v>1718</v>
      </c>
      <c r="G424" s="1" t="s">
        <v>1588</v>
      </c>
      <c r="H424" s="1" t="s">
        <v>1719</v>
      </c>
      <c r="I424" s="1" t="s">
        <v>289</v>
      </c>
      <c r="J424" s="1" t="s">
        <v>597</v>
      </c>
      <c r="K424" s="1" t="n">
        <v>45.99</v>
      </c>
      <c r="L424" s="1" t="n">
        <v>4.5</v>
      </c>
      <c r="M424" s="1" t="n">
        <v>529</v>
      </c>
      <c r="N424" s="4" t="b">
        <f aca="false">FALSE()</f>
        <v>0</v>
      </c>
      <c r="O424" s="1" t="s">
        <v>1720</v>
      </c>
      <c r="P424" s="4" t="b">
        <f aca="false">TRUE()</f>
        <v>1</v>
      </c>
      <c r="R424" s="1" t="s">
        <v>1591</v>
      </c>
      <c r="S424" s="1" t="s">
        <v>1721</v>
      </c>
      <c r="T424" s="1" t="s">
        <v>222</v>
      </c>
      <c r="U424" s="1" t="s">
        <v>223</v>
      </c>
    </row>
    <row r="425" customFormat="false" ht="48" hidden="false" customHeight="true" outlineLevel="0" collapsed="false">
      <c r="A425" s="1" t="s">
        <v>43</v>
      </c>
      <c r="B425" s="1" t="s">
        <v>212</v>
      </c>
      <c r="C425" s="1" t="s">
        <v>102</v>
      </c>
      <c r="D425" s="1" t="s">
        <v>1586</v>
      </c>
      <c r="E425" s="1" t="n">
        <v>40</v>
      </c>
      <c r="F425" s="1" t="s">
        <v>1722</v>
      </c>
      <c r="G425" s="1" t="s">
        <v>236</v>
      </c>
      <c r="H425" s="1" t="s">
        <v>1723</v>
      </c>
      <c r="I425" s="1" t="s">
        <v>218</v>
      </c>
      <c r="J425" s="1" t="s">
        <v>597</v>
      </c>
      <c r="K425" s="1" t="n">
        <v>119.99</v>
      </c>
      <c r="L425" s="1" t="n">
        <v>4.4</v>
      </c>
      <c r="M425" s="1" t="n">
        <v>42</v>
      </c>
      <c r="N425" s="4" t="b">
        <f aca="false">FALSE()</f>
        <v>0</v>
      </c>
      <c r="O425" s="1" t="s">
        <v>1724</v>
      </c>
      <c r="P425" s="4" t="b">
        <f aca="false">TRUE()</f>
        <v>1</v>
      </c>
      <c r="R425" s="1" t="s">
        <v>1591</v>
      </c>
      <c r="S425" s="1" t="s">
        <v>1725</v>
      </c>
      <c r="T425" s="1" t="s">
        <v>222</v>
      </c>
      <c r="U425" s="1" t="s">
        <v>223</v>
      </c>
    </row>
    <row r="426" customFormat="false" ht="48" hidden="false" customHeight="true" outlineLevel="0" collapsed="false">
      <c r="A426" s="1" t="s">
        <v>43</v>
      </c>
      <c r="B426" s="1" t="s">
        <v>212</v>
      </c>
      <c r="C426" s="1" t="s">
        <v>102</v>
      </c>
      <c r="D426" s="1" t="s">
        <v>1586</v>
      </c>
      <c r="E426" s="1" t="n">
        <v>41</v>
      </c>
      <c r="F426" s="1" t="s">
        <v>1726</v>
      </c>
      <c r="G426" s="1" t="s">
        <v>236</v>
      </c>
      <c r="H426" s="1" t="s">
        <v>1727</v>
      </c>
      <c r="I426" s="1" t="s">
        <v>289</v>
      </c>
      <c r="J426" s="1" t="s">
        <v>597</v>
      </c>
      <c r="K426" s="1" t="n">
        <v>115.26</v>
      </c>
      <c r="L426" s="1" t="n">
        <v>4.6</v>
      </c>
      <c r="M426" s="1" t="n">
        <v>1200</v>
      </c>
      <c r="N426" s="4" t="b">
        <f aca="false">FALSE()</f>
        <v>0</v>
      </c>
      <c r="P426" s="4" t="b">
        <f aca="false">TRUE()</f>
        <v>1</v>
      </c>
      <c r="R426" s="1" t="s">
        <v>1591</v>
      </c>
      <c r="S426" s="1" t="s">
        <v>1728</v>
      </c>
      <c r="T426" s="1" t="s">
        <v>222</v>
      </c>
      <c r="U426" s="1" t="s">
        <v>223</v>
      </c>
    </row>
    <row r="427" customFormat="false" ht="48" hidden="false" customHeight="true" outlineLevel="0" collapsed="false">
      <c r="A427" s="1" t="s">
        <v>43</v>
      </c>
      <c r="B427" s="1" t="s">
        <v>212</v>
      </c>
      <c r="C427" s="1" t="s">
        <v>102</v>
      </c>
      <c r="D427" s="1" t="s">
        <v>1586</v>
      </c>
      <c r="E427" s="1" t="n">
        <v>42</v>
      </c>
      <c r="F427" s="1" t="s">
        <v>1729</v>
      </c>
      <c r="G427" s="1" t="s">
        <v>236</v>
      </c>
      <c r="H427" s="1" t="s">
        <v>1730</v>
      </c>
      <c r="I427" s="1" t="s">
        <v>218</v>
      </c>
      <c r="J427" s="1" t="s">
        <v>597</v>
      </c>
      <c r="K427" s="1" t="n">
        <v>150.72</v>
      </c>
      <c r="L427" s="1" t="n">
        <v>4.5</v>
      </c>
      <c r="M427" s="1" t="n">
        <v>961</v>
      </c>
      <c r="N427" s="4" t="b">
        <f aca="false">FALSE()</f>
        <v>0</v>
      </c>
      <c r="P427" s="4" t="b">
        <f aca="false">TRUE()</f>
        <v>1</v>
      </c>
      <c r="R427" s="1" t="s">
        <v>1591</v>
      </c>
      <c r="S427" s="1" t="s">
        <v>1731</v>
      </c>
      <c r="T427" s="1" t="s">
        <v>222</v>
      </c>
      <c r="U427" s="1" t="s">
        <v>223</v>
      </c>
    </row>
    <row r="428" customFormat="false" ht="48" hidden="false" customHeight="true" outlineLevel="0" collapsed="false">
      <c r="A428" s="1" t="s">
        <v>43</v>
      </c>
      <c r="B428" s="1" t="s">
        <v>212</v>
      </c>
      <c r="C428" s="1" t="s">
        <v>102</v>
      </c>
      <c r="D428" s="1" t="s">
        <v>1586</v>
      </c>
      <c r="E428" s="1" t="n">
        <v>43</v>
      </c>
      <c r="F428" s="1" t="s">
        <v>1732</v>
      </c>
      <c r="G428" s="1" t="s">
        <v>236</v>
      </c>
      <c r="H428" s="1" t="s">
        <v>1733</v>
      </c>
      <c r="I428" s="1" t="s">
        <v>218</v>
      </c>
      <c r="J428" s="1" t="s">
        <v>597</v>
      </c>
      <c r="K428" s="1" t="n">
        <v>96.89</v>
      </c>
      <c r="L428" s="1" t="n">
        <v>4.6</v>
      </c>
      <c r="M428" s="1" t="n">
        <v>255</v>
      </c>
      <c r="N428" s="4" t="b">
        <f aca="false">FALSE()</f>
        <v>0</v>
      </c>
      <c r="P428" s="4" t="b">
        <f aca="false">TRUE()</f>
        <v>1</v>
      </c>
      <c r="R428" s="1" t="s">
        <v>1591</v>
      </c>
      <c r="S428" s="1" t="s">
        <v>1734</v>
      </c>
      <c r="T428" s="1" t="s">
        <v>222</v>
      </c>
      <c r="U428" s="1" t="s">
        <v>223</v>
      </c>
    </row>
    <row r="429" customFormat="false" ht="48" hidden="false" customHeight="true" outlineLevel="0" collapsed="false">
      <c r="A429" s="1" t="s">
        <v>43</v>
      </c>
      <c r="B429" s="1" t="s">
        <v>212</v>
      </c>
      <c r="C429" s="1" t="s">
        <v>102</v>
      </c>
      <c r="D429" s="1" t="s">
        <v>1586</v>
      </c>
      <c r="E429" s="1" t="n">
        <v>44</v>
      </c>
      <c r="F429" s="1" t="s">
        <v>1735</v>
      </c>
      <c r="G429" s="1" t="s">
        <v>236</v>
      </c>
      <c r="H429" s="1" t="s">
        <v>1736</v>
      </c>
      <c r="I429" s="1" t="s">
        <v>218</v>
      </c>
      <c r="J429" s="1" t="s">
        <v>310</v>
      </c>
      <c r="K429" s="1" t="n">
        <v>139.99</v>
      </c>
      <c r="L429" s="1" t="n">
        <v>4.6</v>
      </c>
      <c r="M429" s="1" t="n">
        <v>87</v>
      </c>
      <c r="N429" s="4" t="b">
        <f aca="false">FALSE()</f>
        <v>0</v>
      </c>
      <c r="P429" s="4" t="b">
        <f aca="false">TRUE()</f>
        <v>1</v>
      </c>
      <c r="R429" s="1" t="s">
        <v>1591</v>
      </c>
      <c r="S429" s="1" t="s">
        <v>1737</v>
      </c>
      <c r="T429" s="1" t="s">
        <v>222</v>
      </c>
      <c r="U429" s="1" t="s">
        <v>223</v>
      </c>
    </row>
    <row r="430" customFormat="false" ht="48" hidden="false" customHeight="true" outlineLevel="0" collapsed="false">
      <c r="A430" s="1" t="s">
        <v>43</v>
      </c>
      <c r="B430" s="1" t="s">
        <v>212</v>
      </c>
      <c r="C430" s="1" t="s">
        <v>102</v>
      </c>
      <c r="D430" s="1" t="s">
        <v>1586</v>
      </c>
      <c r="E430" s="1" t="n">
        <v>45</v>
      </c>
      <c r="F430" s="1" t="s">
        <v>1738</v>
      </c>
      <c r="G430" s="1" t="s">
        <v>236</v>
      </c>
      <c r="H430" s="1" t="s">
        <v>1739</v>
      </c>
      <c r="I430" s="1" t="s">
        <v>299</v>
      </c>
      <c r="J430" s="1" t="s">
        <v>597</v>
      </c>
      <c r="K430" s="1" t="n">
        <v>112.22</v>
      </c>
      <c r="L430" s="1" t="n">
        <v>4.7</v>
      </c>
      <c r="M430" s="1" t="n">
        <v>764</v>
      </c>
      <c r="N430" s="4" t="b">
        <f aca="false">FALSE()</f>
        <v>0</v>
      </c>
      <c r="P430" s="4" t="b">
        <f aca="false">TRUE()</f>
        <v>1</v>
      </c>
      <c r="R430" s="1" t="s">
        <v>1591</v>
      </c>
      <c r="S430" s="1" t="s">
        <v>1740</v>
      </c>
      <c r="T430" s="1" t="s">
        <v>222</v>
      </c>
      <c r="U430" s="1" t="s">
        <v>223</v>
      </c>
    </row>
    <row r="431" customFormat="false" ht="48" hidden="false" customHeight="true" outlineLevel="0" collapsed="false">
      <c r="A431" s="1" t="s">
        <v>43</v>
      </c>
      <c r="B431" s="1" t="s">
        <v>212</v>
      </c>
      <c r="C431" s="1" t="s">
        <v>102</v>
      </c>
      <c r="D431" s="1" t="s">
        <v>1586</v>
      </c>
      <c r="E431" s="1" t="n">
        <v>46</v>
      </c>
      <c r="F431" s="1" t="s">
        <v>1741</v>
      </c>
      <c r="G431" s="1" t="s">
        <v>236</v>
      </c>
      <c r="H431" s="1" t="s">
        <v>1742</v>
      </c>
      <c r="I431" s="1" t="s">
        <v>218</v>
      </c>
      <c r="J431" s="1" t="s">
        <v>597</v>
      </c>
      <c r="K431" s="1" t="n">
        <v>143.99</v>
      </c>
      <c r="L431" s="1" t="n">
        <v>4.5</v>
      </c>
      <c r="M431" s="1" t="n">
        <v>828</v>
      </c>
      <c r="N431" s="4" t="b">
        <f aca="false">FALSE()</f>
        <v>0</v>
      </c>
      <c r="P431" s="4" t="b">
        <f aca="false">TRUE()</f>
        <v>1</v>
      </c>
      <c r="R431" s="1" t="s">
        <v>1591</v>
      </c>
      <c r="S431" s="1" t="s">
        <v>1743</v>
      </c>
      <c r="T431" s="1" t="s">
        <v>222</v>
      </c>
      <c r="U431" s="1" t="s">
        <v>223</v>
      </c>
    </row>
    <row r="432" customFormat="false" ht="48" hidden="false" customHeight="true" outlineLevel="0" collapsed="false">
      <c r="A432" s="1" t="s">
        <v>43</v>
      </c>
      <c r="B432" s="1" t="s">
        <v>212</v>
      </c>
      <c r="C432" s="1" t="s">
        <v>102</v>
      </c>
      <c r="D432" s="1" t="s">
        <v>1586</v>
      </c>
      <c r="E432" s="1" t="n">
        <v>47</v>
      </c>
      <c r="F432" s="1" t="s">
        <v>1744</v>
      </c>
      <c r="G432" s="1" t="s">
        <v>236</v>
      </c>
      <c r="H432" s="1" t="s">
        <v>1745</v>
      </c>
      <c r="I432" s="1" t="s">
        <v>306</v>
      </c>
      <c r="J432" s="1" t="s">
        <v>597</v>
      </c>
      <c r="K432" s="1" t="n">
        <v>52.1</v>
      </c>
      <c r="L432" s="1" t="n">
        <v>4.4</v>
      </c>
      <c r="M432" s="1" t="n">
        <v>265</v>
      </c>
      <c r="N432" s="4" t="b">
        <f aca="false">FALSE()</f>
        <v>0</v>
      </c>
      <c r="P432" s="4" t="b">
        <f aca="false">TRUE()</f>
        <v>1</v>
      </c>
      <c r="R432" s="1" t="s">
        <v>1591</v>
      </c>
      <c r="S432" s="1" t="s">
        <v>1746</v>
      </c>
      <c r="T432" s="1" t="s">
        <v>222</v>
      </c>
      <c r="U432" s="1" t="s">
        <v>223</v>
      </c>
    </row>
    <row r="433" customFormat="false" ht="48" hidden="false" customHeight="true" outlineLevel="0" collapsed="false">
      <c r="A433" s="1" t="s">
        <v>43</v>
      </c>
      <c r="B433" s="1" t="s">
        <v>212</v>
      </c>
      <c r="C433" s="1" t="s">
        <v>102</v>
      </c>
      <c r="D433" s="1" t="s">
        <v>1586</v>
      </c>
      <c r="E433" s="1" t="n">
        <v>48</v>
      </c>
      <c r="F433" s="1" t="s">
        <v>1747</v>
      </c>
      <c r="G433" s="1" t="s">
        <v>236</v>
      </c>
      <c r="H433" s="1" t="s">
        <v>1748</v>
      </c>
      <c r="I433" s="1" t="s">
        <v>306</v>
      </c>
      <c r="J433" s="1" t="s">
        <v>597</v>
      </c>
      <c r="K433" s="1" t="n">
        <v>35.99</v>
      </c>
      <c r="L433" s="1" t="n">
        <v>4.5</v>
      </c>
      <c r="M433" s="1" t="n">
        <v>798</v>
      </c>
      <c r="N433" s="4" t="b">
        <f aca="false">FALSE()</f>
        <v>0</v>
      </c>
      <c r="O433" s="1" t="s">
        <v>1749</v>
      </c>
      <c r="P433" s="4" t="b">
        <f aca="false">TRUE()</f>
        <v>1</v>
      </c>
      <c r="R433" s="1" t="s">
        <v>1591</v>
      </c>
      <c r="S433" s="1" t="s">
        <v>1750</v>
      </c>
      <c r="T433" s="1" t="s">
        <v>222</v>
      </c>
      <c r="U433" s="1" t="s">
        <v>223</v>
      </c>
    </row>
    <row r="434" customFormat="false" ht="48" hidden="false" customHeight="true" outlineLevel="0" collapsed="false">
      <c r="A434" s="1" t="s">
        <v>43</v>
      </c>
      <c r="B434" s="1" t="s">
        <v>212</v>
      </c>
      <c r="C434" s="1" t="s">
        <v>57</v>
      </c>
      <c r="D434" s="1" t="s">
        <v>1751</v>
      </c>
      <c r="E434" s="1" t="n">
        <v>1</v>
      </c>
      <c r="F434" s="1" t="s">
        <v>1752</v>
      </c>
      <c r="G434" s="1" t="s">
        <v>1401</v>
      </c>
      <c r="H434" s="1" t="s">
        <v>1753</v>
      </c>
      <c r="I434" s="1" t="s">
        <v>218</v>
      </c>
      <c r="J434" s="1" t="s">
        <v>597</v>
      </c>
      <c r="K434" s="1" t="n">
        <v>44.09</v>
      </c>
      <c r="L434" s="1" t="n">
        <v>3.8</v>
      </c>
      <c r="M434" s="1" t="n">
        <v>90</v>
      </c>
      <c r="N434" s="4" t="b">
        <f aca="false">TRUE()</f>
        <v>1</v>
      </c>
      <c r="O434" s="1" t="s">
        <v>1754</v>
      </c>
      <c r="P434" s="4" t="b">
        <f aca="false">TRUE()</f>
        <v>1</v>
      </c>
      <c r="R434" s="1" t="s">
        <v>1755</v>
      </c>
      <c r="S434" s="1" t="s">
        <v>1756</v>
      </c>
      <c r="T434" s="1" t="s">
        <v>222</v>
      </c>
      <c r="U434" s="1" t="s">
        <v>223</v>
      </c>
    </row>
    <row r="435" customFormat="false" ht="48" hidden="false" customHeight="true" outlineLevel="0" collapsed="false">
      <c r="A435" s="1" t="s">
        <v>43</v>
      </c>
      <c r="B435" s="1" t="s">
        <v>212</v>
      </c>
      <c r="C435" s="1" t="s">
        <v>57</v>
      </c>
      <c r="D435" s="1" t="s">
        <v>1751</v>
      </c>
      <c r="E435" s="1" t="n">
        <v>2</v>
      </c>
      <c r="F435" s="1" t="s">
        <v>1757</v>
      </c>
      <c r="G435" s="1" t="s">
        <v>236</v>
      </c>
      <c r="H435" s="1" t="s">
        <v>1758</v>
      </c>
      <c r="I435" s="1" t="s">
        <v>218</v>
      </c>
      <c r="J435" s="1" t="s">
        <v>597</v>
      </c>
      <c r="K435" s="1" t="n">
        <v>59.99</v>
      </c>
      <c r="L435" s="1" t="n">
        <v>4.2</v>
      </c>
      <c r="M435" s="1" t="n">
        <v>30000</v>
      </c>
      <c r="N435" s="4" t="b">
        <f aca="false">TRUE()</f>
        <v>1</v>
      </c>
      <c r="O435" s="1" t="s">
        <v>1759</v>
      </c>
      <c r="P435" s="4" t="b">
        <f aca="false">TRUE()</f>
        <v>1</v>
      </c>
      <c r="Q435" s="1" t="s">
        <v>233</v>
      </c>
      <c r="R435" s="1" t="s">
        <v>1755</v>
      </c>
      <c r="S435" s="1" t="s">
        <v>1760</v>
      </c>
      <c r="T435" s="1" t="s">
        <v>222</v>
      </c>
      <c r="U435" s="1" t="s">
        <v>223</v>
      </c>
    </row>
    <row r="436" customFormat="false" ht="48" hidden="false" customHeight="true" outlineLevel="0" collapsed="false">
      <c r="A436" s="1" t="s">
        <v>43</v>
      </c>
      <c r="B436" s="1" t="s">
        <v>212</v>
      </c>
      <c r="C436" s="1" t="s">
        <v>57</v>
      </c>
      <c r="D436" s="1" t="s">
        <v>1751</v>
      </c>
      <c r="E436" s="1" t="n">
        <v>3</v>
      </c>
      <c r="F436" s="1" t="s">
        <v>1761</v>
      </c>
      <c r="G436" s="1" t="s">
        <v>1415</v>
      </c>
      <c r="H436" s="1" t="s">
        <v>1762</v>
      </c>
      <c r="I436" s="1" t="s">
        <v>242</v>
      </c>
      <c r="J436" s="1" t="s">
        <v>689</v>
      </c>
      <c r="K436" s="1" t="n">
        <v>102.99</v>
      </c>
      <c r="L436" s="1" t="n">
        <v>4.4</v>
      </c>
      <c r="M436" s="1" t="n">
        <v>9</v>
      </c>
      <c r="N436" s="4" t="b">
        <f aca="false">TRUE()</f>
        <v>1</v>
      </c>
      <c r="P436" s="4" t="b">
        <f aca="false">TRUE()</f>
        <v>1</v>
      </c>
      <c r="R436" s="1" t="s">
        <v>1755</v>
      </c>
      <c r="S436" s="1" t="s">
        <v>1763</v>
      </c>
      <c r="T436" s="1" t="s">
        <v>222</v>
      </c>
      <c r="U436" s="1" t="s">
        <v>223</v>
      </c>
    </row>
    <row r="437" customFormat="false" ht="48" hidden="false" customHeight="true" outlineLevel="0" collapsed="false">
      <c r="A437" s="1" t="s">
        <v>43</v>
      </c>
      <c r="B437" s="1" t="s">
        <v>212</v>
      </c>
      <c r="C437" s="1" t="s">
        <v>57</v>
      </c>
      <c r="D437" s="1" t="s">
        <v>1751</v>
      </c>
      <c r="E437" s="1" t="n">
        <v>4</v>
      </c>
      <c r="F437" s="1" t="s">
        <v>1764</v>
      </c>
      <c r="G437" s="1" t="s">
        <v>677</v>
      </c>
      <c r="H437" s="1" t="s">
        <v>1765</v>
      </c>
      <c r="I437" s="1" t="s">
        <v>402</v>
      </c>
      <c r="J437" s="1" t="s">
        <v>597</v>
      </c>
      <c r="K437" s="1" t="n">
        <v>72.99</v>
      </c>
      <c r="L437" s="1" t="n">
        <v>4.4</v>
      </c>
      <c r="M437" s="1" t="n">
        <v>71200</v>
      </c>
      <c r="N437" s="4" t="b">
        <f aca="false">TRUE()</f>
        <v>1</v>
      </c>
      <c r="P437" s="4" t="b">
        <f aca="false">TRUE()</f>
        <v>1</v>
      </c>
      <c r="R437" s="1" t="s">
        <v>1755</v>
      </c>
      <c r="S437" s="1" t="s">
        <v>1766</v>
      </c>
      <c r="T437" s="1" t="s">
        <v>222</v>
      </c>
      <c r="U437" s="1" t="s">
        <v>223</v>
      </c>
    </row>
    <row r="438" customFormat="false" ht="48" hidden="false" customHeight="true" outlineLevel="0" collapsed="false">
      <c r="A438" s="1" t="s">
        <v>43</v>
      </c>
      <c r="B438" s="1" t="s">
        <v>212</v>
      </c>
      <c r="C438" s="1" t="s">
        <v>57</v>
      </c>
      <c r="D438" s="1" t="s">
        <v>1751</v>
      </c>
      <c r="E438" s="1" t="n">
        <v>5</v>
      </c>
      <c r="F438" s="1" t="s">
        <v>1767</v>
      </c>
      <c r="G438" s="1" t="s">
        <v>677</v>
      </c>
      <c r="H438" s="1" t="s">
        <v>1768</v>
      </c>
      <c r="I438" s="1" t="s">
        <v>231</v>
      </c>
      <c r="J438" s="1" t="s">
        <v>597</v>
      </c>
      <c r="K438" s="1" t="n">
        <v>74.99</v>
      </c>
      <c r="L438" s="1" t="n">
        <v>4.4</v>
      </c>
      <c r="M438" s="1" t="n">
        <v>71200</v>
      </c>
      <c r="N438" s="4" t="b">
        <f aca="false">FALSE()</f>
        <v>0</v>
      </c>
      <c r="O438" s="1" t="s">
        <v>1769</v>
      </c>
      <c r="P438" s="4" t="b">
        <f aca="false">TRUE()</f>
        <v>1</v>
      </c>
      <c r="Q438" s="1" t="s">
        <v>451</v>
      </c>
      <c r="R438" s="1" t="s">
        <v>1755</v>
      </c>
      <c r="S438" s="1" t="s">
        <v>1770</v>
      </c>
      <c r="T438" s="1" t="s">
        <v>222</v>
      </c>
      <c r="U438" s="1" t="s">
        <v>223</v>
      </c>
    </row>
    <row r="439" customFormat="false" ht="48" hidden="false" customHeight="true" outlineLevel="0" collapsed="false">
      <c r="A439" s="1" t="s">
        <v>43</v>
      </c>
      <c r="B439" s="1" t="s">
        <v>212</v>
      </c>
      <c r="C439" s="1" t="s">
        <v>57</v>
      </c>
      <c r="D439" s="1" t="s">
        <v>1751</v>
      </c>
      <c r="E439" s="1" t="n">
        <v>6</v>
      </c>
      <c r="F439" s="1" t="s">
        <v>1771</v>
      </c>
      <c r="G439" s="1" t="s">
        <v>567</v>
      </c>
      <c r="H439" s="1" t="s">
        <v>1772</v>
      </c>
      <c r="I439" s="1" t="s">
        <v>242</v>
      </c>
      <c r="J439" s="1" t="s">
        <v>597</v>
      </c>
      <c r="K439" s="1" t="n">
        <v>43.79</v>
      </c>
      <c r="L439" s="1" t="n">
        <v>4</v>
      </c>
      <c r="M439" s="1" t="n">
        <v>265</v>
      </c>
      <c r="N439" s="4" t="b">
        <f aca="false">FALSE()</f>
        <v>0</v>
      </c>
      <c r="P439" s="4" t="b">
        <f aca="false">TRUE()</f>
        <v>1</v>
      </c>
      <c r="Q439" s="1" t="s">
        <v>233</v>
      </c>
      <c r="R439" s="1" t="s">
        <v>1755</v>
      </c>
      <c r="S439" s="1" t="s">
        <v>1773</v>
      </c>
      <c r="T439" s="1" t="s">
        <v>222</v>
      </c>
      <c r="U439" s="1" t="s">
        <v>223</v>
      </c>
    </row>
    <row r="440" customFormat="false" ht="48" hidden="false" customHeight="true" outlineLevel="0" collapsed="false">
      <c r="A440" s="1" t="s">
        <v>43</v>
      </c>
      <c r="B440" s="1" t="s">
        <v>212</v>
      </c>
      <c r="C440" s="1" t="s">
        <v>57</v>
      </c>
      <c r="D440" s="1" t="s">
        <v>1751</v>
      </c>
      <c r="E440" s="1" t="n">
        <v>7</v>
      </c>
      <c r="F440" s="1" t="s">
        <v>708</v>
      </c>
      <c r="G440" s="1" t="s">
        <v>236</v>
      </c>
      <c r="H440" s="1" t="s">
        <v>709</v>
      </c>
      <c r="I440" s="1" t="s">
        <v>218</v>
      </c>
      <c r="J440" s="1" t="s">
        <v>597</v>
      </c>
      <c r="K440" s="1" t="n">
        <v>59.99</v>
      </c>
      <c r="L440" s="1" t="n">
        <v>4.2</v>
      </c>
      <c r="M440" s="1" t="n">
        <v>30000</v>
      </c>
      <c r="N440" s="4" t="b">
        <f aca="false">FALSE()</f>
        <v>0</v>
      </c>
      <c r="O440" s="1" t="s">
        <v>710</v>
      </c>
      <c r="P440" s="4" t="b">
        <f aca="false">TRUE()</f>
        <v>1</v>
      </c>
      <c r="Q440" s="1" t="s">
        <v>711</v>
      </c>
      <c r="R440" s="1" t="s">
        <v>1755</v>
      </c>
      <c r="S440" s="1" t="s">
        <v>712</v>
      </c>
      <c r="T440" s="1" t="s">
        <v>222</v>
      </c>
      <c r="U440" s="1" t="s">
        <v>223</v>
      </c>
    </row>
    <row r="441" customFormat="false" ht="48" hidden="false" customHeight="true" outlineLevel="0" collapsed="false">
      <c r="A441" s="1" t="s">
        <v>43</v>
      </c>
      <c r="B441" s="1" t="s">
        <v>212</v>
      </c>
      <c r="C441" s="1" t="s">
        <v>57</v>
      </c>
      <c r="D441" s="1" t="s">
        <v>1751</v>
      </c>
      <c r="E441" s="1" t="n">
        <v>8</v>
      </c>
      <c r="F441" s="1" t="s">
        <v>308</v>
      </c>
      <c r="G441" s="1" t="s">
        <v>236</v>
      </c>
      <c r="H441" s="1" t="s">
        <v>309</v>
      </c>
      <c r="I441" s="1" t="s">
        <v>218</v>
      </c>
      <c r="J441" s="1" t="s">
        <v>310</v>
      </c>
      <c r="K441" s="1" t="n">
        <v>25.49</v>
      </c>
      <c r="L441" s="1" t="n">
        <v>4.4</v>
      </c>
      <c r="M441" s="1" t="n">
        <v>444800</v>
      </c>
      <c r="N441" s="4" t="b">
        <f aca="false">FALSE()</f>
        <v>0</v>
      </c>
      <c r="O441" s="1" t="s">
        <v>311</v>
      </c>
      <c r="P441" s="4" t="b">
        <f aca="false">FALSE()</f>
        <v>0</v>
      </c>
      <c r="Q441" s="1" t="s">
        <v>312</v>
      </c>
      <c r="R441" s="1" t="s">
        <v>1755</v>
      </c>
      <c r="S441" s="1" t="s">
        <v>313</v>
      </c>
      <c r="T441" s="1" t="s">
        <v>222</v>
      </c>
      <c r="U441" s="1" t="s">
        <v>223</v>
      </c>
    </row>
    <row r="442" customFormat="false" ht="48" hidden="false" customHeight="true" outlineLevel="0" collapsed="false">
      <c r="A442" s="1" t="s">
        <v>43</v>
      </c>
      <c r="B442" s="1" t="s">
        <v>212</v>
      </c>
      <c r="C442" s="1" t="s">
        <v>57</v>
      </c>
      <c r="D442" s="1" t="s">
        <v>1751</v>
      </c>
      <c r="E442" s="1" t="n">
        <v>9</v>
      </c>
      <c r="F442" s="1" t="s">
        <v>1774</v>
      </c>
      <c r="G442" s="1" t="s">
        <v>677</v>
      </c>
      <c r="H442" s="1" t="s">
        <v>1775</v>
      </c>
      <c r="I442" s="1" t="s">
        <v>231</v>
      </c>
      <c r="J442" s="1" t="s">
        <v>597</v>
      </c>
      <c r="K442" s="1" t="n">
        <v>79.99</v>
      </c>
      <c r="L442" s="1" t="n">
        <v>4.4</v>
      </c>
      <c r="M442" s="1" t="n">
        <v>71200</v>
      </c>
      <c r="N442" s="4" t="b">
        <f aca="false">FALSE()</f>
        <v>0</v>
      </c>
      <c r="P442" s="4" t="b">
        <f aca="false">TRUE()</f>
        <v>1</v>
      </c>
      <c r="Q442" s="1" t="s">
        <v>233</v>
      </c>
      <c r="R442" s="1" t="s">
        <v>1755</v>
      </c>
      <c r="S442" s="1" t="s">
        <v>1776</v>
      </c>
      <c r="T442" s="1" t="s">
        <v>222</v>
      </c>
      <c r="U442" s="1" t="s">
        <v>223</v>
      </c>
    </row>
    <row r="443" customFormat="false" ht="48" hidden="false" customHeight="true" outlineLevel="0" collapsed="false">
      <c r="A443" s="1" t="s">
        <v>43</v>
      </c>
      <c r="B443" s="1" t="s">
        <v>212</v>
      </c>
      <c r="C443" s="1" t="s">
        <v>57</v>
      </c>
      <c r="D443" s="1" t="s">
        <v>1751</v>
      </c>
      <c r="E443" s="1" t="n">
        <v>10</v>
      </c>
      <c r="F443" s="1" t="s">
        <v>1777</v>
      </c>
      <c r="G443" s="1" t="s">
        <v>229</v>
      </c>
      <c r="H443" s="1" t="s">
        <v>1778</v>
      </c>
      <c r="I443" s="1" t="s">
        <v>231</v>
      </c>
      <c r="J443" s="1" t="s">
        <v>597</v>
      </c>
      <c r="K443" s="1" t="n">
        <v>119.99</v>
      </c>
      <c r="L443" s="1" t="n">
        <v>4.6</v>
      </c>
      <c r="M443" s="1" t="n">
        <v>38</v>
      </c>
      <c r="N443" s="4" t="b">
        <f aca="false">FALSE()</f>
        <v>0</v>
      </c>
      <c r="O443" s="1" t="s">
        <v>1779</v>
      </c>
      <c r="P443" s="4" t="b">
        <f aca="false">TRUE()</f>
        <v>1</v>
      </c>
      <c r="R443" s="1" t="s">
        <v>1755</v>
      </c>
      <c r="S443" s="1" t="s">
        <v>1780</v>
      </c>
      <c r="T443" s="1" t="s">
        <v>222</v>
      </c>
      <c r="U443" s="1" t="s">
        <v>223</v>
      </c>
    </row>
    <row r="444" customFormat="false" ht="48" hidden="false" customHeight="true" outlineLevel="0" collapsed="false">
      <c r="A444" s="1" t="s">
        <v>43</v>
      </c>
      <c r="B444" s="1" t="s">
        <v>212</v>
      </c>
      <c r="C444" s="1" t="s">
        <v>57</v>
      </c>
      <c r="D444" s="1" t="s">
        <v>1751</v>
      </c>
      <c r="E444" s="1" t="n">
        <v>11</v>
      </c>
      <c r="F444" s="1" t="s">
        <v>1781</v>
      </c>
      <c r="G444" s="1" t="s">
        <v>236</v>
      </c>
      <c r="H444" s="1" t="s">
        <v>1782</v>
      </c>
      <c r="I444" s="1" t="s">
        <v>402</v>
      </c>
      <c r="J444" s="1" t="s">
        <v>597</v>
      </c>
      <c r="K444" s="1" t="n">
        <v>46.99</v>
      </c>
      <c r="L444" s="1" t="n">
        <v>4.4</v>
      </c>
      <c r="M444" s="1" t="n">
        <v>1100</v>
      </c>
      <c r="N444" s="4" t="b">
        <f aca="false">FALSE()</f>
        <v>0</v>
      </c>
      <c r="O444" s="1" t="s">
        <v>1783</v>
      </c>
      <c r="P444" s="4" t="b">
        <f aca="false">TRUE()</f>
        <v>1</v>
      </c>
      <c r="R444" s="1" t="s">
        <v>1755</v>
      </c>
      <c r="S444" s="1" t="s">
        <v>1784</v>
      </c>
      <c r="T444" s="1" t="s">
        <v>222</v>
      </c>
      <c r="U444" s="1" t="s">
        <v>223</v>
      </c>
    </row>
    <row r="445" customFormat="false" ht="48" hidden="false" customHeight="true" outlineLevel="0" collapsed="false">
      <c r="A445" s="1" t="s">
        <v>43</v>
      </c>
      <c r="B445" s="1" t="s">
        <v>212</v>
      </c>
      <c r="C445" s="1" t="s">
        <v>57</v>
      </c>
      <c r="D445" s="1" t="s">
        <v>1751</v>
      </c>
      <c r="E445" s="1" t="n">
        <v>12</v>
      </c>
      <c r="F445" s="1" t="s">
        <v>1785</v>
      </c>
      <c r="G445" s="1" t="s">
        <v>1786</v>
      </c>
      <c r="H445" s="1" t="s">
        <v>1787</v>
      </c>
      <c r="I445" s="1" t="s">
        <v>242</v>
      </c>
      <c r="J445" s="1" t="s">
        <v>597</v>
      </c>
      <c r="K445" s="1" t="n">
        <v>56.4</v>
      </c>
      <c r="L445" s="1" t="n">
        <v>4.4</v>
      </c>
      <c r="M445" s="1" t="n">
        <v>32800</v>
      </c>
      <c r="N445" s="4" t="b">
        <f aca="false">FALSE()</f>
        <v>0</v>
      </c>
      <c r="P445" s="4" t="b">
        <f aca="false">TRUE()</f>
        <v>1</v>
      </c>
      <c r="Q445" s="1" t="s">
        <v>233</v>
      </c>
      <c r="R445" s="1" t="s">
        <v>1755</v>
      </c>
      <c r="S445" s="1" t="s">
        <v>1788</v>
      </c>
      <c r="T445" s="1" t="s">
        <v>222</v>
      </c>
      <c r="U445" s="1" t="s">
        <v>223</v>
      </c>
    </row>
    <row r="446" customFormat="false" ht="48" hidden="false" customHeight="true" outlineLevel="0" collapsed="false">
      <c r="A446" s="1" t="s">
        <v>43</v>
      </c>
      <c r="B446" s="1" t="s">
        <v>212</v>
      </c>
      <c r="C446" s="1" t="s">
        <v>57</v>
      </c>
      <c r="D446" s="1" t="s">
        <v>1751</v>
      </c>
      <c r="E446" s="1" t="n">
        <v>13</v>
      </c>
      <c r="F446" s="1" t="s">
        <v>1789</v>
      </c>
      <c r="G446" s="1" t="s">
        <v>979</v>
      </c>
      <c r="H446" s="1" t="s">
        <v>1790</v>
      </c>
      <c r="I446" s="1" t="s">
        <v>1791</v>
      </c>
      <c r="J446" s="1" t="s">
        <v>689</v>
      </c>
      <c r="K446" s="1" t="n">
        <v>39.99</v>
      </c>
      <c r="L446" s="1" t="n">
        <v>4.4</v>
      </c>
      <c r="M446" s="1" t="n">
        <v>861</v>
      </c>
      <c r="N446" s="4" t="b">
        <f aca="false">FALSE()</f>
        <v>0</v>
      </c>
      <c r="O446" s="1" t="s">
        <v>1792</v>
      </c>
      <c r="P446" s="4" t="b">
        <f aca="false">TRUE()</f>
        <v>1</v>
      </c>
      <c r="R446" s="1" t="s">
        <v>1755</v>
      </c>
      <c r="S446" s="1" t="s">
        <v>1793</v>
      </c>
      <c r="T446" s="1" t="s">
        <v>222</v>
      </c>
      <c r="U446" s="1" t="s">
        <v>223</v>
      </c>
    </row>
    <row r="447" customFormat="false" ht="48" hidden="false" customHeight="true" outlineLevel="0" collapsed="false">
      <c r="A447" s="1" t="s">
        <v>43</v>
      </c>
      <c r="B447" s="1" t="s">
        <v>212</v>
      </c>
      <c r="C447" s="1" t="s">
        <v>57</v>
      </c>
      <c r="D447" s="1" t="s">
        <v>1751</v>
      </c>
      <c r="E447" s="1" t="n">
        <v>14</v>
      </c>
      <c r="F447" s="1" t="s">
        <v>1794</v>
      </c>
      <c r="G447" s="1" t="s">
        <v>567</v>
      </c>
      <c r="H447" s="1" t="s">
        <v>1795</v>
      </c>
      <c r="I447" s="1" t="s">
        <v>242</v>
      </c>
      <c r="J447" s="1" t="s">
        <v>597</v>
      </c>
      <c r="K447" s="1" t="n">
        <v>40.96</v>
      </c>
      <c r="L447" s="1" t="n">
        <v>4</v>
      </c>
      <c r="M447" s="1" t="n">
        <v>265</v>
      </c>
      <c r="N447" s="4" t="b">
        <f aca="false">FALSE()</f>
        <v>0</v>
      </c>
      <c r="P447" s="4" t="b">
        <f aca="false">TRUE()</f>
        <v>1</v>
      </c>
      <c r="Q447" s="1" t="s">
        <v>251</v>
      </c>
      <c r="R447" s="1" t="s">
        <v>1755</v>
      </c>
      <c r="S447" s="1" t="s">
        <v>1796</v>
      </c>
      <c r="T447" s="1" t="s">
        <v>222</v>
      </c>
      <c r="U447" s="1" t="s">
        <v>223</v>
      </c>
    </row>
    <row r="448" customFormat="false" ht="48" hidden="false" customHeight="true" outlineLevel="0" collapsed="false">
      <c r="A448" s="1" t="s">
        <v>43</v>
      </c>
      <c r="B448" s="1" t="s">
        <v>212</v>
      </c>
      <c r="C448" s="1" t="s">
        <v>57</v>
      </c>
      <c r="D448" s="1" t="s">
        <v>1751</v>
      </c>
      <c r="E448" s="1" t="n">
        <v>15</v>
      </c>
      <c r="F448" s="1" t="s">
        <v>1797</v>
      </c>
      <c r="G448" s="1" t="s">
        <v>677</v>
      </c>
      <c r="H448" s="1" t="s">
        <v>1798</v>
      </c>
      <c r="I448" s="1" t="s">
        <v>218</v>
      </c>
      <c r="J448" s="1" t="s">
        <v>597</v>
      </c>
      <c r="K448" s="1" t="n">
        <v>56.99</v>
      </c>
      <c r="L448" s="1" t="n">
        <v>4.3</v>
      </c>
      <c r="M448" s="1" t="n">
        <v>11500</v>
      </c>
      <c r="N448" s="4" t="b">
        <f aca="false">FALSE()</f>
        <v>0</v>
      </c>
      <c r="P448" s="4" t="b">
        <f aca="false">TRUE()</f>
        <v>1</v>
      </c>
      <c r="Q448" s="1" t="s">
        <v>251</v>
      </c>
      <c r="R448" s="1" t="s">
        <v>1755</v>
      </c>
      <c r="S448" s="1" t="s">
        <v>1799</v>
      </c>
      <c r="T448" s="1" t="s">
        <v>222</v>
      </c>
      <c r="U448" s="1" t="s">
        <v>223</v>
      </c>
    </row>
    <row r="449" customFormat="false" ht="48" hidden="false" customHeight="true" outlineLevel="0" collapsed="false">
      <c r="A449" s="1" t="s">
        <v>43</v>
      </c>
      <c r="B449" s="1" t="s">
        <v>212</v>
      </c>
      <c r="C449" s="1" t="s">
        <v>57</v>
      </c>
      <c r="D449" s="1" t="s">
        <v>1751</v>
      </c>
      <c r="E449" s="1" t="n">
        <v>16</v>
      </c>
      <c r="F449" s="1" t="s">
        <v>1800</v>
      </c>
      <c r="G449" s="1" t="s">
        <v>445</v>
      </c>
      <c r="H449" s="1" t="s">
        <v>1801</v>
      </c>
      <c r="I449" s="1" t="s">
        <v>218</v>
      </c>
      <c r="J449" s="1" t="s">
        <v>597</v>
      </c>
      <c r="K449" s="1" t="n">
        <v>46.99</v>
      </c>
      <c r="L449" s="1" t="n">
        <v>4.4</v>
      </c>
      <c r="M449" s="1" t="n">
        <v>2100</v>
      </c>
      <c r="N449" s="4" t="b">
        <f aca="false">FALSE()</f>
        <v>0</v>
      </c>
      <c r="P449" s="4" t="b">
        <f aca="false">TRUE()</f>
        <v>1</v>
      </c>
      <c r="Q449" s="1" t="s">
        <v>251</v>
      </c>
      <c r="R449" s="1" t="s">
        <v>1755</v>
      </c>
      <c r="S449" s="1" t="s">
        <v>1802</v>
      </c>
      <c r="T449" s="1" t="s">
        <v>222</v>
      </c>
      <c r="U449" s="1" t="s">
        <v>223</v>
      </c>
    </row>
    <row r="450" customFormat="false" ht="48" hidden="false" customHeight="true" outlineLevel="0" collapsed="false">
      <c r="A450" s="1" t="s">
        <v>43</v>
      </c>
      <c r="B450" s="1" t="s">
        <v>212</v>
      </c>
      <c r="C450" s="1" t="s">
        <v>57</v>
      </c>
      <c r="D450" s="1" t="s">
        <v>1751</v>
      </c>
      <c r="E450" s="1" t="n">
        <v>17</v>
      </c>
      <c r="F450" s="1" t="s">
        <v>1803</v>
      </c>
      <c r="G450" s="1" t="s">
        <v>236</v>
      </c>
      <c r="H450" s="1" t="s">
        <v>1804</v>
      </c>
      <c r="I450" s="1" t="s">
        <v>218</v>
      </c>
      <c r="J450" s="1" t="s">
        <v>371</v>
      </c>
      <c r="K450" s="1" t="n">
        <v>31.63</v>
      </c>
      <c r="L450" s="1" t="n">
        <v>4.6</v>
      </c>
      <c r="M450" s="1" t="n">
        <v>5100</v>
      </c>
      <c r="N450" s="4" t="b">
        <f aca="false">FALSE()</f>
        <v>0</v>
      </c>
      <c r="O450" s="1" t="s">
        <v>1805</v>
      </c>
      <c r="P450" s="4" t="b">
        <f aca="false">FALSE()</f>
        <v>0</v>
      </c>
      <c r="Q450" s="1" t="s">
        <v>251</v>
      </c>
      <c r="R450" s="1" t="s">
        <v>1755</v>
      </c>
      <c r="S450" s="1" t="s">
        <v>1806</v>
      </c>
      <c r="T450" s="1" t="s">
        <v>222</v>
      </c>
      <c r="U450" s="1" t="s">
        <v>223</v>
      </c>
    </row>
    <row r="451" customFormat="false" ht="48" hidden="false" customHeight="true" outlineLevel="0" collapsed="false">
      <c r="A451" s="1" t="s">
        <v>43</v>
      </c>
      <c r="B451" s="1" t="s">
        <v>212</v>
      </c>
      <c r="C451" s="1" t="s">
        <v>57</v>
      </c>
      <c r="D451" s="1" t="s">
        <v>1751</v>
      </c>
      <c r="E451" s="1" t="n">
        <v>18</v>
      </c>
      <c r="F451" s="1" t="s">
        <v>1807</v>
      </c>
      <c r="G451" s="1" t="s">
        <v>567</v>
      </c>
      <c r="H451" s="1" t="s">
        <v>1808</v>
      </c>
      <c r="I451" s="1" t="s">
        <v>231</v>
      </c>
      <c r="J451" s="1" t="s">
        <v>597</v>
      </c>
      <c r="K451" s="1" t="n">
        <v>79.14</v>
      </c>
      <c r="L451" s="1" t="n">
        <v>4.4</v>
      </c>
      <c r="M451" s="1" t="n">
        <v>15800</v>
      </c>
      <c r="N451" s="4" t="b">
        <f aca="false">FALSE()</f>
        <v>0</v>
      </c>
      <c r="P451" s="4" t="b">
        <f aca="false">TRUE()</f>
        <v>1</v>
      </c>
      <c r="R451" s="1" t="s">
        <v>1755</v>
      </c>
      <c r="S451" s="1" t="s">
        <v>1809</v>
      </c>
      <c r="T451" s="1" t="s">
        <v>222</v>
      </c>
      <c r="U451" s="1" t="s">
        <v>223</v>
      </c>
    </row>
    <row r="452" customFormat="false" ht="48" hidden="false" customHeight="true" outlineLevel="0" collapsed="false">
      <c r="A452" s="1" t="s">
        <v>43</v>
      </c>
      <c r="B452" s="1" t="s">
        <v>212</v>
      </c>
      <c r="C452" s="1" t="s">
        <v>57</v>
      </c>
      <c r="D452" s="1" t="s">
        <v>1751</v>
      </c>
      <c r="E452" s="1" t="n">
        <v>19</v>
      </c>
      <c r="F452" s="1" t="s">
        <v>1224</v>
      </c>
      <c r="G452" s="1" t="s">
        <v>677</v>
      </c>
      <c r="H452" s="1" t="s">
        <v>1225</v>
      </c>
      <c r="I452" s="1" t="s">
        <v>218</v>
      </c>
      <c r="J452" s="1" t="s">
        <v>597</v>
      </c>
      <c r="K452" s="1" t="n">
        <v>75.99</v>
      </c>
      <c r="L452" s="1" t="n">
        <v>4.4</v>
      </c>
      <c r="M452" s="1" t="n">
        <v>71200</v>
      </c>
      <c r="N452" s="4" t="b">
        <f aca="false">FALSE()</f>
        <v>0</v>
      </c>
      <c r="P452" s="4" t="b">
        <f aca="false">TRUE()</f>
        <v>1</v>
      </c>
      <c r="Q452" s="1" t="s">
        <v>251</v>
      </c>
      <c r="R452" s="1" t="s">
        <v>1755</v>
      </c>
      <c r="S452" s="1" t="s">
        <v>1226</v>
      </c>
      <c r="T452" s="1" t="s">
        <v>222</v>
      </c>
      <c r="U452" s="1" t="s">
        <v>223</v>
      </c>
    </row>
    <row r="453" customFormat="false" ht="48" hidden="false" customHeight="true" outlineLevel="0" collapsed="false">
      <c r="A453" s="1" t="s">
        <v>43</v>
      </c>
      <c r="B453" s="1" t="s">
        <v>212</v>
      </c>
      <c r="C453" s="1" t="s">
        <v>57</v>
      </c>
      <c r="D453" s="1" t="s">
        <v>1751</v>
      </c>
      <c r="E453" s="1" t="n">
        <v>20</v>
      </c>
      <c r="F453" s="1" t="s">
        <v>1810</v>
      </c>
      <c r="G453" s="1" t="s">
        <v>236</v>
      </c>
      <c r="H453" s="1" t="s">
        <v>1811</v>
      </c>
      <c r="I453" s="1" t="s">
        <v>218</v>
      </c>
      <c r="J453" s="1" t="s">
        <v>597</v>
      </c>
      <c r="K453" s="1" t="n">
        <v>59.99</v>
      </c>
      <c r="L453" s="1" t="n">
        <v>4.2</v>
      </c>
      <c r="M453" s="1" t="n">
        <v>30000</v>
      </c>
      <c r="N453" s="4" t="b">
        <f aca="false">FALSE()</f>
        <v>0</v>
      </c>
      <c r="O453" s="1" t="s">
        <v>1812</v>
      </c>
      <c r="P453" s="4" t="b">
        <f aca="false">TRUE()</f>
        <v>1</v>
      </c>
      <c r="Q453" s="1" t="s">
        <v>233</v>
      </c>
      <c r="R453" s="1" t="s">
        <v>1755</v>
      </c>
      <c r="S453" s="1" t="s">
        <v>1813</v>
      </c>
      <c r="T453" s="1" t="s">
        <v>222</v>
      </c>
      <c r="U453" s="1" t="s">
        <v>223</v>
      </c>
    </row>
    <row r="454" customFormat="false" ht="48" hidden="false" customHeight="true" outlineLevel="0" collapsed="false">
      <c r="A454" s="1" t="s">
        <v>43</v>
      </c>
      <c r="B454" s="1" t="s">
        <v>212</v>
      </c>
      <c r="C454" s="1" t="s">
        <v>57</v>
      </c>
      <c r="D454" s="1" t="s">
        <v>1751</v>
      </c>
      <c r="E454" s="1" t="n">
        <v>21</v>
      </c>
      <c r="F454" s="1" t="s">
        <v>1814</v>
      </c>
      <c r="G454" s="1" t="s">
        <v>236</v>
      </c>
      <c r="H454" s="1" t="s">
        <v>1815</v>
      </c>
      <c r="I454" s="1" t="s">
        <v>378</v>
      </c>
      <c r="J454" s="1" t="s">
        <v>597</v>
      </c>
      <c r="K454" s="1" t="n">
        <v>118.99</v>
      </c>
      <c r="L454" s="1" t="n">
        <v>4.1</v>
      </c>
      <c r="M454" s="1" t="n">
        <v>1800</v>
      </c>
      <c r="N454" s="4" t="b">
        <f aca="false">TRUE()</f>
        <v>1</v>
      </c>
      <c r="O454" s="1" t="s">
        <v>1816</v>
      </c>
      <c r="P454" s="4" t="b">
        <f aca="false">TRUE()</f>
        <v>1</v>
      </c>
      <c r="R454" s="1" t="s">
        <v>1755</v>
      </c>
      <c r="S454" s="1" t="s">
        <v>1817</v>
      </c>
      <c r="T454" s="1" t="s">
        <v>222</v>
      </c>
      <c r="U454" s="1" t="s">
        <v>223</v>
      </c>
    </row>
    <row r="455" customFormat="false" ht="48" hidden="false" customHeight="true" outlineLevel="0" collapsed="false">
      <c r="A455" s="1" t="s">
        <v>43</v>
      </c>
      <c r="B455" s="1" t="s">
        <v>212</v>
      </c>
      <c r="C455" s="1" t="s">
        <v>57</v>
      </c>
      <c r="D455" s="1" t="s">
        <v>1751</v>
      </c>
      <c r="E455" s="1" t="n">
        <v>22</v>
      </c>
      <c r="F455" s="1" t="s">
        <v>1818</v>
      </c>
      <c r="G455" s="1" t="s">
        <v>873</v>
      </c>
      <c r="H455" s="1" t="s">
        <v>1819</v>
      </c>
      <c r="I455" s="1" t="s">
        <v>289</v>
      </c>
      <c r="J455" s="1" t="s">
        <v>689</v>
      </c>
      <c r="K455" s="1" t="n">
        <v>49.99</v>
      </c>
      <c r="L455" s="1" t="n">
        <v>4.3</v>
      </c>
      <c r="M455" s="1" t="n">
        <v>970</v>
      </c>
      <c r="N455" s="4" t="b">
        <f aca="false">TRUE()</f>
        <v>1</v>
      </c>
      <c r="P455" s="4" t="b">
        <f aca="false">TRUE()</f>
        <v>1</v>
      </c>
      <c r="R455" s="1" t="s">
        <v>1755</v>
      </c>
      <c r="S455" s="1" t="s">
        <v>1820</v>
      </c>
      <c r="T455" s="1" t="s">
        <v>222</v>
      </c>
      <c r="U455" s="1" t="s">
        <v>223</v>
      </c>
    </row>
    <row r="456" customFormat="false" ht="48" hidden="false" customHeight="true" outlineLevel="0" collapsed="false">
      <c r="A456" s="1" t="s">
        <v>43</v>
      </c>
      <c r="B456" s="1" t="s">
        <v>212</v>
      </c>
      <c r="C456" s="1" t="s">
        <v>57</v>
      </c>
      <c r="D456" s="1" t="s">
        <v>1751</v>
      </c>
      <c r="E456" s="1" t="n">
        <v>23</v>
      </c>
      <c r="F456" s="1" t="s">
        <v>1821</v>
      </c>
      <c r="G456" s="1" t="s">
        <v>236</v>
      </c>
      <c r="H456" s="1" t="s">
        <v>1822</v>
      </c>
      <c r="I456" s="1" t="s">
        <v>242</v>
      </c>
      <c r="J456" s="1" t="s">
        <v>597</v>
      </c>
      <c r="K456" s="1" t="n">
        <v>55.99</v>
      </c>
      <c r="L456" s="1" t="n">
        <v>4</v>
      </c>
      <c r="M456" s="1" t="n">
        <v>1000</v>
      </c>
      <c r="N456" s="4" t="b">
        <f aca="false">TRUE()</f>
        <v>1</v>
      </c>
      <c r="P456" s="4" t="b">
        <f aca="false">TRUE()</f>
        <v>1</v>
      </c>
      <c r="R456" s="1" t="s">
        <v>1755</v>
      </c>
      <c r="S456" s="1" t="s">
        <v>1823</v>
      </c>
      <c r="T456" s="1" t="s">
        <v>222</v>
      </c>
      <c r="U456" s="1" t="s">
        <v>223</v>
      </c>
    </row>
    <row r="457" customFormat="false" ht="48" hidden="false" customHeight="true" outlineLevel="0" collapsed="false">
      <c r="A457" s="1" t="s">
        <v>43</v>
      </c>
      <c r="B457" s="1" t="s">
        <v>212</v>
      </c>
      <c r="C457" s="1" t="s">
        <v>57</v>
      </c>
      <c r="D457" s="1" t="s">
        <v>1751</v>
      </c>
      <c r="E457" s="1" t="n">
        <v>25</v>
      </c>
      <c r="F457" s="1" t="s">
        <v>1824</v>
      </c>
      <c r="G457" s="1" t="s">
        <v>236</v>
      </c>
      <c r="H457" s="1" t="s">
        <v>1825</v>
      </c>
      <c r="I457" s="1" t="s">
        <v>218</v>
      </c>
      <c r="J457" s="1" t="s">
        <v>597</v>
      </c>
      <c r="K457" s="1" t="n">
        <v>107.99</v>
      </c>
      <c r="L457" s="1" t="n">
        <v>4.1</v>
      </c>
      <c r="M457" s="1" t="n">
        <v>1800</v>
      </c>
      <c r="N457" s="4" t="b">
        <f aca="false">FALSE()</f>
        <v>0</v>
      </c>
      <c r="O457" s="1" t="s">
        <v>1826</v>
      </c>
      <c r="P457" s="4" t="b">
        <f aca="false">TRUE()</f>
        <v>1</v>
      </c>
      <c r="Q457" s="1" t="s">
        <v>251</v>
      </c>
      <c r="R457" s="1" t="s">
        <v>1755</v>
      </c>
      <c r="S457" s="1" t="s">
        <v>1827</v>
      </c>
      <c r="T457" s="1" t="s">
        <v>222</v>
      </c>
      <c r="U457" s="1" t="s">
        <v>223</v>
      </c>
    </row>
    <row r="458" customFormat="false" ht="48" hidden="false" customHeight="true" outlineLevel="0" collapsed="false">
      <c r="A458" s="1" t="s">
        <v>43</v>
      </c>
      <c r="B458" s="1" t="s">
        <v>212</v>
      </c>
      <c r="C458" s="1" t="s">
        <v>57</v>
      </c>
      <c r="D458" s="1" t="s">
        <v>1751</v>
      </c>
      <c r="E458" s="1" t="n">
        <v>26</v>
      </c>
      <c r="F458" s="1" t="s">
        <v>1404</v>
      </c>
      <c r="G458" s="1" t="s">
        <v>236</v>
      </c>
      <c r="H458" s="1" t="s">
        <v>1405</v>
      </c>
      <c r="I458" s="1" t="s">
        <v>218</v>
      </c>
      <c r="J458" s="1" t="s">
        <v>597</v>
      </c>
      <c r="K458" s="1" t="n">
        <v>44.99</v>
      </c>
      <c r="L458" s="1" t="n">
        <v>4.1</v>
      </c>
      <c r="M458" s="1" t="n">
        <v>4400</v>
      </c>
      <c r="N458" s="4" t="b">
        <f aca="false">FALSE()</f>
        <v>0</v>
      </c>
      <c r="P458" s="4" t="b">
        <f aca="false">TRUE()</f>
        <v>1</v>
      </c>
      <c r="Q458" s="1" t="s">
        <v>435</v>
      </c>
      <c r="R458" s="1" t="s">
        <v>1755</v>
      </c>
      <c r="S458" s="1" t="s">
        <v>1406</v>
      </c>
      <c r="T458" s="1" t="s">
        <v>222</v>
      </c>
      <c r="U458" s="1" t="s">
        <v>223</v>
      </c>
    </row>
    <row r="459" customFormat="false" ht="48" hidden="false" customHeight="true" outlineLevel="0" collapsed="false">
      <c r="A459" s="1" t="s">
        <v>43</v>
      </c>
      <c r="B459" s="1" t="s">
        <v>212</v>
      </c>
      <c r="C459" s="1" t="s">
        <v>57</v>
      </c>
      <c r="D459" s="1" t="s">
        <v>1751</v>
      </c>
      <c r="E459" s="1" t="n">
        <v>27</v>
      </c>
      <c r="F459" s="1" t="s">
        <v>1828</v>
      </c>
      <c r="G459" s="1" t="s">
        <v>236</v>
      </c>
      <c r="H459" s="1" t="s">
        <v>1829</v>
      </c>
      <c r="I459" s="1" t="s">
        <v>242</v>
      </c>
      <c r="J459" s="1" t="s">
        <v>597</v>
      </c>
      <c r="K459" s="1" t="n">
        <v>40.99</v>
      </c>
      <c r="L459" s="1" t="n">
        <v>3.9</v>
      </c>
      <c r="M459" s="1" t="n">
        <v>4900</v>
      </c>
      <c r="N459" s="4" t="b">
        <f aca="false">FALSE()</f>
        <v>0</v>
      </c>
      <c r="O459" s="1" t="s">
        <v>262</v>
      </c>
      <c r="P459" s="4" t="b">
        <f aca="false">TRUE()</f>
        <v>1</v>
      </c>
      <c r="R459" s="1" t="s">
        <v>1755</v>
      </c>
      <c r="S459" s="1" t="s">
        <v>1830</v>
      </c>
      <c r="T459" s="1" t="s">
        <v>222</v>
      </c>
      <c r="U459" s="1" t="s">
        <v>223</v>
      </c>
    </row>
    <row r="460" customFormat="false" ht="48" hidden="false" customHeight="true" outlineLevel="0" collapsed="false">
      <c r="A460" s="1" t="s">
        <v>43</v>
      </c>
      <c r="B460" s="1" t="s">
        <v>212</v>
      </c>
      <c r="C460" s="1" t="s">
        <v>57</v>
      </c>
      <c r="D460" s="1" t="s">
        <v>1751</v>
      </c>
      <c r="E460" s="1" t="n">
        <v>28</v>
      </c>
      <c r="F460" s="1" t="s">
        <v>1831</v>
      </c>
      <c r="G460" s="1" t="s">
        <v>567</v>
      </c>
      <c r="H460" s="1" t="s">
        <v>1832</v>
      </c>
      <c r="I460" s="1" t="s">
        <v>242</v>
      </c>
      <c r="J460" s="1" t="s">
        <v>371</v>
      </c>
      <c r="K460" s="1" t="n">
        <v>25.64</v>
      </c>
      <c r="L460" s="1" t="n">
        <v>4.4</v>
      </c>
      <c r="M460" s="1" t="n">
        <v>373800</v>
      </c>
      <c r="N460" s="4" t="b">
        <f aca="false">FALSE()</f>
        <v>0</v>
      </c>
      <c r="P460" s="4" t="b">
        <f aca="false">FALSE()</f>
        <v>0</v>
      </c>
      <c r="Q460" s="1" t="s">
        <v>233</v>
      </c>
      <c r="R460" s="1" t="s">
        <v>1755</v>
      </c>
      <c r="S460" s="1" t="s">
        <v>1833</v>
      </c>
      <c r="T460" s="1" t="s">
        <v>222</v>
      </c>
      <c r="U460" s="1" t="s">
        <v>223</v>
      </c>
    </row>
    <row r="461" customFormat="false" ht="48" hidden="false" customHeight="true" outlineLevel="0" collapsed="false">
      <c r="A461" s="1" t="s">
        <v>43</v>
      </c>
      <c r="B461" s="1" t="s">
        <v>212</v>
      </c>
      <c r="C461" s="1" t="s">
        <v>57</v>
      </c>
      <c r="D461" s="1" t="s">
        <v>1751</v>
      </c>
      <c r="E461" s="1" t="n">
        <v>29</v>
      </c>
      <c r="F461" s="1" t="s">
        <v>1834</v>
      </c>
      <c r="G461" s="1" t="s">
        <v>1401</v>
      </c>
      <c r="H461" s="1" t="s">
        <v>1835</v>
      </c>
      <c r="I461" s="1" t="s">
        <v>242</v>
      </c>
      <c r="J461" s="1" t="s">
        <v>597</v>
      </c>
      <c r="K461" s="1" t="n">
        <v>42.29</v>
      </c>
      <c r="L461" s="1" t="n">
        <v>3.6</v>
      </c>
      <c r="M461" s="1" t="n">
        <v>18</v>
      </c>
      <c r="N461" s="4" t="b">
        <f aca="false">FALSE()</f>
        <v>0</v>
      </c>
      <c r="O461" s="1" t="s">
        <v>1836</v>
      </c>
      <c r="P461" s="4" t="b">
        <f aca="false">TRUE()</f>
        <v>1</v>
      </c>
      <c r="R461" s="1" t="s">
        <v>1755</v>
      </c>
      <c r="S461" s="1" t="s">
        <v>1837</v>
      </c>
      <c r="T461" s="1" t="s">
        <v>222</v>
      </c>
      <c r="U461" s="1" t="s">
        <v>223</v>
      </c>
    </row>
    <row r="462" customFormat="false" ht="48" hidden="false" customHeight="true" outlineLevel="0" collapsed="false">
      <c r="A462" s="1" t="s">
        <v>43</v>
      </c>
      <c r="B462" s="1" t="s">
        <v>212</v>
      </c>
      <c r="C462" s="1" t="s">
        <v>57</v>
      </c>
      <c r="D462" s="1" t="s">
        <v>1751</v>
      </c>
      <c r="E462" s="1" t="n">
        <v>30</v>
      </c>
      <c r="F462" s="1" t="s">
        <v>1838</v>
      </c>
      <c r="G462" s="1" t="s">
        <v>236</v>
      </c>
      <c r="H462" s="1" t="s">
        <v>1839</v>
      </c>
      <c r="I462" s="1" t="s">
        <v>218</v>
      </c>
      <c r="J462" s="1" t="s">
        <v>310</v>
      </c>
      <c r="K462" s="1" t="n">
        <v>23.99</v>
      </c>
      <c r="L462" s="1" t="n">
        <v>4.5</v>
      </c>
      <c r="M462" s="1" t="n">
        <v>226400</v>
      </c>
      <c r="N462" s="4" t="b">
        <f aca="false">FALSE()</f>
        <v>0</v>
      </c>
      <c r="O462" s="1" t="s">
        <v>1434</v>
      </c>
      <c r="P462" s="4" t="b">
        <f aca="false">FALSE()</f>
        <v>0</v>
      </c>
      <c r="Q462" s="1" t="s">
        <v>1840</v>
      </c>
      <c r="R462" s="1" t="s">
        <v>1755</v>
      </c>
      <c r="S462" s="1" t="s">
        <v>1841</v>
      </c>
      <c r="T462" s="1" t="s">
        <v>222</v>
      </c>
      <c r="U462" s="1" t="s">
        <v>223</v>
      </c>
    </row>
    <row r="463" customFormat="false" ht="48" hidden="false" customHeight="true" outlineLevel="0" collapsed="false">
      <c r="A463" s="1" t="s">
        <v>43</v>
      </c>
      <c r="B463" s="1" t="s">
        <v>212</v>
      </c>
      <c r="C463" s="1" t="s">
        <v>57</v>
      </c>
      <c r="D463" s="1" t="s">
        <v>1751</v>
      </c>
      <c r="E463" s="1" t="n">
        <v>31</v>
      </c>
      <c r="F463" s="1" t="s">
        <v>1842</v>
      </c>
      <c r="G463" s="1" t="s">
        <v>873</v>
      </c>
      <c r="H463" s="1" t="s">
        <v>1843</v>
      </c>
      <c r="I463" s="1" t="s">
        <v>242</v>
      </c>
      <c r="J463" s="1" t="s">
        <v>689</v>
      </c>
      <c r="K463" s="1" t="n">
        <v>55.49</v>
      </c>
      <c r="L463" s="1" t="n">
        <v>4.2</v>
      </c>
      <c r="M463" s="1" t="n">
        <v>1600</v>
      </c>
      <c r="N463" s="4" t="b">
        <f aca="false">FALSE()</f>
        <v>0</v>
      </c>
      <c r="P463" s="4" t="b">
        <f aca="false">TRUE()</f>
        <v>1</v>
      </c>
      <c r="R463" s="1" t="s">
        <v>1755</v>
      </c>
      <c r="S463" s="1" t="s">
        <v>1844</v>
      </c>
      <c r="T463" s="1" t="s">
        <v>222</v>
      </c>
      <c r="U463" s="1" t="s">
        <v>223</v>
      </c>
    </row>
    <row r="464" customFormat="false" ht="48" hidden="false" customHeight="true" outlineLevel="0" collapsed="false">
      <c r="A464" s="1" t="s">
        <v>43</v>
      </c>
      <c r="B464" s="1" t="s">
        <v>212</v>
      </c>
      <c r="C464" s="1" t="s">
        <v>57</v>
      </c>
      <c r="D464" s="1" t="s">
        <v>1751</v>
      </c>
      <c r="E464" s="1" t="n">
        <v>32</v>
      </c>
      <c r="F464" s="1" t="s">
        <v>1845</v>
      </c>
      <c r="G464" s="1" t="s">
        <v>236</v>
      </c>
      <c r="H464" s="1" t="s">
        <v>1846</v>
      </c>
      <c r="I464" s="1" t="s">
        <v>231</v>
      </c>
      <c r="J464" s="1" t="s">
        <v>597</v>
      </c>
      <c r="K464" s="1" t="n">
        <v>109.99</v>
      </c>
      <c r="L464" s="1" t="n">
        <v>4.4</v>
      </c>
      <c r="M464" s="1" t="n">
        <v>14500</v>
      </c>
      <c r="N464" s="4" t="b">
        <f aca="false">FALSE()</f>
        <v>0</v>
      </c>
      <c r="O464" s="1" t="s">
        <v>1847</v>
      </c>
      <c r="P464" s="4" t="b">
        <f aca="false">TRUE()</f>
        <v>1</v>
      </c>
      <c r="Q464" s="1" t="s">
        <v>451</v>
      </c>
      <c r="R464" s="1" t="s">
        <v>1755</v>
      </c>
      <c r="S464" s="1" t="s">
        <v>1848</v>
      </c>
      <c r="T464" s="1" t="s">
        <v>222</v>
      </c>
      <c r="U464" s="1" t="s">
        <v>223</v>
      </c>
    </row>
    <row r="465" customFormat="false" ht="48" hidden="false" customHeight="true" outlineLevel="0" collapsed="false">
      <c r="A465" s="1" t="s">
        <v>43</v>
      </c>
      <c r="B465" s="1" t="s">
        <v>212</v>
      </c>
      <c r="C465" s="1" t="s">
        <v>57</v>
      </c>
      <c r="D465" s="1" t="s">
        <v>1751</v>
      </c>
      <c r="E465" s="1" t="n">
        <v>33</v>
      </c>
      <c r="F465" s="1" t="s">
        <v>1849</v>
      </c>
      <c r="G465" s="1" t="s">
        <v>236</v>
      </c>
      <c r="H465" s="1" t="s">
        <v>1850</v>
      </c>
      <c r="I465" s="1" t="s">
        <v>242</v>
      </c>
      <c r="J465" s="1" t="s">
        <v>597</v>
      </c>
      <c r="K465" s="1" t="n">
        <v>41.6</v>
      </c>
      <c r="L465" s="1" t="n">
        <v>4.4</v>
      </c>
      <c r="M465" s="1" t="n">
        <v>3600</v>
      </c>
      <c r="N465" s="4" t="b">
        <f aca="false">FALSE()</f>
        <v>0</v>
      </c>
      <c r="P465" s="4" t="b">
        <f aca="false">TRUE()</f>
        <v>1</v>
      </c>
      <c r="R465" s="1" t="s">
        <v>1755</v>
      </c>
      <c r="S465" s="1" t="s">
        <v>1851</v>
      </c>
      <c r="T465" s="1" t="s">
        <v>222</v>
      </c>
      <c r="U465" s="1" t="s">
        <v>223</v>
      </c>
    </row>
    <row r="466" customFormat="false" ht="48" hidden="false" customHeight="true" outlineLevel="0" collapsed="false">
      <c r="A466" s="1" t="s">
        <v>43</v>
      </c>
      <c r="B466" s="1" t="s">
        <v>212</v>
      </c>
      <c r="C466" s="1" t="s">
        <v>57</v>
      </c>
      <c r="D466" s="1" t="s">
        <v>1751</v>
      </c>
      <c r="E466" s="1" t="n">
        <v>34</v>
      </c>
      <c r="F466" s="1" t="s">
        <v>1852</v>
      </c>
      <c r="G466" s="1" t="s">
        <v>236</v>
      </c>
      <c r="H466" s="1" t="s">
        <v>1853</v>
      </c>
      <c r="I466" s="1" t="s">
        <v>242</v>
      </c>
      <c r="J466" s="1" t="s">
        <v>597</v>
      </c>
      <c r="K466" s="1" t="n">
        <v>65.99</v>
      </c>
      <c r="L466" s="1" t="n">
        <v>4.2</v>
      </c>
      <c r="M466" s="1" t="n">
        <v>2600</v>
      </c>
      <c r="N466" s="4" t="b">
        <f aca="false">FALSE()</f>
        <v>0</v>
      </c>
      <c r="P466" s="4" t="b">
        <f aca="false">TRUE()</f>
        <v>1</v>
      </c>
      <c r="R466" s="1" t="s">
        <v>1755</v>
      </c>
      <c r="S466" s="1" t="s">
        <v>1854</v>
      </c>
      <c r="T466" s="1" t="s">
        <v>222</v>
      </c>
      <c r="U466" s="1" t="s">
        <v>223</v>
      </c>
    </row>
    <row r="467" customFormat="false" ht="48" hidden="false" customHeight="true" outlineLevel="0" collapsed="false">
      <c r="A467" s="1" t="s">
        <v>43</v>
      </c>
      <c r="B467" s="1" t="s">
        <v>212</v>
      </c>
      <c r="C467" s="1" t="s">
        <v>57</v>
      </c>
      <c r="D467" s="1" t="s">
        <v>1751</v>
      </c>
      <c r="E467" s="1" t="n">
        <v>35</v>
      </c>
      <c r="F467" s="1" t="s">
        <v>1855</v>
      </c>
      <c r="G467" s="1" t="s">
        <v>567</v>
      </c>
      <c r="H467" s="1" t="s">
        <v>1856</v>
      </c>
      <c r="I467" s="1" t="s">
        <v>242</v>
      </c>
      <c r="J467" s="1" t="s">
        <v>597</v>
      </c>
      <c r="K467" s="1" t="n">
        <v>40.96</v>
      </c>
      <c r="L467" s="1" t="n">
        <v>4.3</v>
      </c>
      <c r="M467" s="1" t="n">
        <v>338</v>
      </c>
      <c r="N467" s="4" t="b">
        <f aca="false">FALSE()</f>
        <v>0</v>
      </c>
      <c r="P467" s="4" t="b">
        <f aca="false">TRUE()</f>
        <v>1</v>
      </c>
      <c r="R467" s="1" t="s">
        <v>1755</v>
      </c>
      <c r="S467" s="1" t="s">
        <v>1857</v>
      </c>
      <c r="T467" s="1" t="s">
        <v>222</v>
      </c>
      <c r="U467" s="1" t="s">
        <v>223</v>
      </c>
    </row>
    <row r="468" customFormat="false" ht="48" hidden="false" customHeight="true" outlineLevel="0" collapsed="false">
      <c r="A468" s="1" t="s">
        <v>43</v>
      </c>
      <c r="B468" s="1" t="s">
        <v>212</v>
      </c>
      <c r="C468" s="1" t="s">
        <v>57</v>
      </c>
      <c r="D468" s="1" t="s">
        <v>1751</v>
      </c>
      <c r="E468" s="1" t="n">
        <v>36</v>
      </c>
      <c r="F468" s="1" t="s">
        <v>1858</v>
      </c>
      <c r="G468" s="1" t="s">
        <v>236</v>
      </c>
      <c r="H468" s="1" t="s">
        <v>1859</v>
      </c>
      <c r="I468" s="1" t="s">
        <v>289</v>
      </c>
      <c r="J468" s="1" t="s">
        <v>597</v>
      </c>
      <c r="K468" s="1" t="n">
        <v>32.77</v>
      </c>
      <c r="L468" s="1" t="n">
        <v>4.3</v>
      </c>
      <c r="M468" s="1" t="n">
        <v>1000</v>
      </c>
      <c r="N468" s="4" t="b">
        <f aca="false">FALSE()</f>
        <v>0</v>
      </c>
      <c r="P468" s="4" t="b">
        <f aca="false">TRUE()</f>
        <v>1</v>
      </c>
      <c r="R468" s="1" t="s">
        <v>1755</v>
      </c>
      <c r="S468" s="1" t="s">
        <v>1860</v>
      </c>
      <c r="T468" s="1" t="s">
        <v>222</v>
      </c>
      <c r="U468" s="1" t="s">
        <v>223</v>
      </c>
    </row>
    <row r="469" customFormat="false" ht="48" hidden="false" customHeight="true" outlineLevel="0" collapsed="false">
      <c r="A469" s="1" t="s">
        <v>43</v>
      </c>
      <c r="B469" s="1" t="s">
        <v>212</v>
      </c>
      <c r="C469" s="1" t="s">
        <v>57</v>
      </c>
      <c r="D469" s="1" t="s">
        <v>1751</v>
      </c>
      <c r="E469" s="1" t="n">
        <v>37</v>
      </c>
      <c r="F469" s="1" t="s">
        <v>1861</v>
      </c>
      <c r="G469" s="1" t="s">
        <v>236</v>
      </c>
      <c r="H469" s="1" t="s">
        <v>1862</v>
      </c>
      <c r="I469" s="1" t="s">
        <v>299</v>
      </c>
      <c r="J469" s="1" t="s">
        <v>597</v>
      </c>
      <c r="K469" s="1" t="n">
        <v>70.84</v>
      </c>
      <c r="L469" s="1" t="n">
        <v>4.4</v>
      </c>
      <c r="M469" s="1" t="n">
        <v>6400</v>
      </c>
      <c r="N469" s="4" t="b">
        <f aca="false">FALSE()</f>
        <v>0</v>
      </c>
      <c r="O469" s="1" t="s">
        <v>1863</v>
      </c>
      <c r="P469" s="4" t="b">
        <f aca="false">TRUE()</f>
        <v>1</v>
      </c>
      <c r="R469" s="1" t="s">
        <v>1755</v>
      </c>
      <c r="S469" s="1" t="s">
        <v>1864</v>
      </c>
      <c r="T469" s="1" t="s">
        <v>222</v>
      </c>
      <c r="U469" s="1" t="s">
        <v>223</v>
      </c>
    </row>
    <row r="470" customFormat="false" ht="48" hidden="false" customHeight="true" outlineLevel="0" collapsed="false">
      <c r="A470" s="1" t="s">
        <v>43</v>
      </c>
      <c r="B470" s="1" t="s">
        <v>212</v>
      </c>
      <c r="C470" s="1" t="s">
        <v>57</v>
      </c>
      <c r="D470" s="1" t="s">
        <v>1751</v>
      </c>
      <c r="E470" s="1" t="n">
        <v>38</v>
      </c>
      <c r="F470" s="1" t="s">
        <v>1865</v>
      </c>
      <c r="G470" s="1" t="s">
        <v>236</v>
      </c>
      <c r="H470" s="1" t="s">
        <v>1866</v>
      </c>
      <c r="I470" s="1" t="s">
        <v>218</v>
      </c>
      <c r="J470" s="1" t="s">
        <v>597</v>
      </c>
      <c r="K470" s="1" t="n">
        <v>35.99</v>
      </c>
      <c r="L470" s="1" t="n">
        <v>4.4</v>
      </c>
      <c r="M470" s="1" t="n">
        <v>5900</v>
      </c>
      <c r="N470" s="4" t="b">
        <f aca="false">FALSE()</f>
        <v>0</v>
      </c>
      <c r="P470" s="4" t="b">
        <f aca="false">TRUE()</f>
        <v>1</v>
      </c>
      <c r="Q470" s="1" t="s">
        <v>435</v>
      </c>
      <c r="R470" s="1" t="s">
        <v>1755</v>
      </c>
      <c r="S470" s="1" t="s">
        <v>1867</v>
      </c>
      <c r="T470" s="1" t="s">
        <v>222</v>
      </c>
      <c r="U470" s="1" t="s">
        <v>223</v>
      </c>
    </row>
    <row r="471" customFormat="false" ht="48" hidden="false" customHeight="true" outlineLevel="0" collapsed="false">
      <c r="A471" s="1" t="s">
        <v>43</v>
      </c>
      <c r="B471" s="1" t="s">
        <v>212</v>
      </c>
      <c r="C471" s="1" t="s">
        <v>57</v>
      </c>
      <c r="D471" s="1" t="s">
        <v>1751</v>
      </c>
      <c r="E471" s="1" t="n">
        <v>39</v>
      </c>
      <c r="F471" s="1" t="s">
        <v>1015</v>
      </c>
      <c r="G471" s="1" t="s">
        <v>236</v>
      </c>
      <c r="H471" s="1" t="s">
        <v>1016</v>
      </c>
      <c r="I471" s="1" t="s">
        <v>218</v>
      </c>
      <c r="J471" s="1" t="s">
        <v>310</v>
      </c>
      <c r="K471" s="1" t="n">
        <v>51.99</v>
      </c>
      <c r="L471" s="1" t="n">
        <v>4.4</v>
      </c>
      <c r="M471" s="1" t="n">
        <v>54200</v>
      </c>
      <c r="N471" s="4" t="b">
        <f aca="false">FALSE()</f>
        <v>0</v>
      </c>
      <c r="O471" s="1" t="s">
        <v>1017</v>
      </c>
      <c r="P471" s="4" t="b">
        <f aca="false">FALSE()</f>
        <v>0</v>
      </c>
      <c r="Q471" s="1" t="s">
        <v>435</v>
      </c>
      <c r="R471" s="1" t="s">
        <v>1755</v>
      </c>
      <c r="S471" s="1" t="s">
        <v>1018</v>
      </c>
      <c r="T471" s="1" t="s">
        <v>222</v>
      </c>
      <c r="U471" s="1" t="s">
        <v>223</v>
      </c>
    </row>
    <row r="472" customFormat="false" ht="48" hidden="false" customHeight="true" outlineLevel="0" collapsed="false">
      <c r="A472" s="1" t="s">
        <v>43</v>
      </c>
      <c r="B472" s="1" t="s">
        <v>212</v>
      </c>
      <c r="C472" s="1" t="s">
        <v>57</v>
      </c>
      <c r="D472" s="1" t="s">
        <v>1751</v>
      </c>
      <c r="E472" s="1" t="n">
        <v>40</v>
      </c>
      <c r="F472" s="1" t="s">
        <v>1868</v>
      </c>
      <c r="G472" s="1" t="s">
        <v>677</v>
      </c>
      <c r="H472" s="1" t="s">
        <v>1869</v>
      </c>
      <c r="I472" s="1" t="s">
        <v>218</v>
      </c>
      <c r="J472" s="1" t="s">
        <v>597</v>
      </c>
      <c r="K472" s="1" t="n">
        <v>94.99</v>
      </c>
      <c r="L472" s="1" t="n">
        <v>4.3</v>
      </c>
      <c r="M472" s="1" t="n">
        <v>20500</v>
      </c>
      <c r="N472" s="4" t="b">
        <f aca="false">FALSE()</f>
        <v>0</v>
      </c>
      <c r="P472" s="4" t="b">
        <f aca="false">TRUE()</f>
        <v>1</v>
      </c>
      <c r="R472" s="1" t="s">
        <v>1755</v>
      </c>
      <c r="S472" s="1" t="s">
        <v>1870</v>
      </c>
      <c r="T472" s="1" t="s">
        <v>222</v>
      </c>
      <c r="U472" s="1" t="s">
        <v>223</v>
      </c>
    </row>
    <row r="473" customFormat="false" ht="48" hidden="false" customHeight="true" outlineLevel="0" collapsed="false">
      <c r="A473" s="1" t="s">
        <v>43</v>
      </c>
      <c r="B473" s="1" t="s">
        <v>212</v>
      </c>
      <c r="C473" s="1" t="s">
        <v>57</v>
      </c>
      <c r="D473" s="1" t="s">
        <v>1751</v>
      </c>
      <c r="E473" s="1" t="n">
        <v>41</v>
      </c>
      <c r="F473" s="1" t="s">
        <v>1871</v>
      </c>
      <c r="G473" s="1" t="s">
        <v>236</v>
      </c>
      <c r="H473" s="1" t="s">
        <v>1872</v>
      </c>
      <c r="I473" s="1" t="s">
        <v>299</v>
      </c>
      <c r="J473" s="1" t="s">
        <v>597</v>
      </c>
      <c r="K473" s="1" t="n">
        <v>36.99</v>
      </c>
      <c r="L473" s="1" t="n">
        <v>4.3</v>
      </c>
      <c r="M473" s="1" t="n">
        <v>22</v>
      </c>
      <c r="N473" s="4" t="b">
        <f aca="false">FALSE()</f>
        <v>0</v>
      </c>
      <c r="P473" s="4" t="b">
        <f aca="false">TRUE()</f>
        <v>1</v>
      </c>
      <c r="R473" s="1" t="s">
        <v>1755</v>
      </c>
      <c r="S473" s="1" t="s">
        <v>1873</v>
      </c>
      <c r="T473" s="1" t="s">
        <v>222</v>
      </c>
      <c r="U473" s="1" t="s">
        <v>223</v>
      </c>
    </row>
    <row r="474" customFormat="false" ht="48" hidden="false" customHeight="true" outlineLevel="0" collapsed="false">
      <c r="A474" s="1" t="s">
        <v>43</v>
      </c>
      <c r="B474" s="1" t="s">
        <v>212</v>
      </c>
      <c r="C474" s="1" t="s">
        <v>57</v>
      </c>
      <c r="D474" s="1" t="s">
        <v>1751</v>
      </c>
      <c r="E474" s="1" t="n">
        <v>42</v>
      </c>
      <c r="F474" s="1" t="s">
        <v>1874</v>
      </c>
      <c r="G474" s="1" t="s">
        <v>236</v>
      </c>
      <c r="H474" s="1" t="s">
        <v>1875</v>
      </c>
      <c r="I474" s="1" t="s">
        <v>218</v>
      </c>
      <c r="J474" s="1" t="s">
        <v>597</v>
      </c>
      <c r="K474" s="1" t="n">
        <v>64.99</v>
      </c>
      <c r="L474" s="1" t="n">
        <v>4.6</v>
      </c>
      <c r="M474" s="1" t="n">
        <v>20500</v>
      </c>
      <c r="N474" s="4" t="b">
        <f aca="false">FALSE()</f>
        <v>0</v>
      </c>
      <c r="O474" s="1" t="s">
        <v>1876</v>
      </c>
      <c r="P474" s="4" t="b">
        <f aca="false">TRUE()</f>
        <v>1</v>
      </c>
      <c r="Q474" s="1" t="s">
        <v>233</v>
      </c>
      <c r="R474" s="1" t="s">
        <v>1755</v>
      </c>
      <c r="S474" s="1" t="s">
        <v>1877</v>
      </c>
      <c r="T474" s="1" t="s">
        <v>222</v>
      </c>
      <c r="U474" s="1" t="s">
        <v>223</v>
      </c>
    </row>
    <row r="475" customFormat="false" ht="48" hidden="false" customHeight="true" outlineLevel="0" collapsed="false">
      <c r="A475" s="1" t="s">
        <v>43</v>
      </c>
      <c r="B475" s="1" t="s">
        <v>212</v>
      </c>
      <c r="C475" s="1" t="s">
        <v>57</v>
      </c>
      <c r="D475" s="1" t="s">
        <v>1751</v>
      </c>
      <c r="E475" s="1" t="n">
        <v>43</v>
      </c>
      <c r="F475" s="1" t="s">
        <v>1878</v>
      </c>
      <c r="G475" s="1" t="s">
        <v>236</v>
      </c>
      <c r="H475" s="1" t="s">
        <v>1879</v>
      </c>
      <c r="I475" s="1" t="s">
        <v>242</v>
      </c>
      <c r="J475" s="1" t="s">
        <v>597</v>
      </c>
      <c r="K475" s="1" t="n">
        <v>60.75</v>
      </c>
      <c r="L475" s="1" t="n">
        <v>4.2</v>
      </c>
      <c r="M475" s="1" t="n">
        <v>1500</v>
      </c>
      <c r="N475" s="4" t="b">
        <f aca="false">FALSE()</f>
        <v>0</v>
      </c>
      <c r="O475" s="1" t="s">
        <v>1177</v>
      </c>
      <c r="P475" s="4" t="b">
        <f aca="false">TRUE()</f>
        <v>1</v>
      </c>
      <c r="R475" s="1" t="s">
        <v>1755</v>
      </c>
      <c r="S475" s="1" t="s">
        <v>1880</v>
      </c>
      <c r="T475" s="1" t="s">
        <v>222</v>
      </c>
      <c r="U475" s="1" t="s">
        <v>223</v>
      </c>
    </row>
    <row r="476" customFormat="false" ht="48" hidden="false" customHeight="true" outlineLevel="0" collapsed="false">
      <c r="A476" s="1" t="s">
        <v>43</v>
      </c>
      <c r="B476" s="1" t="s">
        <v>212</v>
      </c>
      <c r="C476" s="1" t="s">
        <v>57</v>
      </c>
      <c r="D476" s="1" t="s">
        <v>1751</v>
      </c>
      <c r="E476" s="1" t="n">
        <v>44</v>
      </c>
      <c r="F476" s="1" t="s">
        <v>1881</v>
      </c>
      <c r="G476" s="1" t="s">
        <v>236</v>
      </c>
      <c r="H476" s="1" t="s">
        <v>1882</v>
      </c>
      <c r="I476" s="1" t="s">
        <v>218</v>
      </c>
      <c r="J476" s="1" t="s">
        <v>310</v>
      </c>
      <c r="K476" s="1" t="n">
        <v>28.99</v>
      </c>
      <c r="L476" s="1" t="n">
        <v>4.4</v>
      </c>
      <c r="M476" s="1" t="n">
        <v>3200</v>
      </c>
      <c r="N476" s="4" t="b">
        <f aca="false">FALSE()</f>
        <v>0</v>
      </c>
      <c r="P476" s="4" t="b">
        <f aca="false">FALSE()</f>
        <v>0</v>
      </c>
      <c r="Q476" s="1" t="s">
        <v>251</v>
      </c>
      <c r="R476" s="1" t="s">
        <v>1755</v>
      </c>
      <c r="S476" s="1" t="s">
        <v>1883</v>
      </c>
      <c r="T476" s="1" t="s">
        <v>222</v>
      </c>
      <c r="U476" s="1" t="s">
        <v>223</v>
      </c>
    </row>
    <row r="477" customFormat="false" ht="48" hidden="false" customHeight="true" outlineLevel="0" collapsed="false">
      <c r="A477" s="1" t="s">
        <v>43</v>
      </c>
      <c r="B477" s="1" t="s">
        <v>212</v>
      </c>
      <c r="C477" s="1" t="s">
        <v>57</v>
      </c>
      <c r="D477" s="1" t="s">
        <v>1751</v>
      </c>
      <c r="E477" s="1" t="n">
        <v>45</v>
      </c>
      <c r="F477" s="1" t="s">
        <v>1884</v>
      </c>
      <c r="G477" s="1" t="s">
        <v>780</v>
      </c>
      <c r="H477" s="1" t="s">
        <v>1885</v>
      </c>
      <c r="I477" s="1" t="s">
        <v>218</v>
      </c>
      <c r="J477" s="1" t="s">
        <v>310</v>
      </c>
      <c r="K477" s="1" t="n">
        <v>54.99</v>
      </c>
      <c r="L477" s="1" t="n">
        <v>4.4</v>
      </c>
      <c r="M477" s="1" t="n">
        <v>98900</v>
      </c>
      <c r="N477" s="4" t="b">
        <f aca="false">FALSE()</f>
        <v>0</v>
      </c>
      <c r="O477" s="1" t="s">
        <v>1886</v>
      </c>
      <c r="P477" s="4" t="b">
        <f aca="false">FALSE()</f>
        <v>0</v>
      </c>
      <c r="Q477" s="1" t="s">
        <v>435</v>
      </c>
      <c r="R477" s="1" t="s">
        <v>1755</v>
      </c>
      <c r="S477" s="1" t="s">
        <v>1887</v>
      </c>
      <c r="T477" s="1" t="s">
        <v>222</v>
      </c>
      <c r="U477" s="1" t="s">
        <v>223</v>
      </c>
    </row>
    <row r="478" customFormat="false" ht="48" hidden="false" customHeight="true" outlineLevel="0" collapsed="false">
      <c r="A478" s="1" t="s">
        <v>43</v>
      </c>
      <c r="B478" s="1" t="s">
        <v>212</v>
      </c>
      <c r="C478" s="1" t="s">
        <v>57</v>
      </c>
      <c r="D478" s="1" t="s">
        <v>1751</v>
      </c>
      <c r="E478" s="1" t="n">
        <v>46</v>
      </c>
      <c r="F478" s="1" t="s">
        <v>1888</v>
      </c>
      <c r="G478" s="1" t="s">
        <v>236</v>
      </c>
      <c r="H478" s="1" t="s">
        <v>1889</v>
      </c>
      <c r="I478" s="1" t="s">
        <v>242</v>
      </c>
      <c r="J478" s="1" t="s">
        <v>597</v>
      </c>
      <c r="K478" s="1" t="n">
        <v>83.99</v>
      </c>
      <c r="L478" s="1" t="n">
        <v>4.3</v>
      </c>
      <c r="M478" s="1" t="n">
        <v>23600</v>
      </c>
      <c r="N478" s="4" t="b">
        <f aca="false">FALSE()</f>
        <v>0</v>
      </c>
      <c r="O478" s="1" t="s">
        <v>1890</v>
      </c>
      <c r="P478" s="4" t="b">
        <f aca="false">TRUE()</f>
        <v>1</v>
      </c>
      <c r="R478" s="1" t="s">
        <v>1755</v>
      </c>
      <c r="S478" s="1" t="s">
        <v>1891</v>
      </c>
      <c r="T478" s="1" t="s">
        <v>222</v>
      </c>
      <c r="U478" s="1" t="s">
        <v>223</v>
      </c>
    </row>
    <row r="479" customFormat="false" ht="48" hidden="false" customHeight="true" outlineLevel="0" collapsed="false">
      <c r="A479" s="1" t="s">
        <v>43</v>
      </c>
      <c r="B479" s="1" t="s">
        <v>212</v>
      </c>
      <c r="C479" s="1" t="s">
        <v>57</v>
      </c>
      <c r="D479" s="1" t="s">
        <v>1751</v>
      </c>
      <c r="E479" s="1" t="n">
        <v>47</v>
      </c>
      <c r="F479" s="1" t="s">
        <v>1892</v>
      </c>
      <c r="G479" s="1" t="s">
        <v>1893</v>
      </c>
      <c r="H479" s="1" t="s">
        <v>1894</v>
      </c>
      <c r="I479" s="1" t="s">
        <v>242</v>
      </c>
      <c r="J479" s="1" t="s">
        <v>597</v>
      </c>
      <c r="K479" s="1" t="n">
        <v>55.99</v>
      </c>
      <c r="L479" s="1" t="n">
        <v>4</v>
      </c>
      <c r="M479" s="1" t="n">
        <v>1000</v>
      </c>
      <c r="N479" s="4" t="b">
        <f aca="false">FALSE()</f>
        <v>0</v>
      </c>
      <c r="P479" s="4" t="b">
        <f aca="false">TRUE()</f>
        <v>1</v>
      </c>
      <c r="R479" s="1" t="s">
        <v>1755</v>
      </c>
      <c r="S479" s="1" t="s">
        <v>1895</v>
      </c>
      <c r="T479" s="1" t="s">
        <v>222</v>
      </c>
      <c r="U479" s="1" t="s">
        <v>223</v>
      </c>
    </row>
    <row r="480" customFormat="false" ht="48" hidden="false" customHeight="true" outlineLevel="0" collapsed="false">
      <c r="A480" s="1" t="s">
        <v>43</v>
      </c>
      <c r="B480" s="1" t="s">
        <v>212</v>
      </c>
      <c r="C480" s="1" t="s">
        <v>57</v>
      </c>
      <c r="D480" s="1" t="s">
        <v>1751</v>
      </c>
      <c r="E480" s="1" t="n">
        <v>48</v>
      </c>
      <c r="F480" s="1" t="s">
        <v>1896</v>
      </c>
      <c r="G480" s="1" t="s">
        <v>236</v>
      </c>
      <c r="H480" s="1" t="s">
        <v>1897</v>
      </c>
      <c r="I480" s="1" t="s">
        <v>242</v>
      </c>
      <c r="J480" s="1" t="s">
        <v>597</v>
      </c>
      <c r="K480" s="1" t="n">
        <v>54.99</v>
      </c>
      <c r="L480" s="1" t="n">
        <v>4.2</v>
      </c>
      <c r="M480" s="1" t="n">
        <v>691</v>
      </c>
      <c r="N480" s="4" t="b">
        <f aca="false">FALSE()</f>
        <v>0</v>
      </c>
      <c r="P480" s="4" t="b">
        <f aca="false">TRUE()</f>
        <v>1</v>
      </c>
      <c r="R480" s="1" t="s">
        <v>1755</v>
      </c>
      <c r="S480" s="1" t="s">
        <v>1898</v>
      </c>
      <c r="T480" s="1" t="s">
        <v>222</v>
      </c>
      <c r="U480" s="1" t="s">
        <v>223</v>
      </c>
    </row>
    <row r="481" customFormat="false" ht="48" hidden="false" customHeight="true" outlineLevel="0" collapsed="false">
      <c r="A481" s="1" t="s">
        <v>43</v>
      </c>
      <c r="B481" s="1" t="s">
        <v>212</v>
      </c>
      <c r="C481" s="1" t="s">
        <v>57</v>
      </c>
      <c r="D481" s="1" t="s">
        <v>1751</v>
      </c>
      <c r="E481" s="1" t="n">
        <v>49</v>
      </c>
      <c r="F481" s="1" t="s">
        <v>1899</v>
      </c>
      <c r="G481" s="1" t="s">
        <v>236</v>
      </c>
      <c r="H481" s="1" t="s">
        <v>1900</v>
      </c>
      <c r="I481" s="1" t="s">
        <v>218</v>
      </c>
      <c r="J481" s="1" t="s">
        <v>597</v>
      </c>
      <c r="K481" s="1" t="n">
        <v>55.99</v>
      </c>
      <c r="L481" s="1" t="n">
        <v>3.5</v>
      </c>
      <c r="M481" s="1" t="n">
        <v>105</v>
      </c>
      <c r="N481" s="4" t="b">
        <f aca="false">FALSE()</f>
        <v>0</v>
      </c>
      <c r="O481" s="1" t="s">
        <v>970</v>
      </c>
      <c r="P481" s="4" t="b">
        <f aca="false">TRUE()</f>
        <v>1</v>
      </c>
      <c r="R481" s="1" t="s">
        <v>1755</v>
      </c>
      <c r="S481" s="1" t="s">
        <v>1901</v>
      </c>
      <c r="T481" s="1" t="s">
        <v>222</v>
      </c>
      <c r="U481" s="1" t="s">
        <v>223</v>
      </c>
    </row>
    <row r="482" customFormat="false" ht="48" hidden="false" customHeight="true" outlineLevel="0" collapsed="false">
      <c r="A482" s="1" t="s">
        <v>43</v>
      </c>
      <c r="B482" s="1" t="s">
        <v>212</v>
      </c>
      <c r="C482" s="1" t="s">
        <v>57</v>
      </c>
      <c r="D482" s="1" t="s">
        <v>1751</v>
      </c>
      <c r="E482" s="1" t="n">
        <v>50</v>
      </c>
      <c r="F482" s="1" t="s">
        <v>1902</v>
      </c>
      <c r="G482" s="1" t="s">
        <v>236</v>
      </c>
      <c r="H482" s="1" t="s">
        <v>1903</v>
      </c>
      <c r="I482" s="1" t="s">
        <v>231</v>
      </c>
      <c r="J482" s="1" t="s">
        <v>310</v>
      </c>
      <c r="K482" s="1" t="n">
        <v>49.99</v>
      </c>
      <c r="L482" s="1" t="n">
        <v>4.3</v>
      </c>
      <c r="M482" s="1" t="n">
        <v>120500</v>
      </c>
      <c r="N482" s="4" t="b">
        <f aca="false">FALSE()</f>
        <v>0</v>
      </c>
      <c r="O482" s="1" t="s">
        <v>1904</v>
      </c>
      <c r="P482" s="4" t="b">
        <f aca="false">FALSE()</f>
        <v>0</v>
      </c>
      <c r="Q482" s="1" t="s">
        <v>251</v>
      </c>
      <c r="R482" s="1" t="s">
        <v>1755</v>
      </c>
      <c r="S482" s="1" t="s">
        <v>1905</v>
      </c>
      <c r="T482" s="1" t="s">
        <v>222</v>
      </c>
      <c r="U482" s="1" t="s">
        <v>223</v>
      </c>
    </row>
    <row r="483" customFormat="false" ht="48" hidden="false" customHeight="true" outlineLevel="0" collapsed="false">
      <c r="A483" s="1" t="s">
        <v>43</v>
      </c>
      <c r="B483" s="1" t="s">
        <v>212</v>
      </c>
      <c r="C483" s="1" t="s">
        <v>57</v>
      </c>
      <c r="D483" s="1" t="s">
        <v>1751</v>
      </c>
      <c r="E483" s="1" t="n">
        <v>51</v>
      </c>
      <c r="F483" s="1" t="s">
        <v>1906</v>
      </c>
      <c r="G483" s="1" t="s">
        <v>236</v>
      </c>
      <c r="H483" s="1" t="s">
        <v>1907</v>
      </c>
      <c r="I483" s="1" t="s">
        <v>242</v>
      </c>
      <c r="J483" s="1" t="s">
        <v>597</v>
      </c>
      <c r="K483" s="1" t="n">
        <v>69.99</v>
      </c>
      <c r="L483" s="1" t="n">
        <v>4.7</v>
      </c>
      <c r="M483" s="1" t="n">
        <v>34</v>
      </c>
      <c r="N483" s="4" t="b">
        <f aca="false">FALSE()</f>
        <v>0</v>
      </c>
      <c r="P483" s="4" t="b">
        <f aca="false">TRUE()</f>
        <v>1</v>
      </c>
      <c r="R483" s="1" t="s">
        <v>1755</v>
      </c>
      <c r="S483" s="1" t="s">
        <v>1908</v>
      </c>
      <c r="T483" s="1" t="s">
        <v>222</v>
      </c>
      <c r="U483" s="1" t="s">
        <v>223</v>
      </c>
    </row>
    <row r="484" customFormat="false" ht="48" hidden="false" customHeight="true" outlineLevel="0" collapsed="false">
      <c r="A484" s="1" t="s">
        <v>43</v>
      </c>
      <c r="B484" s="1" t="s">
        <v>212</v>
      </c>
      <c r="C484" s="1" t="s">
        <v>57</v>
      </c>
      <c r="D484" s="1" t="s">
        <v>1751</v>
      </c>
      <c r="E484" s="1" t="n">
        <v>52</v>
      </c>
      <c r="F484" s="1" t="s">
        <v>1030</v>
      </c>
      <c r="G484" s="1" t="s">
        <v>229</v>
      </c>
      <c r="H484" s="1" t="s">
        <v>1031</v>
      </c>
      <c r="I484" s="1" t="s">
        <v>218</v>
      </c>
      <c r="J484" s="1" t="s">
        <v>310</v>
      </c>
      <c r="K484" s="1" t="n">
        <v>39.99</v>
      </c>
      <c r="L484" s="1" t="n">
        <v>4.2</v>
      </c>
      <c r="M484" s="1" t="n">
        <v>215</v>
      </c>
      <c r="N484" s="4" t="b">
        <f aca="false">FALSE()</f>
        <v>0</v>
      </c>
      <c r="O484" s="1" t="s">
        <v>1032</v>
      </c>
      <c r="P484" s="4" t="b">
        <f aca="false">FALSE()</f>
        <v>0</v>
      </c>
      <c r="Q484" s="1" t="s">
        <v>251</v>
      </c>
      <c r="R484" s="1" t="s">
        <v>1755</v>
      </c>
      <c r="S484" s="1" t="s">
        <v>1033</v>
      </c>
      <c r="T484" s="1" t="s">
        <v>222</v>
      </c>
      <c r="U484" s="1" t="s">
        <v>223</v>
      </c>
    </row>
    <row r="485" customFormat="false" ht="48" hidden="false" customHeight="true" outlineLevel="0" collapsed="false">
      <c r="A485" s="1" t="s">
        <v>43</v>
      </c>
      <c r="B485" s="1" t="s">
        <v>212</v>
      </c>
      <c r="C485" s="1" t="s">
        <v>57</v>
      </c>
      <c r="D485" s="1" t="s">
        <v>1751</v>
      </c>
      <c r="E485" s="1" t="n">
        <v>53</v>
      </c>
      <c r="F485" s="1" t="s">
        <v>1909</v>
      </c>
      <c r="G485" s="1" t="s">
        <v>236</v>
      </c>
      <c r="H485" s="1" t="s">
        <v>1910</v>
      </c>
      <c r="I485" s="1" t="s">
        <v>218</v>
      </c>
      <c r="J485" s="1" t="s">
        <v>597</v>
      </c>
      <c r="K485" s="1" t="n">
        <v>49.46</v>
      </c>
      <c r="L485" s="1" t="n">
        <v>4.2</v>
      </c>
      <c r="M485" s="1" t="n">
        <v>81</v>
      </c>
      <c r="N485" s="4" t="b">
        <f aca="false">FALSE()</f>
        <v>0</v>
      </c>
      <c r="P485" s="4" t="b">
        <f aca="false">TRUE()</f>
        <v>1</v>
      </c>
      <c r="R485" s="1" t="s">
        <v>1755</v>
      </c>
      <c r="S485" s="1" t="s">
        <v>1911</v>
      </c>
      <c r="T485" s="1" t="s">
        <v>222</v>
      </c>
      <c r="U485" s="1" t="s">
        <v>223</v>
      </c>
    </row>
    <row r="486" customFormat="false" ht="48" hidden="false" customHeight="true" outlineLevel="0" collapsed="false">
      <c r="A486" s="1" t="s">
        <v>43</v>
      </c>
      <c r="B486" s="1" t="s">
        <v>212</v>
      </c>
      <c r="C486" s="1" t="s">
        <v>57</v>
      </c>
      <c r="D486" s="1" t="s">
        <v>1751</v>
      </c>
      <c r="E486" s="1" t="n">
        <v>54</v>
      </c>
      <c r="F486" s="1" t="s">
        <v>1912</v>
      </c>
      <c r="G486" s="1" t="s">
        <v>236</v>
      </c>
      <c r="H486" s="1" t="s">
        <v>1913</v>
      </c>
      <c r="I486" s="1" t="s">
        <v>218</v>
      </c>
      <c r="J486" s="1" t="s">
        <v>597</v>
      </c>
      <c r="L486" s="1" t="n">
        <v>5</v>
      </c>
      <c r="M486" s="1" t="n">
        <v>1</v>
      </c>
      <c r="N486" s="4" t="b">
        <f aca="false">FALSE()</f>
        <v>0</v>
      </c>
      <c r="O486" s="1" t="s">
        <v>1914</v>
      </c>
      <c r="P486" s="4" t="b">
        <f aca="false">TRUE()</f>
        <v>1</v>
      </c>
      <c r="R486" s="1" t="s">
        <v>1755</v>
      </c>
      <c r="S486" s="1" t="s">
        <v>1915</v>
      </c>
      <c r="T486" s="1" t="s">
        <v>222</v>
      </c>
      <c r="U486" s="1" t="s">
        <v>223</v>
      </c>
    </row>
    <row r="487" customFormat="false" ht="48" hidden="false" customHeight="true" outlineLevel="0" collapsed="false">
      <c r="A487" s="1" t="s">
        <v>43</v>
      </c>
      <c r="B487" s="1" t="s">
        <v>212</v>
      </c>
      <c r="C487" s="1" t="s">
        <v>57</v>
      </c>
      <c r="D487" s="1" t="s">
        <v>1751</v>
      </c>
      <c r="E487" s="1" t="n">
        <v>55</v>
      </c>
      <c r="F487" s="1" t="s">
        <v>1916</v>
      </c>
      <c r="G487" s="1" t="s">
        <v>677</v>
      </c>
      <c r="H487" s="1" t="s">
        <v>1917</v>
      </c>
      <c r="I487" s="1" t="s">
        <v>218</v>
      </c>
      <c r="J487" s="1" t="s">
        <v>597</v>
      </c>
      <c r="K487" s="1" t="n">
        <v>74.99</v>
      </c>
      <c r="L487" s="1" t="n">
        <v>4.3</v>
      </c>
      <c r="M487" s="1" t="n">
        <v>2200</v>
      </c>
      <c r="N487" s="4" t="b">
        <f aca="false">FALSE()</f>
        <v>0</v>
      </c>
      <c r="P487" s="4" t="b">
        <f aca="false">TRUE()</f>
        <v>1</v>
      </c>
      <c r="Q487" s="1" t="s">
        <v>251</v>
      </c>
      <c r="R487" s="1" t="s">
        <v>1755</v>
      </c>
      <c r="S487" s="1" t="s">
        <v>1918</v>
      </c>
      <c r="T487" s="1" t="s">
        <v>222</v>
      </c>
      <c r="U487" s="1" t="s">
        <v>223</v>
      </c>
    </row>
    <row r="488" customFormat="false" ht="48" hidden="false" customHeight="true" outlineLevel="0" collapsed="false">
      <c r="A488" s="1" t="s">
        <v>43</v>
      </c>
      <c r="B488" s="1" t="s">
        <v>212</v>
      </c>
      <c r="C488" s="1" t="s">
        <v>57</v>
      </c>
      <c r="D488" s="1" t="s">
        <v>1751</v>
      </c>
      <c r="E488" s="1" t="n">
        <v>56</v>
      </c>
      <c r="F488" s="1" t="s">
        <v>1919</v>
      </c>
      <c r="G488" s="1" t="s">
        <v>236</v>
      </c>
      <c r="H488" s="1" t="s">
        <v>1920</v>
      </c>
      <c r="I488" s="1" t="s">
        <v>289</v>
      </c>
      <c r="J488" s="1" t="s">
        <v>597</v>
      </c>
      <c r="K488" s="1" t="n">
        <v>53.18</v>
      </c>
      <c r="L488" s="1" t="n">
        <v>4.5</v>
      </c>
      <c r="M488" s="1" t="n">
        <v>605</v>
      </c>
      <c r="N488" s="4" t="b">
        <f aca="false">FALSE()</f>
        <v>0</v>
      </c>
      <c r="P488" s="4" t="b">
        <f aca="false">TRUE()</f>
        <v>1</v>
      </c>
      <c r="R488" s="1" t="s">
        <v>1755</v>
      </c>
      <c r="S488" s="1" t="s">
        <v>1921</v>
      </c>
      <c r="T488" s="1" t="s">
        <v>222</v>
      </c>
      <c r="U488" s="1" t="s">
        <v>223</v>
      </c>
    </row>
    <row r="489" customFormat="false" ht="48" hidden="false" customHeight="true" outlineLevel="0" collapsed="false">
      <c r="A489" s="1" t="s">
        <v>43</v>
      </c>
      <c r="B489" s="1" t="s">
        <v>212</v>
      </c>
      <c r="C489" s="1" t="s">
        <v>57</v>
      </c>
      <c r="D489" s="1" t="s">
        <v>1751</v>
      </c>
      <c r="E489" s="1" t="n">
        <v>57</v>
      </c>
      <c r="F489" s="1" t="s">
        <v>1922</v>
      </c>
      <c r="G489" s="1" t="s">
        <v>236</v>
      </c>
      <c r="H489" s="1" t="s">
        <v>1923</v>
      </c>
      <c r="I489" s="1" t="s">
        <v>299</v>
      </c>
      <c r="J489" s="1" t="s">
        <v>597</v>
      </c>
      <c r="K489" s="1" t="n">
        <v>78.99</v>
      </c>
      <c r="L489" s="1" t="n">
        <v>4.3</v>
      </c>
      <c r="M489" s="1" t="n">
        <v>23600</v>
      </c>
      <c r="N489" s="4" t="b">
        <f aca="false">TRUE()</f>
        <v>1</v>
      </c>
      <c r="O489" s="1" t="s">
        <v>1924</v>
      </c>
      <c r="P489" s="4" t="b">
        <f aca="false">TRUE()</f>
        <v>1</v>
      </c>
      <c r="R489" s="1" t="s">
        <v>1755</v>
      </c>
      <c r="S489" s="1" t="s">
        <v>1925</v>
      </c>
      <c r="T489" s="1" t="s">
        <v>222</v>
      </c>
      <c r="U489" s="1" t="s">
        <v>223</v>
      </c>
    </row>
    <row r="490" customFormat="false" ht="48" hidden="false" customHeight="true" outlineLevel="0" collapsed="false">
      <c r="A490" s="1" t="s">
        <v>43</v>
      </c>
      <c r="B490" s="1" t="s">
        <v>212</v>
      </c>
      <c r="C490" s="1" t="s">
        <v>57</v>
      </c>
      <c r="D490" s="1" t="s">
        <v>1751</v>
      </c>
      <c r="E490" s="1" t="n">
        <v>59</v>
      </c>
      <c r="F490" s="1" t="s">
        <v>1926</v>
      </c>
      <c r="G490" s="1" t="s">
        <v>236</v>
      </c>
      <c r="H490" s="1" t="s">
        <v>1927</v>
      </c>
      <c r="I490" s="1" t="s">
        <v>218</v>
      </c>
      <c r="J490" s="1" t="s">
        <v>597</v>
      </c>
      <c r="K490" s="1" t="n">
        <v>104.99</v>
      </c>
      <c r="L490" s="1" t="n">
        <v>4.4</v>
      </c>
      <c r="M490" s="1" t="n">
        <v>14500</v>
      </c>
      <c r="N490" s="4" t="b">
        <f aca="false">TRUE()</f>
        <v>1</v>
      </c>
      <c r="O490" s="1" t="s">
        <v>1928</v>
      </c>
      <c r="P490" s="4" t="b">
        <f aca="false">TRUE()</f>
        <v>1</v>
      </c>
      <c r="Q490" s="1" t="s">
        <v>439</v>
      </c>
      <c r="R490" s="1" t="s">
        <v>1755</v>
      </c>
      <c r="S490" s="1" t="s">
        <v>1929</v>
      </c>
      <c r="T490" s="1" t="s">
        <v>222</v>
      </c>
      <c r="U490" s="1" t="s">
        <v>223</v>
      </c>
    </row>
    <row r="491" customFormat="false" ht="48" hidden="false" customHeight="true" outlineLevel="0" collapsed="false">
      <c r="A491" s="1" t="s">
        <v>43</v>
      </c>
      <c r="B491" s="1" t="s">
        <v>212</v>
      </c>
      <c r="C491" s="1" t="s">
        <v>57</v>
      </c>
      <c r="D491" s="1" t="s">
        <v>1751</v>
      </c>
      <c r="E491" s="1" t="n">
        <v>60</v>
      </c>
      <c r="F491" s="1" t="s">
        <v>1930</v>
      </c>
      <c r="G491" s="1" t="s">
        <v>351</v>
      </c>
      <c r="H491" s="1" t="s">
        <v>1931</v>
      </c>
      <c r="I491" s="1" t="s">
        <v>218</v>
      </c>
      <c r="J491" s="1" t="s">
        <v>371</v>
      </c>
      <c r="K491" s="1" t="n">
        <v>32.99</v>
      </c>
      <c r="L491" s="1" t="n">
        <v>4.4</v>
      </c>
      <c r="M491" s="1" t="n">
        <v>16200</v>
      </c>
      <c r="N491" s="4" t="b">
        <f aca="false">TRUE()</f>
        <v>1</v>
      </c>
      <c r="P491" s="4" t="b">
        <f aca="false">FALSE()</f>
        <v>0</v>
      </c>
      <c r="R491" s="1" t="s">
        <v>1755</v>
      </c>
      <c r="S491" s="1" t="s">
        <v>1932</v>
      </c>
      <c r="T491" s="1" t="s">
        <v>222</v>
      </c>
      <c r="U491" s="1" t="s">
        <v>223</v>
      </c>
    </row>
    <row r="492" customFormat="false" ht="48" hidden="false" customHeight="true" outlineLevel="0" collapsed="false">
      <c r="A492" s="1" t="s">
        <v>43</v>
      </c>
      <c r="B492" s="1" t="s">
        <v>212</v>
      </c>
      <c r="C492" s="1" t="s">
        <v>120</v>
      </c>
      <c r="D492" s="1" t="s">
        <v>1933</v>
      </c>
      <c r="E492" s="1" t="n">
        <v>1</v>
      </c>
      <c r="F492" s="1" t="s">
        <v>1934</v>
      </c>
      <c r="G492" s="1" t="s">
        <v>1935</v>
      </c>
      <c r="H492" s="1" t="s">
        <v>1936</v>
      </c>
      <c r="I492" s="1" t="s">
        <v>218</v>
      </c>
      <c r="J492" s="1" t="s">
        <v>219</v>
      </c>
      <c r="K492" s="1" t="n">
        <v>73.99</v>
      </c>
      <c r="L492" s="1" t="n">
        <v>4.3</v>
      </c>
      <c r="M492" s="1" t="n">
        <v>58900</v>
      </c>
      <c r="N492" s="4" t="b">
        <f aca="false">FALSE()</f>
        <v>0</v>
      </c>
      <c r="P492" s="4" t="b">
        <f aca="false">TRUE()</f>
        <v>1</v>
      </c>
      <c r="Q492" s="1" t="s">
        <v>711</v>
      </c>
      <c r="R492" s="1" t="s">
        <v>1937</v>
      </c>
      <c r="S492" s="1" t="s">
        <v>1938</v>
      </c>
      <c r="T492" s="1" t="s">
        <v>222</v>
      </c>
      <c r="U492" s="1" t="s">
        <v>223</v>
      </c>
    </row>
    <row r="493" customFormat="false" ht="48" hidden="false" customHeight="true" outlineLevel="0" collapsed="false">
      <c r="A493" s="1" t="s">
        <v>43</v>
      </c>
      <c r="B493" s="1" t="s">
        <v>212</v>
      </c>
      <c r="C493" s="1" t="s">
        <v>120</v>
      </c>
      <c r="D493" s="1" t="s">
        <v>1933</v>
      </c>
      <c r="E493" s="1" t="n">
        <v>2</v>
      </c>
      <c r="F493" s="1" t="s">
        <v>1939</v>
      </c>
      <c r="G493" s="1" t="s">
        <v>236</v>
      </c>
      <c r="H493" s="1" t="s">
        <v>1940</v>
      </c>
      <c r="I493" s="1" t="s">
        <v>218</v>
      </c>
      <c r="J493" s="1" t="s">
        <v>310</v>
      </c>
      <c r="K493" s="1" t="n">
        <v>44.99</v>
      </c>
      <c r="L493" s="1" t="n">
        <v>4.1</v>
      </c>
      <c r="M493" s="1" t="n">
        <v>471</v>
      </c>
      <c r="N493" s="4" t="b">
        <f aca="false">FALSE()</f>
        <v>0</v>
      </c>
      <c r="O493" s="1" t="s">
        <v>1941</v>
      </c>
      <c r="P493" s="4" t="b">
        <f aca="false">TRUE()</f>
        <v>1</v>
      </c>
      <c r="Q493" s="1" t="s">
        <v>233</v>
      </c>
      <c r="R493" s="1" t="s">
        <v>1937</v>
      </c>
      <c r="S493" s="1" t="s">
        <v>1942</v>
      </c>
      <c r="T493" s="1" t="s">
        <v>222</v>
      </c>
      <c r="U493" s="1" t="s">
        <v>223</v>
      </c>
    </row>
    <row r="494" customFormat="false" ht="48" hidden="false" customHeight="true" outlineLevel="0" collapsed="false">
      <c r="A494" s="1" t="s">
        <v>43</v>
      </c>
      <c r="B494" s="1" t="s">
        <v>212</v>
      </c>
      <c r="C494" s="1" t="s">
        <v>120</v>
      </c>
      <c r="D494" s="1" t="s">
        <v>1933</v>
      </c>
      <c r="E494" s="1" t="n">
        <v>3</v>
      </c>
      <c r="F494" s="1" t="s">
        <v>1943</v>
      </c>
      <c r="G494" s="1" t="s">
        <v>236</v>
      </c>
      <c r="H494" s="1" t="s">
        <v>1944</v>
      </c>
      <c r="I494" s="1" t="s">
        <v>218</v>
      </c>
      <c r="J494" s="1" t="s">
        <v>310</v>
      </c>
      <c r="K494" s="1" t="n">
        <v>98.99</v>
      </c>
      <c r="L494" s="1" t="n">
        <v>4.4</v>
      </c>
      <c r="M494" s="1" t="n">
        <v>1100</v>
      </c>
      <c r="N494" s="4" t="b">
        <f aca="false">FALSE()</f>
        <v>0</v>
      </c>
      <c r="O494" s="1" t="s">
        <v>1945</v>
      </c>
      <c r="P494" s="4" t="b">
        <f aca="false">TRUE()</f>
        <v>1</v>
      </c>
      <c r="Q494" s="1" t="s">
        <v>711</v>
      </c>
      <c r="R494" s="1" t="s">
        <v>1937</v>
      </c>
      <c r="S494" s="1" t="s">
        <v>1946</v>
      </c>
      <c r="T494" s="1" t="s">
        <v>222</v>
      </c>
      <c r="U494" s="1" t="s">
        <v>223</v>
      </c>
    </row>
    <row r="495" customFormat="false" ht="48" hidden="false" customHeight="true" outlineLevel="0" collapsed="false">
      <c r="A495" s="1" t="s">
        <v>43</v>
      </c>
      <c r="B495" s="1" t="s">
        <v>212</v>
      </c>
      <c r="C495" s="1" t="s">
        <v>120</v>
      </c>
      <c r="D495" s="1" t="s">
        <v>1933</v>
      </c>
      <c r="E495" s="1" t="n">
        <v>4</v>
      </c>
      <c r="F495" s="1" t="s">
        <v>1947</v>
      </c>
      <c r="G495" s="1" t="s">
        <v>236</v>
      </c>
      <c r="H495" s="1" t="s">
        <v>1948</v>
      </c>
      <c r="I495" s="1" t="s">
        <v>231</v>
      </c>
      <c r="J495" s="1" t="s">
        <v>219</v>
      </c>
      <c r="K495" s="1" t="n">
        <v>99.99</v>
      </c>
      <c r="L495" s="1" t="n">
        <v>4.3</v>
      </c>
      <c r="M495" s="1" t="n">
        <v>58900</v>
      </c>
      <c r="N495" s="4" t="b">
        <f aca="false">FALSE()</f>
        <v>0</v>
      </c>
      <c r="P495" s="4" t="b">
        <f aca="false">TRUE()</f>
        <v>1</v>
      </c>
      <c r="Q495" s="1" t="s">
        <v>418</v>
      </c>
      <c r="R495" s="1" t="s">
        <v>1937</v>
      </c>
      <c r="S495" s="1" t="s">
        <v>1949</v>
      </c>
      <c r="T495" s="1" t="s">
        <v>222</v>
      </c>
      <c r="U495" s="1" t="s">
        <v>223</v>
      </c>
    </row>
    <row r="496" customFormat="false" ht="48" hidden="false" customHeight="true" outlineLevel="0" collapsed="false">
      <c r="A496" s="1" t="s">
        <v>43</v>
      </c>
      <c r="B496" s="1" t="s">
        <v>212</v>
      </c>
      <c r="C496" s="1" t="s">
        <v>120</v>
      </c>
      <c r="D496" s="1" t="s">
        <v>1933</v>
      </c>
      <c r="E496" s="1" t="n">
        <v>5</v>
      </c>
      <c r="F496" s="1" t="s">
        <v>1950</v>
      </c>
      <c r="G496" s="1" t="s">
        <v>236</v>
      </c>
      <c r="H496" s="1" t="s">
        <v>1951</v>
      </c>
      <c r="I496" s="1" t="s">
        <v>218</v>
      </c>
      <c r="J496" s="1" t="s">
        <v>310</v>
      </c>
      <c r="K496" s="1" t="n">
        <v>107.76</v>
      </c>
      <c r="L496" s="1" t="n">
        <v>4.4</v>
      </c>
      <c r="M496" s="1" t="n">
        <v>536</v>
      </c>
      <c r="N496" s="4" t="b">
        <f aca="false">FALSE()</f>
        <v>0</v>
      </c>
      <c r="O496" s="1" t="s">
        <v>1952</v>
      </c>
      <c r="P496" s="4" t="b">
        <f aca="false">TRUE()</f>
        <v>1</v>
      </c>
      <c r="Q496" s="1" t="s">
        <v>409</v>
      </c>
      <c r="R496" s="1" t="s">
        <v>1937</v>
      </c>
      <c r="S496" s="1" t="s">
        <v>1953</v>
      </c>
      <c r="T496" s="1" t="s">
        <v>222</v>
      </c>
      <c r="U496" s="1" t="s">
        <v>223</v>
      </c>
    </row>
    <row r="497" customFormat="false" ht="48" hidden="false" customHeight="true" outlineLevel="0" collapsed="false">
      <c r="A497" s="1" t="s">
        <v>43</v>
      </c>
      <c r="B497" s="1" t="s">
        <v>212</v>
      </c>
      <c r="C497" s="1" t="s">
        <v>120</v>
      </c>
      <c r="D497" s="1" t="s">
        <v>1933</v>
      </c>
      <c r="E497" s="1" t="n">
        <v>6</v>
      </c>
      <c r="F497" s="1" t="s">
        <v>1954</v>
      </c>
      <c r="G497" s="1" t="s">
        <v>236</v>
      </c>
      <c r="H497" s="1" t="s">
        <v>1955</v>
      </c>
      <c r="I497" s="1" t="s">
        <v>218</v>
      </c>
      <c r="J497" s="1" t="s">
        <v>219</v>
      </c>
      <c r="K497" s="1" t="n">
        <v>81.99</v>
      </c>
      <c r="L497" s="1" t="n">
        <v>4.3</v>
      </c>
      <c r="M497" s="1" t="n">
        <v>58900</v>
      </c>
      <c r="N497" s="4" t="b">
        <f aca="false">FALSE()</f>
        <v>0</v>
      </c>
      <c r="P497" s="4" t="b">
        <f aca="false">TRUE()</f>
        <v>1</v>
      </c>
      <c r="Q497" s="1" t="s">
        <v>423</v>
      </c>
      <c r="R497" s="1" t="s">
        <v>1937</v>
      </c>
      <c r="S497" s="1" t="s">
        <v>1956</v>
      </c>
      <c r="T497" s="1" t="s">
        <v>222</v>
      </c>
      <c r="U497" s="1" t="s">
        <v>223</v>
      </c>
    </row>
    <row r="498" customFormat="false" ht="48" hidden="false" customHeight="true" outlineLevel="0" collapsed="false">
      <c r="A498" s="1" t="s">
        <v>43</v>
      </c>
      <c r="B498" s="1" t="s">
        <v>212</v>
      </c>
      <c r="C498" s="1" t="s">
        <v>120</v>
      </c>
      <c r="D498" s="1" t="s">
        <v>1933</v>
      </c>
      <c r="E498" s="1" t="n">
        <v>7</v>
      </c>
      <c r="F498" s="1" t="s">
        <v>1957</v>
      </c>
      <c r="G498" s="1" t="s">
        <v>236</v>
      </c>
      <c r="H498" s="1" t="s">
        <v>1958</v>
      </c>
      <c r="I498" s="1" t="s">
        <v>218</v>
      </c>
      <c r="J498" s="1" t="s">
        <v>310</v>
      </c>
      <c r="K498" s="1" t="n">
        <v>38.64</v>
      </c>
      <c r="L498" s="1" t="n">
        <v>4.3</v>
      </c>
      <c r="M498" s="1" t="n">
        <v>1600</v>
      </c>
      <c r="N498" s="4" t="b">
        <f aca="false">FALSE()</f>
        <v>0</v>
      </c>
      <c r="O498" s="1" t="s">
        <v>1959</v>
      </c>
      <c r="P498" s="4" t="b">
        <f aca="false">TRUE()</f>
        <v>1</v>
      </c>
      <c r="Q498" s="1" t="s">
        <v>435</v>
      </c>
      <c r="R498" s="1" t="s">
        <v>1937</v>
      </c>
      <c r="S498" s="1" t="s">
        <v>1960</v>
      </c>
      <c r="T498" s="1" t="s">
        <v>222</v>
      </c>
      <c r="U498" s="1" t="s">
        <v>223</v>
      </c>
    </row>
    <row r="499" customFormat="false" ht="48" hidden="false" customHeight="true" outlineLevel="0" collapsed="false">
      <c r="A499" s="1" t="s">
        <v>43</v>
      </c>
      <c r="B499" s="1" t="s">
        <v>212</v>
      </c>
      <c r="C499" s="1" t="s">
        <v>120</v>
      </c>
      <c r="D499" s="1" t="s">
        <v>1933</v>
      </c>
      <c r="E499" s="1" t="n">
        <v>8</v>
      </c>
      <c r="F499" s="1" t="s">
        <v>1961</v>
      </c>
      <c r="G499" s="1" t="s">
        <v>236</v>
      </c>
      <c r="H499" s="1" t="s">
        <v>1962</v>
      </c>
      <c r="I499" s="1" t="s">
        <v>218</v>
      </c>
      <c r="J499" s="1" t="s">
        <v>310</v>
      </c>
      <c r="K499" s="1" t="n">
        <v>106.98</v>
      </c>
      <c r="L499" s="1" t="n">
        <v>4.4</v>
      </c>
      <c r="M499" s="1" t="n">
        <v>349</v>
      </c>
      <c r="N499" s="4" t="b">
        <f aca="false">FALSE()</f>
        <v>0</v>
      </c>
      <c r="O499" s="1" t="s">
        <v>1222</v>
      </c>
      <c r="P499" s="4" t="b">
        <f aca="false">TRUE()</f>
        <v>1</v>
      </c>
      <c r="Q499" s="1" t="s">
        <v>418</v>
      </c>
      <c r="R499" s="1" t="s">
        <v>1937</v>
      </c>
      <c r="S499" s="1" t="s">
        <v>1963</v>
      </c>
      <c r="T499" s="1" t="s">
        <v>222</v>
      </c>
      <c r="U499" s="1" t="s">
        <v>223</v>
      </c>
    </row>
    <row r="500" customFormat="false" ht="48" hidden="false" customHeight="true" outlineLevel="0" collapsed="false">
      <c r="A500" s="1" t="s">
        <v>43</v>
      </c>
      <c r="B500" s="1" t="s">
        <v>212</v>
      </c>
      <c r="C500" s="1" t="s">
        <v>120</v>
      </c>
      <c r="D500" s="1" t="s">
        <v>1933</v>
      </c>
      <c r="E500" s="1" t="n">
        <v>9</v>
      </c>
      <c r="F500" s="1" t="s">
        <v>1964</v>
      </c>
      <c r="G500" s="1" t="s">
        <v>236</v>
      </c>
      <c r="H500" s="1" t="s">
        <v>1965</v>
      </c>
      <c r="I500" s="1" t="s">
        <v>218</v>
      </c>
      <c r="J500" s="1" t="s">
        <v>310</v>
      </c>
      <c r="K500" s="1" t="n">
        <v>67.99</v>
      </c>
      <c r="L500" s="1" t="n">
        <v>4.3</v>
      </c>
      <c r="M500" s="1" t="n">
        <v>5200</v>
      </c>
      <c r="N500" s="4" t="b">
        <f aca="false">FALSE()</f>
        <v>0</v>
      </c>
      <c r="P500" s="4" t="b">
        <f aca="false">TRUE()</f>
        <v>1</v>
      </c>
      <c r="Q500" s="1" t="s">
        <v>439</v>
      </c>
      <c r="R500" s="1" t="s">
        <v>1937</v>
      </c>
      <c r="S500" s="1" t="s">
        <v>1966</v>
      </c>
      <c r="T500" s="1" t="s">
        <v>222</v>
      </c>
      <c r="U500" s="1" t="s">
        <v>223</v>
      </c>
    </row>
    <row r="501" customFormat="false" ht="48" hidden="false" customHeight="true" outlineLevel="0" collapsed="false">
      <c r="A501" s="1" t="s">
        <v>43</v>
      </c>
      <c r="B501" s="1" t="s">
        <v>212</v>
      </c>
      <c r="C501" s="1" t="s">
        <v>120</v>
      </c>
      <c r="D501" s="1" t="s">
        <v>1933</v>
      </c>
      <c r="E501" s="1" t="n">
        <v>10</v>
      </c>
      <c r="F501" s="1" t="s">
        <v>1967</v>
      </c>
      <c r="G501" s="1" t="s">
        <v>236</v>
      </c>
      <c r="H501" s="1" t="s">
        <v>1968</v>
      </c>
      <c r="I501" s="1" t="s">
        <v>218</v>
      </c>
      <c r="J501" s="1" t="s">
        <v>310</v>
      </c>
      <c r="K501" s="1" t="n">
        <v>67.91</v>
      </c>
      <c r="L501" s="1" t="n">
        <v>4.2</v>
      </c>
      <c r="M501" s="1" t="n">
        <v>1400</v>
      </c>
      <c r="N501" s="4" t="b">
        <f aca="false">FALSE()</f>
        <v>0</v>
      </c>
      <c r="P501" s="4" t="b">
        <f aca="false">TRUE()</f>
        <v>1</v>
      </c>
      <c r="Q501" s="1" t="s">
        <v>451</v>
      </c>
      <c r="R501" s="1" t="s">
        <v>1937</v>
      </c>
      <c r="S501" s="1" t="s">
        <v>1969</v>
      </c>
      <c r="T501" s="1" t="s">
        <v>222</v>
      </c>
      <c r="U501" s="1" t="s">
        <v>223</v>
      </c>
    </row>
    <row r="502" customFormat="false" ht="48" hidden="false" customHeight="true" outlineLevel="0" collapsed="false">
      <c r="A502" s="1" t="s">
        <v>43</v>
      </c>
      <c r="B502" s="1" t="s">
        <v>212</v>
      </c>
      <c r="C502" s="1" t="s">
        <v>120</v>
      </c>
      <c r="D502" s="1" t="s">
        <v>1933</v>
      </c>
      <c r="E502" s="1" t="n">
        <v>11</v>
      </c>
      <c r="F502" s="1" t="s">
        <v>1970</v>
      </c>
      <c r="G502" s="1" t="s">
        <v>236</v>
      </c>
      <c r="H502" s="1" t="s">
        <v>1971</v>
      </c>
      <c r="I502" s="1" t="s">
        <v>306</v>
      </c>
      <c r="J502" s="1" t="s">
        <v>310</v>
      </c>
      <c r="K502" s="1" t="n">
        <v>119.99</v>
      </c>
      <c r="L502" s="1" t="n">
        <v>4.6</v>
      </c>
      <c r="M502" s="1" t="n">
        <v>30</v>
      </c>
      <c r="N502" s="4" t="b">
        <f aca="false">FALSE()</f>
        <v>0</v>
      </c>
      <c r="O502" s="1" t="s">
        <v>659</v>
      </c>
      <c r="P502" s="4" t="b">
        <f aca="false">TRUE()</f>
        <v>1</v>
      </c>
      <c r="Q502" s="1" t="s">
        <v>233</v>
      </c>
      <c r="R502" s="1" t="s">
        <v>1937</v>
      </c>
      <c r="S502" s="1" t="s">
        <v>1972</v>
      </c>
      <c r="T502" s="1" t="s">
        <v>222</v>
      </c>
      <c r="U502" s="1" t="s">
        <v>223</v>
      </c>
    </row>
    <row r="503" customFormat="false" ht="48" hidden="false" customHeight="true" outlineLevel="0" collapsed="false">
      <c r="A503" s="1" t="s">
        <v>43</v>
      </c>
      <c r="B503" s="1" t="s">
        <v>212</v>
      </c>
      <c r="C503" s="1" t="s">
        <v>120</v>
      </c>
      <c r="D503" s="1" t="s">
        <v>1933</v>
      </c>
      <c r="E503" s="1" t="n">
        <v>12</v>
      </c>
      <c r="F503" s="1" t="s">
        <v>1973</v>
      </c>
      <c r="G503" s="1" t="s">
        <v>1447</v>
      </c>
      <c r="H503" s="1" t="s">
        <v>1974</v>
      </c>
      <c r="I503" s="1" t="s">
        <v>218</v>
      </c>
      <c r="J503" s="1" t="s">
        <v>219</v>
      </c>
      <c r="K503" s="1" t="n">
        <v>58.99</v>
      </c>
      <c r="L503" s="1" t="n">
        <v>4.3</v>
      </c>
      <c r="M503" s="1" t="n">
        <v>6000</v>
      </c>
      <c r="N503" s="4" t="b">
        <f aca="false">FALSE()</f>
        <v>0</v>
      </c>
      <c r="P503" s="4" t="b">
        <f aca="false">TRUE()</f>
        <v>1</v>
      </c>
      <c r="Q503" s="1" t="s">
        <v>777</v>
      </c>
      <c r="R503" s="1" t="s">
        <v>1937</v>
      </c>
      <c r="S503" s="1" t="s">
        <v>1975</v>
      </c>
      <c r="T503" s="1" t="s">
        <v>222</v>
      </c>
      <c r="U503" s="1" t="s">
        <v>223</v>
      </c>
    </row>
    <row r="504" customFormat="false" ht="48" hidden="false" customHeight="true" outlineLevel="0" collapsed="false">
      <c r="A504" s="1" t="s">
        <v>43</v>
      </c>
      <c r="B504" s="1" t="s">
        <v>212</v>
      </c>
      <c r="C504" s="1" t="s">
        <v>120</v>
      </c>
      <c r="D504" s="1" t="s">
        <v>1933</v>
      </c>
      <c r="E504" s="1" t="n">
        <v>13</v>
      </c>
      <c r="F504" s="1" t="s">
        <v>1976</v>
      </c>
      <c r="G504" s="1" t="s">
        <v>236</v>
      </c>
      <c r="H504" s="1" t="s">
        <v>1977</v>
      </c>
      <c r="I504" s="1" t="s">
        <v>218</v>
      </c>
      <c r="J504" s="1" t="s">
        <v>597</v>
      </c>
      <c r="K504" s="1" t="n">
        <v>75.9</v>
      </c>
      <c r="L504" s="1" t="n">
        <v>4.4</v>
      </c>
      <c r="M504" s="1" t="n">
        <v>8300</v>
      </c>
      <c r="N504" s="4" t="b">
        <f aca="false">FALSE()</f>
        <v>0</v>
      </c>
      <c r="O504" s="1" t="s">
        <v>1978</v>
      </c>
      <c r="P504" s="4" t="b">
        <f aca="false">TRUE()</f>
        <v>1</v>
      </c>
      <c r="Q504" s="1" t="s">
        <v>233</v>
      </c>
      <c r="R504" s="1" t="s">
        <v>1937</v>
      </c>
      <c r="S504" s="1" t="s">
        <v>1979</v>
      </c>
      <c r="T504" s="1" t="s">
        <v>222</v>
      </c>
      <c r="U504" s="1" t="s">
        <v>223</v>
      </c>
    </row>
    <row r="505" customFormat="false" ht="48" hidden="false" customHeight="true" outlineLevel="0" collapsed="false">
      <c r="A505" s="1" t="s">
        <v>43</v>
      </c>
      <c r="B505" s="1" t="s">
        <v>212</v>
      </c>
      <c r="C505" s="1" t="s">
        <v>120</v>
      </c>
      <c r="D505" s="1" t="s">
        <v>1933</v>
      </c>
      <c r="E505" s="1" t="n">
        <v>14</v>
      </c>
      <c r="F505" s="1" t="s">
        <v>1980</v>
      </c>
      <c r="G505" s="1" t="s">
        <v>236</v>
      </c>
      <c r="H505" s="1" t="s">
        <v>1981</v>
      </c>
      <c r="I505" s="1" t="s">
        <v>218</v>
      </c>
      <c r="J505" s="1" t="s">
        <v>219</v>
      </c>
      <c r="K505" s="1" t="n">
        <v>69.99</v>
      </c>
      <c r="L505" s="1" t="n">
        <v>4.3</v>
      </c>
      <c r="M505" s="1" t="n">
        <v>133</v>
      </c>
      <c r="N505" s="4" t="b">
        <f aca="false">FALSE()</f>
        <v>0</v>
      </c>
      <c r="O505" s="1" t="s">
        <v>1982</v>
      </c>
      <c r="P505" s="4" t="b">
        <f aca="false">TRUE()</f>
        <v>1</v>
      </c>
      <c r="Q505" s="1" t="s">
        <v>233</v>
      </c>
      <c r="R505" s="1" t="s">
        <v>1937</v>
      </c>
      <c r="S505" s="1" t="s">
        <v>1983</v>
      </c>
      <c r="T505" s="1" t="s">
        <v>222</v>
      </c>
      <c r="U505" s="1" t="s">
        <v>223</v>
      </c>
    </row>
    <row r="506" customFormat="false" ht="48" hidden="false" customHeight="true" outlineLevel="0" collapsed="false">
      <c r="A506" s="1" t="s">
        <v>43</v>
      </c>
      <c r="B506" s="1" t="s">
        <v>212</v>
      </c>
      <c r="C506" s="1" t="s">
        <v>120</v>
      </c>
      <c r="D506" s="1" t="s">
        <v>1933</v>
      </c>
      <c r="E506" s="1" t="n">
        <v>15</v>
      </c>
      <c r="F506" s="1" t="s">
        <v>1984</v>
      </c>
      <c r="G506" s="1" t="s">
        <v>236</v>
      </c>
      <c r="H506" s="1" t="s">
        <v>1985</v>
      </c>
      <c r="I506" s="1" t="s">
        <v>218</v>
      </c>
      <c r="J506" s="1" t="s">
        <v>219</v>
      </c>
      <c r="K506" s="1" t="n">
        <v>67.99</v>
      </c>
      <c r="L506" s="1" t="n">
        <v>4.3</v>
      </c>
      <c r="M506" s="1" t="n">
        <v>1200</v>
      </c>
      <c r="N506" s="4" t="b">
        <f aca="false">FALSE()</f>
        <v>0</v>
      </c>
      <c r="P506" s="4" t="b">
        <f aca="false">TRUE()</f>
        <v>1</v>
      </c>
      <c r="Q506" s="1" t="s">
        <v>435</v>
      </c>
      <c r="R506" s="1" t="s">
        <v>1937</v>
      </c>
      <c r="S506" s="1" t="s">
        <v>1986</v>
      </c>
      <c r="T506" s="1" t="s">
        <v>222</v>
      </c>
      <c r="U506" s="1" t="s">
        <v>223</v>
      </c>
    </row>
    <row r="507" customFormat="false" ht="48" hidden="false" customHeight="true" outlineLevel="0" collapsed="false">
      <c r="A507" s="1" t="s">
        <v>43</v>
      </c>
      <c r="B507" s="1" t="s">
        <v>212</v>
      </c>
      <c r="C507" s="1" t="s">
        <v>120</v>
      </c>
      <c r="D507" s="1" t="s">
        <v>1933</v>
      </c>
      <c r="E507" s="1" t="n">
        <v>16</v>
      </c>
      <c r="F507" s="1" t="s">
        <v>1987</v>
      </c>
      <c r="G507" s="1" t="s">
        <v>236</v>
      </c>
      <c r="H507" s="1" t="s">
        <v>1988</v>
      </c>
      <c r="I507" s="1" t="s">
        <v>218</v>
      </c>
      <c r="J507" s="1" t="s">
        <v>597</v>
      </c>
      <c r="K507" s="1" t="n">
        <v>69.99</v>
      </c>
      <c r="L507" s="1" t="n">
        <v>4.4</v>
      </c>
      <c r="M507" s="1" t="n">
        <v>5200</v>
      </c>
      <c r="N507" s="4" t="b">
        <f aca="false">FALSE()</f>
        <v>0</v>
      </c>
      <c r="P507" s="4" t="b">
        <f aca="false">TRUE()</f>
        <v>1</v>
      </c>
      <c r="Q507" s="1" t="s">
        <v>451</v>
      </c>
      <c r="R507" s="1" t="s">
        <v>1937</v>
      </c>
      <c r="S507" s="1" t="s">
        <v>1989</v>
      </c>
      <c r="T507" s="1" t="s">
        <v>222</v>
      </c>
      <c r="U507" s="1" t="s">
        <v>223</v>
      </c>
    </row>
    <row r="508" customFormat="false" ht="48" hidden="false" customHeight="true" outlineLevel="0" collapsed="false">
      <c r="A508" s="1" t="s">
        <v>43</v>
      </c>
      <c r="B508" s="1" t="s">
        <v>212</v>
      </c>
      <c r="C508" s="1" t="s">
        <v>120</v>
      </c>
      <c r="D508" s="1" t="s">
        <v>1933</v>
      </c>
      <c r="E508" s="1" t="n">
        <v>17</v>
      </c>
      <c r="F508" s="1" t="s">
        <v>1465</v>
      </c>
      <c r="G508" s="1" t="s">
        <v>774</v>
      </c>
      <c r="H508" s="1" t="s">
        <v>1466</v>
      </c>
      <c r="I508" s="1" t="s">
        <v>218</v>
      </c>
      <c r="J508" s="1" t="s">
        <v>310</v>
      </c>
      <c r="K508" s="1" t="n">
        <v>28.49</v>
      </c>
      <c r="L508" s="1" t="n">
        <v>4.6</v>
      </c>
      <c r="M508" s="1" t="n">
        <v>176400</v>
      </c>
      <c r="N508" s="4" t="b">
        <f aca="false">FALSE()</f>
        <v>0</v>
      </c>
      <c r="O508" s="1" t="s">
        <v>1467</v>
      </c>
      <c r="P508" s="4" t="b">
        <f aca="false">TRUE()</f>
        <v>1</v>
      </c>
      <c r="Q508" s="1" t="s">
        <v>766</v>
      </c>
      <c r="R508" s="1" t="s">
        <v>1937</v>
      </c>
      <c r="S508" s="1" t="s">
        <v>1468</v>
      </c>
      <c r="T508" s="1" t="s">
        <v>222</v>
      </c>
      <c r="U508" s="1" t="s">
        <v>223</v>
      </c>
    </row>
    <row r="509" customFormat="false" ht="48" hidden="false" customHeight="true" outlineLevel="0" collapsed="false">
      <c r="A509" s="1" t="s">
        <v>43</v>
      </c>
      <c r="B509" s="1" t="s">
        <v>212</v>
      </c>
      <c r="C509" s="1" t="s">
        <v>120</v>
      </c>
      <c r="D509" s="1" t="s">
        <v>1933</v>
      </c>
      <c r="E509" s="1" t="n">
        <v>18</v>
      </c>
      <c r="F509" s="1" t="s">
        <v>1990</v>
      </c>
      <c r="G509" s="1" t="s">
        <v>236</v>
      </c>
      <c r="H509" s="1" t="s">
        <v>1991</v>
      </c>
      <c r="I509" s="1" t="s">
        <v>218</v>
      </c>
      <c r="J509" s="1" t="s">
        <v>310</v>
      </c>
      <c r="K509" s="1" t="n">
        <v>95.99</v>
      </c>
      <c r="L509" s="1" t="n">
        <v>5</v>
      </c>
      <c r="M509" s="1" t="n">
        <v>4</v>
      </c>
      <c r="N509" s="4" t="b">
        <f aca="false">FALSE()</f>
        <v>0</v>
      </c>
      <c r="O509" s="1" t="s">
        <v>1992</v>
      </c>
      <c r="P509" s="4" t="b">
        <f aca="false">TRUE()</f>
        <v>1</v>
      </c>
      <c r="R509" s="1" t="s">
        <v>1937</v>
      </c>
      <c r="S509" s="1" t="s">
        <v>1993</v>
      </c>
      <c r="T509" s="1" t="s">
        <v>222</v>
      </c>
      <c r="U509" s="1" t="s">
        <v>223</v>
      </c>
    </row>
    <row r="510" customFormat="false" ht="48" hidden="false" customHeight="true" outlineLevel="0" collapsed="false">
      <c r="A510" s="1" t="s">
        <v>43</v>
      </c>
      <c r="B510" s="1" t="s">
        <v>212</v>
      </c>
      <c r="C510" s="1" t="s">
        <v>120</v>
      </c>
      <c r="D510" s="1" t="s">
        <v>1933</v>
      </c>
      <c r="E510" s="1" t="n">
        <v>19</v>
      </c>
      <c r="F510" s="1" t="s">
        <v>1994</v>
      </c>
      <c r="G510" s="1" t="s">
        <v>236</v>
      </c>
      <c r="H510" s="1" t="s">
        <v>1995</v>
      </c>
      <c r="I510" s="1" t="s">
        <v>218</v>
      </c>
      <c r="J510" s="1" t="s">
        <v>310</v>
      </c>
      <c r="K510" s="1" t="n">
        <v>62.99</v>
      </c>
      <c r="L510" s="1" t="n">
        <v>4.3</v>
      </c>
      <c r="M510" s="1" t="n">
        <v>2600</v>
      </c>
      <c r="N510" s="4" t="b">
        <f aca="false">FALSE()</f>
        <v>0</v>
      </c>
      <c r="O510" s="1" t="s">
        <v>477</v>
      </c>
      <c r="P510" s="4" t="b">
        <f aca="false">TRUE()</f>
        <v>1</v>
      </c>
      <c r="Q510" s="1" t="s">
        <v>418</v>
      </c>
      <c r="R510" s="1" t="s">
        <v>1937</v>
      </c>
      <c r="S510" s="1" t="s">
        <v>1996</v>
      </c>
      <c r="T510" s="1" t="s">
        <v>222</v>
      </c>
      <c r="U510" s="1" t="s">
        <v>223</v>
      </c>
    </row>
    <row r="511" customFormat="false" ht="48" hidden="false" customHeight="true" outlineLevel="0" collapsed="false">
      <c r="A511" s="1" t="s">
        <v>43</v>
      </c>
      <c r="B511" s="1" t="s">
        <v>212</v>
      </c>
      <c r="C511" s="1" t="s">
        <v>120</v>
      </c>
      <c r="D511" s="1" t="s">
        <v>1933</v>
      </c>
      <c r="E511" s="1" t="n">
        <v>20</v>
      </c>
      <c r="F511" s="1" t="s">
        <v>1997</v>
      </c>
      <c r="G511" s="1" t="s">
        <v>236</v>
      </c>
      <c r="H511" s="1" t="s">
        <v>1998</v>
      </c>
      <c r="I511" s="1" t="s">
        <v>218</v>
      </c>
      <c r="J511" s="1" t="s">
        <v>310</v>
      </c>
      <c r="K511" s="1" t="n">
        <v>59.99</v>
      </c>
      <c r="L511" s="1" t="n">
        <v>4.3</v>
      </c>
      <c r="M511" s="1" t="n">
        <v>3100</v>
      </c>
      <c r="N511" s="4" t="b">
        <f aca="false">FALSE()</f>
        <v>0</v>
      </c>
      <c r="P511" s="4" t="b">
        <f aca="false">TRUE()</f>
        <v>1</v>
      </c>
      <c r="Q511" s="1" t="s">
        <v>435</v>
      </c>
      <c r="R511" s="1" t="s">
        <v>1937</v>
      </c>
      <c r="S511" s="1" t="s">
        <v>1999</v>
      </c>
      <c r="T511" s="1" t="s">
        <v>222</v>
      </c>
      <c r="U511" s="1" t="s">
        <v>223</v>
      </c>
    </row>
    <row r="512" customFormat="false" ht="48" hidden="false" customHeight="true" outlineLevel="0" collapsed="false">
      <c r="A512" s="1" t="s">
        <v>43</v>
      </c>
      <c r="B512" s="1" t="s">
        <v>212</v>
      </c>
      <c r="C512" s="1" t="s">
        <v>120</v>
      </c>
      <c r="D512" s="1" t="s">
        <v>1933</v>
      </c>
      <c r="E512" s="1" t="n">
        <v>21</v>
      </c>
      <c r="F512" s="1" t="s">
        <v>2000</v>
      </c>
      <c r="G512" s="1" t="s">
        <v>236</v>
      </c>
      <c r="H512" s="1" t="s">
        <v>2001</v>
      </c>
      <c r="I512" s="1" t="s">
        <v>218</v>
      </c>
      <c r="J512" s="1" t="s">
        <v>310</v>
      </c>
      <c r="K512" s="1" t="n">
        <v>139.99</v>
      </c>
      <c r="L512" s="1" t="n">
        <v>5</v>
      </c>
      <c r="M512" s="1" t="n">
        <v>33</v>
      </c>
      <c r="N512" s="4" t="b">
        <f aca="false">FALSE()</f>
        <v>0</v>
      </c>
      <c r="O512" s="1" t="s">
        <v>2002</v>
      </c>
      <c r="P512" s="4" t="b">
        <f aca="false">TRUE()</f>
        <v>1</v>
      </c>
      <c r="R512" s="1" t="s">
        <v>1937</v>
      </c>
      <c r="S512" s="1" t="s">
        <v>2003</v>
      </c>
      <c r="T512" s="1" t="s">
        <v>222</v>
      </c>
      <c r="U512" s="1" t="s">
        <v>223</v>
      </c>
    </row>
    <row r="513" customFormat="false" ht="48" hidden="false" customHeight="true" outlineLevel="0" collapsed="false">
      <c r="A513" s="1" t="s">
        <v>43</v>
      </c>
      <c r="B513" s="1" t="s">
        <v>212</v>
      </c>
      <c r="C513" s="1" t="s">
        <v>120</v>
      </c>
      <c r="D513" s="1" t="s">
        <v>1933</v>
      </c>
      <c r="E513" s="1" t="n">
        <v>22</v>
      </c>
      <c r="F513" s="1" t="s">
        <v>2004</v>
      </c>
      <c r="G513" s="1" t="s">
        <v>236</v>
      </c>
      <c r="H513" s="1" t="s">
        <v>2005</v>
      </c>
      <c r="I513" s="1" t="s">
        <v>218</v>
      </c>
      <c r="J513" s="1" t="s">
        <v>310</v>
      </c>
      <c r="K513" s="1" t="n">
        <v>69.99</v>
      </c>
      <c r="L513" s="1" t="n">
        <v>4.3</v>
      </c>
      <c r="M513" s="1" t="n">
        <v>998</v>
      </c>
      <c r="N513" s="4" t="b">
        <f aca="false">FALSE()</f>
        <v>0</v>
      </c>
      <c r="P513" s="4" t="b">
        <f aca="false">TRUE()</f>
        <v>1</v>
      </c>
      <c r="Q513" s="1" t="s">
        <v>618</v>
      </c>
      <c r="R513" s="1" t="s">
        <v>1937</v>
      </c>
      <c r="S513" s="1" t="s">
        <v>2006</v>
      </c>
      <c r="T513" s="1" t="s">
        <v>222</v>
      </c>
      <c r="U513" s="1" t="s">
        <v>223</v>
      </c>
    </row>
    <row r="514" customFormat="false" ht="48" hidden="false" customHeight="true" outlineLevel="0" collapsed="false">
      <c r="A514" s="1" t="s">
        <v>43</v>
      </c>
      <c r="B514" s="1" t="s">
        <v>212</v>
      </c>
      <c r="C514" s="1" t="s">
        <v>120</v>
      </c>
      <c r="D514" s="1" t="s">
        <v>1933</v>
      </c>
      <c r="E514" s="1" t="n">
        <v>23</v>
      </c>
      <c r="F514" s="1" t="s">
        <v>2007</v>
      </c>
      <c r="G514" s="1" t="s">
        <v>236</v>
      </c>
      <c r="H514" s="1" t="s">
        <v>2008</v>
      </c>
      <c r="I514" s="1" t="s">
        <v>218</v>
      </c>
      <c r="J514" s="1" t="s">
        <v>219</v>
      </c>
      <c r="K514" s="1" t="n">
        <v>79.99</v>
      </c>
      <c r="L514" s="1" t="n">
        <v>4.8</v>
      </c>
      <c r="M514" s="1" t="n">
        <v>26</v>
      </c>
      <c r="N514" s="4" t="b">
        <f aca="false">FALSE()</f>
        <v>0</v>
      </c>
      <c r="O514" s="1" t="s">
        <v>2009</v>
      </c>
      <c r="P514" s="4" t="b">
        <f aca="false">TRUE()</f>
        <v>1</v>
      </c>
      <c r="Q514" s="1" t="s">
        <v>251</v>
      </c>
      <c r="R514" s="1" t="s">
        <v>1937</v>
      </c>
      <c r="S514" s="1" t="s">
        <v>2010</v>
      </c>
      <c r="T514" s="1" t="s">
        <v>222</v>
      </c>
      <c r="U514" s="1" t="s">
        <v>223</v>
      </c>
    </row>
    <row r="515" customFormat="false" ht="48" hidden="false" customHeight="true" outlineLevel="0" collapsed="false">
      <c r="A515" s="1" t="s">
        <v>43</v>
      </c>
      <c r="B515" s="1" t="s">
        <v>212</v>
      </c>
      <c r="C515" s="1" t="s">
        <v>120</v>
      </c>
      <c r="D515" s="1" t="s">
        <v>1933</v>
      </c>
      <c r="E515" s="1" t="n">
        <v>24</v>
      </c>
      <c r="F515" s="1" t="s">
        <v>2011</v>
      </c>
      <c r="G515" s="1" t="s">
        <v>236</v>
      </c>
      <c r="H515" s="1" t="s">
        <v>2012</v>
      </c>
      <c r="I515" s="1" t="s">
        <v>289</v>
      </c>
      <c r="J515" s="1" t="s">
        <v>310</v>
      </c>
      <c r="K515" s="1" t="n">
        <v>47.49</v>
      </c>
      <c r="L515" s="1" t="n">
        <v>4.3</v>
      </c>
      <c r="M515" s="1" t="n">
        <v>240</v>
      </c>
      <c r="N515" s="4" t="b">
        <f aca="false">FALSE()</f>
        <v>0</v>
      </c>
      <c r="O515" s="1" t="s">
        <v>468</v>
      </c>
      <c r="P515" s="4" t="b">
        <f aca="false">TRUE()</f>
        <v>1</v>
      </c>
      <c r="Q515" s="1" t="s">
        <v>451</v>
      </c>
      <c r="R515" s="1" t="s">
        <v>1937</v>
      </c>
      <c r="S515" s="1" t="s">
        <v>2013</v>
      </c>
      <c r="T515" s="1" t="s">
        <v>222</v>
      </c>
      <c r="U515" s="1" t="s">
        <v>223</v>
      </c>
    </row>
    <row r="516" customFormat="false" ht="48" hidden="false" customHeight="true" outlineLevel="0" collapsed="false">
      <c r="A516" s="1" t="s">
        <v>43</v>
      </c>
      <c r="B516" s="1" t="s">
        <v>212</v>
      </c>
      <c r="C516" s="1" t="s">
        <v>120</v>
      </c>
      <c r="D516" s="1" t="s">
        <v>1933</v>
      </c>
      <c r="E516" s="1" t="n">
        <v>25</v>
      </c>
      <c r="F516" s="1" t="s">
        <v>2014</v>
      </c>
      <c r="G516" s="1" t="s">
        <v>236</v>
      </c>
      <c r="H516" s="1" t="s">
        <v>2015</v>
      </c>
      <c r="I516" s="1" t="s">
        <v>289</v>
      </c>
      <c r="J516" s="1" t="s">
        <v>310</v>
      </c>
      <c r="K516" s="1" t="n">
        <v>45.31</v>
      </c>
      <c r="L516" s="1" t="n">
        <v>4.4</v>
      </c>
      <c r="M516" s="1" t="n">
        <v>5600</v>
      </c>
      <c r="N516" s="4" t="b">
        <f aca="false">FALSE()</f>
        <v>0</v>
      </c>
      <c r="O516" s="1" t="s">
        <v>2016</v>
      </c>
      <c r="P516" s="4" t="b">
        <f aca="false">TRUE()</f>
        <v>1</v>
      </c>
      <c r="Q516" s="1" t="s">
        <v>409</v>
      </c>
      <c r="R516" s="1" t="s">
        <v>1937</v>
      </c>
      <c r="S516" s="1" t="s">
        <v>2017</v>
      </c>
      <c r="T516" s="1" t="s">
        <v>222</v>
      </c>
      <c r="U516" s="1" t="s">
        <v>223</v>
      </c>
    </row>
    <row r="517" customFormat="false" ht="48" hidden="false" customHeight="true" outlineLevel="0" collapsed="false">
      <c r="A517" s="1" t="s">
        <v>43</v>
      </c>
      <c r="B517" s="1" t="s">
        <v>212</v>
      </c>
      <c r="C517" s="1" t="s">
        <v>120</v>
      </c>
      <c r="D517" s="1" t="s">
        <v>1933</v>
      </c>
      <c r="E517" s="1" t="n">
        <v>26</v>
      </c>
      <c r="F517" s="1" t="s">
        <v>2018</v>
      </c>
      <c r="G517" s="1" t="s">
        <v>236</v>
      </c>
      <c r="H517" s="1" t="s">
        <v>2019</v>
      </c>
      <c r="I517" s="1" t="s">
        <v>218</v>
      </c>
      <c r="J517" s="1" t="s">
        <v>219</v>
      </c>
      <c r="K517" s="1" t="n">
        <v>45.99</v>
      </c>
      <c r="L517" s="1" t="n">
        <v>4.4</v>
      </c>
      <c r="M517" s="1" t="n">
        <v>22100</v>
      </c>
      <c r="N517" s="4" t="b">
        <f aca="false">FALSE()</f>
        <v>0</v>
      </c>
      <c r="O517" s="1" t="s">
        <v>2020</v>
      </c>
      <c r="P517" s="4" t="b">
        <f aca="false">TRUE()</f>
        <v>1</v>
      </c>
      <c r="Q517" s="1" t="s">
        <v>251</v>
      </c>
      <c r="R517" s="1" t="s">
        <v>1937</v>
      </c>
      <c r="S517" s="1" t="s">
        <v>2021</v>
      </c>
      <c r="T517" s="1" t="s">
        <v>222</v>
      </c>
      <c r="U517" s="1" t="s">
        <v>223</v>
      </c>
    </row>
    <row r="518" customFormat="false" ht="48" hidden="false" customHeight="true" outlineLevel="0" collapsed="false">
      <c r="A518" s="1" t="s">
        <v>43</v>
      </c>
      <c r="B518" s="1" t="s">
        <v>212</v>
      </c>
      <c r="C518" s="1" t="s">
        <v>120</v>
      </c>
      <c r="D518" s="1" t="s">
        <v>1933</v>
      </c>
      <c r="E518" s="1" t="n">
        <v>27</v>
      </c>
      <c r="F518" s="1" t="s">
        <v>2022</v>
      </c>
      <c r="G518" s="1" t="s">
        <v>2023</v>
      </c>
      <c r="H518" s="1" t="s">
        <v>2024</v>
      </c>
      <c r="I518" s="1" t="s">
        <v>242</v>
      </c>
      <c r="J518" s="1" t="s">
        <v>310</v>
      </c>
      <c r="K518" s="1" t="n">
        <v>102.13</v>
      </c>
      <c r="L518" s="1" t="n">
        <v>4.3</v>
      </c>
      <c r="M518" s="1" t="n">
        <v>130500</v>
      </c>
      <c r="N518" s="4" t="b">
        <f aca="false">FALSE()</f>
        <v>0</v>
      </c>
      <c r="O518" s="1" t="s">
        <v>2025</v>
      </c>
      <c r="P518" s="4" t="b">
        <f aca="false">TRUE()</f>
        <v>1</v>
      </c>
      <c r="Q518" s="1" t="s">
        <v>439</v>
      </c>
      <c r="R518" s="1" t="s">
        <v>1937</v>
      </c>
      <c r="S518" s="1" t="s">
        <v>2026</v>
      </c>
      <c r="T518" s="1" t="s">
        <v>222</v>
      </c>
      <c r="U518" s="1" t="s">
        <v>223</v>
      </c>
    </row>
    <row r="519" customFormat="false" ht="48" hidden="false" customHeight="true" outlineLevel="0" collapsed="false">
      <c r="A519" s="1" t="s">
        <v>43</v>
      </c>
      <c r="B519" s="1" t="s">
        <v>212</v>
      </c>
      <c r="C519" s="1" t="s">
        <v>120</v>
      </c>
      <c r="D519" s="1" t="s">
        <v>1933</v>
      </c>
      <c r="E519" s="1" t="n">
        <v>28</v>
      </c>
      <c r="F519" s="1" t="s">
        <v>2027</v>
      </c>
      <c r="G519" s="1" t="s">
        <v>236</v>
      </c>
      <c r="H519" s="1" t="s">
        <v>2028</v>
      </c>
      <c r="I519" s="1" t="s">
        <v>218</v>
      </c>
      <c r="J519" s="1" t="s">
        <v>310</v>
      </c>
      <c r="K519" s="1" t="n">
        <v>112.87</v>
      </c>
      <c r="L519" s="1" t="n">
        <v>4.5</v>
      </c>
      <c r="M519" s="1" t="n">
        <v>35</v>
      </c>
      <c r="N519" s="4" t="b">
        <f aca="false">FALSE()</f>
        <v>0</v>
      </c>
      <c r="O519" s="1" t="s">
        <v>2029</v>
      </c>
      <c r="P519" s="4" t="b">
        <f aca="false">TRUE()</f>
        <v>1</v>
      </c>
      <c r="Q519" s="1" t="s">
        <v>233</v>
      </c>
      <c r="R519" s="1" t="s">
        <v>1937</v>
      </c>
      <c r="S519" s="1" t="s">
        <v>2030</v>
      </c>
      <c r="T519" s="1" t="s">
        <v>222</v>
      </c>
      <c r="U519" s="1" t="s">
        <v>223</v>
      </c>
    </row>
    <row r="520" customFormat="false" ht="48" hidden="false" customHeight="true" outlineLevel="0" collapsed="false">
      <c r="A520" s="1" t="s">
        <v>43</v>
      </c>
      <c r="B520" s="1" t="s">
        <v>212</v>
      </c>
      <c r="C520" s="1" t="s">
        <v>120</v>
      </c>
      <c r="D520" s="1" t="s">
        <v>1933</v>
      </c>
      <c r="E520" s="1" t="n">
        <v>29</v>
      </c>
      <c r="F520" s="1" t="s">
        <v>2031</v>
      </c>
      <c r="G520" s="1" t="s">
        <v>236</v>
      </c>
      <c r="H520" s="1" t="s">
        <v>2032</v>
      </c>
      <c r="I520" s="1" t="s">
        <v>1791</v>
      </c>
      <c r="J520" s="1" t="s">
        <v>310</v>
      </c>
      <c r="K520" s="1" t="n">
        <v>97.19</v>
      </c>
      <c r="L520" s="1" t="n">
        <v>4.4</v>
      </c>
      <c r="M520" s="1" t="n">
        <v>1100</v>
      </c>
      <c r="N520" s="4" t="b">
        <f aca="false">FALSE()</f>
        <v>0</v>
      </c>
      <c r="O520" s="1" t="s">
        <v>2033</v>
      </c>
      <c r="P520" s="4" t="b">
        <f aca="false">TRUE()</f>
        <v>1</v>
      </c>
      <c r="Q520" s="1" t="s">
        <v>439</v>
      </c>
      <c r="R520" s="1" t="s">
        <v>1937</v>
      </c>
      <c r="S520" s="1" t="s">
        <v>2034</v>
      </c>
      <c r="T520" s="1" t="s">
        <v>222</v>
      </c>
      <c r="U520" s="1" t="s">
        <v>223</v>
      </c>
    </row>
    <row r="521" customFormat="false" ht="48" hidden="false" customHeight="true" outlineLevel="0" collapsed="false">
      <c r="A521" s="1" t="s">
        <v>43</v>
      </c>
      <c r="B521" s="1" t="s">
        <v>212</v>
      </c>
      <c r="C521" s="1" t="s">
        <v>120</v>
      </c>
      <c r="D521" s="1" t="s">
        <v>1933</v>
      </c>
      <c r="E521" s="1" t="n">
        <v>30</v>
      </c>
      <c r="F521" s="1" t="s">
        <v>2035</v>
      </c>
      <c r="G521" s="1" t="s">
        <v>774</v>
      </c>
      <c r="H521" s="1" t="s">
        <v>2036</v>
      </c>
      <c r="I521" s="1" t="s">
        <v>218</v>
      </c>
      <c r="J521" s="1" t="s">
        <v>310</v>
      </c>
      <c r="K521" s="1" t="n">
        <v>25.99</v>
      </c>
      <c r="L521" s="1" t="n">
        <v>4.3</v>
      </c>
      <c r="M521" s="1" t="n">
        <v>8400</v>
      </c>
      <c r="N521" s="4" t="b">
        <f aca="false">FALSE()</f>
        <v>0</v>
      </c>
      <c r="P521" s="4" t="b">
        <f aca="false">TRUE()</f>
        <v>1</v>
      </c>
      <c r="Q521" s="1" t="s">
        <v>233</v>
      </c>
      <c r="R521" s="1" t="s">
        <v>1937</v>
      </c>
      <c r="S521" s="1" t="s">
        <v>2037</v>
      </c>
      <c r="T521" s="1" t="s">
        <v>222</v>
      </c>
      <c r="U521" s="1" t="s">
        <v>223</v>
      </c>
    </row>
    <row r="522" customFormat="false" ht="48" hidden="false" customHeight="true" outlineLevel="0" collapsed="false">
      <c r="A522" s="1" t="s">
        <v>43</v>
      </c>
      <c r="B522" s="1" t="s">
        <v>212</v>
      </c>
      <c r="C522" s="1" t="s">
        <v>120</v>
      </c>
      <c r="D522" s="1" t="s">
        <v>1933</v>
      </c>
      <c r="E522" s="1" t="n">
        <v>31</v>
      </c>
      <c r="F522" s="1" t="s">
        <v>2038</v>
      </c>
      <c r="G522" s="1" t="s">
        <v>236</v>
      </c>
      <c r="H522" s="1" t="s">
        <v>2039</v>
      </c>
      <c r="I522" s="1" t="s">
        <v>218</v>
      </c>
      <c r="J522" s="1" t="s">
        <v>219</v>
      </c>
      <c r="K522" s="1" t="n">
        <v>53.09</v>
      </c>
      <c r="L522" s="1" t="n">
        <v>4.1</v>
      </c>
      <c r="M522" s="1" t="n">
        <v>171</v>
      </c>
      <c r="N522" s="4" t="b">
        <f aca="false">FALSE()</f>
        <v>0</v>
      </c>
      <c r="O522" s="1" t="s">
        <v>2040</v>
      </c>
      <c r="P522" s="4" t="b">
        <f aca="false">TRUE()</f>
        <v>1</v>
      </c>
      <c r="Q522" s="1" t="s">
        <v>251</v>
      </c>
      <c r="R522" s="1" t="s">
        <v>1937</v>
      </c>
      <c r="S522" s="1" t="s">
        <v>2041</v>
      </c>
      <c r="T522" s="1" t="s">
        <v>222</v>
      </c>
      <c r="U522" s="1" t="s">
        <v>223</v>
      </c>
    </row>
    <row r="523" customFormat="false" ht="48" hidden="false" customHeight="true" outlineLevel="0" collapsed="false">
      <c r="A523" s="1" t="s">
        <v>43</v>
      </c>
      <c r="B523" s="1" t="s">
        <v>212</v>
      </c>
      <c r="C523" s="1" t="s">
        <v>120</v>
      </c>
      <c r="D523" s="1" t="s">
        <v>1933</v>
      </c>
      <c r="E523" s="1" t="n">
        <v>32</v>
      </c>
      <c r="F523" s="1" t="s">
        <v>2042</v>
      </c>
      <c r="G523" s="1" t="s">
        <v>236</v>
      </c>
      <c r="H523" s="1" t="s">
        <v>2043</v>
      </c>
      <c r="I523" s="1" t="s">
        <v>218</v>
      </c>
      <c r="J523" s="1" t="s">
        <v>310</v>
      </c>
      <c r="K523" s="1" t="n">
        <v>149.99</v>
      </c>
      <c r="L523" s="1" t="n">
        <v>5</v>
      </c>
      <c r="M523" s="1" t="n">
        <v>7</v>
      </c>
      <c r="N523" s="4" t="b">
        <f aca="false">FALSE()</f>
        <v>0</v>
      </c>
      <c r="O523" s="1" t="s">
        <v>2044</v>
      </c>
      <c r="P523" s="4" t="b">
        <f aca="false">TRUE()</f>
        <v>1</v>
      </c>
      <c r="R523" s="1" t="s">
        <v>1937</v>
      </c>
      <c r="S523" s="1" t="s">
        <v>2045</v>
      </c>
      <c r="T523" s="1" t="s">
        <v>222</v>
      </c>
      <c r="U523" s="1" t="s">
        <v>223</v>
      </c>
    </row>
    <row r="524" customFormat="false" ht="48" hidden="false" customHeight="true" outlineLevel="0" collapsed="false">
      <c r="A524" s="1" t="s">
        <v>43</v>
      </c>
      <c r="B524" s="1" t="s">
        <v>212</v>
      </c>
      <c r="C524" s="1" t="s">
        <v>120</v>
      </c>
      <c r="D524" s="1" t="s">
        <v>1933</v>
      </c>
      <c r="E524" s="1" t="n">
        <v>33</v>
      </c>
      <c r="F524" s="1" t="s">
        <v>1480</v>
      </c>
      <c r="G524" s="1" t="s">
        <v>236</v>
      </c>
      <c r="H524" s="1" t="s">
        <v>1481</v>
      </c>
      <c r="I524" s="1" t="s">
        <v>218</v>
      </c>
      <c r="J524" s="1" t="s">
        <v>310</v>
      </c>
      <c r="K524" s="1" t="n">
        <v>31.95</v>
      </c>
      <c r="L524" s="1" t="n">
        <v>4.6</v>
      </c>
      <c r="M524" s="1" t="n">
        <v>4600</v>
      </c>
      <c r="N524" s="4" t="b">
        <f aca="false">FALSE()</f>
        <v>0</v>
      </c>
      <c r="O524" s="1" t="s">
        <v>247</v>
      </c>
      <c r="P524" s="4" t="b">
        <f aca="false">TRUE()</f>
        <v>1</v>
      </c>
      <c r="Q524" s="1" t="s">
        <v>618</v>
      </c>
      <c r="R524" s="1" t="s">
        <v>1937</v>
      </c>
      <c r="S524" s="1" t="s">
        <v>1482</v>
      </c>
      <c r="T524" s="1" t="s">
        <v>222</v>
      </c>
      <c r="U524" s="1" t="s">
        <v>223</v>
      </c>
    </row>
    <row r="525" customFormat="false" ht="48" hidden="false" customHeight="true" outlineLevel="0" collapsed="false">
      <c r="A525" s="1" t="s">
        <v>43</v>
      </c>
      <c r="B525" s="1" t="s">
        <v>212</v>
      </c>
      <c r="C525" s="1" t="s">
        <v>120</v>
      </c>
      <c r="D525" s="1" t="s">
        <v>1933</v>
      </c>
      <c r="E525" s="1" t="n">
        <v>34</v>
      </c>
      <c r="F525" s="1" t="s">
        <v>2046</v>
      </c>
      <c r="G525" s="1" t="s">
        <v>236</v>
      </c>
      <c r="H525" s="1" t="s">
        <v>2047</v>
      </c>
      <c r="I525" s="1" t="s">
        <v>289</v>
      </c>
      <c r="J525" s="1" t="s">
        <v>310</v>
      </c>
      <c r="K525" s="1" t="n">
        <v>44.1</v>
      </c>
      <c r="L525" s="1" t="n">
        <v>4.2</v>
      </c>
      <c r="M525" s="1" t="n">
        <v>42</v>
      </c>
      <c r="N525" s="4" t="b">
        <f aca="false">FALSE()</f>
        <v>0</v>
      </c>
      <c r="O525" s="1" t="s">
        <v>2048</v>
      </c>
      <c r="P525" s="4" t="b">
        <f aca="false">TRUE()</f>
        <v>1</v>
      </c>
      <c r="Q525" s="1" t="s">
        <v>251</v>
      </c>
      <c r="R525" s="1" t="s">
        <v>1937</v>
      </c>
      <c r="S525" s="1" t="s">
        <v>2049</v>
      </c>
      <c r="T525" s="1" t="s">
        <v>222</v>
      </c>
      <c r="U525" s="1" t="s">
        <v>223</v>
      </c>
    </row>
    <row r="526" customFormat="false" ht="48" hidden="false" customHeight="true" outlineLevel="0" collapsed="false">
      <c r="A526" s="1" t="s">
        <v>43</v>
      </c>
      <c r="B526" s="1" t="s">
        <v>212</v>
      </c>
      <c r="C526" s="1" t="s">
        <v>120</v>
      </c>
      <c r="D526" s="1" t="s">
        <v>1933</v>
      </c>
      <c r="E526" s="1" t="n">
        <v>35</v>
      </c>
      <c r="F526" s="1" t="s">
        <v>2050</v>
      </c>
      <c r="G526" s="1" t="s">
        <v>236</v>
      </c>
      <c r="H526" s="1" t="s">
        <v>2051</v>
      </c>
      <c r="I526" s="1" t="s">
        <v>218</v>
      </c>
      <c r="J526" s="1" t="s">
        <v>310</v>
      </c>
      <c r="K526" s="1" t="n">
        <v>554</v>
      </c>
      <c r="L526" s="1" t="n">
        <v>4.3</v>
      </c>
      <c r="M526" s="1" t="n">
        <v>4400</v>
      </c>
      <c r="N526" s="4" t="b">
        <f aca="false">FALSE()</f>
        <v>0</v>
      </c>
      <c r="P526" s="4" t="b">
        <f aca="false">TRUE()</f>
        <v>1</v>
      </c>
      <c r="Q526" s="1" t="s">
        <v>435</v>
      </c>
      <c r="R526" s="1" t="s">
        <v>1937</v>
      </c>
      <c r="S526" s="1" t="s">
        <v>2052</v>
      </c>
      <c r="T526" s="1" t="s">
        <v>222</v>
      </c>
      <c r="U526" s="1" t="s">
        <v>223</v>
      </c>
    </row>
    <row r="527" customFormat="false" ht="48" hidden="false" customHeight="true" outlineLevel="0" collapsed="false">
      <c r="A527" s="1" t="s">
        <v>43</v>
      </c>
      <c r="B527" s="1" t="s">
        <v>212</v>
      </c>
      <c r="C527" s="1" t="s">
        <v>120</v>
      </c>
      <c r="D527" s="1" t="s">
        <v>1933</v>
      </c>
      <c r="E527" s="1" t="n">
        <v>36</v>
      </c>
      <c r="F527" s="1" t="s">
        <v>2053</v>
      </c>
      <c r="G527" s="1" t="s">
        <v>2054</v>
      </c>
      <c r="H527" s="1" t="s">
        <v>2055</v>
      </c>
      <c r="I527" s="1" t="s">
        <v>218</v>
      </c>
      <c r="J527" s="1" t="s">
        <v>310</v>
      </c>
      <c r="K527" s="1" t="n">
        <v>75.9</v>
      </c>
      <c r="L527" s="1" t="n">
        <v>4.4</v>
      </c>
      <c r="M527" s="1" t="n">
        <v>100500</v>
      </c>
      <c r="N527" s="4" t="b">
        <f aca="false">FALSE()</f>
        <v>0</v>
      </c>
      <c r="P527" s="4" t="b">
        <f aca="false">TRUE()</f>
        <v>1</v>
      </c>
      <c r="Q527" s="1" t="s">
        <v>233</v>
      </c>
      <c r="R527" s="1" t="s">
        <v>1937</v>
      </c>
      <c r="S527" s="1" t="s">
        <v>2056</v>
      </c>
      <c r="T527" s="1" t="s">
        <v>222</v>
      </c>
      <c r="U527" s="1" t="s">
        <v>223</v>
      </c>
    </row>
    <row r="528" customFormat="false" ht="48" hidden="false" customHeight="true" outlineLevel="0" collapsed="false">
      <c r="A528" s="1" t="s">
        <v>43</v>
      </c>
      <c r="B528" s="1" t="s">
        <v>212</v>
      </c>
      <c r="C528" s="1" t="s">
        <v>120</v>
      </c>
      <c r="D528" s="1" t="s">
        <v>1933</v>
      </c>
      <c r="E528" s="1" t="n">
        <v>37</v>
      </c>
      <c r="F528" s="1" t="s">
        <v>2057</v>
      </c>
      <c r="G528" s="1" t="s">
        <v>236</v>
      </c>
      <c r="H528" s="1" t="s">
        <v>2058</v>
      </c>
      <c r="I528" s="1" t="s">
        <v>218</v>
      </c>
      <c r="J528" s="1" t="s">
        <v>310</v>
      </c>
      <c r="K528" s="1" t="n">
        <v>125.98</v>
      </c>
      <c r="L528" s="1" t="n">
        <v>4.5</v>
      </c>
      <c r="M528" s="1" t="n">
        <v>487</v>
      </c>
      <c r="N528" s="4" t="b">
        <f aca="false">FALSE()</f>
        <v>0</v>
      </c>
      <c r="O528" s="1" t="s">
        <v>2059</v>
      </c>
      <c r="P528" s="4" t="b">
        <f aca="false">TRUE()</f>
        <v>1</v>
      </c>
      <c r="Q528" s="1" t="s">
        <v>233</v>
      </c>
      <c r="R528" s="1" t="s">
        <v>1937</v>
      </c>
      <c r="S528" s="1" t="s">
        <v>2060</v>
      </c>
      <c r="T528" s="1" t="s">
        <v>222</v>
      </c>
      <c r="U528" s="1" t="s">
        <v>223</v>
      </c>
    </row>
    <row r="529" customFormat="false" ht="48" hidden="false" customHeight="true" outlineLevel="0" collapsed="false">
      <c r="A529" s="1" t="s">
        <v>43</v>
      </c>
      <c r="B529" s="1" t="s">
        <v>212</v>
      </c>
      <c r="C529" s="1" t="s">
        <v>120</v>
      </c>
      <c r="D529" s="1" t="s">
        <v>1933</v>
      </c>
      <c r="E529" s="1" t="n">
        <v>38</v>
      </c>
      <c r="F529" s="1" t="s">
        <v>2061</v>
      </c>
      <c r="G529" s="1" t="s">
        <v>236</v>
      </c>
      <c r="H529" s="1" t="s">
        <v>2062</v>
      </c>
      <c r="I529" s="1" t="s">
        <v>218</v>
      </c>
      <c r="J529" s="1" t="s">
        <v>310</v>
      </c>
      <c r="K529" s="1" t="n">
        <v>125.99</v>
      </c>
      <c r="L529" s="1" t="n">
        <v>5</v>
      </c>
      <c r="M529" s="1" t="n">
        <v>12</v>
      </c>
      <c r="N529" s="4" t="b">
        <f aca="false">FALSE()</f>
        <v>0</v>
      </c>
      <c r="O529" s="1" t="s">
        <v>2063</v>
      </c>
      <c r="P529" s="4" t="b">
        <f aca="false">TRUE()</f>
        <v>1</v>
      </c>
      <c r="R529" s="1" t="s">
        <v>1937</v>
      </c>
      <c r="S529" s="1" t="s">
        <v>2064</v>
      </c>
      <c r="T529" s="1" t="s">
        <v>222</v>
      </c>
      <c r="U529" s="1" t="s">
        <v>223</v>
      </c>
    </row>
    <row r="530" customFormat="false" ht="48" hidden="false" customHeight="true" outlineLevel="0" collapsed="false">
      <c r="A530" s="1" t="s">
        <v>43</v>
      </c>
      <c r="B530" s="1" t="s">
        <v>212</v>
      </c>
      <c r="C530" s="1" t="s">
        <v>120</v>
      </c>
      <c r="D530" s="1" t="s">
        <v>1933</v>
      </c>
      <c r="E530" s="1" t="n">
        <v>39</v>
      </c>
      <c r="F530" s="1" t="s">
        <v>2065</v>
      </c>
      <c r="G530" s="1" t="s">
        <v>236</v>
      </c>
      <c r="H530" s="1" t="s">
        <v>2066</v>
      </c>
      <c r="I530" s="1" t="s">
        <v>218</v>
      </c>
      <c r="J530" s="1" t="s">
        <v>219</v>
      </c>
      <c r="K530" s="1" t="n">
        <v>99.99</v>
      </c>
      <c r="L530" s="1" t="n">
        <v>3.4</v>
      </c>
      <c r="M530" s="1" t="n">
        <v>13</v>
      </c>
      <c r="N530" s="4" t="b">
        <f aca="false">FALSE()</f>
        <v>0</v>
      </c>
      <c r="P530" s="4" t="b">
        <f aca="false">TRUE()</f>
        <v>1</v>
      </c>
      <c r="R530" s="1" t="s">
        <v>1937</v>
      </c>
      <c r="S530" s="1" t="s">
        <v>2067</v>
      </c>
      <c r="T530" s="1" t="s">
        <v>222</v>
      </c>
      <c r="U530" s="1" t="s">
        <v>223</v>
      </c>
    </row>
    <row r="531" customFormat="false" ht="48" hidden="false" customHeight="true" outlineLevel="0" collapsed="false">
      <c r="A531" s="1" t="s">
        <v>43</v>
      </c>
      <c r="B531" s="1" t="s">
        <v>212</v>
      </c>
      <c r="C531" s="1" t="s">
        <v>120</v>
      </c>
      <c r="D531" s="1" t="s">
        <v>1933</v>
      </c>
      <c r="E531" s="1" t="n">
        <v>40</v>
      </c>
      <c r="F531" s="1" t="s">
        <v>2068</v>
      </c>
      <c r="G531" s="1" t="s">
        <v>236</v>
      </c>
      <c r="H531" s="1" t="s">
        <v>2069</v>
      </c>
      <c r="I531" s="1" t="s">
        <v>218</v>
      </c>
      <c r="J531" s="1" t="s">
        <v>310</v>
      </c>
      <c r="K531" s="1" t="n">
        <v>199.99</v>
      </c>
      <c r="L531" s="1" t="n">
        <v>4.2</v>
      </c>
      <c r="M531" s="1" t="n">
        <v>396</v>
      </c>
      <c r="N531" s="4" t="b">
        <f aca="false">FALSE()</f>
        <v>0</v>
      </c>
      <c r="P531" s="4" t="b">
        <f aca="false">TRUE()</f>
        <v>1</v>
      </c>
      <c r="Q531" s="1" t="s">
        <v>251</v>
      </c>
      <c r="R531" s="1" t="s">
        <v>1937</v>
      </c>
      <c r="S531" s="1" t="s">
        <v>2070</v>
      </c>
      <c r="T531" s="1" t="s">
        <v>222</v>
      </c>
      <c r="U531" s="1" t="s">
        <v>223</v>
      </c>
    </row>
    <row r="532" customFormat="false" ht="48" hidden="false" customHeight="true" outlineLevel="0" collapsed="false">
      <c r="A532" s="1" t="s">
        <v>43</v>
      </c>
      <c r="B532" s="1" t="s">
        <v>212</v>
      </c>
      <c r="C532" s="1" t="s">
        <v>120</v>
      </c>
      <c r="D532" s="1" t="s">
        <v>1933</v>
      </c>
      <c r="E532" s="1" t="n">
        <v>41</v>
      </c>
      <c r="F532" s="1" t="s">
        <v>2071</v>
      </c>
      <c r="G532" s="1" t="s">
        <v>236</v>
      </c>
      <c r="H532" s="1" t="s">
        <v>2072</v>
      </c>
      <c r="I532" s="1" t="s">
        <v>218</v>
      </c>
      <c r="J532" s="1" t="s">
        <v>219</v>
      </c>
      <c r="K532" s="1" t="n">
        <v>56.99</v>
      </c>
      <c r="L532" s="1" t="n">
        <v>4.2</v>
      </c>
      <c r="M532" s="1" t="n">
        <v>105</v>
      </c>
      <c r="N532" s="4" t="b">
        <f aca="false">FALSE()</f>
        <v>0</v>
      </c>
      <c r="O532" s="1" t="s">
        <v>541</v>
      </c>
      <c r="P532" s="4" t="b">
        <f aca="false">TRUE()</f>
        <v>1</v>
      </c>
      <c r="Q532" s="1" t="s">
        <v>251</v>
      </c>
      <c r="R532" s="1" t="s">
        <v>1937</v>
      </c>
      <c r="S532" s="1" t="s">
        <v>2073</v>
      </c>
      <c r="T532" s="1" t="s">
        <v>222</v>
      </c>
      <c r="U532" s="1" t="s">
        <v>223</v>
      </c>
    </row>
    <row r="533" customFormat="false" ht="48" hidden="false" customHeight="true" outlineLevel="0" collapsed="false">
      <c r="A533" s="1" t="s">
        <v>43</v>
      </c>
      <c r="B533" s="1" t="s">
        <v>212</v>
      </c>
      <c r="C533" s="1" t="s">
        <v>120</v>
      </c>
      <c r="D533" s="1" t="s">
        <v>1933</v>
      </c>
      <c r="E533" s="1" t="n">
        <v>42</v>
      </c>
      <c r="F533" s="1" t="s">
        <v>2074</v>
      </c>
      <c r="G533" s="1" t="s">
        <v>236</v>
      </c>
      <c r="H533" s="1" t="s">
        <v>2075</v>
      </c>
      <c r="I533" s="1" t="s">
        <v>218</v>
      </c>
      <c r="J533" s="1" t="s">
        <v>310</v>
      </c>
      <c r="K533" s="1" t="n">
        <v>121.99</v>
      </c>
      <c r="L533" s="1" t="n">
        <v>4.3</v>
      </c>
      <c r="M533" s="1" t="n">
        <v>354</v>
      </c>
      <c r="N533" s="4" t="b">
        <f aca="false">FALSE()</f>
        <v>0</v>
      </c>
      <c r="P533" s="4" t="b">
        <f aca="false">TRUE()</f>
        <v>1</v>
      </c>
      <c r="Q533" s="1" t="s">
        <v>233</v>
      </c>
      <c r="R533" s="1" t="s">
        <v>1937</v>
      </c>
      <c r="S533" s="1" t="s">
        <v>2076</v>
      </c>
      <c r="T533" s="1" t="s">
        <v>222</v>
      </c>
      <c r="U533" s="1" t="s">
        <v>223</v>
      </c>
    </row>
    <row r="534" customFormat="false" ht="48" hidden="false" customHeight="true" outlineLevel="0" collapsed="false">
      <c r="A534" s="1" t="s">
        <v>43</v>
      </c>
      <c r="B534" s="1" t="s">
        <v>212</v>
      </c>
      <c r="C534" s="1" t="s">
        <v>120</v>
      </c>
      <c r="D534" s="1" t="s">
        <v>1933</v>
      </c>
      <c r="E534" s="1" t="n">
        <v>43</v>
      </c>
      <c r="F534" s="1" t="s">
        <v>2077</v>
      </c>
      <c r="G534" s="1" t="s">
        <v>236</v>
      </c>
      <c r="H534" s="1" t="s">
        <v>2078</v>
      </c>
      <c r="I534" s="1" t="s">
        <v>289</v>
      </c>
      <c r="J534" s="1" t="s">
        <v>310</v>
      </c>
      <c r="K534" s="1" t="n">
        <v>65.39</v>
      </c>
      <c r="L534" s="1" t="n">
        <v>4.5</v>
      </c>
      <c r="M534" s="1" t="n">
        <v>1200</v>
      </c>
      <c r="N534" s="4" t="b">
        <f aca="false">FALSE()</f>
        <v>0</v>
      </c>
      <c r="P534" s="4" t="b">
        <f aca="false">TRUE()</f>
        <v>1</v>
      </c>
      <c r="R534" s="1" t="s">
        <v>1937</v>
      </c>
      <c r="S534" s="1" t="s">
        <v>2079</v>
      </c>
      <c r="T534" s="1" t="s">
        <v>222</v>
      </c>
      <c r="U534" s="1" t="s">
        <v>223</v>
      </c>
    </row>
    <row r="535" customFormat="false" ht="48" hidden="false" customHeight="true" outlineLevel="0" collapsed="false">
      <c r="A535" s="1" t="s">
        <v>43</v>
      </c>
      <c r="B535" s="1" t="s">
        <v>212</v>
      </c>
      <c r="C535" s="1" t="s">
        <v>120</v>
      </c>
      <c r="D535" s="1" t="s">
        <v>1933</v>
      </c>
      <c r="E535" s="1" t="n">
        <v>44</v>
      </c>
      <c r="F535" s="1" t="s">
        <v>2080</v>
      </c>
      <c r="G535" s="1" t="s">
        <v>1519</v>
      </c>
      <c r="H535" s="1" t="s">
        <v>2081</v>
      </c>
      <c r="I535" s="1" t="s">
        <v>218</v>
      </c>
      <c r="J535" s="1" t="s">
        <v>310</v>
      </c>
      <c r="K535" s="1" t="n">
        <v>122.42</v>
      </c>
      <c r="L535" s="1" t="n">
        <v>4.2</v>
      </c>
      <c r="M535" s="1" t="n">
        <v>6900</v>
      </c>
      <c r="N535" s="4" t="b">
        <f aca="false">FALSE()</f>
        <v>0</v>
      </c>
      <c r="P535" s="4" t="b">
        <f aca="false">TRUE()</f>
        <v>1</v>
      </c>
      <c r="Q535" s="1" t="s">
        <v>233</v>
      </c>
      <c r="R535" s="1" t="s">
        <v>1937</v>
      </c>
      <c r="S535" s="1" t="s">
        <v>2082</v>
      </c>
      <c r="T535" s="1" t="s">
        <v>222</v>
      </c>
      <c r="U535" s="1" t="s">
        <v>223</v>
      </c>
    </row>
    <row r="536" customFormat="false" ht="48" hidden="false" customHeight="true" outlineLevel="0" collapsed="false">
      <c r="A536" s="1" t="s">
        <v>43</v>
      </c>
      <c r="B536" s="1" t="s">
        <v>212</v>
      </c>
      <c r="C536" s="1" t="s">
        <v>120</v>
      </c>
      <c r="D536" s="1" t="s">
        <v>1933</v>
      </c>
      <c r="E536" s="1" t="n">
        <v>45</v>
      </c>
      <c r="F536" s="1" t="s">
        <v>2083</v>
      </c>
      <c r="G536" s="1" t="s">
        <v>236</v>
      </c>
      <c r="H536" s="1" t="s">
        <v>2084</v>
      </c>
      <c r="I536" s="1" t="s">
        <v>218</v>
      </c>
      <c r="J536" s="1" t="s">
        <v>219</v>
      </c>
      <c r="K536" s="1" t="n">
        <v>142.99</v>
      </c>
      <c r="L536" s="1" t="n">
        <v>4.7</v>
      </c>
      <c r="M536" s="1" t="n">
        <v>34</v>
      </c>
      <c r="N536" s="4" t="b">
        <f aca="false">FALSE()</f>
        <v>0</v>
      </c>
      <c r="O536" s="1" t="s">
        <v>2085</v>
      </c>
      <c r="P536" s="4" t="b">
        <f aca="false">TRUE()</f>
        <v>1</v>
      </c>
      <c r="Q536" s="1" t="s">
        <v>251</v>
      </c>
      <c r="R536" s="1" t="s">
        <v>1937</v>
      </c>
      <c r="S536" s="1" t="s">
        <v>2086</v>
      </c>
      <c r="T536" s="1" t="s">
        <v>222</v>
      </c>
      <c r="U536" s="1" t="s">
        <v>223</v>
      </c>
    </row>
    <row r="537" customFormat="false" ht="48" hidden="false" customHeight="true" outlineLevel="0" collapsed="false">
      <c r="A537" s="1" t="s">
        <v>43</v>
      </c>
      <c r="B537" s="1" t="s">
        <v>212</v>
      </c>
      <c r="C537" s="1" t="s">
        <v>120</v>
      </c>
      <c r="D537" s="1" t="s">
        <v>1933</v>
      </c>
      <c r="E537" s="1" t="n">
        <v>46</v>
      </c>
      <c r="F537" s="1" t="s">
        <v>2087</v>
      </c>
      <c r="G537" s="1" t="s">
        <v>236</v>
      </c>
      <c r="H537" s="1" t="s">
        <v>2088</v>
      </c>
      <c r="I537" s="1" t="s">
        <v>218</v>
      </c>
      <c r="J537" s="1" t="s">
        <v>310</v>
      </c>
      <c r="K537" s="1" t="n">
        <v>55.99</v>
      </c>
      <c r="L537" s="1" t="n">
        <v>4.5</v>
      </c>
      <c r="M537" s="1" t="n">
        <v>169</v>
      </c>
      <c r="N537" s="4" t="b">
        <f aca="false">FALSE()</f>
        <v>0</v>
      </c>
      <c r="O537" s="1" t="s">
        <v>477</v>
      </c>
      <c r="P537" s="4" t="b">
        <f aca="false">TRUE()</f>
        <v>1</v>
      </c>
      <c r="Q537" s="1" t="s">
        <v>233</v>
      </c>
      <c r="R537" s="1" t="s">
        <v>1937</v>
      </c>
      <c r="S537" s="1" t="s">
        <v>2089</v>
      </c>
      <c r="T537" s="1" t="s">
        <v>222</v>
      </c>
      <c r="U537" s="1" t="s">
        <v>223</v>
      </c>
    </row>
    <row r="538" customFormat="false" ht="48" hidden="false" customHeight="true" outlineLevel="0" collapsed="false">
      <c r="A538" s="1" t="s">
        <v>43</v>
      </c>
      <c r="B538" s="1" t="s">
        <v>212</v>
      </c>
      <c r="C538" s="1" t="s">
        <v>120</v>
      </c>
      <c r="D538" s="1" t="s">
        <v>1933</v>
      </c>
      <c r="E538" s="1" t="n">
        <v>47</v>
      </c>
      <c r="F538" s="1" t="s">
        <v>2090</v>
      </c>
      <c r="G538" s="1" t="s">
        <v>236</v>
      </c>
      <c r="H538" s="1" t="s">
        <v>2091</v>
      </c>
      <c r="I538" s="1" t="s">
        <v>289</v>
      </c>
      <c r="J538" s="1" t="s">
        <v>310</v>
      </c>
      <c r="K538" s="1" t="n">
        <v>45.99</v>
      </c>
      <c r="L538" s="1" t="n">
        <v>4</v>
      </c>
      <c r="M538" s="1" t="n">
        <v>74</v>
      </c>
      <c r="N538" s="4" t="b">
        <f aca="false">FALSE()</f>
        <v>0</v>
      </c>
      <c r="O538" s="1" t="s">
        <v>468</v>
      </c>
      <c r="P538" s="4" t="b">
        <f aca="false">TRUE()</f>
        <v>1</v>
      </c>
      <c r="Q538" s="1" t="s">
        <v>233</v>
      </c>
      <c r="R538" s="1" t="s">
        <v>1937</v>
      </c>
      <c r="S538" s="1" t="s">
        <v>2092</v>
      </c>
      <c r="T538" s="1" t="s">
        <v>222</v>
      </c>
      <c r="U538" s="1" t="s">
        <v>223</v>
      </c>
    </row>
    <row r="539" customFormat="false" ht="48" hidden="false" customHeight="true" outlineLevel="0" collapsed="false">
      <c r="A539" s="1" t="s">
        <v>43</v>
      </c>
      <c r="B539" s="1" t="s">
        <v>212</v>
      </c>
      <c r="C539" s="1" t="s">
        <v>120</v>
      </c>
      <c r="D539" s="1" t="s">
        <v>1933</v>
      </c>
      <c r="E539" s="1" t="n">
        <v>48</v>
      </c>
      <c r="F539" s="1" t="s">
        <v>2093</v>
      </c>
      <c r="G539" s="1" t="s">
        <v>236</v>
      </c>
      <c r="H539" s="1" t="s">
        <v>2094</v>
      </c>
      <c r="I539" s="1" t="s">
        <v>231</v>
      </c>
      <c r="J539" s="1" t="s">
        <v>310</v>
      </c>
      <c r="K539" s="1" t="n">
        <v>159.99</v>
      </c>
      <c r="L539" s="1" t="n">
        <v>5</v>
      </c>
      <c r="M539" s="1" t="n">
        <v>22</v>
      </c>
      <c r="N539" s="4" t="b">
        <f aca="false">FALSE()</f>
        <v>0</v>
      </c>
      <c r="O539" s="1" t="s">
        <v>2095</v>
      </c>
      <c r="P539" s="4" t="b">
        <f aca="false">TRUE()</f>
        <v>1</v>
      </c>
      <c r="R539" s="1" t="s">
        <v>1937</v>
      </c>
      <c r="S539" s="1" t="s">
        <v>2096</v>
      </c>
      <c r="T539" s="1" t="s">
        <v>222</v>
      </c>
      <c r="U539" s="1" t="s">
        <v>223</v>
      </c>
    </row>
    <row r="540" customFormat="false" ht="48" hidden="false" customHeight="true" outlineLevel="0" collapsed="false">
      <c r="A540" s="1" t="s">
        <v>45</v>
      </c>
      <c r="B540" s="1" t="s">
        <v>2097</v>
      </c>
      <c r="C540" s="1" t="s">
        <v>213</v>
      </c>
      <c r="D540" s="1" t="s">
        <v>214</v>
      </c>
      <c r="E540" s="1" t="n">
        <v>1</v>
      </c>
      <c r="F540" s="1" t="s">
        <v>2098</v>
      </c>
      <c r="G540" s="1" t="s">
        <v>1707</v>
      </c>
      <c r="H540" s="1" t="s">
        <v>2099</v>
      </c>
      <c r="I540" s="1" t="s">
        <v>218</v>
      </c>
      <c r="J540" s="1" t="s">
        <v>219</v>
      </c>
      <c r="K540" s="1" t="n">
        <v>56.65</v>
      </c>
      <c r="L540" s="1" t="n">
        <v>4.4</v>
      </c>
      <c r="M540" s="1" t="n">
        <v>1900</v>
      </c>
      <c r="N540" s="4" t="b">
        <f aca="false">FALSE()</f>
        <v>0</v>
      </c>
      <c r="P540" s="4" t="b">
        <f aca="false">TRUE()</f>
        <v>1</v>
      </c>
      <c r="R540" s="1" t="s">
        <v>2100</v>
      </c>
      <c r="S540" s="1" t="s">
        <v>2101</v>
      </c>
      <c r="T540" s="1" t="s">
        <v>222</v>
      </c>
      <c r="U540" s="1" t="s">
        <v>2102</v>
      </c>
    </row>
    <row r="541" customFormat="false" ht="48" hidden="false" customHeight="true" outlineLevel="0" collapsed="false">
      <c r="A541" s="1" t="s">
        <v>45</v>
      </c>
      <c r="B541" s="1" t="s">
        <v>2097</v>
      </c>
      <c r="C541" s="1" t="s">
        <v>213</v>
      </c>
      <c r="D541" s="1" t="s">
        <v>214</v>
      </c>
      <c r="E541" s="1" t="n">
        <v>2</v>
      </c>
      <c r="F541" s="1" t="s">
        <v>2103</v>
      </c>
      <c r="G541" s="1" t="s">
        <v>1707</v>
      </c>
      <c r="H541" s="1" t="s">
        <v>2104</v>
      </c>
      <c r="I541" s="1" t="s">
        <v>218</v>
      </c>
      <c r="J541" s="1" t="s">
        <v>219</v>
      </c>
      <c r="K541" s="1" t="n">
        <v>38.74</v>
      </c>
      <c r="L541" s="1" t="n">
        <v>4.4</v>
      </c>
      <c r="M541" s="1" t="n">
        <v>1900</v>
      </c>
      <c r="N541" s="4" t="b">
        <f aca="false">FALSE()</f>
        <v>0</v>
      </c>
      <c r="O541" s="1" t="s">
        <v>2105</v>
      </c>
      <c r="P541" s="4" t="b">
        <f aca="false">TRUE()</f>
        <v>1</v>
      </c>
      <c r="R541" s="1" t="s">
        <v>2100</v>
      </c>
      <c r="S541" s="1" t="s">
        <v>2106</v>
      </c>
      <c r="T541" s="1" t="s">
        <v>222</v>
      </c>
      <c r="U541" s="1" t="s">
        <v>2102</v>
      </c>
    </row>
    <row r="542" customFormat="false" ht="48" hidden="false" customHeight="true" outlineLevel="0" collapsed="false">
      <c r="A542" s="1" t="s">
        <v>45</v>
      </c>
      <c r="B542" s="1" t="s">
        <v>2097</v>
      </c>
      <c r="C542" s="1" t="s">
        <v>213</v>
      </c>
      <c r="D542" s="1" t="s">
        <v>214</v>
      </c>
      <c r="E542" s="1" t="n">
        <v>3</v>
      </c>
      <c r="F542" s="1" t="s">
        <v>2107</v>
      </c>
      <c r="G542" s="1" t="s">
        <v>236</v>
      </c>
      <c r="H542" s="1" t="s">
        <v>2108</v>
      </c>
      <c r="I542" s="1" t="s">
        <v>231</v>
      </c>
      <c r="J542" s="1" t="s">
        <v>219</v>
      </c>
      <c r="K542" s="1" t="n">
        <v>48.49</v>
      </c>
      <c r="L542" s="1" t="n">
        <v>4.1</v>
      </c>
      <c r="M542" s="1" t="n">
        <v>121</v>
      </c>
      <c r="N542" s="4" t="b">
        <f aca="false">FALSE()</f>
        <v>0</v>
      </c>
      <c r="P542" s="4" t="b">
        <f aca="false">TRUE()</f>
        <v>1</v>
      </c>
      <c r="R542" s="1" t="s">
        <v>2100</v>
      </c>
      <c r="S542" s="1" t="s">
        <v>2109</v>
      </c>
      <c r="T542" s="1" t="s">
        <v>222</v>
      </c>
      <c r="U542" s="1" t="s">
        <v>2102</v>
      </c>
    </row>
    <row r="543" customFormat="false" ht="48" hidden="false" customHeight="true" outlineLevel="0" collapsed="false">
      <c r="A543" s="1" t="s">
        <v>45</v>
      </c>
      <c r="B543" s="1" t="s">
        <v>2097</v>
      </c>
      <c r="C543" s="1" t="s">
        <v>213</v>
      </c>
      <c r="D543" s="1" t="s">
        <v>214</v>
      </c>
      <c r="E543" s="1" t="n">
        <v>4</v>
      </c>
      <c r="F543" s="1" t="s">
        <v>2110</v>
      </c>
      <c r="G543" s="1" t="s">
        <v>236</v>
      </c>
      <c r="H543" s="1" t="s">
        <v>2111</v>
      </c>
      <c r="I543" s="1" t="s">
        <v>231</v>
      </c>
      <c r="J543" s="1" t="s">
        <v>219</v>
      </c>
      <c r="K543" s="1" t="n">
        <v>138.62</v>
      </c>
      <c r="L543" s="1" t="n">
        <v>4.5</v>
      </c>
      <c r="M543" s="1" t="n">
        <v>671</v>
      </c>
      <c r="N543" s="4" t="b">
        <f aca="false">FALSE()</f>
        <v>0</v>
      </c>
      <c r="P543" s="4" t="b">
        <f aca="false">TRUE()</f>
        <v>1</v>
      </c>
      <c r="R543" s="1" t="s">
        <v>2100</v>
      </c>
      <c r="S543" s="1" t="s">
        <v>2112</v>
      </c>
      <c r="T543" s="1" t="s">
        <v>222</v>
      </c>
      <c r="U543" s="1" t="s">
        <v>2102</v>
      </c>
    </row>
    <row r="544" customFormat="false" ht="48" hidden="false" customHeight="true" outlineLevel="0" collapsed="false">
      <c r="A544" s="1" t="s">
        <v>45</v>
      </c>
      <c r="B544" s="1" t="s">
        <v>2097</v>
      </c>
      <c r="C544" s="1" t="s">
        <v>213</v>
      </c>
      <c r="D544" s="1" t="s">
        <v>214</v>
      </c>
      <c r="E544" s="1" t="n">
        <v>5</v>
      </c>
      <c r="F544" s="1" t="s">
        <v>2113</v>
      </c>
      <c r="G544" s="1" t="s">
        <v>236</v>
      </c>
      <c r="H544" s="1" t="s">
        <v>2114</v>
      </c>
      <c r="I544" s="1" t="s">
        <v>218</v>
      </c>
      <c r="J544" s="1" t="s">
        <v>219</v>
      </c>
      <c r="K544" s="1" t="n">
        <v>120.13</v>
      </c>
      <c r="L544" s="1" t="n">
        <v>4.5</v>
      </c>
      <c r="M544" s="1" t="n">
        <v>407</v>
      </c>
      <c r="N544" s="4" t="b">
        <f aca="false">FALSE()</f>
        <v>0</v>
      </c>
      <c r="P544" s="4" t="b">
        <f aca="false">TRUE()</f>
        <v>1</v>
      </c>
      <c r="R544" s="1" t="s">
        <v>2100</v>
      </c>
      <c r="S544" s="1" t="s">
        <v>2115</v>
      </c>
      <c r="T544" s="1" t="s">
        <v>222</v>
      </c>
      <c r="U544" s="1" t="s">
        <v>2102</v>
      </c>
    </row>
    <row r="545" customFormat="false" ht="48" hidden="false" customHeight="true" outlineLevel="0" collapsed="false">
      <c r="A545" s="1" t="s">
        <v>45</v>
      </c>
      <c r="B545" s="1" t="s">
        <v>2097</v>
      </c>
      <c r="C545" s="1" t="s">
        <v>213</v>
      </c>
      <c r="D545" s="1" t="s">
        <v>214</v>
      </c>
      <c r="E545" s="1" t="n">
        <v>6</v>
      </c>
      <c r="F545" s="1" t="s">
        <v>2116</v>
      </c>
      <c r="G545" s="1" t="s">
        <v>236</v>
      </c>
      <c r="H545" s="1" t="s">
        <v>2117</v>
      </c>
      <c r="I545" s="1" t="s">
        <v>242</v>
      </c>
      <c r="J545" s="1" t="s">
        <v>219</v>
      </c>
      <c r="L545" s="1" t="n">
        <v>4.7</v>
      </c>
      <c r="M545" s="1" t="n">
        <v>7</v>
      </c>
      <c r="N545" s="4" t="b">
        <f aca="false">FALSE()</f>
        <v>0</v>
      </c>
      <c r="P545" s="4" t="b">
        <f aca="false">TRUE()</f>
        <v>1</v>
      </c>
      <c r="R545" s="1" t="s">
        <v>2100</v>
      </c>
      <c r="S545" s="1" t="s">
        <v>2118</v>
      </c>
      <c r="T545" s="1" t="s">
        <v>222</v>
      </c>
      <c r="U545" s="1" t="s">
        <v>2102</v>
      </c>
    </row>
    <row r="546" customFormat="false" ht="48" hidden="false" customHeight="true" outlineLevel="0" collapsed="false">
      <c r="A546" s="1" t="s">
        <v>45</v>
      </c>
      <c r="B546" s="1" t="s">
        <v>2097</v>
      </c>
      <c r="C546" s="1" t="s">
        <v>213</v>
      </c>
      <c r="D546" s="1" t="s">
        <v>214</v>
      </c>
      <c r="E546" s="1" t="n">
        <v>7</v>
      </c>
      <c r="F546" s="1" t="s">
        <v>2119</v>
      </c>
      <c r="G546" s="1" t="s">
        <v>1707</v>
      </c>
      <c r="H546" s="1" t="s">
        <v>2120</v>
      </c>
      <c r="I546" s="1" t="s">
        <v>306</v>
      </c>
      <c r="J546" s="1" t="s">
        <v>219</v>
      </c>
      <c r="K546" s="1" t="n">
        <v>38.76</v>
      </c>
      <c r="L546" s="1" t="n">
        <v>4.4</v>
      </c>
      <c r="M546" s="1" t="n">
        <v>1900</v>
      </c>
      <c r="N546" s="4" t="b">
        <f aca="false">FALSE()</f>
        <v>0</v>
      </c>
      <c r="P546" s="4" t="b">
        <f aca="false">TRUE()</f>
        <v>1</v>
      </c>
      <c r="R546" s="1" t="s">
        <v>2100</v>
      </c>
      <c r="S546" s="1" t="s">
        <v>2121</v>
      </c>
      <c r="T546" s="1" t="s">
        <v>222</v>
      </c>
      <c r="U546" s="1" t="s">
        <v>2102</v>
      </c>
    </row>
    <row r="547" customFormat="false" ht="48" hidden="false" customHeight="true" outlineLevel="0" collapsed="false">
      <c r="A547" s="1" t="s">
        <v>45</v>
      </c>
      <c r="B547" s="1" t="s">
        <v>2097</v>
      </c>
      <c r="C547" s="1" t="s">
        <v>213</v>
      </c>
      <c r="D547" s="1" t="s">
        <v>214</v>
      </c>
      <c r="E547" s="1" t="n">
        <v>8</v>
      </c>
      <c r="F547" s="1" t="s">
        <v>2122</v>
      </c>
      <c r="G547" s="1" t="s">
        <v>236</v>
      </c>
      <c r="H547" s="1" t="s">
        <v>2123</v>
      </c>
      <c r="I547" s="1" t="s">
        <v>242</v>
      </c>
      <c r="J547" s="1" t="s">
        <v>219</v>
      </c>
      <c r="K547" s="1" t="n">
        <v>117.28</v>
      </c>
      <c r="L547" s="1" t="n">
        <v>4.4</v>
      </c>
      <c r="M547" s="1" t="n">
        <v>51</v>
      </c>
      <c r="N547" s="4" t="b">
        <f aca="false">FALSE()</f>
        <v>0</v>
      </c>
      <c r="P547" s="4" t="b">
        <f aca="false">TRUE()</f>
        <v>1</v>
      </c>
      <c r="R547" s="1" t="s">
        <v>2100</v>
      </c>
      <c r="S547" s="1" t="s">
        <v>2124</v>
      </c>
      <c r="T547" s="1" t="s">
        <v>222</v>
      </c>
      <c r="U547" s="1" t="s">
        <v>2102</v>
      </c>
    </row>
    <row r="548" customFormat="false" ht="48" hidden="false" customHeight="true" outlineLevel="0" collapsed="false">
      <c r="A548" s="1" t="s">
        <v>45</v>
      </c>
      <c r="B548" s="1" t="s">
        <v>2097</v>
      </c>
      <c r="C548" s="1" t="s">
        <v>213</v>
      </c>
      <c r="D548" s="1" t="s">
        <v>214</v>
      </c>
      <c r="E548" s="1" t="n">
        <v>9</v>
      </c>
      <c r="F548" s="1" t="s">
        <v>2125</v>
      </c>
      <c r="G548" s="1" t="s">
        <v>236</v>
      </c>
      <c r="H548" s="1" t="s">
        <v>2126</v>
      </c>
      <c r="I548" s="1" t="s">
        <v>289</v>
      </c>
      <c r="J548" s="1" t="s">
        <v>219</v>
      </c>
      <c r="K548" s="1" t="n">
        <v>93.55</v>
      </c>
      <c r="L548" s="1" t="n">
        <v>4.5</v>
      </c>
      <c r="M548" s="1" t="n">
        <v>407</v>
      </c>
      <c r="N548" s="4" t="b">
        <f aca="false">FALSE()</f>
        <v>0</v>
      </c>
      <c r="P548" s="4" t="b">
        <f aca="false">TRUE()</f>
        <v>1</v>
      </c>
      <c r="R548" s="1" t="s">
        <v>2100</v>
      </c>
      <c r="S548" s="1" t="s">
        <v>2127</v>
      </c>
      <c r="T548" s="1" t="s">
        <v>222</v>
      </c>
      <c r="U548" s="1" t="s">
        <v>2102</v>
      </c>
    </row>
    <row r="549" customFormat="false" ht="48" hidden="false" customHeight="true" outlineLevel="0" collapsed="false">
      <c r="A549" s="1" t="s">
        <v>45</v>
      </c>
      <c r="B549" s="1" t="s">
        <v>2097</v>
      </c>
      <c r="C549" s="1" t="s">
        <v>213</v>
      </c>
      <c r="D549" s="1" t="s">
        <v>214</v>
      </c>
      <c r="E549" s="1" t="n">
        <v>10</v>
      </c>
      <c r="F549" s="1" t="s">
        <v>2128</v>
      </c>
      <c r="G549" s="1" t="s">
        <v>236</v>
      </c>
      <c r="H549" s="1" t="s">
        <v>2129</v>
      </c>
      <c r="I549" s="1" t="s">
        <v>231</v>
      </c>
      <c r="J549" s="1" t="s">
        <v>219</v>
      </c>
      <c r="K549" s="1" t="n">
        <v>70.42</v>
      </c>
      <c r="L549" s="1" t="n">
        <v>3.7</v>
      </c>
      <c r="M549" s="1" t="n">
        <v>4</v>
      </c>
      <c r="N549" s="4" t="b">
        <f aca="false">FALSE()</f>
        <v>0</v>
      </c>
      <c r="P549" s="4" t="b">
        <f aca="false">TRUE()</f>
        <v>1</v>
      </c>
      <c r="R549" s="1" t="s">
        <v>2100</v>
      </c>
      <c r="S549" s="1" t="s">
        <v>2130</v>
      </c>
      <c r="T549" s="1" t="s">
        <v>222</v>
      </c>
      <c r="U549" s="1" t="s">
        <v>2102</v>
      </c>
    </row>
    <row r="550" customFormat="false" ht="48" hidden="false" customHeight="true" outlineLevel="0" collapsed="false">
      <c r="A550" s="1" t="s">
        <v>45</v>
      </c>
      <c r="B550" s="1" t="s">
        <v>2097</v>
      </c>
      <c r="C550" s="1" t="s">
        <v>213</v>
      </c>
      <c r="D550" s="1" t="s">
        <v>214</v>
      </c>
      <c r="E550" s="1" t="n">
        <v>11</v>
      </c>
      <c r="F550" s="1" t="s">
        <v>2131</v>
      </c>
      <c r="G550" s="1" t="s">
        <v>471</v>
      </c>
      <c r="H550" s="1" t="s">
        <v>2132</v>
      </c>
      <c r="I550" s="1" t="s">
        <v>289</v>
      </c>
      <c r="J550" s="1" t="s">
        <v>371</v>
      </c>
      <c r="K550" s="1" t="n">
        <v>27.35</v>
      </c>
      <c r="L550" s="1" t="n">
        <v>4.2</v>
      </c>
      <c r="M550" s="1" t="n">
        <v>409</v>
      </c>
      <c r="N550" s="4" t="b">
        <f aca="false">FALSE()</f>
        <v>0</v>
      </c>
      <c r="P550" s="4" t="b">
        <f aca="false">TRUE()</f>
        <v>1</v>
      </c>
      <c r="R550" s="1" t="s">
        <v>2100</v>
      </c>
      <c r="S550" s="1" t="s">
        <v>2133</v>
      </c>
      <c r="T550" s="1" t="s">
        <v>222</v>
      </c>
      <c r="U550" s="1" t="s">
        <v>2102</v>
      </c>
    </row>
    <row r="551" customFormat="false" ht="48" hidden="false" customHeight="true" outlineLevel="0" collapsed="false">
      <c r="A551" s="1" t="s">
        <v>45</v>
      </c>
      <c r="B551" s="1" t="s">
        <v>2097</v>
      </c>
      <c r="C551" s="1" t="s">
        <v>213</v>
      </c>
      <c r="D551" s="1" t="s">
        <v>214</v>
      </c>
      <c r="E551" s="1" t="n">
        <v>12</v>
      </c>
      <c r="F551" s="1" t="s">
        <v>2134</v>
      </c>
      <c r="G551" s="1" t="s">
        <v>236</v>
      </c>
      <c r="H551" s="1" t="s">
        <v>2135</v>
      </c>
      <c r="I551" s="1" t="s">
        <v>289</v>
      </c>
      <c r="J551" s="1" t="s">
        <v>219</v>
      </c>
      <c r="K551" s="1" t="n">
        <v>38.46</v>
      </c>
      <c r="L551" s="1" t="n">
        <v>4.4</v>
      </c>
      <c r="M551" s="1" t="n">
        <v>82</v>
      </c>
      <c r="N551" s="4" t="b">
        <f aca="false">FALSE()</f>
        <v>0</v>
      </c>
      <c r="P551" s="4" t="b">
        <f aca="false">TRUE()</f>
        <v>1</v>
      </c>
      <c r="R551" s="1" t="s">
        <v>2100</v>
      </c>
      <c r="S551" s="1" t="s">
        <v>2136</v>
      </c>
      <c r="T551" s="1" t="s">
        <v>222</v>
      </c>
      <c r="U551" s="1" t="s">
        <v>2102</v>
      </c>
    </row>
    <row r="552" customFormat="false" ht="48" hidden="false" customHeight="true" outlineLevel="0" collapsed="false">
      <c r="A552" s="1" t="s">
        <v>45</v>
      </c>
      <c r="B552" s="1" t="s">
        <v>2097</v>
      </c>
      <c r="C552" s="1" t="s">
        <v>213</v>
      </c>
      <c r="D552" s="1" t="s">
        <v>214</v>
      </c>
      <c r="E552" s="1" t="n">
        <v>13</v>
      </c>
      <c r="F552" s="1" t="s">
        <v>2137</v>
      </c>
      <c r="G552" s="1" t="s">
        <v>236</v>
      </c>
      <c r="H552" s="1" t="s">
        <v>2138</v>
      </c>
      <c r="I552" s="1" t="s">
        <v>218</v>
      </c>
      <c r="J552" s="1" t="s">
        <v>219</v>
      </c>
      <c r="K552" s="1" t="n">
        <v>64.31</v>
      </c>
      <c r="L552" s="1" t="n">
        <v>4.2</v>
      </c>
      <c r="M552" s="1" t="n">
        <v>172</v>
      </c>
      <c r="N552" s="4" t="b">
        <f aca="false">FALSE()</f>
        <v>0</v>
      </c>
      <c r="P552" s="4" t="b">
        <f aca="false">TRUE()</f>
        <v>1</v>
      </c>
      <c r="R552" s="1" t="s">
        <v>2100</v>
      </c>
      <c r="S552" s="1" t="s">
        <v>2139</v>
      </c>
      <c r="T552" s="1" t="s">
        <v>222</v>
      </c>
      <c r="U552" s="1" t="s">
        <v>2102</v>
      </c>
    </row>
    <row r="553" customFormat="false" ht="48" hidden="false" customHeight="true" outlineLevel="0" collapsed="false">
      <c r="A553" s="1" t="s">
        <v>45</v>
      </c>
      <c r="B553" s="1" t="s">
        <v>2097</v>
      </c>
      <c r="C553" s="1" t="s">
        <v>213</v>
      </c>
      <c r="D553" s="1" t="s">
        <v>214</v>
      </c>
      <c r="E553" s="1" t="n">
        <v>14</v>
      </c>
      <c r="F553" s="1" t="s">
        <v>2140</v>
      </c>
      <c r="G553" s="1" t="s">
        <v>471</v>
      </c>
      <c r="H553" s="1" t="s">
        <v>2141</v>
      </c>
      <c r="I553" s="1" t="s">
        <v>218</v>
      </c>
      <c r="J553" s="1" t="s">
        <v>219</v>
      </c>
      <c r="K553" s="1" t="n">
        <v>57.74</v>
      </c>
      <c r="L553" s="1" t="n">
        <v>4.4</v>
      </c>
      <c r="M553" s="1" t="n">
        <v>277</v>
      </c>
      <c r="N553" s="4" t="b">
        <f aca="false">FALSE()</f>
        <v>0</v>
      </c>
      <c r="P553" s="4" t="b">
        <f aca="false">TRUE()</f>
        <v>1</v>
      </c>
      <c r="R553" s="1" t="s">
        <v>2100</v>
      </c>
      <c r="S553" s="1" t="s">
        <v>2142</v>
      </c>
      <c r="T553" s="1" t="s">
        <v>222</v>
      </c>
      <c r="U553" s="1" t="s">
        <v>2102</v>
      </c>
    </row>
    <row r="554" customFormat="false" ht="48" hidden="false" customHeight="true" outlineLevel="0" collapsed="false">
      <c r="A554" s="1" t="s">
        <v>45</v>
      </c>
      <c r="B554" s="1" t="s">
        <v>2097</v>
      </c>
      <c r="C554" s="1" t="s">
        <v>213</v>
      </c>
      <c r="D554" s="1" t="s">
        <v>214</v>
      </c>
      <c r="E554" s="1" t="n">
        <v>15</v>
      </c>
      <c r="F554" s="1" t="s">
        <v>2143</v>
      </c>
      <c r="G554" s="1" t="s">
        <v>351</v>
      </c>
      <c r="H554" s="1" t="s">
        <v>2144</v>
      </c>
      <c r="I554" s="1" t="s">
        <v>242</v>
      </c>
      <c r="J554" s="1" t="s">
        <v>219</v>
      </c>
      <c r="K554" s="1" t="n">
        <v>50.03</v>
      </c>
      <c r="L554" s="1" t="n">
        <v>4.4</v>
      </c>
      <c r="M554" s="1" t="n">
        <v>285</v>
      </c>
      <c r="N554" s="4" t="b">
        <f aca="false">FALSE()</f>
        <v>0</v>
      </c>
      <c r="P554" s="4" t="b">
        <f aca="false">TRUE()</f>
        <v>1</v>
      </c>
      <c r="R554" s="1" t="s">
        <v>2100</v>
      </c>
      <c r="S554" s="1" t="s">
        <v>2145</v>
      </c>
      <c r="T554" s="1" t="s">
        <v>222</v>
      </c>
      <c r="U554" s="1" t="s">
        <v>2102</v>
      </c>
    </row>
    <row r="555" customFormat="false" ht="48" hidden="false" customHeight="true" outlineLevel="0" collapsed="false">
      <c r="A555" s="1" t="s">
        <v>45</v>
      </c>
      <c r="B555" s="1" t="s">
        <v>2097</v>
      </c>
      <c r="C555" s="1" t="s">
        <v>213</v>
      </c>
      <c r="D555" s="1" t="s">
        <v>214</v>
      </c>
      <c r="E555" s="1" t="n">
        <v>16</v>
      </c>
      <c r="F555" s="1" t="s">
        <v>2146</v>
      </c>
      <c r="G555" s="1" t="s">
        <v>236</v>
      </c>
      <c r="H555" s="1" t="s">
        <v>2147</v>
      </c>
      <c r="I555" s="1" t="s">
        <v>231</v>
      </c>
      <c r="J555" s="1" t="s">
        <v>371</v>
      </c>
      <c r="K555" s="1" t="n">
        <v>29.24</v>
      </c>
      <c r="L555" s="1" t="n">
        <v>4.6</v>
      </c>
      <c r="M555" s="1" t="n">
        <v>4200</v>
      </c>
      <c r="N555" s="4" t="b">
        <f aca="false">FALSE()</f>
        <v>0</v>
      </c>
      <c r="P555" s="4" t="b">
        <f aca="false">TRUE()</f>
        <v>1</v>
      </c>
      <c r="R555" s="1" t="s">
        <v>2100</v>
      </c>
      <c r="S555" s="1" t="s">
        <v>2148</v>
      </c>
      <c r="T555" s="1" t="s">
        <v>222</v>
      </c>
      <c r="U555" s="1" t="s">
        <v>2102</v>
      </c>
    </row>
    <row r="556" customFormat="false" ht="48" hidden="false" customHeight="true" outlineLevel="0" collapsed="false">
      <c r="A556" s="1" t="s">
        <v>45</v>
      </c>
      <c r="B556" s="1" t="s">
        <v>2097</v>
      </c>
      <c r="C556" s="1" t="s">
        <v>213</v>
      </c>
      <c r="D556" s="1" t="s">
        <v>214</v>
      </c>
      <c r="E556" s="1" t="n">
        <v>17</v>
      </c>
      <c r="F556" s="1" t="s">
        <v>2149</v>
      </c>
      <c r="G556" s="1" t="s">
        <v>236</v>
      </c>
      <c r="H556" s="1" t="s">
        <v>2150</v>
      </c>
      <c r="I556" s="1" t="s">
        <v>218</v>
      </c>
      <c r="J556" s="1" t="s">
        <v>219</v>
      </c>
      <c r="K556" s="1" t="n">
        <v>48.29</v>
      </c>
      <c r="L556" s="1" t="n">
        <v>4.2</v>
      </c>
      <c r="M556" s="1" t="n">
        <v>204</v>
      </c>
      <c r="N556" s="4" t="b">
        <f aca="false">FALSE()</f>
        <v>0</v>
      </c>
      <c r="P556" s="4" t="b">
        <f aca="false">TRUE()</f>
        <v>1</v>
      </c>
      <c r="R556" s="1" t="s">
        <v>2100</v>
      </c>
      <c r="S556" s="1" t="s">
        <v>2151</v>
      </c>
      <c r="T556" s="1" t="s">
        <v>222</v>
      </c>
      <c r="U556" s="1" t="s">
        <v>2102</v>
      </c>
    </row>
    <row r="557" customFormat="false" ht="48" hidden="false" customHeight="true" outlineLevel="0" collapsed="false">
      <c r="A557" s="1" t="s">
        <v>45</v>
      </c>
      <c r="B557" s="1" t="s">
        <v>2097</v>
      </c>
      <c r="C557" s="1" t="s">
        <v>213</v>
      </c>
      <c r="D557" s="1" t="s">
        <v>214</v>
      </c>
      <c r="E557" s="1" t="n">
        <v>18</v>
      </c>
      <c r="F557" s="1" t="s">
        <v>2152</v>
      </c>
      <c r="G557" s="1" t="s">
        <v>236</v>
      </c>
      <c r="H557" s="1" t="s">
        <v>2153</v>
      </c>
      <c r="I557" s="1" t="s">
        <v>231</v>
      </c>
      <c r="J557" s="1" t="s">
        <v>219</v>
      </c>
      <c r="K557" s="1" t="n">
        <v>129.77</v>
      </c>
      <c r="L557" s="1" t="n">
        <v>4.5</v>
      </c>
      <c r="M557" s="1" t="n">
        <v>494</v>
      </c>
      <c r="N557" s="4" t="b">
        <f aca="false">FALSE()</f>
        <v>0</v>
      </c>
      <c r="P557" s="4" t="b">
        <f aca="false">TRUE()</f>
        <v>1</v>
      </c>
      <c r="R557" s="1" t="s">
        <v>2100</v>
      </c>
      <c r="S557" s="1" t="s">
        <v>2154</v>
      </c>
      <c r="T557" s="1" t="s">
        <v>222</v>
      </c>
      <c r="U557" s="1" t="s">
        <v>2102</v>
      </c>
    </row>
    <row r="558" customFormat="false" ht="48" hidden="false" customHeight="true" outlineLevel="0" collapsed="false">
      <c r="A558" s="1" t="s">
        <v>45</v>
      </c>
      <c r="B558" s="1" t="s">
        <v>2097</v>
      </c>
      <c r="C558" s="1" t="s">
        <v>213</v>
      </c>
      <c r="D558" s="1" t="s">
        <v>214</v>
      </c>
      <c r="E558" s="1" t="n">
        <v>19</v>
      </c>
      <c r="F558" s="1" t="s">
        <v>2155</v>
      </c>
      <c r="G558" s="1" t="s">
        <v>2156</v>
      </c>
      <c r="H558" s="1" t="s">
        <v>2157</v>
      </c>
      <c r="I558" s="1" t="s">
        <v>218</v>
      </c>
      <c r="J558" s="1" t="s">
        <v>219</v>
      </c>
      <c r="K558" s="1" t="n">
        <v>69.13</v>
      </c>
      <c r="L558" s="1" t="n">
        <v>4.3</v>
      </c>
      <c r="M558" s="1" t="n">
        <v>75</v>
      </c>
      <c r="N558" s="4" t="b">
        <f aca="false">FALSE()</f>
        <v>0</v>
      </c>
      <c r="P558" s="4" t="b">
        <f aca="false">TRUE()</f>
        <v>1</v>
      </c>
      <c r="R558" s="1" t="s">
        <v>2100</v>
      </c>
      <c r="S558" s="1" t="s">
        <v>2158</v>
      </c>
      <c r="T558" s="1" t="s">
        <v>222</v>
      </c>
      <c r="U558" s="1" t="s">
        <v>2102</v>
      </c>
    </row>
    <row r="559" customFormat="false" ht="48" hidden="false" customHeight="true" outlineLevel="0" collapsed="false">
      <c r="A559" s="1" t="s">
        <v>45</v>
      </c>
      <c r="B559" s="1" t="s">
        <v>2097</v>
      </c>
      <c r="C559" s="1" t="s">
        <v>213</v>
      </c>
      <c r="D559" s="1" t="s">
        <v>214</v>
      </c>
      <c r="E559" s="1" t="n">
        <v>20</v>
      </c>
      <c r="F559" s="1" t="s">
        <v>2159</v>
      </c>
      <c r="G559" s="1" t="s">
        <v>236</v>
      </c>
      <c r="H559" s="1" t="s">
        <v>2160</v>
      </c>
      <c r="I559" s="1" t="s">
        <v>231</v>
      </c>
      <c r="J559" s="1" t="s">
        <v>219</v>
      </c>
      <c r="K559" s="1" t="n">
        <v>28.81</v>
      </c>
      <c r="L559" s="1" t="n">
        <v>4.3</v>
      </c>
      <c r="M559" s="1" t="n">
        <v>150</v>
      </c>
      <c r="N559" s="4" t="b">
        <f aca="false">FALSE()</f>
        <v>0</v>
      </c>
      <c r="P559" s="4" t="b">
        <f aca="false">TRUE()</f>
        <v>1</v>
      </c>
      <c r="R559" s="1" t="s">
        <v>2100</v>
      </c>
      <c r="S559" s="1" t="s">
        <v>2161</v>
      </c>
      <c r="T559" s="1" t="s">
        <v>222</v>
      </c>
      <c r="U559" s="1" t="s">
        <v>2102</v>
      </c>
    </row>
    <row r="560" customFormat="false" ht="48" hidden="false" customHeight="true" outlineLevel="0" collapsed="false">
      <c r="A560" s="1" t="s">
        <v>45</v>
      </c>
      <c r="B560" s="1" t="s">
        <v>2097</v>
      </c>
      <c r="C560" s="1" t="s">
        <v>213</v>
      </c>
      <c r="D560" s="1" t="s">
        <v>214</v>
      </c>
      <c r="E560" s="1" t="n">
        <v>21</v>
      </c>
      <c r="F560" s="1" t="s">
        <v>2162</v>
      </c>
      <c r="G560" s="1" t="s">
        <v>236</v>
      </c>
      <c r="H560" s="1" t="s">
        <v>2163</v>
      </c>
      <c r="I560" s="1" t="s">
        <v>231</v>
      </c>
      <c r="J560" s="1" t="s">
        <v>219</v>
      </c>
      <c r="K560" s="1" t="n">
        <v>87.97</v>
      </c>
      <c r="L560" s="1" t="n">
        <v>4.3</v>
      </c>
      <c r="M560" s="1" t="n">
        <v>16</v>
      </c>
      <c r="N560" s="4" t="b">
        <f aca="false">FALSE()</f>
        <v>0</v>
      </c>
      <c r="P560" s="4" t="b">
        <f aca="false">TRUE()</f>
        <v>1</v>
      </c>
      <c r="R560" s="1" t="s">
        <v>2100</v>
      </c>
      <c r="S560" s="1" t="s">
        <v>2164</v>
      </c>
      <c r="T560" s="1" t="s">
        <v>222</v>
      </c>
      <c r="U560" s="1" t="s">
        <v>2102</v>
      </c>
    </row>
    <row r="561" customFormat="false" ht="48" hidden="false" customHeight="true" outlineLevel="0" collapsed="false">
      <c r="A561" s="1" t="s">
        <v>45</v>
      </c>
      <c r="B561" s="1" t="s">
        <v>2097</v>
      </c>
      <c r="C561" s="1" t="s">
        <v>213</v>
      </c>
      <c r="D561" s="1" t="s">
        <v>214</v>
      </c>
      <c r="E561" s="1" t="n">
        <v>22</v>
      </c>
      <c r="F561" s="1" t="s">
        <v>2165</v>
      </c>
      <c r="G561" s="1" t="s">
        <v>236</v>
      </c>
      <c r="H561" s="1" t="s">
        <v>2166</v>
      </c>
      <c r="I561" s="1" t="s">
        <v>231</v>
      </c>
      <c r="J561" s="1" t="s">
        <v>219</v>
      </c>
      <c r="K561" s="1" t="n">
        <v>101.23</v>
      </c>
      <c r="L561" s="1" t="n">
        <v>4.2</v>
      </c>
      <c r="M561" s="1" t="n">
        <v>22</v>
      </c>
      <c r="N561" s="4" t="b">
        <f aca="false">FALSE()</f>
        <v>0</v>
      </c>
      <c r="P561" s="4" t="b">
        <f aca="false">TRUE()</f>
        <v>1</v>
      </c>
      <c r="R561" s="1" t="s">
        <v>2100</v>
      </c>
      <c r="S561" s="1" t="s">
        <v>2167</v>
      </c>
      <c r="T561" s="1" t="s">
        <v>222</v>
      </c>
      <c r="U561" s="1" t="s">
        <v>2102</v>
      </c>
    </row>
    <row r="562" customFormat="false" ht="48" hidden="false" customHeight="true" outlineLevel="0" collapsed="false">
      <c r="A562" s="1" t="s">
        <v>45</v>
      </c>
      <c r="B562" s="1" t="s">
        <v>2097</v>
      </c>
      <c r="C562" s="1" t="s">
        <v>213</v>
      </c>
      <c r="D562" s="1" t="s">
        <v>214</v>
      </c>
      <c r="E562" s="1" t="n">
        <v>23</v>
      </c>
      <c r="F562" s="1" t="s">
        <v>2168</v>
      </c>
      <c r="G562" s="1" t="s">
        <v>236</v>
      </c>
      <c r="H562" s="1" t="s">
        <v>2169</v>
      </c>
      <c r="I562" s="1" t="s">
        <v>231</v>
      </c>
      <c r="J562" s="1" t="s">
        <v>219</v>
      </c>
      <c r="K562" s="1" t="n">
        <v>31.44</v>
      </c>
      <c r="L562" s="1" t="n">
        <v>4.5</v>
      </c>
      <c r="M562" s="1" t="n">
        <v>324</v>
      </c>
      <c r="N562" s="4" t="b">
        <f aca="false">FALSE()</f>
        <v>0</v>
      </c>
      <c r="P562" s="4" t="b">
        <f aca="false">TRUE()</f>
        <v>1</v>
      </c>
      <c r="R562" s="1" t="s">
        <v>2100</v>
      </c>
      <c r="S562" s="1" t="s">
        <v>2170</v>
      </c>
      <c r="T562" s="1" t="s">
        <v>222</v>
      </c>
      <c r="U562" s="1" t="s">
        <v>2102</v>
      </c>
    </row>
    <row r="563" customFormat="false" ht="48" hidden="false" customHeight="true" outlineLevel="0" collapsed="false">
      <c r="A563" s="1" t="s">
        <v>45</v>
      </c>
      <c r="B563" s="1" t="s">
        <v>2097</v>
      </c>
      <c r="C563" s="1" t="s">
        <v>213</v>
      </c>
      <c r="D563" s="1" t="s">
        <v>214</v>
      </c>
      <c r="E563" s="1" t="n">
        <v>24</v>
      </c>
      <c r="F563" s="1" t="s">
        <v>2171</v>
      </c>
      <c r="G563" s="1" t="s">
        <v>236</v>
      </c>
      <c r="H563" s="1" t="s">
        <v>2172</v>
      </c>
      <c r="I563" s="1" t="s">
        <v>289</v>
      </c>
      <c r="J563" s="1" t="s">
        <v>219</v>
      </c>
      <c r="K563" s="1" t="n">
        <v>29.18</v>
      </c>
      <c r="L563" s="1" t="n">
        <v>3.9</v>
      </c>
      <c r="M563" s="1" t="n">
        <v>80</v>
      </c>
      <c r="N563" s="4" t="b">
        <f aca="false">FALSE()</f>
        <v>0</v>
      </c>
      <c r="P563" s="4" t="b">
        <f aca="false">TRUE()</f>
        <v>1</v>
      </c>
      <c r="R563" s="1" t="s">
        <v>2100</v>
      </c>
      <c r="S563" s="1" t="s">
        <v>2173</v>
      </c>
      <c r="T563" s="1" t="s">
        <v>222</v>
      </c>
      <c r="U563" s="1" t="s">
        <v>2102</v>
      </c>
    </row>
    <row r="564" customFormat="false" ht="48" hidden="false" customHeight="true" outlineLevel="0" collapsed="false">
      <c r="A564" s="1" t="s">
        <v>45</v>
      </c>
      <c r="B564" s="1" t="s">
        <v>2097</v>
      </c>
      <c r="C564" s="1" t="s">
        <v>213</v>
      </c>
      <c r="D564" s="1" t="s">
        <v>214</v>
      </c>
      <c r="E564" s="1" t="n">
        <v>25</v>
      </c>
      <c r="F564" s="1" t="s">
        <v>2174</v>
      </c>
      <c r="G564" s="1" t="s">
        <v>225</v>
      </c>
      <c r="H564" s="1" t="s">
        <v>2175</v>
      </c>
      <c r="I564" s="1" t="s">
        <v>218</v>
      </c>
      <c r="J564" s="1" t="s">
        <v>219</v>
      </c>
      <c r="K564" s="1" t="n">
        <v>101.53</v>
      </c>
      <c r="L564" s="1" t="n">
        <v>4.2</v>
      </c>
      <c r="M564" s="1" t="n">
        <v>79</v>
      </c>
      <c r="N564" s="4" t="b">
        <f aca="false">FALSE()</f>
        <v>0</v>
      </c>
      <c r="P564" s="4" t="b">
        <f aca="false">TRUE()</f>
        <v>1</v>
      </c>
      <c r="R564" s="1" t="s">
        <v>2100</v>
      </c>
      <c r="S564" s="1" t="s">
        <v>2176</v>
      </c>
      <c r="T564" s="1" t="s">
        <v>222</v>
      </c>
      <c r="U564" s="1" t="s">
        <v>2102</v>
      </c>
    </row>
    <row r="565" customFormat="false" ht="48" hidden="false" customHeight="true" outlineLevel="0" collapsed="false">
      <c r="A565" s="1" t="s">
        <v>45</v>
      </c>
      <c r="B565" s="1" t="s">
        <v>2097</v>
      </c>
      <c r="C565" s="1" t="s">
        <v>213</v>
      </c>
      <c r="D565" s="1" t="s">
        <v>214</v>
      </c>
      <c r="E565" s="1" t="n">
        <v>26</v>
      </c>
      <c r="F565" s="1" t="s">
        <v>2177</v>
      </c>
      <c r="G565" s="1" t="s">
        <v>236</v>
      </c>
      <c r="H565" s="1" t="s">
        <v>2178</v>
      </c>
      <c r="I565" s="1" t="s">
        <v>231</v>
      </c>
      <c r="J565" s="1" t="s">
        <v>219</v>
      </c>
      <c r="K565" s="1" t="n">
        <v>87.99</v>
      </c>
      <c r="L565" s="1" t="n">
        <v>4.5</v>
      </c>
      <c r="M565" s="1" t="n">
        <v>548</v>
      </c>
      <c r="N565" s="4" t="b">
        <f aca="false">FALSE()</f>
        <v>0</v>
      </c>
      <c r="P565" s="4" t="b">
        <f aca="false">TRUE()</f>
        <v>1</v>
      </c>
      <c r="R565" s="1" t="s">
        <v>2100</v>
      </c>
      <c r="S565" s="1" t="s">
        <v>2179</v>
      </c>
      <c r="T565" s="1" t="s">
        <v>222</v>
      </c>
      <c r="U565" s="1" t="s">
        <v>2102</v>
      </c>
    </row>
    <row r="566" customFormat="false" ht="48" hidden="false" customHeight="true" outlineLevel="0" collapsed="false">
      <c r="A566" s="1" t="s">
        <v>45</v>
      </c>
      <c r="B566" s="1" t="s">
        <v>2097</v>
      </c>
      <c r="C566" s="1" t="s">
        <v>213</v>
      </c>
      <c r="D566" s="1" t="s">
        <v>214</v>
      </c>
      <c r="E566" s="1" t="n">
        <v>27</v>
      </c>
      <c r="F566" s="1" t="s">
        <v>2180</v>
      </c>
      <c r="G566" s="1" t="s">
        <v>236</v>
      </c>
      <c r="H566" s="1" t="s">
        <v>2181</v>
      </c>
      <c r="I566" s="1" t="s">
        <v>218</v>
      </c>
      <c r="J566" s="1" t="s">
        <v>219</v>
      </c>
      <c r="K566" s="1" t="n">
        <v>253.73</v>
      </c>
      <c r="L566" s="1" t="n">
        <v>4.2</v>
      </c>
      <c r="M566" s="1" t="n">
        <v>186</v>
      </c>
      <c r="N566" s="4" t="b">
        <f aca="false">FALSE()</f>
        <v>0</v>
      </c>
      <c r="P566" s="4" t="b">
        <f aca="false">TRUE()</f>
        <v>1</v>
      </c>
      <c r="R566" s="1" t="s">
        <v>2100</v>
      </c>
      <c r="S566" s="1" t="s">
        <v>2182</v>
      </c>
      <c r="T566" s="1" t="s">
        <v>222</v>
      </c>
      <c r="U566" s="1" t="s">
        <v>2102</v>
      </c>
    </row>
    <row r="567" customFormat="false" ht="48" hidden="false" customHeight="true" outlineLevel="0" collapsed="false">
      <c r="A567" s="1" t="s">
        <v>45</v>
      </c>
      <c r="B567" s="1" t="s">
        <v>2097</v>
      </c>
      <c r="C567" s="1" t="s">
        <v>213</v>
      </c>
      <c r="D567" s="1" t="s">
        <v>214</v>
      </c>
      <c r="E567" s="1" t="n">
        <v>28</v>
      </c>
      <c r="F567" s="1" t="s">
        <v>2183</v>
      </c>
      <c r="G567" s="1" t="s">
        <v>236</v>
      </c>
      <c r="H567" s="1" t="s">
        <v>2184</v>
      </c>
      <c r="I567" s="1" t="s">
        <v>218</v>
      </c>
      <c r="J567" s="1" t="s">
        <v>219</v>
      </c>
      <c r="K567" s="1" t="n">
        <v>88.92</v>
      </c>
      <c r="L567" s="1" t="n">
        <v>5</v>
      </c>
      <c r="M567" s="1" t="n">
        <v>1</v>
      </c>
      <c r="N567" s="4" t="b">
        <f aca="false">FALSE()</f>
        <v>0</v>
      </c>
      <c r="P567" s="4" t="b">
        <f aca="false">TRUE()</f>
        <v>1</v>
      </c>
      <c r="R567" s="1" t="s">
        <v>2100</v>
      </c>
      <c r="S567" s="1" t="s">
        <v>2185</v>
      </c>
      <c r="T567" s="1" t="s">
        <v>222</v>
      </c>
      <c r="U567" s="1" t="s">
        <v>2102</v>
      </c>
    </row>
    <row r="568" customFormat="false" ht="48" hidden="false" customHeight="true" outlineLevel="0" collapsed="false">
      <c r="A568" s="1" t="s">
        <v>45</v>
      </c>
      <c r="B568" s="1" t="s">
        <v>2097</v>
      </c>
      <c r="C568" s="1" t="s">
        <v>213</v>
      </c>
      <c r="D568" s="1" t="s">
        <v>214</v>
      </c>
      <c r="E568" s="1" t="n">
        <v>29</v>
      </c>
      <c r="F568" s="1" t="s">
        <v>2186</v>
      </c>
      <c r="G568" s="1" t="s">
        <v>236</v>
      </c>
      <c r="H568" s="1" t="s">
        <v>2187</v>
      </c>
      <c r="I568" s="1" t="s">
        <v>242</v>
      </c>
      <c r="J568" s="1" t="s">
        <v>219</v>
      </c>
      <c r="K568" s="1" t="n">
        <v>69.38</v>
      </c>
      <c r="L568" s="1" t="n">
        <v>4.3</v>
      </c>
      <c r="M568" s="1" t="n">
        <v>60</v>
      </c>
      <c r="N568" s="4" t="b">
        <f aca="false">FALSE()</f>
        <v>0</v>
      </c>
      <c r="P568" s="4" t="b">
        <f aca="false">TRUE()</f>
        <v>1</v>
      </c>
      <c r="R568" s="1" t="s">
        <v>2100</v>
      </c>
      <c r="S568" s="1" t="s">
        <v>2188</v>
      </c>
      <c r="T568" s="1" t="s">
        <v>222</v>
      </c>
      <c r="U568" s="1" t="s">
        <v>2102</v>
      </c>
    </row>
    <row r="569" customFormat="false" ht="48" hidden="false" customHeight="true" outlineLevel="0" collapsed="false">
      <c r="A569" s="1" t="s">
        <v>45</v>
      </c>
      <c r="B569" s="1" t="s">
        <v>2097</v>
      </c>
      <c r="C569" s="1" t="s">
        <v>213</v>
      </c>
      <c r="D569" s="1" t="s">
        <v>214</v>
      </c>
      <c r="E569" s="1" t="n">
        <v>30</v>
      </c>
      <c r="F569" s="1" t="s">
        <v>2189</v>
      </c>
      <c r="G569" s="1" t="s">
        <v>236</v>
      </c>
      <c r="H569" s="1" t="s">
        <v>2190</v>
      </c>
      <c r="I569" s="1" t="s">
        <v>231</v>
      </c>
      <c r="J569" s="1" t="s">
        <v>219</v>
      </c>
      <c r="K569" s="1" t="n">
        <v>116.86</v>
      </c>
      <c r="L569" s="1" t="n">
        <v>4.4</v>
      </c>
      <c r="M569" s="1" t="n">
        <v>516</v>
      </c>
      <c r="N569" s="4" t="b">
        <f aca="false">FALSE()</f>
        <v>0</v>
      </c>
      <c r="P569" s="4" t="b">
        <f aca="false">TRUE()</f>
        <v>1</v>
      </c>
      <c r="R569" s="1" t="s">
        <v>2100</v>
      </c>
      <c r="S569" s="1" t="s">
        <v>2191</v>
      </c>
      <c r="T569" s="1" t="s">
        <v>222</v>
      </c>
      <c r="U569" s="1" t="s">
        <v>2102</v>
      </c>
    </row>
    <row r="570" customFormat="false" ht="48" hidden="false" customHeight="true" outlineLevel="0" collapsed="false">
      <c r="A570" s="1" t="s">
        <v>45</v>
      </c>
      <c r="B570" s="1" t="s">
        <v>2097</v>
      </c>
      <c r="C570" s="1" t="s">
        <v>213</v>
      </c>
      <c r="D570" s="1" t="s">
        <v>214</v>
      </c>
      <c r="E570" s="1" t="n">
        <v>31</v>
      </c>
      <c r="F570" s="1" t="s">
        <v>2192</v>
      </c>
      <c r="G570" s="1" t="s">
        <v>236</v>
      </c>
      <c r="H570" s="1" t="s">
        <v>2193</v>
      </c>
      <c r="I570" s="1" t="s">
        <v>218</v>
      </c>
      <c r="J570" s="1" t="s">
        <v>219</v>
      </c>
      <c r="K570" s="1" t="n">
        <v>53.83</v>
      </c>
      <c r="L570" s="1" t="n">
        <v>4.5</v>
      </c>
      <c r="M570" s="1" t="n">
        <v>1000</v>
      </c>
      <c r="N570" s="4" t="b">
        <f aca="false">FALSE()</f>
        <v>0</v>
      </c>
      <c r="P570" s="4" t="b">
        <f aca="false">TRUE()</f>
        <v>1</v>
      </c>
      <c r="R570" s="1" t="s">
        <v>2100</v>
      </c>
      <c r="S570" s="1" t="s">
        <v>2194</v>
      </c>
      <c r="T570" s="1" t="s">
        <v>222</v>
      </c>
      <c r="U570" s="1" t="s">
        <v>2102</v>
      </c>
    </row>
    <row r="571" customFormat="false" ht="48" hidden="false" customHeight="true" outlineLevel="0" collapsed="false">
      <c r="A571" s="1" t="s">
        <v>45</v>
      </c>
      <c r="B571" s="1" t="s">
        <v>2097</v>
      </c>
      <c r="C571" s="1" t="s">
        <v>213</v>
      </c>
      <c r="D571" s="1" t="s">
        <v>214</v>
      </c>
      <c r="E571" s="1" t="n">
        <v>32</v>
      </c>
      <c r="F571" s="1" t="s">
        <v>2195</v>
      </c>
      <c r="G571" s="1" t="s">
        <v>236</v>
      </c>
      <c r="H571" s="1" t="s">
        <v>2196</v>
      </c>
      <c r="I571" s="1" t="s">
        <v>378</v>
      </c>
      <c r="J571" s="1" t="s">
        <v>219</v>
      </c>
      <c r="K571" s="1" t="n">
        <v>141.78</v>
      </c>
      <c r="L571" s="1" t="n">
        <v>4.5</v>
      </c>
      <c r="M571" s="1" t="n">
        <v>1900</v>
      </c>
      <c r="N571" s="4" t="b">
        <f aca="false">FALSE()</f>
        <v>0</v>
      </c>
      <c r="P571" s="4" t="b">
        <f aca="false">TRUE()</f>
        <v>1</v>
      </c>
      <c r="R571" s="1" t="s">
        <v>2100</v>
      </c>
      <c r="S571" s="1" t="s">
        <v>2197</v>
      </c>
      <c r="T571" s="1" t="s">
        <v>222</v>
      </c>
      <c r="U571" s="1" t="s">
        <v>2102</v>
      </c>
    </row>
    <row r="572" customFormat="false" ht="48" hidden="false" customHeight="true" outlineLevel="0" collapsed="false">
      <c r="A572" s="1" t="s">
        <v>45</v>
      </c>
      <c r="B572" s="1" t="s">
        <v>2097</v>
      </c>
      <c r="C572" s="1" t="s">
        <v>213</v>
      </c>
      <c r="D572" s="1" t="s">
        <v>214</v>
      </c>
      <c r="E572" s="1" t="n">
        <v>33</v>
      </c>
      <c r="F572" s="1" t="s">
        <v>2198</v>
      </c>
      <c r="G572" s="1" t="s">
        <v>236</v>
      </c>
      <c r="H572" s="1" t="s">
        <v>2199</v>
      </c>
      <c r="I572" s="1" t="s">
        <v>231</v>
      </c>
      <c r="J572" s="1" t="s">
        <v>219</v>
      </c>
      <c r="K572" s="1" t="n">
        <v>77.17</v>
      </c>
      <c r="L572" s="1" t="n">
        <v>4.4</v>
      </c>
      <c r="M572" s="1" t="n">
        <v>37</v>
      </c>
      <c r="N572" s="4" t="b">
        <f aca="false">FALSE()</f>
        <v>0</v>
      </c>
      <c r="P572" s="4" t="b">
        <f aca="false">TRUE()</f>
        <v>1</v>
      </c>
      <c r="R572" s="1" t="s">
        <v>2100</v>
      </c>
      <c r="S572" s="1" t="s">
        <v>2200</v>
      </c>
      <c r="T572" s="1" t="s">
        <v>222</v>
      </c>
      <c r="U572" s="1" t="s">
        <v>2102</v>
      </c>
    </row>
    <row r="573" customFormat="false" ht="48" hidden="false" customHeight="true" outlineLevel="0" collapsed="false">
      <c r="A573" s="1" t="s">
        <v>45</v>
      </c>
      <c r="B573" s="1" t="s">
        <v>2097</v>
      </c>
      <c r="C573" s="1" t="s">
        <v>213</v>
      </c>
      <c r="D573" s="1" t="s">
        <v>214</v>
      </c>
      <c r="E573" s="1" t="n">
        <v>34</v>
      </c>
      <c r="F573" s="1" t="s">
        <v>2201</v>
      </c>
      <c r="G573" s="1" t="s">
        <v>236</v>
      </c>
      <c r="H573" s="1" t="s">
        <v>2202</v>
      </c>
      <c r="I573" s="1" t="s">
        <v>218</v>
      </c>
      <c r="J573" s="1" t="s">
        <v>219</v>
      </c>
      <c r="K573" s="1" t="n">
        <v>49.28</v>
      </c>
      <c r="L573" s="1" t="n">
        <v>4.2</v>
      </c>
      <c r="M573" s="1" t="n">
        <v>33</v>
      </c>
      <c r="N573" s="4" t="b">
        <f aca="false">FALSE()</f>
        <v>0</v>
      </c>
      <c r="P573" s="4" t="b">
        <f aca="false">TRUE()</f>
        <v>1</v>
      </c>
      <c r="R573" s="1" t="s">
        <v>2100</v>
      </c>
      <c r="S573" s="1" t="s">
        <v>2203</v>
      </c>
      <c r="T573" s="1" t="s">
        <v>222</v>
      </c>
      <c r="U573" s="1" t="s">
        <v>2102</v>
      </c>
    </row>
    <row r="574" customFormat="false" ht="48" hidden="false" customHeight="true" outlineLevel="0" collapsed="false">
      <c r="A574" s="1" t="s">
        <v>45</v>
      </c>
      <c r="B574" s="1" t="s">
        <v>2097</v>
      </c>
      <c r="C574" s="1" t="s">
        <v>213</v>
      </c>
      <c r="D574" s="1" t="s">
        <v>214</v>
      </c>
      <c r="E574" s="1" t="n">
        <v>35</v>
      </c>
      <c r="F574" s="1" t="s">
        <v>2204</v>
      </c>
      <c r="G574" s="1" t="s">
        <v>236</v>
      </c>
      <c r="H574" s="1" t="s">
        <v>2205</v>
      </c>
      <c r="I574" s="1" t="s">
        <v>306</v>
      </c>
      <c r="J574" s="1" t="s">
        <v>219</v>
      </c>
      <c r="K574" s="1" t="n">
        <v>60.82</v>
      </c>
      <c r="L574" s="1" t="n">
        <v>5</v>
      </c>
      <c r="M574" s="1" t="n">
        <v>5</v>
      </c>
      <c r="N574" s="4" t="b">
        <f aca="false">FALSE()</f>
        <v>0</v>
      </c>
      <c r="P574" s="4" t="b">
        <f aca="false">TRUE()</f>
        <v>1</v>
      </c>
      <c r="R574" s="1" t="s">
        <v>2100</v>
      </c>
      <c r="S574" s="1" t="s">
        <v>2206</v>
      </c>
      <c r="T574" s="1" t="s">
        <v>222</v>
      </c>
      <c r="U574" s="1" t="s">
        <v>2102</v>
      </c>
    </row>
    <row r="575" customFormat="false" ht="48" hidden="false" customHeight="true" outlineLevel="0" collapsed="false">
      <c r="A575" s="1" t="s">
        <v>45</v>
      </c>
      <c r="B575" s="1" t="s">
        <v>2097</v>
      </c>
      <c r="C575" s="1" t="s">
        <v>213</v>
      </c>
      <c r="D575" s="1" t="s">
        <v>214</v>
      </c>
      <c r="E575" s="1" t="n">
        <v>36</v>
      </c>
      <c r="F575" s="1" t="s">
        <v>2207</v>
      </c>
      <c r="G575" s="1" t="s">
        <v>236</v>
      </c>
      <c r="H575" s="1" t="s">
        <v>2208</v>
      </c>
      <c r="I575" s="1" t="s">
        <v>289</v>
      </c>
      <c r="J575" s="1" t="s">
        <v>219</v>
      </c>
      <c r="K575" s="1" t="n">
        <v>43.09</v>
      </c>
      <c r="L575" s="1" t="n">
        <v>4.2</v>
      </c>
      <c r="M575" s="1" t="n">
        <v>79</v>
      </c>
      <c r="N575" s="4" t="b">
        <f aca="false">FALSE()</f>
        <v>0</v>
      </c>
      <c r="P575" s="4" t="b">
        <f aca="false">TRUE()</f>
        <v>1</v>
      </c>
      <c r="R575" s="1" t="s">
        <v>2100</v>
      </c>
      <c r="S575" s="1" t="s">
        <v>2209</v>
      </c>
      <c r="T575" s="1" t="s">
        <v>222</v>
      </c>
      <c r="U575" s="1" t="s">
        <v>2102</v>
      </c>
    </row>
    <row r="576" customFormat="false" ht="48" hidden="false" customHeight="true" outlineLevel="0" collapsed="false">
      <c r="A576" s="1" t="s">
        <v>45</v>
      </c>
      <c r="B576" s="1" t="s">
        <v>2097</v>
      </c>
      <c r="C576" s="1" t="s">
        <v>213</v>
      </c>
      <c r="D576" s="1" t="s">
        <v>214</v>
      </c>
      <c r="E576" s="1" t="n">
        <v>37</v>
      </c>
      <c r="F576" s="1" t="s">
        <v>224</v>
      </c>
      <c r="G576" s="1" t="s">
        <v>225</v>
      </c>
      <c r="H576" s="1" t="s">
        <v>2210</v>
      </c>
      <c r="I576" s="1" t="s">
        <v>218</v>
      </c>
      <c r="J576" s="1" t="s">
        <v>219</v>
      </c>
      <c r="K576" s="1" t="n">
        <v>99.77</v>
      </c>
      <c r="L576" s="1" t="n">
        <v>4.5</v>
      </c>
      <c r="M576" s="1" t="n">
        <v>168</v>
      </c>
      <c r="N576" s="4" t="b">
        <f aca="false">FALSE()</f>
        <v>0</v>
      </c>
      <c r="P576" s="4" t="b">
        <f aca="false">TRUE()</f>
        <v>1</v>
      </c>
      <c r="R576" s="1" t="s">
        <v>2100</v>
      </c>
      <c r="S576" s="1" t="s">
        <v>2211</v>
      </c>
      <c r="T576" s="1" t="s">
        <v>222</v>
      </c>
      <c r="U576" s="1" t="s">
        <v>2102</v>
      </c>
    </row>
    <row r="577" customFormat="false" ht="48" hidden="false" customHeight="true" outlineLevel="0" collapsed="false">
      <c r="A577" s="1" t="s">
        <v>45</v>
      </c>
      <c r="B577" s="1" t="s">
        <v>2097</v>
      </c>
      <c r="C577" s="1" t="s">
        <v>213</v>
      </c>
      <c r="D577" s="1" t="s">
        <v>214</v>
      </c>
      <c r="E577" s="1" t="n">
        <v>38</v>
      </c>
      <c r="F577" s="1" t="s">
        <v>2212</v>
      </c>
      <c r="G577" s="1" t="s">
        <v>236</v>
      </c>
      <c r="H577" s="1" t="s">
        <v>2213</v>
      </c>
      <c r="I577" s="1" t="s">
        <v>231</v>
      </c>
      <c r="J577" s="1" t="s">
        <v>219</v>
      </c>
      <c r="K577" s="1" t="n">
        <v>99.24</v>
      </c>
      <c r="L577" s="1" t="n">
        <v>4.6</v>
      </c>
      <c r="M577" s="1" t="n">
        <v>3</v>
      </c>
      <c r="N577" s="4" t="b">
        <f aca="false">FALSE()</f>
        <v>0</v>
      </c>
      <c r="P577" s="4" t="b">
        <f aca="false">TRUE()</f>
        <v>1</v>
      </c>
      <c r="R577" s="1" t="s">
        <v>2100</v>
      </c>
      <c r="S577" s="1" t="s">
        <v>2214</v>
      </c>
      <c r="T577" s="1" t="s">
        <v>222</v>
      </c>
      <c r="U577" s="1" t="s">
        <v>2102</v>
      </c>
    </row>
    <row r="578" customFormat="false" ht="48" hidden="false" customHeight="true" outlineLevel="0" collapsed="false">
      <c r="A578" s="1" t="s">
        <v>45</v>
      </c>
      <c r="B578" s="1" t="s">
        <v>2097</v>
      </c>
      <c r="C578" s="1" t="s">
        <v>213</v>
      </c>
      <c r="D578" s="1" t="s">
        <v>214</v>
      </c>
      <c r="E578" s="1" t="n">
        <v>39</v>
      </c>
      <c r="F578" s="1" t="s">
        <v>2215</v>
      </c>
      <c r="G578" s="1" t="s">
        <v>236</v>
      </c>
      <c r="H578" s="1" t="s">
        <v>2216</v>
      </c>
      <c r="I578" s="1" t="s">
        <v>218</v>
      </c>
      <c r="J578" s="1" t="s">
        <v>219</v>
      </c>
      <c r="K578" s="1" t="n">
        <v>82.27</v>
      </c>
      <c r="L578" s="1" t="n">
        <v>4.4</v>
      </c>
      <c r="M578" s="1" t="n">
        <v>1400</v>
      </c>
      <c r="N578" s="4" t="b">
        <f aca="false">FALSE()</f>
        <v>0</v>
      </c>
      <c r="P578" s="4" t="b">
        <f aca="false">TRUE()</f>
        <v>1</v>
      </c>
      <c r="R578" s="1" t="s">
        <v>2100</v>
      </c>
      <c r="S578" s="1" t="s">
        <v>2217</v>
      </c>
      <c r="T578" s="1" t="s">
        <v>222</v>
      </c>
      <c r="U578" s="1" t="s">
        <v>2102</v>
      </c>
    </row>
    <row r="579" customFormat="false" ht="48" hidden="false" customHeight="true" outlineLevel="0" collapsed="false">
      <c r="A579" s="1" t="s">
        <v>45</v>
      </c>
      <c r="B579" s="1" t="s">
        <v>2097</v>
      </c>
      <c r="C579" s="1" t="s">
        <v>213</v>
      </c>
      <c r="D579" s="1" t="s">
        <v>214</v>
      </c>
      <c r="E579" s="1" t="n">
        <v>40</v>
      </c>
      <c r="F579" s="1" t="s">
        <v>2218</v>
      </c>
      <c r="G579" s="1" t="s">
        <v>236</v>
      </c>
      <c r="H579" s="1" t="s">
        <v>2219</v>
      </c>
      <c r="I579" s="1" t="s">
        <v>231</v>
      </c>
      <c r="J579" s="1" t="s">
        <v>219</v>
      </c>
      <c r="K579" s="1" t="n">
        <v>68.77</v>
      </c>
      <c r="N579" s="4" t="b">
        <f aca="false">FALSE()</f>
        <v>0</v>
      </c>
      <c r="P579" s="4" t="b">
        <f aca="false">TRUE()</f>
        <v>1</v>
      </c>
      <c r="R579" s="1" t="s">
        <v>2100</v>
      </c>
      <c r="S579" s="1" t="s">
        <v>2220</v>
      </c>
      <c r="T579" s="1" t="s">
        <v>222</v>
      </c>
      <c r="U579" s="1" t="s">
        <v>2102</v>
      </c>
    </row>
    <row r="580" customFormat="false" ht="48" hidden="false" customHeight="true" outlineLevel="0" collapsed="false">
      <c r="A580" s="1" t="s">
        <v>45</v>
      </c>
      <c r="B580" s="1" t="s">
        <v>2097</v>
      </c>
      <c r="C580" s="1" t="s">
        <v>213</v>
      </c>
      <c r="D580" s="1" t="s">
        <v>214</v>
      </c>
      <c r="E580" s="1" t="n">
        <v>41</v>
      </c>
      <c r="F580" s="1" t="s">
        <v>2221</v>
      </c>
      <c r="G580" s="1" t="s">
        <v>236</v>
      </c>
      <c r="H580" s="1" t="s">
        <v>2222</v>
      </c>
      <c r="I580" s="1" t="s">
        <v>242</v>
      </c>
      <c r="J580" s="1" t="s">
        <v>219</v>
      </c>
      <c r="K580" s="1" t="n">
        <v>83.18</v>
      </c>
      <c r="L580" s="1" t="n">
        <v>3.8</v>
      </c>
      <c r="M580" s="1" t="n">
        <v>74</v>
      </c>
      <c r="N580" s="4" t="b">
        <f aca="false">FALSE()</f>
        <v>0</v>
      </c>
      <c r="P580" s="4" t="b">
        <f aca="false">TRUE()</f>
        <v>1</v>
      </c>
      <c r="R580" s="1" t="s">
        <v>2100</v>
      </c>
      <c r="S580" s="1" t="s">
        <v>2223</v>
      </c>
      <c r="T580" s="1" t="s">
        <v>222</v>
      </c>
      <c r="U580" s="1" t="s">
        <v>2102</v>
      </c>
    </row>
    <row r="581" customFormat="false" ht="48" hidden="false" customHeight="true" outlineLevel="0" collapsed="false">
      <c r="A581" s="1" t="s">
        <v>45</v>
      </c>
      <c r="B581" s="1" t="s">
        <v>2097</v>
      </c>
      <c r="C581" s="1" t="s">
        <v>213</v>
      </c>
      <c r="D581" s="1" t="s">
        <v>214</v>
      </c>
      <c r="E581" s="1" t="n">
        <v>42</v>
      </c>
      <c r="F581" s="1" t="s">
        <v>2224</v>
      </c>
      <c r="G581" s="1" t="s">
        <v>236</v>
      </c>
      <c r="H581" s="1" t="s">
        <v>2225</v>
      </c>
      <c r="I581" s="1" t="s">
        <v>231</v>
      </c>
      <c r="J581" s="1" t="s">
        <v>219</v>
      </c>
      <c r="K581" s="1" t="n">
        <v>98.62</v>
      </c>
      <c r="L581" s="1" t="n">
        <v>4.8</v>
      </c>
      <c r="M581" s="1" t="n">
        <v>6</v>
      </c>
      <c r="N581" s="4" t="b">
        <f aca="false">FALSE()</f>
        <v>0</v>
      </c>
      <c r="P581" s="4" t="b">
        <f aca="false">TRUE()</f>
        <v>1</v>
      </c>
      <c r="R581" s="1" t="s">
        <v>2100</v>
      </c>
      <c r="S581" s="1" t="s">
        <v>2226</v>
      </c>
      <c r="T581" s="1" t="s">
        <v>222</v>
      </c>
      <c r="U581" s="1" t="s">
        <v>2102</v>
      </c>
    </row>
    <row r="582" customFormat="false" ht="48" hidden="false" customHeight="true" outlineLevel="0" collapsed="false">
      <c r="A582" s="1" t="s">
        <v>45</v>
      </c>
      <c r="B582" s="1" t="s">
        <v>2097</v>
      </c>
      <c r="C582" s="1" t="s">
        <v>213</v>
      </c>
      <c r="D582" s="1" t="s">
        <v>214</v>
      </c>
      <c r="E582" s="1" t="n">
        <v>43</v>
      </c>
      <c r="F582" s="1" t="s">
        <v>2227</v>
      </c>
      <c r="G582" s="1" t="s">
        <v>236</v>
      </c>
      <c r="H582" s="1" t="s">
        <v>2228</v>
      </c>
      <c r="I582" s="1" t="s">
        <v>1267</v>
      </c>
      <c r="J582" s="1" t="s">
        <v>219</v>
      </c>
      <c r="K582" s="1" t="n">
        <v>19.5</v>
      </c>
      <c r="L582" s="1" t="n">
        <v>4.4</v>
      </c>
      <c r="M582" s="1" t="n">
        <v>1100</v>
      </c>
      <c r="N582" s="4" t="b">
        <f aca="false">FALSE()</f>
        <v>0</v>
      </c>
      <c r="P582" s="4" t="b">
        <f aca="false">TRUE()</f>
        <v>1</v>
      </c>
      <c r="R582" s="1" t="s">
        <v>2100</v>
      </c>
      <c r="S582" s="1" t="s">
        <v>2229</v>
      </c>
      <c r="T582" s="1" t="s">
        <v>222</v>
      </c>
      <c r="U582" s="1" t="s">
        <v>2102</v>
      </c>
    </row>
    <row r="583" customFormat="false" ht="48" hidden="false" customHeight="true" outlineLevel="0" collapsed="false">
      <c r="A583" s="1" t="s">
        <v>45</v>
      </c>
      <c r="B583" s="1" t="s">
        <v>2097</v>
      </c>
      <c r="C583" s="1" t="s">
        <v>213</v>
      </c>
      <c r="D583" s="1" t="s">
        <v>214</v>
      </c>
      <c r="E583" s="1" t="n">
        <v>44</v>
      </c>
      <c r="F583" s="1" t="s">
        <v>2230</v>
      </c>
      <c r="G583" s="1" t="s">
        <v>236</v>
      </c>
      <c r="H583" s="1" t="s">
        <v>2231</v>
      </c>
      <c r="I583" s="1" t="s">
        <v>231</v>
      </c>
      <c r="J583" s="1" t="s">
        <v>219</v>
      </c>
      <c r="K583" s="1" t="n">
        <v>156.26</v>
      </c>
      <c r="L583" s="1" t="n">
        <v>3.9</v>
      </c>
      <c r="M583" s="1" t="n">
        <v>42</v>
      </c>
      <c r="N583" s="4" t="b">
        <f aca="false">FALSE()</f>
        <v>0</v>
      </c>
      <c r="P583" s="4" t="b">
        <f aca="false">TRUE()</f>
        <v>1</v>
      </c>
      <c r="R583" s="1" t="s">
        <v>2100</v>
      </c>
      <c r="S583" s="1" t="s">
        <v>2232</v>
      </c>
      <c r="T583" s="1" t="s">
        <v>222</v>
      </c>
      <c r="U583" s="1" t="s">
        <v>2102</v>
      </c>
    </row>
    <row r="584" customFormat="false" ht="48" hidden="false" customHeight="true" outlineLevel="0" collapsed="false">
      <c r="A584" s="1" t="s">
        <v>45</v>
      </c>
      <c r="B584" s="1" t="s">
        <v>2097</v>
      </c>
      <c r="C584" s="1" t="s">
        <v>213</v>
      </c>
      <c r="D584" s="1" t="s">
        <v>214</v>
      </c>
      <c r="E584" s="1" t="n">
        <v>45</v>
      </c>
      <c r="F584" s="1" t="s">
        <v>2233</v>
      </c>
      <c r="G584" s="1" t="s">
        <v>236</v>
      </c>
      <c r="H584" s="1" t="s">
        <v>2234</v>
      </c>
      <c r="I584" s="1" t="s">
        <v>242</v>
      </c>
      <c r="J584" s="1" t="s">
        <v>219</v>
      </c>
      <c r="K584" s="1" t="n">
        <v>58.73</v>
      </c>
      <c r="L584" s="1" t="n">
        <v>4.5</v>
      </c>
      <c r="M584" s="1" t="n">
        <v>341</v>
      </c>
      <c r="N584" s="4" t="b">
        <f aca="false">FALSE()</f>
        <v>0</v>
      </c>
      <c r="P584" s="4" t="b">
        <f aca="false">TRUE()</f>
        <v>1</v>
      </c>
      <c r="R584" s="1" t="s">
        <v>2100</v>
      </c>
      <c r="S584" s="1" t="s">
        <v>2235</v>
      </c>
      <c r="T584" s="1" t="s">
        <v>222</v>
      </c>
      <c r="U584" s="1" t="s">
        <v>2102</v>
      </c>
    </row>
    <row r="585" customFormat="false" ht="48" hidden="false" customHeight="true" outlineLevel="0" collapsed="false">
      <c r="A585" s="1" t="s">
        <v>45</v>
      </c>
      <c r="B585" s="1" t="s">
        <v>2097</v>
      </c>
      <c r="C585" s="1" t="s">
        <v>213</v>
      </c>
      <c r="D585" s="1" t="s">
        <v>214</v>
      </c>
      <c r="E585" s="1" t="n">
        <v>46</v>
      </c>
      <c r="F585" s="1" t="s">
        <v>2236</v>
      </c>
      <c r="G585" s="1" t="s">
        <v>236</v>
      </c>
      <c r="H585" s="1" t="s">
        <v>2237</v>
      </c>
      <c r="I585" s="1" t="s">
        <v>231</v>
      </c>
      <c r="J585" s="1" t="s">
        <v>219</v>
      </c>
      <c r="K585" s="1" t="n">
        <v>42.92</v>
      </c>
      <c r="L585" s="1" t="n">
        <v>4.4</v>
      </c>
      <c r="M585" s="1" t="n">
        <v>537</v>
      </c>
      <c r="N585" s="4" t="b">
        <f aca="false">FALSE()</f>
        <v>0</v>
      </c>
      <c r="P585" s="4" t="b">
        <f aca="false">TRUE()</f>
        <v>1</v>
      </c>
      <c r="R585" s="1" t="s">
        <v>2100</v>
      </c>
      <c r="S585" s="1" t="s">
        <v>2238</v>
      </c>
      <c r="T585" s="1" t="s">
        <v>222</v>
      </c>
      <c r="U585" s="1" t="s">
        <v>2102</v>
      </c>
    </row>
    <row r="586" customFormat="false" ht="48" hidden="false" customHeight="true" outlineLevel="0" collapsed="false">
      <c r="A586" s="1" t="s">
        <v>45</v>
      </c>
      <c r="B586" s="1" t="s">
        <v>2097</v>
      </c>
      <c r="C586" s="1" t="s">
        <v>213</v>
      </c>
      <c r="D586" s="1" t="s">
        <v>214</v>
      </c>
      <c r="E586" s="1" t="n">
        <v>47</v>
      </c>
      <c r="F586" s="1" t="s">
        <v>2239</v>
      </c>
      <c r="G586" s="1" t="s">
        <v>225</v>
      </c>
      <c r="H586" s="1" t="s">
        <v>2240</v>
      </c>
      <c r="I586" s="1" t="s">
        <v>218</v>
      </c>
      <c r="J586" s="1" t="s">
        <v>219</v>
      </c>
      <c r="K586" s="1" t="n">
        <v>97.33</v>
      </c>
      <c r="L586" s="1" t="n">
        <v>4.4</v>
      </c>
      <c r="M586" s="1" t="n">
        <v>5800</v>
      </c>
      <c r="N586" s="4" t="b">
        <f aca="false">FALSE()</f>
        <v>0</v>
      </c>
      <c r="P586" s="4" t="b">
        <f aca="false">TRUE()</f>
        <v>1</v>
      </c>
      <c r="R586" s="1" t="s">
        <v>2100</v>
      </c>
      <c r="S586" s="1" t="s">
        <v>2241</v>
      </c>
      <c r="T586" s="1" t="s">
        <v>222</v>
      </c>
      <c r="U586" s="1" t="s">
        <v>2102</v>
      </c>
    </row>
    <row r="587" customFormat="false" ht="48" hidden="false" customHeight="true" outlineLevel="0" collapsed="false">
      <c r="A587" s="1" t="s">
        <v>45</v>
      </c>
      <c r="B587" s="1" t="s">
        <v>2097</v>
      </c>
      <c r="C587" s="1" t="s">
        <v>213</v>
      </c>
      <c r="D587" s="1" t="s">
        <v>214</v>
      </c>
      <c r="E587" s="1" t="n">
        <v>48</v>
      </c>
      <c r="F587" s="1" t="s">
        <v>2242</v>
      </c>
      <c r="G587" s="1" t="s">
        <v>236</v>
      </c>
      <c r="H587" s="1" t="s">
        <v>2243</v>
      </c>
      <c r="I587" s="1" t="s">
        <v>306</v>
      </c>
      <c r="J587" s="1" t="s">
        <v>219</v>
      </c>
      <c r="K587" s="1" t="n">
        <v>353.34</v>
      </c>
      <c r="L587" s="1" t="n">
        <v>3.9</v>
      </c>
      <c r="M587" s="1" t="n">
        <v>281</v>
      </c>
      <c r="N587" s="4" t="b">
        <f aca="false">FALSE()</f>
        <v>0</v>
      </c>
      <c r="P587" s="4" t="b">
        <f aca="false">TRUE()</f>
        <v>1</v>
      </c>
      <c r="R587" s="1" t="s">
        <v>2100</v>
      </c>
      <c r="S587" s="1" t="s">
        <v>2244</v>
      </c>
      <c r="T587" s="1" t="s">
        <v>222</v>
      </c>
      <c r="U587" s="1" t="s">
        <v>2102</v>
      </c>
    </row>
    <row r="588" customFormat="false" ht="48" hidden="false" customHeight="true" outlineLevel="0" collapsed="false">
      <c r="A588" s="1" t="s">
        <v>45</v>
      </c>
      <c r="B588" s="1" t="s">
        <v>2097</v>
      </c>
      <c r="C588" s="1" t="s">
        <v>93</v>
      </c>
      <c r="D588" s="1" t="s">
        <v>399</v>
      </c>
      <c r="E588" s="1" t="n">
        <v>1</v>
      </c>
      <c r="F588" s="1" t="s">
        <v>2245</v>
      </c>
      <c r="G588" s="1" t="s">
        <v>2246</v>
      </c>
      <c r="H588" s="1" t="s">
        <v>2247</v>
      </c>
      <c r="I588" s="1" t="s">
        <v>402</v>
      </c>
      <c r="J588" s="1" t="s">
        <v>310</v>
      </c>
      <c r="K588" s="1" t="n">
        <v>11.35</v>
      </c>
      <c r="L588" s="1" t="n">
        <v>4.4</v>
      </c>
      <c r="M588" s="1" t="n">
        <v>4700</v>
      </c>
      <c r="N588" s="4" t="b">
        <f aca="false">FALSE()</f>
        <v>0</v>
      </c>
      <c r="O588" s="1" t="s">
        <v>2248</v>
      </c>
      <c r="P588" s="4" t="b">
        <f aca="false">FALSE()</f>
        <v>0</v>
      </c>
      <c r="Q588" s="1" t="s">
        <v>233</v>
      </c>
      <c r="R588" s="1" t="s">
        <v>2249</v>
      </c>
      <c r="S588" s="1" t="s">
        <v>2250</v>
      </c>
      <c r="T588" s="1" t="s">
        <v>222</v>
      </c>
      <c r="U588" s="1" t="s">
        <v>2102</v>
      </c>
    </row>
    <row r="589" customFormat="false" ht="48" hidden="false" customHeight="true" outlineLevel="0" collapsed="false">
      <c r="A589" s="1" t="s">
        <v>45</v>
      </c>
      <c r="B589" s="1" t="s">
        <v>2097</v>
      </c>
      <c r="C589" s="1" t="s">
        <v>93</v>
      </c>
      <c r="D589" s="1" t="s">
        <v>399</v>
      </c>
      <c r="E589" s="1" t="n">
        <v>2</v>
      </c>
      <c r="F589" s="1" t="s">
        <v>2251</v>
      </c>
      <c r="G589" s="1" t="s">
        <v>2252</v>
      </c>
      <c r="H589" s="1" t="s">
        <v>2253</v>
      </c>
      <c r="I589" s="1" t="s">
        <v>231</v>
      </c>
      <c r="J589" s="1" t="s">
        <v>310</v>
      </c>
      <c r="L589" s="1" t="n">
        <v>4.5</v>
      </c>
      <c r="M589" s="1" t="n">
        <v>637</v>
      </c>
      <c r="N589" s="4" t="b">
        <f aca="false">FALSE()</f>
        <v>0</v>
      </c>
      <c r="P589" s="4" t="b">
        <f aca="false">FALSE()</f>
        <v>0</v>
      </c>
      <c r="Q589" s="1" t="s">
        <v>251</v>
      </c>
      <c r="R589" s="1" t="s">
        <v>2249</v>
      </c>
      <c r="S589" s="1" t="s">
        <v>2254</v>
      </c>
      <c r="T589" s="1" t="s">
        <v>222</v>
      </c>
      <c r="U589" s="1" t="s">
        <v>2102</v>
      </c>
    </row>
    <row r="590" customFormat="false" ht="48" hidden="false" customHeight="true" outlineLevel="0" collapsed="false">
      <c r="A590" s="1" t="s">
        <v>45</v>
      </c>
      <c r="B590" s="1" t="s">
        <v>2097</v>
      </c>
      <c r="C590" s="1" t="s">
        <v>93</v>
      </c>
      <c r="D590" s="1" t="s">
        <v>399</v>
      </c>
      <c r="E590" s="1" t="n">
        <v>3</v>
      </c>
      <c r="F590" s="1" t="s">
        <v>2255</v>
      </c>
      <c r="G590" s="1" t="s">
        <v>774</v>
      </c>
      <c r="H590" s="1" t="s">
        <v>2256</v>
      </c>
      <c r="I590" s="1" t="s">
        <v>218</v>
      </c>
      <c r="J590" s="1" t="s">
        <v>310</v>
      </c>
      <c r="K590" s="1" t="n">
        <v>20.37</v>
      </c>
      <c r="L590" s="1" t="n">
        <v>4.4</v>
      </c>
      <c r="M590" s="1" t="n">
        <v>5100</v>
      </c>
      <c r="N590" s="4" t="b">
        <f aca="false">FALSE()</f>
        <v>0</v>
      </c>
      <c r="O590" s="1" t="s">
        <v>2257</v>
      </c>
      <c r="P590" s="4" t="b">
        <f aca="false">FALSE()</f>
        <v>0</v>
      </c>
      <c r="R590" s="1" t="s">
        <v>2249</v>
      </c>
      <c r="S590" s="1" t="s">
        <v>2258</v>
      </c>
      <c r="T590" s="1" t="s">
        <v>222</v>
      </c>
      <c r="U590" s="1" t="s">
        <v>2102</v>
      </c>
    </row>
    <row r="591" customFormat="false" ht="48" hidden="false" customHeight="true" outlineLevel="0" collapsed="false">
      <c r="A591" s="1" t="s">
        <v>45</v>
      </c>
      <c r="B591" s="1" t="s">
        <v>2097</v>
      </c>
      <c r="C591" s="1" t="s">
        <v>93</v>
      </c>
      <c r="D591" s="1" t="s">
        <v>399</v>
      </c>
      <c r="E591" s="1" t="n">
        <v>4</v>
      </c>
      <c r="F591" s="1" t="s">
        <v>2259</v>
      </c>
      <c r="G591" s="1" t="s">
        <v>236</v>
      </c>
      <c r="H591" s="1" t="s">
        <v>2260</v>
      </c>
      <c r="I591" s="1" t="s">
        <v>218</v>
      </c>
      <c r="J591" s="1" t="s">
        <v>310</v>
      </c>
      <c r="K591" s="1" t="n">
        <v>48.31</v>
      </c>
      <c r="L591" s="1" t="n">
        <v>4.5</v>
      </c>
      <c r="M591" s="1" t="n">
        <v>523</v>
      </c>
      <c r="N591" s="4" t="b">
        <f aca="false">FALSE()</f>
        <v>0</v>
      </c>
      <c r="O591" s="1" t="s">
        <v>2261</v>
      </c>
      <c r="P591" s="4" t="b">
        <f aca="false">FALSE()</f>
        <v>0</v>
      </c>
      <c r="R591" s="1" t="s">
        <v>2249</v>
      </c>
      <c r="S591" s="1" t="s">
        <v>2262</v>
      </c>
      <c r="T591" s="1" t="s">
        <v>222</v>
      </c>
      <c r="U591" s="1" t="s">
        <v>2102</v>
      </c>
    </row>
    <row r="592" customFormat="false" ht="48" hidden="false" customHeight="true" outlineLevel="0" collapsed="false">
      <c r="A592" s="1" t="s">
        <v>45</v>
      </c>
      <c r="B592" s="1" t="s">
        <v>2097</v>
      </c>
      <c r="C592" s="1" t="s">
        <v>93</v>
      </c>
      <c r="D592" s="1" t="s">
        <v>399</v>
      </c>
      <c r="E592" s="1" t="n">
        <v>5</v>
      </c>
      <c r="F592" s="1" t="s">
        <v>2263</v>
      </c>
      <c r="G592" s="1" t="s">
        <v>236</v>
      </c>
      <c r="H592" s="1" t="s">
        <v>2264</v>
      </c>
      <c r="I592" s="1" t="s">
        <v>218</v>
      </c>
      <c r="J592" s="1" t="s">
        <v>310</v>
      </c>
      <c r="K592" s="1" t="n">
        <v>34.2</v>
      </c>
      <c r="L592" s="1" t="n">
        <v>4.6</v>
      </c>
      <c r="M592" s="1" t="n">
        <v>3700</v>
      </c>
      <c r="N592" s="4" t="b">
        <f aca="false">FALSE()</f>
        <v>0</v>
      </c>
      <c r="P592" s="4" t="b">
        <f aca="false">FALSE()</f>
        <v>0</v>
      </c>
      <c r="R592" s="1" t="s">
        <v>2249</v>
      </c>
      <c r="S592" s="1" t="s">
        <v>2265</v>
      </c>
      <c r="T592" s="1" t="s">
        <v>222</v>
      </c>
      <c r="U592" s="1" t="s">
        <v>2102</v>
      </c>
    </row>
    <row r="593" customFormat="false" ht="48" hidden="false" customHeight="true" outlineLevel="0" collapsed="false">
      <c r="A593" s="1" t="s">
        <v>45</v>
      </c>
      <c r="B593" s="1" t="s">
        <v>2097</v>
      </c>
      <c r="C593" s="1" t="s">
        <v>93</v>
      </c>
      <c r="D593" s="1" t="s">
        <v>399</v>
      </c>
      <c r="E593" s="1" t="n">
        <v>6</v>
      </c>
      <c r="F593" s="1" t="s">
        <v>2266</v>
      </c>
      <c r="G593" s="1" t="s">
        <v>236</v>
      </c>
      <c r="H593" s="1" t="s">
        <v>2267</v>
      </c>
      <c r="I593" s="1" t="s">
        <v>299</v>
      </c>
      <c r="J593" s="1" t="s">
        <v>371</v>
      </c>
      <c r="K593" s="1" t="n">
        <v>16.28</v>
      </c>
      <c r="L593" s="1" t="n">
        <v>4.2</v>
      </c>
      <c r="M593" s="1" t="n">
        <v>41</v>
      </c>
      <c r="N593" s="4" t="b">
        <f aca="false">FALSE()</f>
        <v>0</v>
      </c>
      <c r="P593" s="4" t="b">
        <f aca="false">FALSE()</f>
        <v>0</v>
      </c>
      <c r="R593" s="1" t="s">
        <v>2249</v>
      </c>
      <c r="S593" s="1" t="s">
        <v>2268</v>
      </c>
      <c r="T593" s="1" t="s">
        <v>222</v>
      </c>
      <c r="U593" s="1" t="s">
        <v>2102</v>
      </c>
    </row>
    <row r="594" customFormat="false" ht="48" hidden="false" customHeight="true" outlineLevel="0" collapsed="false">
      <c r="A594" s="1" t="s">
        <v>45</v>
      </c>
      <c r="B594" s="1" t="s">
        <v>2097</v>
      </c>
      <c r="C594" s="1" t="s">
        <v>93</v>
      </c>
      <c r="D594" s="1" t="s">
        <v>399</v>
      </c>
      <c r="E594" s="1" t="n">
        <v>7</v>
      </c>
      <c r="F594" s="1" t="s">
        <v>2269</v>
      </c>
      <c r="G594" s="1" t="s">
        <v>2270</v>
      </c>
      <c r="H594" s="1" t="s">
        <v>2271</v>
      </c>
      <c r="I594" s="1" t="s">
        <v>218</v>
      </c>
      <c r="J594" s="1" t="s">
        <v>371</v>
      </c>
      <c r="K594" s="1" t="n">
        <v>17.53</v>
      </c>
      <c r="L594" s="1" t="n">
        <v>4.4</v>
      </c>
      <c r="M594" s="1" t="n">
        <v>6100</v>
      </c>
      <c r="N594" s="4" t="b">
        <f aca="false">FALSE()</f>
        <v>0</v>
      </c>
      <c r="O594" s="1" t="s">
        <v>2272</v>
      </c>
      <c r="P594" s="4" t="b">
        <f aca="false">FALSE()</f>
        <v>0</v>
      </c>
      <c r="R594" s="1" t="s">
        <v>2249</v>
      </c>
      <c r="S594" s="1" t="s">
        <v>2273</v>
      </c>
      <c r="T594" s="1" t="s">
        <v>222</v>
      </c>
      <c r="U594" s="1" t="s">
        <v>2102</v>
      </c>
    </row>
    <row r="595" customFormat="false" ht="48" hidden="false" customHeight="true" outlineLevel="0" collapsed="false">
      <c r="A595" s="1" t="s">
        <v>45</v>
      </c>
      <c r="B595" s="1" t="s">
        <v>2097</v>
      </c>
      <c r="C595" s="1" t="s">
        <v>93</v>
      </c>
      <c r="D595" s="1" t="s">
        <v>399</v>
      </c>
      <c r="E595" s="1" t="n">
        <v>8</v>
      </c>
      <c r="F595" s="1" t="s">
        <v>2274</v>
      </c>
      <c r="G595" s="1" t="s">
        <v>236</v>
      </c>
      <c r="H595" s="1" t="s">
        <v>2275</v>
      </c>
      <c r="I595" s="1" t="s">
        <v>218</v>
      </c>
      <c r="J595" s="1" t="s">
        <v>310</v>
      </c>
      <c r="K595" s="1" t="n">
        <v>58.4</v>
      </c>
      <c r="L595" s="1" t="n">
        <v>4.4</v>
      </c>
      <c r="M595" s="1" t="n">
        <v>4500</v>
      </c>
      <c r="N595" s="4" t="b">
        <f aca="false">FALSE()</f>
        <v>0</v>
      </c>
      <c r="P595" s="4" t="b">
        <f aca="false">FALSE()</f>
        <v>0</v>
      </c>
      <c r="R595" s="1" t="s">
        <v>2249</v>
      </c>
      <c r="S595" s="1" t="s">
        <v>2276</v>
      </c>
      <c r="T595" s="1" t="s">
        <v>222</v>
      </c>
      <c r="U595" s="1" t="s">
        <v>2102</v>
      </c>
    </row>
    <row r="596" customFormat="false" ht="48" hidden="false" customHeight="true" outlineLevel="0" collapsed="false">
      <c r="A596" s="1" t="s">
        <v>45</v>
      </c>
      <c r="B596" s="1" t="s">
        <v>2097</v>
      </c>
      <c r="C596" s="1" t="s">
        <v>93</v>
      </c>
      <c r="D596" s="1" t="s">
        <v>399</v>
      </c>
      <c r="E596" s="1" t="n">
        <v>9</v>
      </c>
      <c r="F596" s="1" t="s">
        <v>2277</v>
      </c>
      <c r="G596" s="1" t="s">
        <v>236</v>
      </c>
      <c r="H596" s="1" t="s">
        <v>2278</v>
      </c>
      <c r="I596" s="1" t="s">
        <v>231</v>
      </c>
      <c r="J596" s="1" t="s">
        <v>310</v>
      </c>
      <c r="L596" s="1" t="n">
        <v>4.4</v>
      </c>
      <c r="M596" s="1" t="n">
        <v>8</v>
      </c>
      <c r="N596" s="4" t="b">
        <f aca="false">FALSE()</f>
        <v>0</v>
      </c>
      <c r="P596" s="4" t="b">
        <f aca="false">FALSE()</f>
        <v>0</v>
      </c>
      <c r="R596" s="1" t="s">
        <v>2249</v>
      </c>
      <c r="S596" s="1" t="s">
        <v>2279</v>
      </c>
      <c r="T596" s="1" t="s">
        <v>222</v>
      </c>
      <c r="U596" s="1" t="s">
        <v>2102</v>
      </c>
    </row>
    <row r="597" customFormat="false" ht="48" hidden="false" customHeight="true" outlineLevel="0" collapsed="false">
      <c r="A597" s="1" t="s">
        <v>45</v>
      </c>
      <c r="B597" s="1" t="s">
        <v>2097</v>
      </c>
      <c r="C597" s="1" t="s">
        <v>93</v>
      </c>
      <c r="D597" s="1" t="s">
        <v>399</v>
      </c>
      <c r="E597" s="1" t="n">
        <v>10</v>
      </c>
      <c r="F597" s="1" t="s">
        <v>2280</v>
      </c>
      <c r="G597" s="1" t="s">
        <v>2246</v>
      </c>
      <c r="H597" s="1" t="s">
        <v>2281</v>
      </c>
      <c r="I597" s="1" t="s">
        <v>402</v>
      </c>
      <c r="J597" s="1" t="s">
        <v>310</v>
      </c>
      <c r="K597" s="1" t="n">
        <v>14.76</v>
      </c>
      <c r="L597" s="1" t="n">
        <v>4.4</v>
      </c>
      <c r="M597" s="1" t="n">
        <v>5400</v>
      </c>
      <c r="N597" s="4" t="b">
        <f aca="false">FALSE()</f>
        <v>0</v>
      </c>
      <c r="O597" s="1" t="s">
        <v>2257</v>
      </c>
      <c r="P597" s="4" t="b">
        <f aca="false">FALSE()</f>
        <v>0</v>
      </c>
      <c r="Q597" s="1" t="s">
        <v>435</v>
      </c>
      <c r="R597" s="1" t="s">
        <v>2249</v>
      </c>
      <c r="S597" s="1" t="s">
        <v>2282</v>
      </c>
      <c r="T597" s="1" t="s">
        <v>222</v>
      </c>
      <c r="U597" s="1" t="s">
        <v>2102</v>
      </c>
    </row>
    <row r="598" customFormat="false" ht="48" hidden="false" customHeight="true" outlineLevel="0" collapsed="false">
      <c r="A598" s="1" t="s">
        <v>45</v>
      </c>
      <c r="B598" s="1" t="s">
        <v>2097</v>
      </c>
      <c r="C598" s="1" t="s">
        <v>93</v>
      </c>
      <c r="D598" s="1" t="s">
        <v>399</v>
      </c>
      <c r="E598" s="1" t="n">
        <v>11</v>
      </c>
      <c r="F598" s="1" t="s">
        <v>2283</v>
      </c>
      <c r="G598" s="1" t="s">
        <v>236</v>
      </c>
      <c r="H598" s="1" t="s">
        <v>2284</v>
      </c>
      <c r="I598" s="1" t="s">
        <v>402</v>
      </c>
      <c r="J598" s="1" t="s">
        <v>371</v>
      </c>
      <c r="K598" s="1" t="n">
        <v>11.67</v>
      </c>
      <c r="L598" s="1" t="n">
        <v>4.3</v>
      </c>
      <c r="M598" s="1" t="n">
        <v>5100</v>
      </c>
      <c r="N598" s="4" t="b">
        <f aca="false">FALSE()</f>
        <v>0</v>
      </c>
      <c r="O598" s="1" t="s">
        <v>2285</v>
      </c>
      <c r="P598" s="4" t="b">
        <f aca="false">FALSE()</f>
        <v>0</v>
      </c>
      <c r="Q598" s="1" t="s">
        <v>233</v>
      </c>
      <c r="R598" s="1" t="s">
        <v>2249</v>
      </c>
      <c r="S598" s="1" t="s">
        <v>2286</v>
      </c>
      <c r="T598" s="1" t="s">
        <v>222</v>
      </c>
      <c r="U598" s="1" t="s">
        <v>2102</v>
      </c>
    </row>
    <row r="599" customFormat="false" ht="48" hidden="false" customHeight="true" outlineLevel="0" collapsed="false">
      <c r="A599" s="1" t="s">
        <v>45</v>
      </c>
      <c r="B599" s="1" t="s">
        <v>2097</v>
      </c>
      <c r="C599" s="1" t="s">
        <v>93</v>
      </c>
      <c r="D599" s="1" t="s">
        <v>399</v>
      </c>
      <c r="E599" s="1" t="n">
        <v>12</v>
      </c>
      <c r="F599" s="1" t="s">
        <v>2287</v>
      </c>
      <c r="G599" s="1" t="s">
        <v>236</v>
      </c>
      <c r="H599" s="1" t="s">
        <v>2288</v>
      </c>
      <c r="I599" s="1" t="s">
        <v>242</v>
      </c>
      <c r="J599" s="1" t="s">
        <v>310</v>
      </c>
      <c r="K599" s="1" t="n">
        <v>28.28</v>
      </c>
      <c r="L599" s="1" t="n">
        <v>4.6</v>
      </c>
      <c r="M599" s="1" t="n">
        <v>1200</v>
      </c>
      <c r="N599" s="4" t="b">
        <f aca="false">FALSE()</f>
        <v>0</v>
      </c>
      <c r="P599" s="4" t="b">
        <f aca="false">FALSE()</f>
        <v>0</v>
      </c>
      <c r="R599" s="1" t="s">
        <v>2249</v>
      </c>
      <c r="S599" s="1" t="s">
        <v>2289</v>
      </c>
      <c r="T599" s="1" t="s">
        <v>222</v>
      </c>
      <c r="U599" s="1" t="s">
        <v>2102</v>
      </c>
    </row>
    <row r="600" customFormat="false" ht="48" hidden="false" customHeight="true" outlineLevel="0" collapsed="false">
      <c r="A600" s="1" t="s">
        <v>45</v>
      </c>
      <c r="B600" s="1" t="s">
        <v>2097</v>
      </c>
      <c r="C600" s="1" t="s">
        <v>93</v>
      </c>
      <c r="D600" s="1" t="s">
        <v>399</v>
      </c>
      <c r="E600" s="1" t="n">
        <v>13</v>
      </c>
      <c r="F600" s="1" t="s">
        <v>2290</v>
      </c>
      <c r="G600" s="1" t="s">
        <v>2246</v>
      </c>
      <c r="H600" s="1" t="s">
        <v>2291</v>
      </c>
      <c r="I600" s="1" t="s">
        <v>231</v>
      </c>
      <c r="J600" s="1" t="s">
        <v>310</v>
      </c>
      <c r="K600" s="1" t="n">
        <v>12.99</v>
      </c>
      <c r="L600" s="1" t="n">
        <v>4.3</v>
      </c>
      <c r="M600" s="1" t="n">
        <v>2800</v>
      </c>
      <c r="N600" s="4" t="b">
        <f aca="false">FALSE()</f>
        <v>0</v>
      </c>
      <c r="O600" s="1" t="s">
        <v>2292</v>
      </c>
      <c r="P600" s="4" t="b">
        <f aca="false">FALSE()</f>
        <v>0</v>
      </c>
      <c r="R600" s="1" t="s">
        <v>2249</v>
      </c>
      <c r="S600" s="1" t="s">
        <v>2293</v>
      </c>
      <c r="T600" s="1" t="s">
        <v>222</v>
      </c>
      <c r="U600" s="1" t="s">
        <v>2102</v>
      </c>
    </row>
    <row r="601" customFormat="false" ht="48" hidden="false" customHeight="true" outlineLevel="0" collapsed="false">
      <c r="A601" s="1" t="s">
        <v>45</v>
      </c>
      <c r="B601" s="1" t="s">
        <v>2097</v>
      </c>
      <c r="C601" s="1" t="s">
        <v>93</v>
      </c>
      <c r="D601" s="1" t="s">
        <v>399</v>
      </c>
      <c r="E601" s="1" t="n">
        <v>14</v>
      </c>
      <c r="F601" s="1" t="s">
        <v>2294</v>
      </c>
      <c r="G601" s="1" t="s">
        <v>236</v>
      </c>
      <c r="H601" s="1" t="s">
        <v>2295</v>
      </c>
      <c r="I601" s="1" t="s">
        <v>218</v>
      </c>
      <c r="J601" s="1" t="s">
        <v>310</v>
      </c>
      <c r="K601" s="1" t="n">
        <v>42.58</v>
      </c>
      <c r="L601" s="1" t="n">
        <v>4.6</v>
      </c>
      <c r="M601" s="1" t="n">
        <v>30000</v>
      </c>
      <c r="N601" s="4" t="b">
        <f aca="false">FALSE()</f>
        <v>0</v>
      </c>
      <c r="P601" s="4" t="b">
        <f aca="false">FALSE()</f>
        <v>0</v>
      </c>
      <c r="R601" s="1" t="s">
        <v>2249</v>
      </c>
      <c r="S601" s="1" t="s">
        <v>2296</v>
      </c>
      <c r="T601" s="1" t="s">
        <v>222</v>
      </c>
      <c r="U601" s="1" t="s">
        <v>2102</v>
      </c>
    </row>
    <row r="602" customFormat="false" ht="48" hidden="false" customHeight="true" outlineLevel="0" collapsed="false">
      <c r="A602" s="1" t="s">
        <v>45</v>
      </c>
      <c r="B602" s="1" t="s">
        <v>2097</v>
      </c>
      <c r="C602" s="1" t="s">
        <v>93</v>
      </c>
      <c r="D602" s="1" t="s">
        <v>399</v>
      </c>
      <c r="E602" s="1" t="n">
        <v>15</v>
      </c>
      <c r="F602" s="1" t="s">
        <v>2297</v>
      </c>
      <c r="G602" s="1" t="s">
        <v>2246</v>
      </c>
      <c r="H602" s="1" t="s">
        <v>2298</v>
      </c>
      <c r="I602" s="1" t="s">
        <v>402</v>
      </c>
      <c r="J602" s="1" t="s">
        <v>597</v>
      </c>
      <c r="K602" s="1" t="n">
        <v>10.55</v>
      </c>
      <c r="L602" s="1" t="n">
        <v>4.2</v>
      </c>
      <c r="M602" s="1" t="n">
        <v>258</v>
      </c>
      <c r="N602" s="4" t="b">
        <f aca="false">FALSE()</f>
        <v>0</v>
      </c>
      <c r="O602" s="1" t="s">
        <v>2257</v>
      </c>
      <c r="P602" s="4" t="b">
        <f aca="false">FALSE()</f>
        <v>0</v>
      </c>
      <c r="Q602" s="1" t="s">
        <v>435</v>
      </c>
      <c r="R602" s="1" t="s">
        <v>2249</v>
      </c>
      <c r="S602" s="1" t="s">
        <v>2299</v>
      </c>
      <c r="T602" s="1" t="s">
        <v>222</v>
      </c>
      <c r="U602" s="1" t="s">
        <v>2102</v>
      </c>
    </row>
    <row r="603" customFormat="false" ht="48" hidden="false" customHeight="true" outlineLevel="0" collapsed="false">
      <c r="A603" s="1" t="s">
        <v>45</v>
      </c>
      <c r="B603" s="1" t="s">
        <v>2097</v>
      </c>
      <c r="C603" s="1" t="s">
        <v>93</v>
      </c>
      <c r="D603" s="1" t="s">
        <v>399</v>
      </c>
      <c r="E603" s="1" t="n">
        <v>16</v>
      </c>
      <c r="F603" s="1" t="s">
        <v>2300</v>
      </c>
      <c r="G603" s="1" t="s">
        <v>774</v>
      </c>
      <c r="H603" s="1" t="s">
        <v>2301</v>
      </c>
      <c r="I603" s="1" t="s">
        <v>402</v>
      </c>
      <c r="J603" s="1" t="s">
        <v>371</v>
      </c>
      <c r="K603" s="1" t="n">
        <v>15.57</v>
      </c>
      <c r="L603" s="1" t="n">
        <v>4.4</v>
      </c>
      <c r="M603" s="1" t="n">
        <v>2600</v>
      </c>
      <c r="N603" s="4" t="b">
        <f aca="false">FALSE()</f>
        <v>0</v>
      </c>
      <c r="P603" s="4" t="b">
        <f aca="false">FALSE()</f>
        <v>0</v>
      </c>
      <c r="R603" s="1" t="s">
        <v>2249</v>
      </c>
      <c r="S603" s="1" t="s">
        <v>2302</v>
      </c>
      <c r="T603" s="1" t="s">
        <v>222</v>
      </c>
      <c r="U603" s="1" t="s">
        <v>2102</v>
      </c>
    </row>
    <row r="604" customFormat="false" ht="48" hidden="false" customHeight="true" outlineLevel="0" collapsed="false">
      <c r="A604" s="1" t="s">
        <v>45</v>
      </c>
      <c r="B604" s="1" t="s">
        <v>2097</v>
      </c>
      <c r="C604" s="1" t="s">
        <v>93</v>
      </c>
      <c r="D604" s="1" t="s">
        <v>399</v>
      </c>
      <c r="E604" s="1" t="n">
        <v>17</v>
      </c>
      <c r="F604" s="1" t="s">
        <v>2303</v>
      </c>
      <c r="G604" s="1" t="s">
        <v>2252</v>
      </c>
      <c r="H604" s="1" t="s">
        <v>2304</v>
      </c>
      <c r="I604" s="1" t="s">
        <v>231</v>
      </c>
      <c r="J604" s="1" t="s">
        <v>310</v>
      </c>
      <c r="L604" s="1" t="n">
        <v>4.7</v>
      </c>
      <c r="M604" s="1" t="n">
        <v>644</v>
      </c>
      <c r="N604" s="4" t="b">
        <f aca="false">FALSE()</f>
        <v>0</v>
      </c>
      <c r="P604" s="4" t="b">
        <f aca="false">FALSE()</f>
        <v>0</v>
      </c>
      <c r="R604" s="1" t="s">
        <v>2249</v>
      </c>
      <c r="S604" s="1" t="s">
        <v>2305</v>
      </c>
      <c r="T604" s="1" t="s">
        <v>222</v>
      </c>
      <c r="U604" s="1" t="s">
        <v>2102</v>
      </c>
    </row>
    <row r="605" customFormat="false" ht="48" hidden="false" customHeight="true" outlineLevel="0" collapsed="false">
      <c r="A605" s="1" t="s">
        <v>45</v>
      </c>
      <c r="B605" s="1" t="s">
        <v>2097</v>
      </c>
      <c r="C605" s="1" t="s">
        <v>93</v>
      </c>
      <c r="D605" s="1" t="s">
        <v>399</v>
      </c>
      <c r="E605" s="1" t="n">
        <v>18</v>
      </c>
      <c r="F605" s="1" t="s">
        <v>2306</v>
      </c>
      <c r="G605" s="1" t="s">
        <v>236</v>
      </c>
      <c r="H605" s="1" t="s">
        <v>2307</v>
      </c>
      <c r="I605" s="1" t="s">
        <v>402</v>
      </c>
      <c r="J605" s="1" t="s">
        <v>371</v>
      </c>
      <c r="L605" s="1" t="n">
        <v>4.5</v>
      </c>
      <c r="M605" s="1" t="n">
        <v>2500</v>
      </c>
      <c r="N605" s="4" t="b">
        <f aca="false">FALSE()</f>
        <v>0</v>
      </c>
      <c r="P605" s="4" t="b">
        <f aca="false">FALSE()</f>
        <v>0</v>
      </c>
      <c r="Q605" s="1" t="s">
        <v>251</v>
      </c>
      <c r="R605" s="1" t="s">
        <v>2249</v>
      </c>
      <c r="S605" s="1" t="s">
        <v>2308</v>
      </c>
      <c r="T605" s="1" t="s">
        <v>222</v>
      </c>
      <c r="U605" s="1" t="s">
        <v>2102</v>
      </c>
    </row>
    <row r="606" customFormat="false" ht="48" hidden="false" customHeight="true" outlineLevel="0" collapsed="false">
      <c r="A606" s="1" t="s">
        <v>45</v>
      </c>
      <c r="B606" s="1" t="s">
        <v>2097</v>
      </c>
      <c r="C606" s="1" t="s">
        <v>93</v>
      </c>
      <c r="D606" s="1" t="s">
        <v>399</v>
      </c>
      <c r="E606" s="1" t="n">
        <v>19</v>
      </c>
      <c r="F606" s="1" t="s">
        <v>2309</v>
      </c>
      <c r="G606" s="1" t="s">
        <v>236</v>
      </c>
      <c r="H606" s="1" t="s">
        <v>2310</v>
      </c>
      <c r="I606" s="1" t="s">
        <v>231</v>
      </c>
      <c r="J606" s="1" t="s">
        <v>310</v>
      </c>
      <c r="K606" s="1" t="n">
        <v>26</v>
      </c>
      <c r="L606" s="1" t="n">
        <v>4.5</v>
      </c>
      <c r="M606" s="1" t="n">
        <v>18200</v>
      </c>
      <c r="N606" s="4" t="b">
        <f aca="false">FALSE()</f>
        <v>0</v>
      </c>
      <c r="P606" s="4" t="b">
        <f aca="false">FALSE()</f>
        <v>0</v>
      </c>
      <c r="R606" s="1" t="s">
        <v>2249</v>
      </c>
      <c r="S606" s="1" t="s">
        <v>2311</v>
      </c>
      <c r="T606" s="1" t="s">
        <v>222</v>
      </c>
      <c r="U606" s="1" t="s">
        <v>2102</v>
      </c>
    </row>
    <row r="607" customFormat="false" ht="48" hidden="false" customHeight="true" outlineLevel="0" collapsed="false">
      <c r="A607" s="1" t="s">
        <v>45</v>
      </c>
      <c r="B607" s="1" t="s">
        <v>2097</v>
      </c>
      <c r="C607" s="1" t="s">
        <v>93</v>
      </c>
      <c r="D607" s="1" t="s">
        <v>399</v>
      </c>
      <c r="E607" s="1" t="n">
        <v>20</v>
      </c>
      <c r="F607" s="1" t="s">
        <v>2312</v>
      </c>
      <c r="G607" s="1" t="s">
        <v>236</v>
      </c>
      <c r="H607" s="1" t="s">
        <v>2313</v>
      </c>
      <c r="I607" s="1" t="s">
        <v>402</v>
      </c>
      <c r="J607" s="1" t="s">
        <v>310</v>
      </c>
      <c r="L607" s="1" t="n">
        <v>4.3</v>
      </c>
      <c r="M607" s="1" t="n">
        <v>3800</v>
      </c>
      <c r="N607" s="4" t="b">
        <f aca="false">FALSE()</f>
        <v>0</v>
      </c>
      <c r="P607" s="4" t="b">
        <f aca="false">FALSE()</f>
        <v>0</v>
      </c>
      <c r="Q607" s="1" t="s">
        <v>439</v>
      </c>
      <c r="R607" s="1" t="s">
        <v>2249</v>
      </c>
      <c r="S607" s="1" t="s">
        <v>2314</v>
      </c>
      <c r="T607" s="1" t="s">
        <v>222</v>
      </c>
      <c r="U607" s="1" t="s">
        <v>2102</v>
      </c>
    </row>
    <row r="608" customFormat="false" ht="48" hidden="false" customHeight="true" outlineLevel="0" collapsed="false">
      <c r="A608" s="1" t="s">
        <v>45</v>
      </c>
      <c r="B608" s="1" t="s">
        <v>2097</v>
      </c>
      <c r="C608" s="1" t="s">
        <v>93</v>
      </c>
      <c r="D608" s="1" t="s">
        <v>399</v>
      </c>
      <c r="E608" s="1" t="n">
        <v>21</v>
      </c>
      <c r="F608" s="1" t="s">
        <v>2315</v>
      </c>
      <c r="G608" s="1" t="s">
        <v>2246</v>
      </c>
      <c r="H608" s="1" t="s">
        <v>2316</v>
      </c>
      <c r="I608" s="1" t="s">
        <v>402</v>
      </c>
      <c r="J608" s="1" t="s">
        <v>371</v>
      </c>
      <c r="K608" s="1" t="n">
        <v>11.49</v>
      </c>
      <c r="L608" s="1" t="n">
        <v>3.8</v>
      </c>
      <c r="M608" s="1" t="n">
        <v>19</v>
      </c>
      <c r="N608" s="4" t="b">
        <f aca="false">FALSE()</f>
        <v>0</v>
      </c>
      <c r="O608" s="1" t="s">
        <v>2257</v>
      </c>
      <c r="P608" s="4" t="b">
        <f aca="false">FALSE()</f>
        <v>0</v>
      </c>
      <c r="R608" s="1" t="s">
        <v>2249</v>
      </c>
      <c r="S608" s="1" t="s">
        <v>2317</v>
      </c>
      <c r="T608" s="1" t="s">
        <v>222</v>
      </c>
      <c r="U608" s="1" t="s">
        <v>2102</v>
      </c>
    </row>
    <row r="609" customFormat="false" ht="48" hidden="false" customHeight="true" outlineLevel="0" collapsed="false">
      <c r="A609" s="1" t="s">
        <v>45</v>
      </c>
      <c r="B609" s="1" t="s">
        <v>2097</v>
      </c>
      <c r="C609" s="1" t="s">
        <v>93</v>
      </c>
      <c r="D609" s="1" t="s">
        <v>399</v>
      </c>
      <c r="E609" s="1" t="n">
        <v>22</v>
      </c>
      <c r="F609" s="1" t="s">
        <v>2318</v>
      </c>
      <c r="G609" s="1" t="s">
        <v>2246</v>
      </c>
      <c r="H609" s="1" t="s">
        <v>2319</v>
      </c>
      <c r="I609" s="1" t="s">
        <v>402</v>
      </c>
      <c r="J609" s="1" t="s">
        <v>310</v>
      </c>
      <c r="K609" s="1" t="n">
        <v>16.49</v>
      </c>
      <c r="L609" s="1" t="n">
        <v>4.4</v>
      </c>
      <c r="M609" s="1" t="n">
        <v>195</v>
      </c>
      <c r="N609" s="4" t="b">
        <f aca="false">FALSE()</f>
        <v>0</v>
      </c>
      <c r="O609" s="1" t="s">
        <v>2257</v>
      </c>
      <c r="P609" s="4" t="b">
        <f aca="false">FALSE()</f>
        <v>0</v>
      </c>
      <c r="Q609" s="1" t="s">
        <v>233</v>
      </c>
      <c r="R609" s="1" t="s">
        <v>2249</v>
      </c>
      <c r="S609" s="1" t="s">
        <v>2320</v>
      </c>
      <c r="T609" s="1" t="s">
        <v>222</v>
      </c>
      <c r="U609" s="1" t="s">
        <v>2102</v>
      </c>
    </row>
    <row r="610" customFormat="false" ht="48" hidden="false" customHeight="true" outlineLevel="0" collapsed="false">
      <c r="A610" s="1" t="s">
        <v>45</v>
      </c>
      <c r="B610" s="1" t="s">
        <v>2097</v>
      </c>
      <c r="C610" s="1" t="s">
        <v>93</v>
      </c>
      <c r="D610" s="1" t="s">
        <v>399</v>
      </c>
      <c r="E610" s="1" t="n">
        <v>23</v>
      </c>
      <c r="F610" s="1" t="s">
        <v>2321</v>
      </c>
      <c r="G610" s="1" t="s">
        <v>236</v>
      </c>
      <c r="H610" s="1" t="s">
        <v>2322</v>
      </c>
      <c r="I610" s="1" t="s">
        <v>2323</v>
      </c>
      <c r="J610" s="1" t="s">
        <v>371</v>
      </c>
      <c r="K610" s="1" t="n">
        <v>17.99</v>
      </c>
      <c r="L610" s="1" t="n">
        <v>4.3</v>
      </c>
      <c r="M610" s="1" t="n">
        <v>5100</v>
      </c>
      <c r="N610" s="4" t="b">
        <f aca="false">FALSE()</f>
        <v>0</v>
      </c>
      <c r="O610" s="1" t="s">
        <v>2257</v>
      </c>
      <c r="P610" s="4" t="b">
        <f aca="false">FALSE()</f>
        <v>0</v>
      </c>
      <c r="Q610" s="1" t="s">
        <v>451</v>
      </c>
      <c r="R610" s="1" t="s">
        <v>2249</v>
      </c>
      <c r="S610" s="1" t="s">
        <v>2324</v>
      </c>
      <c r="T610" s="1" t="s">
        <v>222</v>
      </c>
      <c r="U610" s="1" t="s">
        <v>2102</v>
      </c>
    </row>
    <row r="611" customFormat="false" ht="48" hidden="false" customHeight="true" outlineLevel="0" collapsed="false">
      <c r="A611" s="1" t="s">
        <v>45</v>
      </c>
      <c r="B611" s="1" t="s">
        <v>2097</v>
      </c>
      <c r="C611" s="1" t="s">
        <v>93</v>
      </c>
      <c r="D611" s="1" t="s">
        <v>399</v>
      </c>
      <c r="E611" s="1" t="n">
        <v>24</v>
      </c>
      <c r="F611" s="1" t="s">
        <v>2325</v>
      </c>
      <c r="G611" s="1" t="s">
        <v>236</v>
      </c>
      <c r="H611" s="1" t="s">
        <v>2326</v>
      </c>
      <c r="I611" s="1" t="s">
        <v>402</v>
      </c>
      <c r="J611" s="1" t="s">
        <v>310</v>
      </c>
      <c r="K611" s="1" t="n">
        <v>33.92</v>
      </c>
      <c r="L611" s="1" t="n">
        <v>4.5</v>
      </c>
      <c r="M611" s="1" t="n">
        <v>482</v>
      </c>
      <c r="N611" s="4" t="b">
        <f aca="false">FALSE()</f>
        <v>0</v>
      </c>
      <c r="P611" s="4" t="b">
        <f aca="false">FALSE()</f>
        <v>0</v>
      </c>
      <c r="R611" s="1" t="s">
        <v>2249</v>
      </c>
      <c r="S611" s="1" t="s">
        <v>2327</v>
      </c>
      <c r="T611" s="1" t="s">
        <v>222</v>
      </c>
      <c r="U611" s="1" t="s">
        <v>2102</v>
      </c>
    </row>
    <row r="612" customFormat="false" ht="48" hidden="false" customHeight="true" outlineLevel="0" collapsed="false">
      <c r="A612" s="1" t="s">
        <v>45</v>
      </c>
      <c r="B612" s="1" t="s">
        <v>2097</v>
      </c>
      <c r="C612" s="1" t="s">
        <v>93</v>
      </c>
      <c r="D612" s="1" t="s">
        <v>399</v>
      </c>
      <c r="E612" s="1" t="n">
        <v>25</v>
      </c>
      <c r="F612" s="1" t="s">
        <v>2328</v>
      </c>
      <c r="G612" s="1" t="s">
        <v>236</v>
      </c>
      <c r="H612" s="1" t="s">
        <v>2329</v>
      </c>
      <c r="I612" s="1" t="s">
        <v>231</v>
      </c>
      <c r="J612" s="1" t="s">
        <v>310</v>
      </c>
      <c r="K612" s="1" t="n">
        <v>56.65</v>
      </c>
      <c r="L612" s="1" t="n">
        <v>4.4</v>
      </c>
      <c r="M612" s="1" t="n">
        <v>1800</v>
      </c>
      <c r="N612" s="4" t="b">
        <f aca="false">FALSE()</f>
        <v>0</v>
      </c>
      <c r="P612" s="4" t="b">
        <f aca="false">FALSE()</f>
        <v>0</v>
      </c>
      <c r="R612" s="1" t="s">
        <v>2249</v>
      </c>
      <c r="S612" s="1" t="s">
        <v>2330</v>
      </c>
      <c r="T612" s="1" t="s">
        <v>222</v>
      </c>
      <c r="U612" s="1" t="s">
        <v>2102</v>
      </c>
    </row>
    <row r="613" customFormat="false" ht="48" hidden="false" customHeight="true" outlineLevel="0" collapsed="false">
      <c r="A613" s="1" t="s">
        <v>45</v>
      </c>
      <c r="B613" s="1" t="s">
        <v>2097</v>
      </c>
      <c r="C613" s="1" t="s">
        <v>93</v>
      </c>
      <c r="D613" s="1" t="s">
        <v>399</v>
      </c>
      <c r="E613" s="1" t="n">
        <v>26</v>
      </c>
      <c r="F613" s="1" t="s">
        <v>2331</v>
      </c>
      <c r="G613" s="1" t="s">
        <v>236</v>
      </c>
      <c r="H613" s="1" t="s">
        <v>2332</v>
      </c>
      <c r="I613" s="1" t="s">
        <v>2333</v>
      </c>
      <c r="J613" s="1" t="s">
        <v>371</v>
      </c>
      <c r="L613" s="1" t="n">
        <v>4.3</v>
      </c>
      <c r="M613" s="1" t="n">
        <v>51</v>
      </c>
      <c r="N613" s="4" t="b">
        <f aca="false">FALSE()</f>
        <v>0</v>
      </c>
      <c r="P613" s="4" t="b">
        <f aca="false">FALSE()</f>
        <v>0</v>
      </c>
      <c r="R613" s="1" t="s">
        <v>2249</v>
      </c>
      <c r="S613" s="1" t="s">
        <v>2334</v>
      </c>
      <c r="T613" s="1" t="s">
        <v>222</v>
      </c>
      <c r="U613" s="1" t="s">
        <v>2102</v>
      </c>
    </row>
    <row r="614" customFormat="false" ht="48" hidden="false" customHeight="true" outlineLevel="0" collapsed="false">
      <c r="A614" s="1" t="s">
        <v>45</v>
      </c>
      <c r="B614" s="1" t="s">
        <v>2097</v>
      </c>
      <c r="C614" s="1" t="s">
        <v>93</v>
      </c>
      <c r="D614" s="1" t="s">
        <v>399</v>
      </c>
      <c r="E614" s="1" t="n">
        <v>27</v>
      </c>
      <c r="F614" s="1" t="s">
        <v>2335</v>
      </c>
      <c r="G614" s="1" t="s">
        <v>919</v>
      </c>
      <c r="H614" s="1" t="s">
        <v>2336</v>
      </c>
      <c r="I614" s="1" t="s">
        <v>242</v>
      </c>
      <c r="J614" s="1" t="s">
        <v>310</v>
      </c>
      <c r="K614" s="1" t="n">
        <v>57.34</v>
      </c>
      <c r="L614" s="1" t="n">
        <v>4.5</v>
      </c>
      <c r="M614" s="1" t="n">
        <v>1500</v>
      </c>
      <c r="N614" s="4" t="b">
        <f aca="false">FALSE()</f>
        <v>0</v>
      </c>
      <c r="P614" s="4" t="b">
        <f aca="false">FALSE()</f>
        <v>0</v>
      </c>
      <c r="R614" s="1" t="s">
        <v>2249</v>
      </c>
      <c r="S614" s="1" t="s">
        <v>2337</v>
      </c>
      <c r="T614" s="1" t="s">
        <v>222</v>
      </c>
      <c r="U614" s="1" t="s">
        <v>2102</v>
      </c>
    </row>
    <row r="615" customFormat="false" ht="48" hidden="false" customHeight="true" outlineLevel="0" collapsed="false">
      <c r="A615" s="1" t="s">
        <v>45</v>
      </c>
      <c r="B615" s="1" t="s">
        <v>2097</v>
      </c>
      <c r="C615" s="1" t="s">
        <v>93</v>
      </c>
      <c r="D615" s="1" t="s">
        <v>399</v>
      </c>
      <c r="E615" s="1" t="n">
        <v>28</v>
      </c>
      <c r="F615" s="1" t="s">
        <v>2338</v>
      </c>
      <c r="G615" s="1" t="s">
        <v>2246</v>
      </c>
      <c r="H615" s="1" t="s">
        <v>2339</v>
      </c>
      <c r="I615" s="1" t="s">
        <v>2323</v>
      </c>
      <c r="J615" s="1" t="s">
        <v>597</v>
      </c>
      <c r="K615" s="1" t="n">
        <v>15.81</v>
      </c>
      <c r="L615" s="1" t="n">
        <v>4.3</v>
      </c>
      <c r="M615" s="1" t="n">
        <v>2800</v>
      </c>
      <c r="N615" s="4" t="b">
        <f aca="false">FALSE()</f>
        <v>0</v>
      </c>
      <c r="O615" s="1" t="s">
        <v>2257</v>
      </c>
      <c r="P615" s="4" t="b">
        <f aca="false">FALSE()</f>
        <v>0</v>
      </c>
      <c r="R615" s="1" t="s">
        <v>2249</v>
      </c>
      <c r="S615" s="1" t="s">
        <v>2340</v>
      </c>
      <c r="T615" s="1" t="s">
        <v>222</v>
      </c>
      <c r="U615" s="1" t="s">
        <v>2102</v>
      </c>
    </row>
    <row r="616" customFormat="false" ht="48" hidden="false" customHeight="true" outlineLevel="0" collapsed="false">
      <c r="A616" s="1" t="s">
        <v>45</v>
      </c>
      <c r="B616" s="1" t="s">
        <v>2097</v>
      </c>
      <c r="C616" s="1" t="s">
        <v>93</v>
      </c>
      <c r="D616" s="1" t="s">
        <v>399</v>
      </c>
      <c r="E616" s="1" t="n">
        <v>29</v>
      </c>
      <c r="F616" s="1" t="s">
        <v>2341</v>
      </c>
      <c r="G616" s="1" t="s">
        <v>2246</v>
      </c>
      <c r="H616" s="1" t="s">
        <v>2342</v>
      </c>
      <c r="I616" s="1" t="s">
        <v>402</v>
      </c>
      <c r="J616" s="1" t="s">
        <v>310</v>
      </c>
      <c r="K616" s="1" t="n">
        <v>15.97</v>
      </c>
      <c r="L616" s="1" t="n">
        <v>4.4</v>
      </c>
      <c r="M616" s="1" t="n">
        <v>4700</v>
      </c>
      <c r="N616" s="4" t="b">
        <f aca="false">FALSE()</f>
        <v>0</v>
      </c>
      <c r="O616" s="1" t="s">
        <v>2257</v>
      </c>
      <c r="P616" s="4" t="b">
        <f aca="false">FALSE()</f>
        <v>0</v>
      </c>
      <c r="Q616" s="1" t="s">
        <v>251</v>
      </c>
      <c r="R616" s="1" t="s">
        <v>2249</v>
      </c>
      <c r="S616" s="1" t="s">
        <v>2343</v>
      </c>
      <c r="T616" s="1" t="s">
        <v>222</v>
      </c>
      <c r="U616" s="1" t="s">
        <v>2102</v>
      </c>
    </row>
    <row r="617" customFormat="false" ht="48" hidden="false" customHeight="true" outlineLevel="0" collapsed="false">
      <c r="A617" s="1" t="s">
        <v>45</v>
      </c>
      <c r="B617" s="1" t="s">
        <v>2097</v>
      </c>
      <c r="C617" s="1" t="s">
        <v>93</v>
      </c>
      <c r="D617" s="1" t="s">
        <v>399</v>
      </c>
      <c r="E617" s="1" t="n">
        <v>30</v>
      </c>
      <c r="F617" s="1" t="s">
        <v>2344</v>
      </c>
      <c r="G617" s="1" t="s">
        <v>2246</v>
      </c>
      <c r="H617" s="1" t="s">
        <v>2345</v>
      </c>
      <c r="I617" s="1" t="s">
        <v>402</v>
      </c>
      <c r="J617" s="1" t="s">
        <v>310</v>
      </c>
      <c r="K617" s="1" t="n">
        <v>16.99</v>
      </c>
      <c r="L617" s="1" t="n">
        <v>4.4</v>
      </c>
      <c r="M617" s="1" t="n">
        <v>813</v>
      </c>
      <c r="N617" s="4" t="b">
        <f aca="false">FALSE()</f>
        <v>0</v>
      </c>
      <c r="O617" s="1" t="s">
        <v>2257</v>
      </c>
      <c r="P617" s="4" t="b">
        <f aca="false">FALSE()</f>
        <v>0</v>
      </c>
      <c r="R617" s="1" t="s">
        <v>2249</v>
      </c>
      <c r="S617" s="1" t="s">
        <v>2346</v>
      </c>
      <c r="T617" s="1" t="s">
        <v>222</v>
      </c>
      <c r="U617" s="1" t="s">
        <v>2102</v>
      </c>
    </row>
    <row r="618" customFormat="false" ht="48" hidden="false" customHeight="true" outlineLevel="0" collapsed="false">
      <c r="A618" s="1" t="s">
        <v>45</v>
      </c>
      <c r="B618" s="1" t="s">
        <v>2097</v>
      </c>
      <c r="C618" s="1" t="s">
        <v>93</v>
      </c>
      <c r="D618" s="1" t="s">
        <v>399</v>
      </c>
      <c r="E618" s="1" t="n">
        <v>31</v>
      </c>
      <c r="F618" s="1" t="s">
        <v>2347</v>
      </c>
      <c r="G618" s="1" t="s">
        <v>236</v>
      </c>
      <c r="H618" s="1" t="s">
        <v>2348</v>
      </c>
      <c r="I618" s="1" t="s">
        <v>402</v>
      </c>
      <c r="J618" s="1" t="s">
        <v>310</v>
      </c>
      <c r="L618" s="1" t="n">
        <v>4.4</v>
      </c>
      <c r="M618" s="1" t="n">
        <v>3100</v>
      </c>
      <c r="N618" s="4" t="b">
        <f aca="false">FALSE()</f>
        <v>0</v>
      </c>
      <c r="P618" s="4" t="b">
        <f aca="false">FALSE()</f>
        <v>0</v>
      </c>
      <c r="R618" s="1" t="s">
        <v>2249</v>
      </c>
      <c r="S618" s="1" t="s">
        <v>2349</v>
      </c>
      <c r="T618" s="1" t="s">
        <v>222</v>
      </c>
      <c r="U618" s="1" t="s">
        <v>2102</v>
      </c>
    </row>
    <row r="619" customFormat="false" ht="48" hidden="false" customHeight="true" outlineLevel="0" collapsed="false">
      <c r="A619" s="1" t="s">
        <v>45</v>
      </c>
      <c r="B619" s="1" t="s">
        <v>2097</v>
      </c>
      <c r="C619" s="1" t="s">
        <v>93</v>
      </c>
      <c r="D619" s="1" t="s">
        <v>399</v>
      </c>
      <c r="E619" s="1" t="n">
        <v>32</v>
      </c>
      <c r="F619" s="1" t="s">
        <v>2350</v>
      </c>
      <c r="G619" s="1" t="s">
        <v>236</v>
      </c>
      <c r="H619" s="1" t="s">
        <v>2351</v>
      </c>
      <c r="I619" s="1" t="s">
        <v>231</v>
      </c>
      <c r="J619" s="1" t="s">
        <v>310</v>
      </c>
      <c r="K619" s="1" t="n">
        <v>40.9</v>
      </c>
      <c r="L619" s="1" t="n">
        <v>4.3</v>
      </c>
      <c r="M619" s="1" t="n">
        <v>1200</v>
      </c>
      <c r="N619" s="4" t="b">
        <f aca="false">FALSE()</f>
        <v>0</v>
      </c>
      <c r="O619" s="1" t="s">
        <v>2352</v>
      </c>
      <c r="P619" s="4" t="b">
        <f aca="false">FALSE()</f>
        <v>0</v>
      </c>
      <c r="R619" s="1" t="s">
        <v>2249</v>
      </c>
      <c r="S619" s="1" t="s">
        <v>2353</v>
      </c>
      <c r="T619" s="1" t="s">
        <v>222</v>
      </c>
      <c r="U619" s="1" t="s">
        <v>2102</v>
      </c>
    </row>
    <row r="620" customFormat="false" ht="48" hidden="false" customHeight="true" outlineLevel="0" collapsed="false">
      <c r="A620" s="1" t="s">
        <v>45</v>
      </c>
      <c r="B620" s="1" t="s">
        <v>2097</v>
      </c>
      <c r="C620" s="1" t="s">
        <v>93</v>
      </c>
      <c r="D620" s="1" t="s">
        <v>399</v>
      </c>
      <c r="E620" s="1" t="n">
        <v>33</v>
      </c>
      <c r="F620" s="1" t="s">
        <v>2354</v>
      </c>
      <c r="G620" s="1" t="s">
        <v>236</v>
      </c>
      <c r="H620" s="1" t="s">
        <v>2307</v>
      </c>
      <c r="I620" s="1" t="s">
        <v>402</v>
      </c>
      <c r="J620" s="1" t="s">
        <v>371</v>
      </c>
      <c r="L620" s="1" t="n">
        <v>4.4</v>
      </c>
      <c r="M620" s="1" t="n">
        <v>5000</v>
      </c>
      <c r="N620" s="4" t="b">
        <f aca="false">FALSE()</f>
        <v>0</v>
      </c>
      <c r="P620" s="4" t="b">
        <f aca="false">FALSE()</f>
        <v>0</v>
      </c>
      <c r="R620" s="1" t="s">
        <v>2249</v>
      </c>
      <c r="S620" s="1" t="s">
        <v>2355</v>
      </c>
      <c r="T620" s="1" t="s">
        <v>222</v>
      </c>
      <c r="U620" s="1" t="s">
        <v>2102</v>
      </c>
    </row>
    <row r="621" customFormat="false" ht="48" hidden="false" customHeight="true" outlineLevel="0" collapsed="false">
      <c r="A621" s="1" t="s">
        <v>45</v>
      </c>
      <c r="B621" s="1" t="s">
        <v>2097</v>
      </c>
      <c r="C621" s="1" t="s">
        <v>93</v>
      </c>
      <c r="D621" s="1" t="s">
        <v>399</v>
      </c>
      <c r="E621" s="1" t="n">
        <v>34</v>
      </c>
      <c r="F621" s="1" t="s">
        <v>2356</v>
      </c>
      <c r="G621" s="1" t="s">
        <v>236</v>
      </c>
      <c r="H621" s="1" t="s">
        <v>2357</v>
      </c>
      <c r="I621" s="1" t="s">
        <v>231</v>
      </c>
      <c r="J621" s="1" t="s">
        <v>310</v>
      </c>
      <c r="K621" s="1" t="n">
        <v>19.95</v>
      </c>
      <c r="L621" s="1" t="n">
        <v>4.5</v>
      </c>
      <c r="M621" s="1" t="n">
        <v>9</v>
      </c>
      <c r="N621" s="4" t="b">
        <f aca="false">FALSE()</f>
        <v>0</v>
      </c>
      <c r="O621" s="1" t="s">
        <v>2358</v>
      </c>
      <c r="P621" s="4" t="b">
        <f aca="false">FALSE()</f>
        <v>0</v>
      </c>
      <c r="Q621" s="1" t="s">
        <v>251</v>
      </c>
      <c r="R621" s="1" t="s">
        <v>2249</v>
      </c>
      <c r="S621" s="1" t="s">
        <v>2359</v>
      </c>
      <c r="T621" s="1" t="s">
        <v>222</v>
      </c>
      <c r="U621" s="1" t="s">
        <v>2102</v>
      </c>
    </row>
    <row r="622" customFormat="false" ht="48" hidden="false" customHeight="true" outlineLevel="0" collapsed="false">
      <c r="A622" s="1" t="s">
        <v>45</v>
      </c>
      <c r="B622" s="1" t="s">
        <v>2097</v>
      </c>
      <c r="C622" s="1" t="s">
        <v>93</v>
      </c>
      <c r="D622" s="1" t="s">
        <v>399</v>
      </c>
      <c r="E622" s="1" t="n">
        <v>35</v>
      </c>
      <c r="F622" s="1" t="s">
        <v>2360</v>
      </c>
      <c r="G622" s="1" t="s">
        <v>236</v>
      </c>
      <c r="H622" s="1" t="s">
        <v>2361</v>
      </c>
      <c r="I622" s="1" t="s">
        <v>231</v>
      </c>
      <c r="J622" s="1" t="s">
        <v>371</v>
      </c>
      <c r="K622" s="1" t="n">
        <v>74.96</v>
      </c>
      <c r="L622" s="1" t="n">
        <v>4.4</v>
      </c>
      <c r="M622" s="1" t="n">
        <v>535</v>
      </c>
      <c r="N622" s="4" t="b">
        <f aca="false">FALSE()</f>
        <v>0</v>
      </c>
      <c r="P622" s="4" t="b">
        <f aca="false">FALSE()</f>
        <v>0</v>
      </c>
      <c r="R622" s="1" t="s">
        <v>2249</v>
      </c>
      <c r="S622" s="1" t="s">
        <v>2362</v>
      </c>
      <c r="T622" s="1" t="s">
        <v>222</v>
      </c>
      <c r="U622" s="1" t="s">
        <v>2102</v>
      </c>
    </row>
    <row r="623" customFormat="false" ht="48" hidden="false" customHeight="true" outlineLevel="0" collapsed="false">
      <c r="A623" s="1" t="s">
        <v>45</v>
      </c>
      <c r="B623" s="1" t="s">
        <v>2097</v>
      </c>
      <c r="C623" s="1" t="s">
        <v>93</v>
      </c>
      <c r="D623" s="1" t="s">
        <v>399</v>
      </c>
      <c r="E623" s="1" t="n">
        <v>36</v>
      </c>
      <c r="F623" s="1" t="s">
        <v>2363</v>
      </c>
      <c r="G623" s="1" t="s">
        <v>236</v>
      </c>
      <c r="H623" s="1" t="s">
        <v>2364</v>
      </c>
      <c r="I623" s="1" t="s">
        <v>402</v>
      </c>
      <c r="J623" s="1" t="s">
        <v>371</v>
      </c>
      <c r="L623" s="1" t="n">
        <v>4.5</v>
      </c>
      <c r="M623" s="1" t="n">
        <v>86</v>
      </c>
      <c r="N623" s="4" t="b">
        <f aca="false">FALSE()</f>
        <v>0</v>
      </c>
      <c r="P623" s="4" t="b">
        <f aca="false">FALSE()</f>
        <v>0</v>
      </c>
      <c r="R623" s="1" t="s">
        <v>2249</v>
      </c>
      <c r="S623" s="1" t="s">
        <v>2365</v>
      </c>
      <c r="T623" s="1" t="s">
        <v>222</v>
      </c>
      <c r="U623" s="1" t="s">
        <v>2102</v>
      </c>
    </row>
    <row r="624" customFormat="false" ht="48" hidden="false" customHeight="true" outlineLevel="0" collapsed="false">
      <c r="A624" s="1" t="s">
        <v>45</v>
      </c>
      <c r="B624" s="1" t="s">
        <v>2097</v>
      </c>
      <c r="C624" s="1" t="s">
        <v>93</v>
      </c>
      <c r="D624" s="1" t="s">
        <v>399</v>
      </c>
      <c r="E624" s="1" t="n">
        <v>37</v>
      </c>
      <c r="F624" s="1" t="s">
        <v>2366</v>
      </c>
      <c r="G624" s="1" t="s">
        <v>567</v>
      </c>
      <c r="H624" s="1" t="s">
        <v>2367</v>
      </c>
      <c r="I624" s="1" t="s">
        <v>2323</v>
      </c>
      <c r="J624" s="1" t="s">
        <v>371</v>
      </c>
      <c r="K624" s="1" t="n">
        <v>7.69</v>
      </c>
      <c r="L624" s="1" t="n">
        <v>4.4</v>
      </c>
      <c r="M624" s="1" t="n">
        <v>11600</v>
      </c>
      <c r="N624" s="4" t="b">
        <f aca="false">FALSE()</f>
        <v>0</v>
      </c>
      <c r="O624" s="1" t="s">
        <v>2368</v>
      </c>
      <c r="P624" s="4" t="b">
        <f aca="false">FALSE()</f>
        <v>0</v>
      </c>
      <c r="Q624" s="1" t="s">
        <v>711</v>
      </c>
      <c r="R624" s="1" t="s">
        <v>2249</v>
      </c>
      <c r="S624" s="1" t="s">
        <v>2369</v>
      </c>
      <c r="T624" s="1" t="s">
        <v>222</v>
      </c>
      <c r="U624" s="1" t="s">
        <v>2102</v>
      </c>
    </row>
    <row r="625" customFormat="false" ht="48" hidden="false" customHeight="true" outlineLevel="0" collapsed="false">
      <c r="A625" s="1" t="s">
        <v>45</v>
      </c>
      <c r="B625" s="1" t="s">
        <v>2097</v>
      </c>
      <c r="C625" s="1" t="s">
        <v>93</v>
      </c>
      <c r="D625" s="1" t="s">
        <v>399</v>
      </c>
      <c r="E625" s="1" t="n">
        <v>38</v>
      </c>
      <c r="F625" s="1" t="s">
        <v>2370</v>
      </c>
      <c r="G625" s="1" t="s">
        <v>2246</v>
      </c>
      <c r="H625" s="1" t="s">
        <v>2371</v>
      </c>
      <c r="I625" s="1" t="s">
        <v>2333</v>
      </c>
      <c r="J625" s="1" t="s">
        <v>310</v>
      </c>
      <c r="K625" s="1" t="n">
        <v>19.99</v>
      </c>
      <c r="L625" s="1" t="n">
        <v>4.4</v>
      </c>
      <c r="M625" s="1" t="n">
        <v>10500</v>
      </c>
      <c r="N625" s="4" t="b">
        <f aca="false">FALSE()</f>
        <v>0</v>
      </c>
      <c r="O625" s="1" t="s">
        <v>2257</v>
      </c>
      <c r="P625" s="4" t="b">
        <f aca="false">FALSE()</f>
        <v>0</v>
      </c>
      <c r="R625" s="1" t="s">
        <v>2249</v>
      </c>
      <c r="S625" s="1" t="s">
        <v>2372</v>
      </c>
      <c r="T625" s="1" t="s">
        <v>222</v>
      </c>
      <c r="U625" s="1" t="s">
        <v>2102</v>
      </c>
    </row>
    <row r="626" customFormat="false" ht="48" hidden="false" customHeight="true" outlineLevel="0" collapsed="false">
      <c r="A626" s="1" t="s">
        <v>45</v>
      </c>
      <c r="B626" s="1" t="s">
        <v>2097</v>
      </c>
      <c r="C626" s="1" t="s">
        <v>93</v>
      </c>
      <c r="D626" s="1" t="s">
        <v>399</v>
      </c>
      <c r="E626" s="1" t="n">
        <v>39</v>
      </c>
      <c r="F626" s="1" t="s">
        <v>2373</v>
      </c>
      <c r="G626" s="1" t="s">
        <v>236</v>
      </c>
      <c r="H626" s="1" t="s">
        <v>2374</v>
      </c>
      <c r="I626" s="1" t="s">
        <v>289</v>
      </c>
      <c r="J626" s="1" t="s">
        <v>371</v>
      </c>
      <c r="K626" s="1" t="n">
        <v>56.27</v>
      </c>
      <c r="L626" s="1" t="n">
        <v>4.6</v>
      </c>
      <c r="M626" s="1" t="n">
        <v>30300</v>
      </c>
      <c r="N626" s="4" t="b">
        <f aca="false">FALSE()</f>
        <v>0</v>
      </c>
      <c r="P626" s="4" t="b">
        <f aca="false">FALSE()</f>
        <v>0</v>
      </c>
      <c r="R626" s="1" t="s">
        <v>2249</v>
      </c>
      <c r="S626" s="1" t="s">
        <v>2375</v>
      </c>
      <c r="T626" s="1" t="s">
        <v>222</v>
      </c>
      <c r="U626" s="1" t="s">
        <v>2102</v>
      </c>
    </row>
    <row r="627" customFormat="false" ht="48" hidden="false" customHeight="true" outlineLevel="0" collapsed="false">
      <c r="A627" s="1" t="s">
        <v>45</v>
      </c>
      <c r="B627" s="1" t="s">
        <v>2097</v>
      </c>
      <c r="C627" s="1" t="s">
        <v>93</v>
      </c>
      <c r="D627" s="1" t="s">
        <v>399</v>
      </c>
      <c r="E627" s="1" t="n">
        <v>40</v>
      </c>
      <c r="F627" s="1" t="s">
        <v>2376</v>
      </c>
      <c r="G627" s="1" t="s">
        <v>236</v>
      </c>
      <c r="H627" s="1" t="s">
        <v>2377</v>
      </c>
      <c r="I627" s="1" t="s">
        <v>231</v>
      </c>
      <c r="J627" s="1" t="s">
        <v>310</v>
      </c>
      <c r="K627" s="1" t="n">
        <v>19.5</v>
      </c>
      <c r="L627" s="1" t="n">
        <v>4.4</v>
      </c>
      <c r="M627" s="1" t="n">
        <v>18</v>
      </c>
      <c r="N627" s="4" t="b">
        <f aca="false">FALSE()</f>
        <v>0</v>
      </c>
      <c r="O627" s="1" t="s">
        <v>2358</v>
      </c>
      <c r="P627" s="4" t="b">
        <f aca="false">FALSE()</f>
        <v>0</v>
      </c>
      <c r="R627" s="1" t="s">
        <v>2249</v>
      </c>
      <c r="S627" s="1" t="s">
        <v>2378</v>
      </c>
      <c r="T627" s="1" t="s">
        <v>222</v>
      </c>
      <c r="U627" s="1" t="s">
        <v>2102</v>
      </c>
    </row>
    <row r="628" customFormat="false" ht="48" hidden="false" customHeight="true" outlineLevel="0" collapsed="false">
      <c r="A628" s="1" t="s">
        <v>45</v>
      </c>
      <c r="B628" s="1" t="s">
        <v>2097</v>
      </c>
      <c r="C628" s="1" t="s">
        <v>93</v>
      </c>
      <c r="D628" s="1" t="s">
        <v>399</v>
      </c>
      <c r="E628" s="1" t="n">
        <v>41</v>
      </c>
      <c r="F628" s="1" t="s">
        <v>2379</v>
      </c>
      <c r="G628" s="1" t="s">
        <v>774</v>
      </c>
      <c r="H628" s="1" t="s">
        <v>2380</v>
      </c>
      <c r="I628" s="1" t="s">
        <v>218</v>
      </c>
      <c r="J628" s="1" t="s">
        <v>310</v>
      </c>
      <c r="K628" s="1" t="n">
        <v>42.6</v>
      </c>
      <c r="L628" s="1" t="n">
        <v>4.6</v>
      </c>
      <c r="M628" s="1" t="n">
        <v>16500</v>
      </c>
      <c r="N628" s="4" t="b">
        <f aca="false">FALSE()</f>
        <v>0</v>
      </c>
      <c r="P628" s="4" t="b">
        <f aca="false">FALSE()</f>
        <v>0</v>
      </c>
      <c r="R628" s="1" t="s">
        <v>2249</v>
      </c>
      <c r="S628" s="1" t="s">
        <v>2381</v>
      </c>
      <c r="T628" s="1" t="s">
        <v>222</v>
      </c>
      <c r="U628" s="1" t="s">
        <v>2102</v>
      </c>
    </row>
    <row r="629" customFormat="false" ht="48" hidden="false" customHeight="true" outlineLevel="0" collapsed="false">
      <c r="A629" s="1" t="s">
        <v>45</v>
      </c>
      <c r="B629" s="1" t="s">
        <v>2097</v>
      </c>
      <c r="C629" s="1" t="s">
        <v>93</v>
      </c>
      <c r="D629" s="1" t="s">
        <v>399</v>
      </c>
      <c r="E629" s="1" t="n">
        <v>42</v>
      </c>
      <c r="F629" s="1" t="s">
        <v>2382</v>
      </c>
      <c r="G629" s="1" t="s">
        <v>236</v>
      </c>
      <c r="H629" s="1" t="s">
        <v>2383</v>
      </c>
      <c r="I629" s="1" t="s">
        <v>402</v>
      </c>
      <c r="J629" s="1" t="s">
        <v>310</v>
      </c>
      <c r="K629" s="1" t="n">
        <v>22.4</v>
      </c>
      <c r="L629" s="1" t="n">
        <v>4.2</v>
      </c>
      <c r="M629" s="1" t="n">
        <v>48</v>
      </c>
      <c r="N629" s="4" t="b">
        <f aca="false">FALSE()</f>
        <v>0</v>
      </c>
      <c r="P629" s="4" t="b">
        <f aca="false">FALSE()</f>
        <v>0</v>
      </c>
      <c r="R629" s="1" t="s">
        <v>2249</v>
      </c>
      <c r="S629" s="1" t="s">
        <v>2384</v>
      </c>
      <c r="T629" s="1" t="s">
        <v>222</v>
      </c>
      <c r="U629" s="1" t="s">
        <v>2102</v>
      </c>
    </row>
    <row r="630" customFormat="false" ht="48" hidden="false" customHeight="true" outlineLevel="0" collapsed="false">
      <c r="A630" s="1" t="s">
        <v>45</v>
      </c>
      <c r="B630" s="1" t="s">
        <v>2097</v>
      </c>
      <c r="C630" s="1" t="s">
        <v>93</v>
      </c>
      <c r="D630" s="1" t="s">
        <v>399</v>
      </c>
      <c r="E630" s="1" t="n">
        <v>43</v>
      </c>
      <c r="F630" s="1" t="s">
        <v>2385</v>
      </c>
      <c r="G630" s="1" t="s">
        <v>236</v>
      </c>
      <c r="H630" s="1" t="s">
        <v>2386</v>
      </c>
      <c r="I630" s="1" t="s">
        <v>402</v>
      </c>
      <c r="J630" s="1" t="s">
        <v>371</v>
      </c>
      <c r="L630" s="1" t="n">
        <v>3.9</v>
      </c>
      <c r="M630" s="1" t="n">
        <v>27</v>
      </c>
      <c r="N630" s="4" t="b">
        <f aca="false">FALSE()</f>
        <v>0</v>
      </c>
      <c r="P630" s="4" t="b">
        <f aca="false">FALSE()</f>
        <v>0</v>
      </c>
      <c r="R630" s="1" t="s">
        <v>2249</v>
      </c>
      <c r="S630" s="1" t="s">
        <v>2387</v>
      </c>
      <c r="T630" s="1" t="s">
        <v>222</v>
      </c>
      <c r="U630" s="1" t="s">
        <v>2102</v>
      </c>
    </row>
    <row r="631" customFormat="false" ht="48" hidden="false" customHeight="true" outlineLevel="0" collapsed="false">
      <c r="A631" s="1" t="s">
        <v>45</v>
      </c>
      <c r="B631" s="1" t="s">
        <v>2097</v>
      </c>
      <c r="C631" s="1" t="s">
        <v>93</v>
      </c>
      <c r="D631" s="1" t="s">
        <v>399</v>
      </c>
      <c r="E631" s="1" t="n">
        <v>44</v>
      </c>
      <c r="F631" s="1" t="s">
        <v>2388</v>
      </c>
      <c r="G631" s="1" t="s">
        <v>236</v>
      </c>
      <c r="H631" s="1" t="s">
        <v>2389</v>
      </c>
      <c r="I631" s="1" t="s">
        <v>231</v>
      </c>
      <c r="J631" s="1" t="s">
        <v>310</v>
      </c>
      <c r="K631" s="1" t="n">
        <v>36.99</v>
      </c>
      <c r="L631" s="1" t="n">
        <v>4.4</v>
      </c>
      <c r="M631" s="1" t="n">
        <v>118</v>
      </c>
      <c r="N631" s="4" t="b">
        <f aca="false">FALSE()</f>
        <v>0</v>
      </c>
      <c r="O631" s="1" t="s">
        <v>2390</v>
      </c>
      <c r="P631" s="4" t="b">
        <f aca="false">FALSE()</f>
        <v>0</v>
      </c>
      <c r="Q631" s="1" t="s">
        <v>251</v>
      </c>
      <c r="R631" s="1" t="s">
        <v>2249</v>
      </c>
      <c r="S631" s="1" t="s">
        <v>2391</v>
      </c>
      <c r="T631" s="1" t="s">
        <v>222</v>
      </c>
      <c r="U631" s="1" t="s">
        <v>2102</v>
      </c>
    </row>
    <row r="632" customFormat="false" ht="48" hidden="false" customHeight="true" outlineLevel="0" collapsed="false">
      <c r="A632" s="1" t="s">
        <v>45</v>
      </c>
      <c r="B632" s="1" t="s">
        <v>2097</v>
      </c>
      <c r="C632" s="1" t="s">
        <v>93</v>
      </c>
      <c r="D632" s="1" t="s">
        <v>399</v>
      </c>
      <c r="E632" s="1" t="n">
        <v>45</v>
      </c>
      <c r="F632" s="1" t="s">
        <v>2392</v>
      </c>
      <c r="G632" s="1" t="s">
        <v>2246</v>
      </c>
      <c r="H632" s="1" t="s">
        <v>2393</v>
      </c>
      <c r="I632" s="1" t="s">
        <v>402</v>
      </c>
      <c r="J632" s="1" t="s">
        <v>597</v>
      </c>
      <c r="K632" s="1" t="n">
        <v>13.99</v>
      </c>
      <c r="L632" s="1" t="n">
        <v>4.6</v>
      </c>
      <c r="M632" s="1" t="n">
        <v>3</v>
      </c>
      <c r="N632" s="4" t="b">
        <f aca="false">FALSE()</f>
        <v>0</v>
      </c>
      <c r="O632" s="1" t="s">
        <v>2257</v>
      </c>
      <c r="P632" s="4" t="b">
        <f aca="false">FALSE()</f>
        <v>0</v>
      </c>
      <c r="R632" s="1" t="s">
        <v>2249</v>
      </c>
      <c r="S632" s="1" t="s">
        <v>2394</v>
      </c>
      <c r="T632" s="1" t="s">
        <v>222</v>
      </c>
      <c r="U632" s="1" t="s">
        <v>2102</v>
      </c>
    </row>
    <row r="633" customFormat="false" ht="48" hidden="false" customHeight="true" outlineLevel="0" collapsed="false">
      <c r="A633" s="1" t="s">
        <v>45</v>
      </c>
      <c r="B633" s="1" t="s">
        <v>2097</v>
      </c>
      <c r="C633" s="1" t="s">
        <v>93</v>
      </c>
      <c r="D633" s="1" t="s">
        <v>399</v>
      </c>
      <c r="E633" s="1" t="n">
        <v>46</v>
      </c>
      <c r="F633" s="1" t="s">
        <v>2395</v>
      </c>
      <c r="G633" s="1" t="s">
        <v>2252</v>
      </c>
      <c r="H633" s="1" t="s">
        <v>2396</v>
      </c>
      <c r="I633" s="1" t="s">
        <v>231</v>
      </c>
      <c r="J633" s="1" t="s">
        <v>310</v>
      </c>
      <c r="L633" s="1" t="n">
        <v>4.4</v>
      </c>
      <c r="M633" s="1" t="n">
        <v>19</v>
      </c>
      <c r="N633" s="4" t="b">
        <f aca="false">FALSE()</f>
        <v>0</v>
      </c>
      <c r="P633" s="4" t="b">
        <f aca="false">FALSE()</f>
        <v>0</v>
      </c>
      <c r="R633" s="1" t="s">
        <v>2249</v>
      </c>
      <c r="S633" s="1" t="s">
        <v>2397</v>
      </c>
      <c r="T633" s="1" t="s">
        <v>222</v>
      </c>
      <c r="U633" s="1" t="s">
        <v>2102</v>
      </c>
    </row>
    <row r="634" customFormat="false" ht="48" hidden="false" customHeight="true" outlineLevel="0" collapsed="false">
      <c r="A634" s="1" t="s">
        <v>45</v>
      </c>
      <c r="B634" s="1" t="s">
        <v>2097</v>
      </c>
      <c r="C634" s="1" t="s">
        <v>93</v>
      </c>
      <c r="D634" s="1" t="s">
        <v>399</v>
      </c>
      <c r="E634" s="1" t="n">
        <v>47</v>
      </c>
      <c r="F634" s="1" t="s">
        <v>2398</v>
      </c>
      <c r="G634" s="1" t="s">
        <v>236</v>
      </c>
      <c r="H634" s="1" t="s">
        <v>2399</v>
      </c>
      <c r="I634" s="1" t="s">
        <v>218</v>
      </c>
      <c r="J634" s="1" t="s">
        <v>310</v>
      </c>
      <c r="K634" s="1" t="n">
        <v>67.09</v>
      </c>
      <c r="L634" s="1" t="n">
        <v>4.6</v>
      </c>
      <c r="M634" s="1" t="n">
        <v>7600</v>
      </c>
      <c r="N634" s="4" t="b">
        <f aca="false">FALSE()</f>
        <v>0</v>
      </c>
      <c r="P634" s="4" t="b">
        <f aca="false">FALSE()</f>
        <v>0</v>
      </c>
      <c r="R634" s="1" t="s">
        <v>2249</v>
      </c>
      <c r="S634" s="1" t="s">
        <v>2400</v>
      </c>
      <c r="T634" s="1" t="s">
        <v>222</v>
      </c>
      <c r="U634" s="1" t="s">
        <v>2102</v>
      </c>
    </row>
    <row r="635" customFormat="false" ht="48" hidden="false" customHeight="true" outlineLevel="0" collapsed="false">
      <c r="A635" s="1" t="s">
        <v>45</v>
      </c>
      <c r="B635" s="1" t="s">
        <v>2097</v>
      </c>
      <c r="C635" s="1" t="s">
        <v>93</v>
      </c>
      <c r="D635" s="1" t="s">
        <v>399</v>
      </c>
      <c r="E635" s="1" t="n">
        <v>48</v>
      </c>
      <c r="F635" s="1" t="s">
        <v>2401</v>
      </c>
      <c r="G635" s="1" t="s">
        <v>236</v>
      </c>
      <c r="H635" s="1" t="s">
        <v>2402</v>
      </c>
      <c r="I635" s="1" t="s">
        <v>402</v>
      </c>
      <c r="J635" s="1" t="s">
        <v>310</v>
      </c>
      <c r="L635" s="1" t="n">
        <v>4.4</v>
      </c>
      <c r="M635" s="1" t="n">
        <v>95</v>
      </c>
      <c r="N635" s="4" t="b">
        <f aca="false">FALSE()</f>
        <v>0</v>
      </c>
      <c r="O635" s="1" t="s">
        <v>2402</v>
      </c>
      <c r="P635" s="4" t="b">
        <f aca="false">FALSE()</f>
        <v>0</v>
      </c>
      <c r="R635" s="1" t="s">
        <v>2249</v>
      </c>
      <c r="S635" s="1" t="s">
        <v>2403</v>
      </c>
      <c r="T635" s="1" t="s">
        <v>222</v>
      </c>
      <c r="U635" s="1" t="s">
        <v>2102</v>
      </c>
    </row>
    <row r="636" customFormat="false" ht="48" hidden="false" customHeight="true" outlineLevel="0" collapsed="false">
      <c r="A636" s="1" t="s">
        <v>45</v>
      </c>
      <c r="B636" s="1" t="s">
        <v>2097</v>
      </c>
      <c r="C636" s="1" t="s">
        <v>84</v>
      </c>
      <c r="D636" s="1" t="s">
        <v>580</v>
      </c>
      <c r="E636" s="1" t="n">
        <v>1</v>
      </c>
      <c r="F636" s="1" t="s">
        <v>2404</v>
      </c>
      <c r="G636" s="1" t="s">
        <v>2405</v>
      </c>
      <c r="H636" s="1" t="s">
        <v>2406</v>
      </c>
      <c r="I636" s="1" t="s">
        <v>2323</v>
      </c>
      <c r="J636" s="1" t="s">
        <v>597</v>
      </c>
      <c r="L636" s="1" t="n">
        <v>4.3</v>
      </c>
      <c r="M636" s="1" t="n">
        <v>4800</v>
      </c>
      <c r="N636" s="4" t="b">
        <f aca="false">FALSE()</f>
        <v>0</v>
      </c>
      <c r="P636" s="4" t="b">
        <f aca="false">TRUE()</f>
        <v>1</v>
      </c>
      <c r="Q636" s="1" t="s">
        <v>418</v>
      </c>
      <c r="R636" s="1" t="s">
        <v>2407</v>
      </c>
      <c r="S636" s="1" t="s">
        <v>2408</v>
      </c>
      <c r="T636" s="1" t="s">
        <v>222</v>
      </c>
      <c r="U636" s="1" t="s">
        <v>2102</v>
      </c>
    </row>
    <row r="637" customFormat="false" ht="48" hidden="false" customHeight="true" outlineLevel="0" collapsed="false">
      <c r="A637" s="1" t="s">
        <v>45</v>
      </c>
      <c r="B637" s="1" t="s">
        <v>2097</v>
      </c>
      <c r="C637" s="1" t="s">
        <v>84</v>
      </c>
      <c r="D637" s="1" t="s">
        <v>580</v>
      </c>
      <c r="E637" s="1" t="n">
        <v>2</v>
      </c>
      <c r="F637" s="1" t="s">
        <v>2409</v>
      </c>
      <c r="G637" s="1" t="s">
        <v>2410</v>
      </c>
      <c r="H637" s="1" t="s">
        <v>2411</v>
      </c>
      <c r="I637" s="1" t="s">
        <v>402</v>
      </c>
      <c r="J637" s="1" t="s">
        <v>597</v>
      </c>
      <c r="K637" s="1" t="n">
        <v>27</v>
      </c>
      <c r="L637" s="1" t="n">
        <v>4.5</v>
      </c>
      <c r="M637" s="1" t="n">
        <v>980</v>
      </c>
      <c r="N637" s="4" t="b">
        <f aca="false">FALSE()</f>
        <v>0</v>
      </c>
      <c r="O637" s="1" t="s">
        <v>2412</v>
      </c>
      <c r="P637" s="4" t="b">
        <f aca="false">TRUE()</f>
        <v>1</v>
      </c>
      <c r="Q637" s="1" t="s">
        <v>451</v>
      </c>
      <c r="R637" s="1" t="s">
        <v>2407</v>
      </c>
      <c r="S637" s="1" t="s">
        <v>2413</v>
      </c>
      <c r="T637" s="1" t="s">
        <v>222</v>
      </c>
      <c r="U637" s="1" t="s">
        <v>2102</v>
      </c>
    </row>
    <row r="638" customFormat="false" ht="48" hidden="false" customHeight="true" outlineLevel="0" collapsed="false">
      <c r="A638" s="1" t="s">
        <v>45</v>
      </c>
      <c r="B638" s="1" t="s">
        <v>2097</v>
      </c>
      <c r="C638" s="1" t="s">
        <v>84</v>
      </c>
      <c r="D638" s="1" t="s">
        <v>580</v>
      </c>
      <c r="E638" s="1" t="n">
        <v>3</v>
      </c>
      <c r="F638" s="1" t="s">
        <v>2414</v>
      </c>
      <c r="G638" s="1" t="s">
        <v>236</v>
      </c>
      <c r="H638" s="1" t="s">
        <v>2415</v>
      </c>
      <c r="I638" s="1" t="s">
        <v>402</v>
      </c>
      <c r="J638" s="1" t="s">
        <v>597</v>
      </c>
      <c r="L638" s="1" t="n">
        <v>4.2</v>
      </c>
      <c r="M638" s="1" t="n">
        <v>918</v>
      </c>
      <c r="N638" s="4" t="b">
        <f aca="false">FALSE()</f>
        <v>0</v>
      </c>
      <c r="P638" s="4" t="b">
        <f aca="false">TRUE()</f>
        <v>1</v>
      </c>
      <c r="Q638" s="1" t="s">
        <v>451</v>
      </c>
      <c r="R638" s="1" t="s">
        <v>2407</v>
      </c>
      <c r="S638" s="1" t="s">
        <v>2416</v>
      </c>
      <c r="T638" s="1" t="s">
        <v>222</v>
      </c>
      <c r="U638" s="1" t="s">
        <v>2102</v>
      </c>
    </row>
    <row r="639" customFormat="false" ht="48" hidden="false" customHeight="true" outlineLevel="0" collapsed="false">
      <c r="A639" s="1" t="s">
        <v>45</v>
      </c>
      <c r="B639" s="1" t="s">
        <v>2097</v>
      </c>
      <c r="C639" s="1" t="s">
        <v>84</v>
      </c>
      <c r="D639" s="1" t="s">
        <v>580</v>
      </c>
      <c r="E639" s="1" t="n">
        <v>4</v>
      </c>
      <c r="F639" s="1" t="s">
        <v>2417</v>
      </c>
      <c r="G639" s="1" t="s">
        <v>2410</v>
      </c>
      <c r="H639" s="1" t="s">
        <v>2418</v>
      </c>
      <c r="I639" s="1" t="s">
        <v>231</v>
      </c>
      <c r="J639" s="1" t="s">
        <v>597</v>
      </c>
      <c r="K639" s="1" t="n">
        <v>38</v>
      </c>
      <c r="L639" s="1" t="n">
        <v>4.5</v>
      </c>
      <c r="M639" s="1" t="n">
        <v>980</v>
      </c>
      <c r="N639" s="4" t="b">
        <f aca="false">FALSE()</f>
        <v>0</v>
      </c>
      <c r="O639" s="1" t="s">
        <v>2419</v>
      </c>
      <c r="P639" s="4" t="b">
        <f aca="false">TRUE()</f>
        <v>1</v>
      </c>
      <c r="Q639" s="1" t="s">
        <v>233</v>
      </c>
      <c r="R639" s="1" t="s">
        <v>2407</v>
      </c>
      <c r="S639" s="1" t="s">
        <v>2420</v>
      </c>
      <c r="T639" s="1" t="s">
        <v>222</v>
      </c>
      <c r="U639" s="1" t="s">
        <v>2102</v>
      </c>
    </row>
    <row r="640" customFormat="false" ht="48" hidden="false" customHeight="true" outlineLevel="0" collapsed="false">
      <c r="A640" s="1" t="s">
        <v>45</v>
      </c>
      <c r="B640" s="1" t="s">
        <v>2097</v>
      </c>
      <c r="C640" s="1" t="s">
        <v>84</v>
      </c>
      <c r="D640" s="1" t="s">
        <v>580</v>
      </c>
      <c r="E640" s="1" t="n">
        <v>5</v>
      </c>
      <c r="F640" s="1" t="s">
        <v>2421</v>
      </c>
      <c r="G640" s="1" t="s">
        <v>2410</v>
      </c>
      <c r="H640" s="1" t="s">
        <v>2422</v>
      </c>
      <c r="I640" s="1" t="s">
        <v>402</v>
      </c>
      <c r="J640" s="1" t="s">
        <v>597</v>
      </c>
      <c r="K640" s="1" t="n">
        <v>34</v>
      </c>
      <c r="L640" s="1" t="n">
        <v>4.5</v>
      </c>
      <c r="M640" s="1" t="n">
        <v>980</v>
      </c>
      <c r="N640" s="4" t="b">
        <f aca="false">FALSE()</f>
        <v>0</v>
      </c>
      <c r="O640" s="1" t="s">
        <v>2412</v>
      </c>
      <c r="P640" s="4" t="b">
        <f aca="false">TRUE()</f>
        <v>1</v>
      </c>
      <c r="Q640" s="1" t="s">
        <v>451</v>
      </c>
      <c r="R640" s="1" t="s">
        <v>2407</v>
      </c>
      <c r="S640" s="1" t="s">
        <v>2423</v>
      </c>
      <c r="T640" s="1" t="s">
        <v>222</v>
      </c>
      <c r="U640" s="1" t="s">
        <v>2102</v>
      </c>
    </row>
    <row r="641" customFormat="false" ht="48" hidden="false" customHeight="true" outlineLevel="0" collapsed="false">
      <c r="A641" s="1" t="s">
        <v>45</v>
      </c>
      <c r="B641" s="1" t="s">
        <v>2097</v>
      </c>
      <c r="C641" s="1" t="s">
        <v>84</v>
      </c>
      <c r="D641" s="1" t="s">
        <v>580</v>
      </c>
      <c r="E641" s="1" t="n">
        <v>6</v>
      </c>
      <c r="F641" s="1" t="s">
        <v>2424</v>
      </c>
      <c r="G641" s="1" t="s">
        <v>2425</v>
      </c>
      <c r="H641" s="1" t="s">
        <v>2426</v>
      </c>
      <c r="I641" s="1" t="s">
        <v>402</v>
      </c>
      <c r="J641" s="1" t="s">
        <v>597</v>
      </c>
      <c r="K641" s="1" t="n">
        <v>22.93</v>
      </c>
      <c r="L641" s="1" t="n">
        <v>4.3</v>
      </c>
      <c r="M641" s="1" t="n">
        <v>2000</v>
      </c>
      <c r="N641" s="4" t="b">
        <f aca="false">FALSE()</f>
        <v>0</v>
      </c>
      <c r="P641" s="4" t="b">
        <f aca="false">TRUE()</f>
        <v>1</v>
      </c>
      <c r="Q641" s="1" t="s">
        <v>233</v>
      </c>
      <c r="R641" s="1" t="s">
        <v>2407</v>
      </c>
      <c r="S641" s="1" t="s">
        <v>2427</v>
      </c>
      <c r="T641" s="1" t="s">
        <v>222</v>
      </c>
      <c r="U641" s="1" t="s">
        <v>2102</v>
      </c>
    </row>
    <row r="642" customFormat="false" ht="48" hidden="false" customHeight="true" outlineLevel="0" collapsed="false">
      <c r="A642" s="1" t="s">
        <v>45</v>
      </c>
      <c r="B642" s="1" t="s">
        <v>2097</v>
      </c>
      <c r="C642" s="1" t="s">
        <v>84</v>
      </c>
      <c r="D642" s="1" t="s">
        <v>580</v>
      </c>
      <c r="E642" s="1" t="n">
        <v>7</v>
      </c>
      <c r="F642" s="1" t="s">
        <v>2428</v>
      </c>
      <c r="G642" s="1" t="s">
        <v>236</v>
      </c>
      <c r="H642" s="1" t="s">
        <v>2429</v>
      </c>
      <c r="I642" s="1" t="s">
        <v>402</v>
      </c>
      <c r="J642" s="1" t="s">
        <v>597</v>
      </c>
      <c r="K642" s="1" t="n">
        <v>22.97</v>
      </c>
      <c r="L642" s="1" t="n">
        <v>4.3</v>
      </c>
      <c r="M642" s="1" t="n">
        <v>3700</v>
      </c>
      <c r="N642" s="4" t="b">
        <f aca="false">FALSE()</f>
        <v>0</v>
      </c>
      <c r="P642" s="4" t="b">
        <f aca="false">TRUE()</f>
        <v>1</v>
      </c>
      <c r="R642" s="1" t="s">
        <v>2407</v>
      </c>
      <c r="S642" s="1" t="s">
        <v>2430</v>
      </c>
      <c r="T642" s="1" t="s">
        <v>222</v>
      </c>
      <c r="U642" s="1" t="s">
        <v>2102</v>
      </c>
    </row>
    <row r="643" customFormat="false" ht="48" hidden="false" customHeight="true" outlineLevel="0" collapsed="false">
      <c r="A643" s="1" t="s">
        <v>45</v>
      </c>
      <c r="B643" s="1" t="s">
        <v>2097</v>
      </c>
      <c r="C643" s="1" t="s">
        <v>84</v>
      </c>
      <c r="D643" s="1" t="s">
        <v>580</v>
      </c>
      <c r="E643" s="1" t="n">
        <v>8</v>
      </c>
      <c r="F643" s="1" t="s">
        <v>2431</v>
      </c>
      <c r="G643" s="1" t="s">
        <v>2405</v>
      </c>
      <c r="H643" s="1" t="s">
        <v>2432</v>
      </c>
      <c r="I643" s="1" t="s">
        <v>2323</v>
      </c>
      <c r="J643" s="1" t="s">
        <v>597</v>
      </c>
      <c r="L643" s="1" t="n">
        <v>4.4</v>
      </c>
      <c r="M643" s="1" t="n">
        <v>7200</v>
      </c>
      <c r="N643" s="4" t="b">
        <f aca="false">FALSE()</f>
        <v>0</v>
      </c>
      <c r="P643" s="4" t="b">
        <f aca="false">TRUE()</f>
        <v>1</v>
      </c>
      <c r="Q643" s="1" t="s">
        <v>251</v>
      </c>
      <c r="R643" s="1" t="s">
        <v>2407</v>
      </c>
      <c r="S643" s="1" t="s">
        <v>2433</v>
      </c>
      <c r="T643" s="1" t="s">
        <v>222</v>
      </c>
      <c r="U643" s="1" t="s">
        <v>2102</v>
      </c>
    </row>
    <row r="644" customFormat="false" ht="48" hidden="false" customHeight="true" outlineLevel="0" collapsed="false">
      <c r="A644" s="1" t="s">
        <v>45</v>
      </c>
      <c r="B644" s="1" t="s">
        <v>2097</v>
      </c>
      <c r="C644" s="1" t="s">
        <v>84</v>
      </c>
      <c r="D644" s="1" t="s">
        <v>580</v>
      </c>
      <c r="E644" s="1" t="n">
        <v>9</v>
      </c>
      <c r="F644" s="1" t="s">
        <v>2434</v>
      </c>
      <c r="G644" s="1" t="s">
        <v>236</v>
      </c>
      <c r="H644" s="1" t="s">
        <v>2435</v>
      </c>
      <c r="I644" s="1" t="s">
        <v>231</v>
      </c>
      <c r="J644" s="1" t="s">
        <v>310</v>
      </c>
      <c r="K644" s="1" t="n">
        <v>22.04</v>
      </c>
      <c r="L644" s="1" t="n">
        <v>4.5</v>
      </c>
      <c r="M644" s="1" t="n">
        <v>5800</v>
      </c>
      <c r="N644" s="4" t="b">
        <f aca="false">FALSE()</f>
        <v>0</v>
      </c>
      <c r="O644" s="1" t="s">
        <v>2436</v>
      </c>
      <c r="P644" s="4" t="b">
        <f aca="false">FALSE()</f>
        <v>0</v>
      </c>
      <c r="Q644" s="1" t="s">
        <v>439</v>
      </c>
      <c r="R644" s="1" t="s">
        <v>2407</v>
      </c>
      <c r="S644" s="1" t="s">
        <v>2437</v>
      </c>
      <c r="T644" s="1" t="s">
        <v>222</v>
      </c>
      <c r="U644" s="1" t="s">
        <v>2102</v>
      </c>
    </row>
    <row r="645" customFormat="false" ht="48" hidden="false" customHeight="true" outlineLevel="0" collapsed="false">
      <c r="A645" s="1" t="s">
        <v>45</v>
      </c>
      <c r="B645" s="1" t="s">
        <v>2097</v>
      </c>
      <c r="C645" s="1" t="s">
        <v>84</v>
      </c>
      <c r="D645" s="1" t="s">
        <v>580</v>
      </c>
      <c r="E645" s="1" t="n">
        <v>10</v>
      </c>
      <c r="F645" s="1" t="s">
        <v>2438</v>
      </c>
      <c r="G645" s="1" t="s">
        <v>236</v>
      </c>
      <c r="H645" s="1" t="s">
        <v>2439</v>
      </c>
      <c r="I645" s="1" t="s">
        <v>306</v>
      </c>
      <c r="J645" s="1" t="s">
        <v>597</v>
      </c>
      <c r="L645" s="1" t="n">
        <v>4.2</v>
      </c>
      <c r="M645" s="1" t="n">
        <v>648</v>
      </c>
      <c r="N645" s="4" t="b">
        <f aca="false">FALSE()</f>
        <v>0</v>
      </c>
      <c r="P645" s="4" t="b">
        <f aca="false">TRUE()</f>
        <v>1</v>
      </c>
      <c r="R645" s="1" t="s">
        <v>2407</v>
      </c>
      <c r="S645" s="1" t="s">
        <v>2440</v>
      </c>
      <c r="T645" s="1" t="s">
        <v>222</v>
      </c>
      <c r="U645" s="1" t="s">
        <v>2102</v>
      </c>
    </row>
    <row r="646" customFormat="false" ht="48" hidden="false" customHeight="true" outlineLevel="0" collapsed="false">
      <c r="A646" s="1" t="s">
        <v>45</v>
      </c>
      <c r="B646" s="1" t="s">
        <v>2097</v>
      </c>
      <c r="C646" s="1" t="s">
        <v>84</v>
      </c>
      <c r="D646" s="1" t="s">
        <v>580</v>
      </c>
      <c r="E646" s="1" t="n">
        <v>11</v>
      </c>
      <c r="F646" s="1" t="s">
        <v>2297</v>
      </c>
      <c r="G646" s="1" t="s">
        <v>2246</v>
      </c>
      <c r="H646" s="1" t="s">
        <v>2298</v>
      </c>
      <c r="I646" s="1" t="s">
        <v>402</v>
      </c>
      <c r="J646" s="1" t="s">
        <v>597</v>
      </c>
      <c r="K646" s="1" t="n">
        <v>10.55</v>
      </c>
      <c r="L646" s="1" t="n">
        <v>4.2</v>
      </c>
      <c r="M646" s="1" t="n">
        <v>258</v>
      </c>
      <c r="N646" s="4" t="b">
        <f aca="false">FALSE()</f>
        <v>0</v>
      </c>
      <c r="O646" s="1" t="s">
        <v>2257</v>
      </c>
      <c r="P646" s="4" t="b">
        <f aca="false">TRUE()</f>
        <v>1</v>
      </c>
      <c r="Q646" s="1" t="s">
        <v>435</v>
      </c>
      <c r="R646" s="1" t="s">
        <v>2407</v>
      </c>
      <c r="S646" s="1" t="s">
        <v>2299</v>
      </c>
      <c r="T646" s="1" t="s">
        <v>222</v>
      </c>
      <c r="U646" s="1" t="s">
        <v>2102</v>
      </c>
    </row>
    <row r="647" customFormat="false" ht="48" hidden="false" customHeight="true" outlineLevel="0" collapsed="false">
      <c r="A647" s="1" t="s">
        <v>45</v>
      </c>
      <c r="B647" s="1" t="s">
        <v>2097</v>
      </c>
      <c r="C647" s="1" t="s">
        <v>84</v>
      </c>
      <c r="D647" s="1" t="s">
        <v>580</v>
      </c>
      <c r="E647" s="1" t="n">
        <v>12</v>
      </c>
      <c r="F647" s="1" t="s">
        <v>2441</v>
      </c>
      <c r="G647" s="1" t="s">
        <v>236</v>
      </c>
      <c r="H647" s="1" t="s">
        <v>2442</v>
      </c>
      <c r="I647" s="1" t="s">
        <v>402</v>
      </c>
      <c r="J647" s="1" t="s">
        <v>597</v>
      </c>
      <c r="K647" s="1" t="n">
        <v>25.74</v>
      </c>
      <c r="L647" s="1" t="n">
        <v>4.5</v>
      </c>
      <c r="M647" s="1" t="n">
        <v>679</v>
      </c>
      <c r="N647" s="4" t="b">
        <f aca="false">FALSE()</f>
        <v>0</v>
      </c>
      <c r="O647" s="1" t="s">
        <v>2443</v>
      </c>
      <c r="P647" s="4" t="b">
        <f aca="false">TRUE()</f>
        <v>1</v>
      </c>
      <c r="Q647" s="1" t="s">
        <v>233</v>
      </c>
      <c r="R647" s="1" t="s">
        <v>2407</v>
      </c>
      <c r="S647" s="1" t="s">
        <v>2444</v>
      </c>
      <c r="T647" s="1" t="s">
        <v>222</v>
      </c>
      <c r="U647" s="1" t="s">
        <v>2102</v>
      </c>
    </row>
    <row r="648" customFormat="false" ht="48" hidden="false" customHeight="true" outlineLevel="0" collapsed="false">
      <c r="A648" s="1" t="s">
        <v>45</v>
      </c>
      <c r="B648" s="1" t="s">
        <v>2097</v>
      </c>
      <c r="C648" s="1" t="s">
        <v>84</v>
      </c>
      <c r="D648" s="1" t="s">
        <v>580</v>
      </c>
      <c r="E648" s="1" t="n">
        <v>13</v>
      </c>
      <c r="F648" s="1" t="s">
        <v>2445</v>
      </c>
      <c r="G648" s="1" t="s">
        <v>236</v>
      </c>
      <c r="H648" s="1" t="s">
        <v>2446</v>
      </c>
      <c r="I648" s="1" t="s">
        <v>231</v>
      </c>
      <c r="J648" s="1" t="s">
        <v>597</v>
      </c>
      <c r="K648" s="1" t="n">
        <v>26.15</v>
      </c>
      <c r="L648" s="1" t="n">
        <v>4.3</v>
      </c>
      <c r="M648" s="1" t="n">
        <v>3700</v>
      </c>
      <c r="N648" s="4" t="b">
        <f aca="false">FALSE()</f>
        <v>0</v>
      </c>
      <c r="O648" s="1" t="s">
        <v>2447</v>
      </c>
      <c r="P648" s="4" t="b">
        <f aca="false">TRUE()</f>
        <v>1</v>
      </c>
      <c r="Q648" s="1" t="s">
        <v>233</v>
      </c>
      <c r="R648" s="1" t="s">
        <v>2407</v>
      </c>
      <c r="S648" s="1" t="s">
        <v>2448</v>
      </c>
      <c r="T648" s="1" t="s">
        <v>222</v>
      </c>
      <c r="U648" s="1" t="s">
        <v>2102</v>
      </c>
    </row>
    <row r="649" customFormat="false" ht="48" hidden="false" customHeight="true" outlineLevel="0" collapsed="false">
      <c r="A649" s="1" t="s">
        <v>45</v>
      </c>
      <c r="B649" s="1" t="s">
        <v>2097</v>
      </c>
      <c r="C649" s="1" t="s">
        <v>84</v>
      </c>
      <c r="D649" s="1" t="s">
        <v>580</v>
      </c>
      <c r="E649" s="1" t="n">
        <v>14</v>
      </c>
      <c r="F649" s="1" t="s">
        <v>2449</v>
      </c>
      <c r="G649" s="1" t="s">
        <v>236</v>
      </c>
      <c r="H649" s="1" t="s">
        <v>2450</v>
      </c>
      <c r="I649" s="1" t="s">
        <v>2323</v>
      </c>
      <c r="J649" s="1" t="s">
        <v>371</v>
      </c>
      <c r="K649" s="1" t="n">
        <v>10.71</v>
      </c>
      <c r="L649" s="1" t="n">
        <v>4.3</v>
      </c>
      <c r="M649" s="1" t="n">
        <v>5500</v>
      </c>
      <c r="N649" s="4" t="b">
        <f aca="false">FALSE()</f>
        <v>0</v>
      </c>
      <c r="O649" s="1" t="s">
        <v>2451</v>
      </c>
      <c r="P649" s="4" t="b">
        <f aca="false">TRUE()</f>
        <v>1</v>
      </c>
      <c r="Q649" s="1" t="s">
        <v>435</v>
      </c>
      <c r="R649" s="1" t="s">
        <v>2407</v>
      </c>
      <c r="S649" s="1" t="s">
        <v>2452</v>
      </c>
      <c r="T649" s="1" t="s">
        <v>222</v>
      </c>
      <c r="U649" s="1" t="s">
        <v>2102</v>
      </c>
    </row>
    <row r="650" customFormat="false" ht="48" hidden="false" customHeight="true" outlineLevel="0" collapsed="false">
      <c r="A650" s="1" t="s">
        <v>45</v>
      </c>
      <c r="B650" s="1" t="s">
        <v>2097</v>
      </c>
      <c r="C650" s="1" t="s">
        <v>84</v>
      </c>
      <c r="D650" s="1" t="s">
        <v>580</v>
      </c>
      <c r="E650" s="1" t="n">
        <v>15</v>
      </c>
      <c r="F650" s="1" t="s">
        <v>2453</v>
      </c>
      <c r="G650" s="1" t="s">
        <v>567</v>
      </c>
      <c r="H650" s="1" t="s">
        <v>2454</v>
      </c>
      <c r="I650" s="1" t="s">
        <v>2323</v>
      </c>
      <c r="J650" s="1" t="s">
        <v>597</v>
      </c>
      <c r="K650" s="1" t="n">
        <v>15.94</v>
      </c>
      <c r="L650" s="1" t="n">
        <v>4.4</v>
      </c>
      <c r="M650" s="1" t="n">
        <v>128</v>
      </c>
      <c r="N650" s="4" t="b">
        <f aca="false">FALSE()</f>
        <v>0</v>
      </c>
      <c r="P650" s="4" t="b">
        <f aca="false">TRUE()</f>
        <v>1</v>
      </c>
      <c r="Q650" s="1" t="s">
        <v>233</v>
      </c>
      <c r="R650" s="1" t="s">
        <v>2407</v>
      </c>
      <c r="S650" s="1" t="s">
        <v>2455</v>
      </c>
      <c r="T650" s="1" t="s">
        <v>222</v>
      </c>
      <c r="U650" s="1" t="s">
        <v>2102</v>
      </c>
    </row>
    <row r="651" customFormat="false" ht="48" hidden="false" customHeight="true" outlineLevel="0" collapsed="false">
      <c r="A651" s="1" t="s">
        <v>45</v>
      </c>
      <c r="B651" s="1" t="s">
        <v>2097</v>
      </c>
      <c r="C651" s="1" t="s">
        <v>84</v>
      </c>
      <c r="D651" s="1" t="s">
        <v>580</v>
      </c>
      <c r="E651" s="1" t="n">
        <v>16</v>
      </c>
      <c r="F651" s="1" t="s">
        <v>2456</v>
      </c>
      <c r="G651" s="1" t="s">
        <v>2425</v>
      </c>
      <c r="H651" s="1" t="s">
        <v>2457</v>
      </c>
      <c r="I651" s="1" t="s">
        <v>402</v>
      </c>
      <c r="J651" s="1" t="s">
        <v>597</v>
      </c>
      <c r="K651" s="1" t="n">
        <v>26.69</v>
      </c>
      <c r="L651" s="1" t="n">
        <v>4.4</v>
      </c>
      <c r="M651" s="1" t="n">
        <v>821</v>
      </c>
      <c r="N651" s="4" t="b">
        <f aca="false">FALSE()</f>
        <v>0</v>
      </c>
      <c r="O651" s="1" t="s">
        <v>2458</v>
      </c>
      <c r="P651" s="4" t="b">
        <f aca="false">TRUE()</f>
        <v>1</v>
      </c>
      <c r="Q651" s="1" t="s">
        <v>251</v>
      </c>
      <c r="R651" s="1" t="s">
        <v>2407</v>
      </c>
      <c r="S651" s="1" t="s">
        <v>2459</v>
      </c>
      <c r="T651" s="1" t="s">
        <v>222</v>
      </c>
      <c r="U651" s="1" t="s">
        <v>2102</v>
      </c>
    </row>
    <row r="652" customFormat="false" ht="48" hidden="false" customHeight="true" outlineLevel="0" collapsed="false">
      <c r="A652" s="1" t="s">
        <v>45</v>
      </c>
      <c r="B652" s="1" t="s">
        <v>2097</v>
      </c>
      <c r="C652" s="1" t="s">
        <v>84</v>
      </c>
      <c r="D652" s="1" t="s">
        <v>580</v>
      </c>
      <c r="E652" s="1" t="n">
        <v>17</v>
      </c>
      <c r="F652" s="1" t="s">
        <v>2460</v>
      </c>
      <c r="G652" s="1" t="s">
        <v>236</v>
      </c>
      <c r="H652" s="1" t="s">
        <v>2461</v>
      </c>
      <c r="I652" s="1" t="s">
        <v>402</v>
      </c>
      <c r="J652" s="1" t="s">
        <v>597</v>
      </c>
      <c r="K652" s="1" t="n">
        <v>20.99</v>
      </c>
      <c r="L652" s="1" t="n">
        <v>4.3</v>
      </c>
      <c r="M652" s="1" t="n">
        <v>220</v>
      </c>
      <c r="N652" s="4" t="b">
        <f aca="false">FALSE()</f>
        <v>0</v>
      </c>
      <c r="P652" s="4" t="b">
        <f aca="false">TRUE()</f>
        <v>1</v>
      </c>
      <c r="Q652" s="1" t="s">
        <v>251</v>
      </c>
      <c r="R652" s="1" t="s">
        <v>2407</v>
      </c>
      <c r="S652" s="1" t="s">
        <v>2462</v>
      </c>
      <c r="T652" s="1" t="s">
        <v>222</v>
      </c>
      <c r="U652" s="1" t="s">
        <v>2102</v>
      </c>
    </row>
    <row r="653" customFormat="false" ht="48" hidden="false" customHeight="true" outlineLevel="0" collapsed="false">
      <c r="A653" s="1" t="s">
        <v>45</v>
      </c>
      <c r="B653" s="1" t="s">
        <v>2097</v>
      </c>
      <c r="C653" s="1" t="s">
        <v>84</v>
      </c>
      <c r="D653" s="1" t="s">
        <v>580</v>
      </c>
      <c r="E653" s="1" t="n">
        <v>18</v>
      </c>
      <c r="F653" s="1" t="s">
        <v>2463</v>
      </c>
      <c r="G653" s="1" t="s">
        <v>2246</v>
      </c>
      <c r="H653" s="1" t="s">
        <v>2464</v>
      </c>
      <c r="I653" s="1" t="s">
        <v>231</v>
      </c>
      <c r="J653" s="1" t="s">
        <v>310</v>
      </c>
      <c r="K653" s="1" t="n">
        <v>17.04</v>
      </c>
      <c r="L653" s="1" t="n">
        <v>4.3</v>
      </c>
      <c r="M653" s="1" t="n">
        <v>4200</v>
      </c>
      <c r="N653" s="4" t="b">
        <f aca="false">FALSE()</f>
        <v>0</v>
      </c>
      <c r="O653" s="1" t="s">
        <v>2465</v>
      </c>
      <c r="P653" s="4" t="b">
        <f aca="false">FALSE()</f>
        <v>0</v>
      </c>
      <c r="Q653" s="1" t="s">
        <v>233</v>
      </c>
      <c r="R653" s="1" t="s">
        <v>2407</v>
      </c>
      <c r="S653" s="1" t="s">
        <v>2466</v>
      </c>
      <c r="T653" s="1" t="s">
        <v>222</v>
      </c>
      <c r="U653" s="1" t="s">
        <v>2102</v>
      </c>
    </row>
    <row r="654" customFormat="false" ht="48" hidden="false" customHeight="true" outlineLevel="0" collapsed="false">
      <c r="A654" s="1" t="s">
        <v>45</v>
      </c>
      <c r="B654" s="1" t="s">
        <v>2097</v>
      </c>
      <c r="C654" s="1" t="s">
        <v>84</v>
      </c>
      <c r="D654" s="1" t="s">
        <v>580</v>
      </c>
      <c r="E654" s="1" t="n">
        <v>19</v>
      </c>
      <c r="F654" s="1" t="s">
        <v>2467</v>
      </c>
      <c r="G654" s="1" t="s">
        <v>236</v>
      </c>
      <c r="H654" s="1" t="s">
        <v>2468</v>
      </c>
      <c r="I654" s="1" t="s">
        <v>402</v>
      </c>
      <c r="J654" s="1" t="s">
        <v>371</v>
      </c>
      <c r="K654" s="1" t="n">
        <v>11.67</v>
      </c>
      <c r="L654" s="1" t="n">
        <v>4.3</v>
      </c>
      <c r="M654" s="1" t="n">
        <v>5100</v>
      </c>
      <c r="N654" s="4" t="b">
        <f aca="false">FALSE()</f>
        <v>0</v>
      </c>
      <c r="O654" s="1" t="s">
        <v>2285</v>
      </c>
      <c r="P654" s="4" t="b">
        <f aca="false">TRUE()</f>
        <v>1</v>
      </c>
      <c r="Q654" s="1" t="s">
        <v>451</v>
      </c>
      <c r="R654" s="1" t="s">
        <v>2407</v>
      </c>
      <c r="S654" s="1" t="s">
        <v>2469</v>
      </c>
      <c r="T654" s="1" t="s">
        <v>222</v>
      </c>
      <c r="U654" s="1" t="s">
        <v>2102</v>
      </c>
    </row>
    <row r="655" customFormat="false" ht="48" hidden="false" customHeight="true" outlineLevel="0" collapsed="false">
      <c r="A655" s="1" t="s">
        <v>45</v>
      </c>
      <c r="B655" s="1" t="s">
        <v>2097</v>
      </c>
      <c r="C655" s="1" t="s">
        <v>84</v>
      </c>
      <c r="D655" s="1" t="s">
        <v>580</v>
      </c>
      <c r="E655" s="1" t="n">
        <v>20</v>
      </c>
      <c r="F655" s="1" t="s">
        <v>2470</v>
      </c>
      <c r="G655" s="1" t="s">
        <v>236</v>
      </c>
      <c r="H655" s="1" t="s">
        <v>2471</v>
      </c>
      <c r="I655" s="1" t="s">
        <v>402</v>
      </c>
      <c r="J655" s="1" t="s">
        <v>310</v>
      </c>
      <c r="K655" s="1" t="n">
        <v>19.24</v>
      </c>
      <c r="L655" s="1" t="n">
        <v>4.5</v>
      </c>
      <c r="M655" s="1" t="n">
        <v>7600</v>
      </c>
      <c r="N655" s="4" t="b">
        <f aca="false">FALSE()</f>
        <v>0</v>
      </c>
      <c r="O655" s="1" t="s">
        <v>2472</v>
      </c>
      <c r="P655" s="4" t="b">
        <f aca="false">FALSE()</f>
        <v>0</v>
      </c>
      <c r="Q655" s="1" t="s">
        <v>233</v>
      </c>
      <c r="R655" s="1" t="s">
        <v>2407</v>
      </c>
      <c r="S655" s="1" t="s">
        <v>2473</v>
      </c>
      <c r="T655" s="1" t="s">
        <v>222</v>
      </c>
      <c r="U655" s="1" t="s">
        <v>2102</v>
      </c>
    </row>
    <row r="656" customFormat="false" ht="48" hidden="false" customHeight="true" outlineLevel="0" collapsed="false">
      <c r="A656" s="1" t="s">
        <v>45</v>
      </c>
      <c r="B656" s="1" t="s">
        <v>2097</v>
      </c>
      <c r="C656" s="1" t="s">
        <v>84</v>
      </c>
      <c r="D656" s="1" t="s">
        <v>580</v>
      </c>
      <c r="E656" s="1" t="n">
        <v>21</v>
      </c>
      <c r="F656" s="1" t="s">
        <v>2474</v>
      </c>
      <c r="G656" s="1" t="s">
        <v>236</v>
      </c>
      <c r="H656" s="1" t="s">
        <v>2475</v>
      </c>
      <c r="I656" s="1" t="s">
        <v>231</v>
      </c>
      <c r="J656" s="1" t="s">
        <v>310</v>
      </c>
      <c r="K656" s="1" t="n">
        <v>19.5</v>
      </c>
      <c r="L656" s="1" t="n">
        <v>4.7</v>
      </c>
      <c r="M656" s="1" t="n">
        <v>74</v>
      </c>
      <c r="N656" s="4" t="b">
        <f aca="false">FALSE()</f>
        <v>0</v>
      </c>
      <c r="O656" s="1" t="s">
        <v>2358</v>
      </c>
      <c r="P656" s="4" t="b">
        <f aca="false">FALSE()</f>
        <v>0</v>
      </c>
      <c r="R656" s="1" t="s">
        <v>2407</v>
      </c>
      <c r="S656" s="1" t="s">
        <v>2476</v>
      </c>
      <c r="T656" s="1" t="s">
        <v>222</v>
      </c>
      <c r="U656" s="1" t="s">
        <v>2102</v>
      </c>
    </row>
    <row r="657" customFormat="false" ht="48" hidden="false" customHeight="true" outlineLevel="0" collapsed="false">
      <c r="A657" s="1" t="s">
        <v>45</v>
      </c>
      <c r="B657" s="1" t="s">
        <v>2097</v>
      </c>
      <c r="C657" s="1" t="s">
        <v>84</v>
      </c>
      <c r="D657" s="1" t="s">
        <v>580</v>
      </c>
      <c r="E657" s="1" t="n">
        <v>22</v>
      </c>
      <c r="F657" s="1" t="s">
        <v>2477</v>
      </c>
      <c r="G657" s="1" t="s">
        <v>236</v>
      </c>
      <c r="H657" s="1" t="s">
        <v>2478</v>
      </c>
      <c r="I657" s="1" t="s">
        <v>231</v>
      </c>
      <c r="J657" s="1" t="s">
        <v>371</v>
      </c>
      <c r="K657" s="1" t="n">
        <v>17.49</v>
      </c>
      <c r="L657" s="1" t="n">
        <v>4.4</v>
      </c>
      <c r="M657" s="1" t="n">
        <v>4700</v>
      </c>
      <c r="N657" s="4" t="b">
        <f aca="false">FALSE()</f>
        <v>0</v>
      </c>
      <c r="O657" s="1" t="s">
        <v>2257</v>
      </c>
      <c r="P657" s="4" t="b">
        <f aca="false">TRUE()</f>
        <v>1</v>
      </c>
      <c r="Q657" s="1" t="s">
        <v>233</v>
      </c>
      <c r="R657" s="1" t="s">
        <v>2407</v>
      </c>
      <c r="S657" s="1" t="s">
        <v>2479</v>
      </c>
      <c r="T657" s="1" t="s">
        <v>222</v>
      </c>
      <c r="U657" s="1" t="s">
        <v>2102</v>
      </c>
    </row>
    <row r="658" customFormat="false" ht="48" hidden="false" customHeight="true" outlineLevel="0" collapsed="false">
      <c r="A658" s="1" t="s">
        <v>45</v>
      </c>
      <c r="B658" s="1" t="s">
        <v>2097</v>
      </c>
      <c r="C658" s="1" t="s">
        <v>84</v>
      </c>
      <c r="D658" s="1" t="s">
        <v>580</v>
      </c>
      <c r="E658" s="1" t="n">
        <v>23</v>
      </c>
      <c r="F658" s="1" t="s">
        <v>2480</v>
      </c>
      <c r="G658" s="1" t="s">
        <v>2481</v>
      </c>
      <c r="H658" s="1" t="s">
        <v>2482</v>
      </c>
      <c r="I658" s="1" t="s">
        <v>306</v>
      </c>
      <c r="J658" s="1" t="s">
        <v>597</v>
      </c>
      <c r="K658" s="1" t="n">
        <v>16.39</v>
      </c>
      <c r="L658" s="1" t="n">
        <v>4.6</v>
      </c>
      <c r="M658" s="1" t="n">
        <v>872</v>
      </c>
      <c r="N658" s="4" t="b">
        <f aca="false">FALSE()</f>
        <v>0</v>
      </c>
      <c r="O658" s="1" t="s">
        <v>2483</v>
      </c>
      <c r="P658" s="4" t="b">
        <f aca="false">TRUE()</f>
        <v>1</v>
      </c>
      <c r="Q658" s="1" t="s">
        <v>451</v>
      </c>
      <c r="R658" s="1" t="s">
        <v>2407</v>
      </c>
      <c r="S658" s="1" t="s">
        <v>2484</v>
      </c>
      <c r="T658" s="1" t="s">
        <v>222</v>
      </c>
      <c r="U658" s="1" t="s">
        <v>2102</v>
      </c>
    </row>
    <row r="659" customFormat="false" ht="48" hidden="false" customHeight="true" outlineLevel="0" collapsed="false">
      <c r="A659" s="1" t="s">
        <v>45</v>
      </c>
      <c r="B659" s="1" t="s">
        <v>2097</v>
      </c>
      <c r="C659" s="1" t="s">
        <v>84</v>
      </c>
      <c r="D659" s="1" t="s">
        <v>580</v>
      </c>
      <c r="E659" s="1" t="n">
        <v>24</v>
      </c>
      <c r="F659" s="1" t="s">
        <v>2485</v>
      </c>
      <c r="G659" s="1" t="s">
        <v>236</v>
      </c>
      <c r="H659" s="1" t="s">
        <v>2486</v>
      </c>
      <c r="I659" s="1" t="s">
        <v>231</v>
      </c>
      <c r="J659" s="1" t="s">
        <v>597</v>
      </c>
      <c r="K659" s="1" t="n">
        <v>29.02</v>
      </c>
      <c r="L659" s="1" t="n">
        <v>4.5</v>
      </c>
      <c r="M659" s="1" t="n">
        <v>679</v>
      </c>
      <c r="N659" s="4" t="b">
        <f aca="false">FALSE()</f>
        <v>0</v>
      </c>
      <c r="O659" s="1" t="s">
        <v>2487</v>
      </c>
      <c r="P659" s="4" t="b">
        <f aca="false">TRUE()</f>
        <v>1</v>
      </c>
      <c r="Q659" s="1" t="s">
        <v>233</v>
      </c>
      <c r="R659" s="1" t="s">
        <v>2407</v>
      </c>
      <c r="S659" s="1" t="s">
        <v>2488</v>
      </c>
      <c r="T659" s="1" t="s">
        <v>222</v>
      </c>
      <c r="U659" s="1" t="s">
        <v>2102</v>
      </c>
    </row>
    <row r="660" customFormat="false" ht="48" hidden="false" customHeight="true" outlineLevel="0" collapsed="false">
      <c r="A660" s="1" t="s">
        <v>45</v>
      </c>
      <c r="B660" s="1" t="s">
        <v>2097</v>
      </c>
      <c r="C660" s="1" t="s">
        <v>84</v>
      </c>
      <c r="D660" s="1" t="s">
        <v>580</v>
      </c>
      <c r="E660" s="1" t="n">
        <v>25</v>
      </c>
      <c r="F660" s="1" t="s">
        <v>2489</v>
      </c>
      <c r="G660" s="1" t="s">
        <v>236</v>
      </c>
      <c r="H660" s="1" t="s">
        <v>2490</v>
      </c>
      <c r="I660" s="1" t="s">
        <v>402</v>
      </c>
      <c r="J660" s="1" t="s">
        <v>597</v>
      </c>
      <c r="K660" s="1" t="n">
        <v>12.2</v>
      </c>
      <c r="L660" s="1" t="n">
        <v>4.5</v>
      </c>
      <c r="M660" s="1" t="n">
        <v>49</v>
      </c>
      <c r="N660" s="4" t="b">
        <f aca="false">FALSE()</f>
        <v>0</v>
      </c>
      <c r="O660" s="1" t="s">
        <v>2257</v>
      </c>
      <c r="P660" s="4" t="b">
        <f aca="false">TRUE()</f>
        <v>1</v>
      </c>
      <c r="Q660" s="1" t="s">
        <v>423</v>
      </c>
      <c r="R660" s="1" t="s">
        <v>2407</v>
      </c>
      <c r="S660" s="1" t="s">
        <v>2491</v>
      </c>
      <c r="T660" s="1" t="s">
        <v>222</v>
      </c>
      <c r="U660" s="1" t="s">
        <v>2102</v>
      </c>
    </row>
    <row r="661" customFormat="false" ht="48" hidden="false" customHeight="true" outlineLevel="0" collapsed="false">
      <c r="A661" s="1" t="s">
        <v>45</v>
      </c>
      <c r="B661" s="1" t="s">
        <v>2097</v>
      </c>
      <c r="C661" s="1" t="s">
        <v>84</v>
      </c>
      <c r="D661" s="1" t="s">
        <v>580</v>
      </c>
      <c r="E661" s="1" t="n">
        <v>26</v>
      </c>
      <c r="F661" s="1" t="s">
        <v>2492</v>
      </c>
      <c r="G661" s="1" t="s">
        <v>236</v>
      </c>
      <c r="H661" s="1" t="s">
        <v>2493</v>
      </c>
      <c r="I661" s="1" t="s">
        <v>402</v>
      </c>
      <c r="J661" s="1" t="s">
        <v>310</v>
      </c>
      <c r="K661" s="1" t="n">
        <v>21.18</v>
      </c>
      <c r="L661" s="1" t="n">
        <v>5</v>
      </c>
      <c r="M661" s="1" t="n">
        <v>6</v>
      </c>
      <c r="N661" s="4" t="b">
        <f aca="false">FALSE()</f>
        <v>0</v>
      </c>
      <c r="O661" s="1" t="s">
        <v>2472</v>
      </c>
      <c r="P661" s="4" t="b">
        <f aca="false">FALSE()</f>
        <v>0</v>
      </c>
      <c r="R661" s="1" t="s">
        <v>2407</v>
      </c>
      <c r="S661" s="1" t="s">
        <v>2494</v>
      </c>
      <c r="T661" s="1" t="s">
        <v>222</v>
      </c>
      <c r="U661" s="1" t="s">
        <v>2102</v>
      </c>
    </row>
    <row r="662" customFormat="false" ht="48" hidden="false" customHeight="true" outlineLevel="0" collapsed="false">
      <c r="A662" s="1" t="s">
        <v>45</v>
      </c>
      <c r="B662" s="1" t="s">
        <v>2097</v>
      </c>
      <c r="C662" s="1" t="s">
        <v>84</v>
      </c>
      <c r="D662" s="1" t="s">
        <v>580</v>
      </c>
      <c r="E662" s="1" t="n">
        <v>27</v>
      </c>
      <c r="F662" s="1" t="s">
        <v>2495</v>
      </c>
      <c r="G662" s="1" t="s">
        <v>2481</v>
      </c>
      <c r="H662" s="1" t="s">
        <v>2496</v>
      </c>
      <c r="I662" s="1" t="s">
        <v>2323</v>
      </c>
      <c r="J662" s="1" t="s">
        <v>597</v>
      </c>
      <c r="K662" s="1" t="n">
        <v>18.99</v>
      </c>
      <c r="L662" s="1" t="n">
        <v>4.2</v>
      </c>
      <c r="M662" s="1" t="n">
        <v>170</v>
      </c>
      <c r="N662" s="4" t="b">
        <f aca="false">FALSE()</f>
        <v>0</v>
      </c>
      <c r="O662" s="1" t="s">
        <v>2257</v>
      </c>
      <c r="P662" s="4" t="b">
        <f aca="false">TRUE()</f>
        <v>1</v>
      </c>
      <c r="R662" s="1" t="s">
        <v>2407</v>
      </c>
      <c r="S662" s="1" t="s">
        <v>2497</v>
      </c>
      <c r="T662" s="1" t="s">
        <v>222</v>
      </c>
      <c r="U662" s="1" t="s">
        <v>2102</v>
      </c>
    </row>
    <row r="663" customFormat="false" ht="48" hidden="false" customHeight="true" outlineLevel="0" collapsed="false">
      <c r="A663" s="1" t="s">
        <v>45</v>
      </c>
      <c r="B663" s="1" t="s">
        <v>2097</v>
      </c>
      <c r="C663" s="1" t="s">
        <v>84</v>
      </c>
      <c r="D663" s="1" t="s">
        <v>580</v>
      </c>
      <c r="E663" s="1" t="n">
        <v>28</v>
      </c>
      <c r="F663" s="1" t="s">
        <v>2498</v>
      </c>
      <c r="G663" s="1" t="s">
        <v>2246</v>
      </c>
      <c r="H663" s="1" t="s">
        <v>2499</v>
      </c>
      <c r="I663" s="1" t="s">
        <v>231</v>
      </c>
      <c r="J663" s="1" t="s">
        <v>597</v>
      </c>
      <c r="K663" s="1" t="n">
        <v>17.95</v>
      </c>
      <c r="L663" s="1" t="n">
        <v>4.4</v>
      </c>
      <c r="M663" s="1" t="n">
        <v>5400</v>
      </c>
      <c r="N663" s="4" t="b">
        <f aca="false">FALSE()</f>
        <v>0</v>
      </c>
      <c r="O663" s="1" t="s">
        <v>2257</v>
      </c>
      <c r="P663" s="4" t="b">
        <f aca="false">TRUE()</f>
        <v>1</v>
      </c>
      <c r="Q663" s="1" t="s">
        <v>451</v>
      </c>
      <c r="R663" s="1" t="s">
        <v>2407</v>
      </c>
      <c r="S663" s="1" t="s">
        <v>2500</v>
      </c>
      <c r="T663" s="1" t="s">
        <v>222</v>
      </c>
      <c r="U663" s="1" t="s">
        <v>2102</v>
      </c>
    </row>
    <row r="664" customFormat="false" ht="48" hidden="false" customHeight="true" outlineLevel="0" collapsed="false">
      <c r="A664" s="1" t="s">
        <v>45</v>
      </c>
      <c r="B664" s="1" t="s">
        <v>2097</v>
      </c>
      <c r="C664" s="1" t="s">
        <v>84</v>
      </c>
      <c r="D664" s="1" t="s">
        <v>580</v>
      </c>
      <c r="E664" s="1" t="n">
        <v>29</v>
      </c>
      <c r="F664" s="1" t="s">
        <v>2501</v>
      </c>
      <c r="G664" s="1" t="s">
        <v>2246</v>
      </c>
      <c r="H664" s="1" t="s">
        <v>2502</v>
      </c>
      <c r="I664" s="1" t="s">
        <v>402</v>
      </c>
      <c r="J664" s="1" t="s">
        <v>310</v>
      </c>
      <c r="K664" s="1" t="n">
        <v>16.49</v>
      </c>
      <c r="L664" s="1" t="n">
        <v>4.4</v>
      </c>
      <c r="M664" s="1" t="n">
        <v>813</v>
      </c>
      <c r="N664" s="4" t="b">
        <f aca="false">FALSE()</f>
        <v>0</v>
      </c>
      <c r="O664" s="1" t="s">
        <v>2503</v>
      </c>
      <c r="P664" s="4" t="b">
        <f aca="false">FALSE()</f>
        <v>0</v>
      </c>
      <c r="Q664" s="1" t="s">
        <v>233</v>
      </c>
      <c r="R664" s="1" t="s">
        <v>2407</v>
      </c>
      <c r="S664" s="1" t="s">
        <v>2504</v>
      </c>
      <c r="T664" s="1" t="s">
        <v>222</v>
      </c>
      <c r="U664" s="1" t="s">
        <v>2102</v>
      </c>
    </row>
    <row r="665" customFormat="false" ht="48" hidden="false" customHeight="true" outlineLevel="0" collapsed="false">
      <c r="A665" s="1" t="s">
        <v>45</v>
      </c>
      <c r="B665" s="1" t="s">
        <v>2097</v>
      </c>
      <c r="C665" s="1" t="s">
        <v>84</v>
      </c>
      <c r="D665" s="1" t="s">
        <v>580</v>
      </c>
      <c r="E665" s="1" t="n">
        <v>30</v>
      </c>
      <c r="F665" s="1" t="s">
        <v>2505</v>
      </c>
      <c r="G665" s="1" t="s">
        <v>236</v>
      </c>
      <c r="H665" s="1" t="s">
        <v>2506</v>
      </c>
      <c r="I665" s="1" t="s">
        <v>2323</v>
      </c>
      <c r="J665" s="1" t="s">
        <v>597</v>
      </c>
      <c r="K665" s="1" t="n">
        <v>14.99</v>
      </c>
      <c r="L665" s="1" t="n">
        <v>4.6</v>
      </c>
      <c r="M665" s="1" t="n">
        <v>512</v>
      </c>
      <c r="N665" s="4" t="b">
        <f aca="false">FALSE()</f>
        <v>0</v>
      </c>
      <c r="O665" s="1" t="s">
        <v>2507</v>
      </c>
      <c r="P665" s="4" t="b">
        <f aca="false">TRUE()</f>
        <v>1</v>
      </c>
      <c r="Q665" s="1" t="s">
        <v>451</v>
      </c>
      <c r="R665" s="1" t="s">
        <v>2407</v>
      </c>
      <c r="S665" s="1" t="s">
        <v>2508</v>
      </c>
      <c r="T665" s="1" t="s">
        <v>222</v>
      </c>
      <c r="U665" s="1" t="s">
        <v>2102</v>
      </c>
    </row>
    <row r="666" customFormat="false" ht="48" hidden="false" customHeight="true" outlineLevel="0" collapsed="false">
      <c r="A666" s="1" t="s">
        <v>45</v>
      </c>
      <c r="B666" s="1" t="s">
        <v>2097</v>
      </c>
      <c r="C666" s="1" t="s">
        <v>84</v>
      </c>
      <c r="D666" s="1" t="s">
        <v>580</v>
      </c>
      <c r="E666" s="1" t="n">
        <v>31</v>
      </c>
      <c r="F666" s="1" t="s">
        <v>2509</v>
      </c>
      <c r="G666" s="1" t="s">
        <v>2425</v>
      </c>
      <c r="H666" s="1" t="s">
        <v>2510</v>
      </c>
      <c r="I666" s="1" t="s">
        <v>231</v>
      </c>
      <c r="J666" s="1" t="s">
        <v>597</v>
      </c>
      <c r="K666" s="1" t="n">
        <v>25.35</v>
      </c>
      <c r="L666" s="1" t="n">
        <v>4.5</v>
      </c>
      <c r="M666" s="1" t="n">
        <v>957</v>
      </c>
      <c r="N666" s="4" t="b">
        <f aca="false">FALSE()</f>
        <v>0</v>
      </c>
      <c r="O666" s="1" t="s">
        <v>2511</v>
      </c>
      <c r="P666" s="4" t="b">
        <f aca="false">TRUE()</f>
        <v>1</v>
      </c>
      <c r="Q666" s="1" t="s">
        <v>233</v>
      </c>
      <c r="R666" s="1" t="s">
        <v>2407</v>
      </c>
      <c r="S666" s="1" t="s">
        <v>2512</v>
      </c>
      <c r="T666" s="1" t="s">
        <v>222</v>
      </c>
      <c r="U666" s="1" t="s">
        <v>2102</v>
      </c>
    </row>
    <row r="667" customFormat="false" ht="48" hidden="false" customHeight="true" outlineLevel="0" collapsed="false">
      <c r="A667" s="1" t="s">
        <v>45</v>
      </c>
      <c r="B667" s="1" t="s">
        <v>2097</v>
      </c>
      <c r="C667" s="1" t="s">
        <v>84</v>
      </c>
      <c r="D667" s="1" t="s">
        <v>580</v>
      </c>
      <c r="E667" s="1" t="n">
        <v>32</v>
      </c>
      <c r="F667" s="1" t="s">
        <v>2513</v>
      </c>
      <c r="G667" s="1" t="s">
        <v>236</v>
      </c>
      <c r="H667" s="1" t="s">
        <v>2514</v>
      </c>
      <c r="I667" s="1" t="s">
        <v>402</v>
      </c>
      <c r="J667" s="1" t="s">
        <v>689</v>
      </c>
      <c r="L667" s="1" t="n">
        <v>4.2</v>
      </c>
      <c r="M667" s="1" t="n">
        <v>10400</v>
      </c>
      <c r="N667" s="4" t="b">
        <f aca="false">FALSE()</f>
        <v>0</v>
      </c>
      <c r="P667" s="4" t="b">
        <f aca="false">TRUE()</f>
        <v>1</v>
      </c>
      <c r="Q667" s="1" t="s">
        <v>233</v>
      </c>
      <c r="R667" s="1" t="s">
        <v>2407</v>
      </c>
      <c r="S667" s="1" t="s">
        <v>2515</v>
      </c>
      <c r="T667" s="1" t="s">
        <v>222</v>
      </c>
      <c r="U667" s="1" t="s">
        <v>2102</v>
      </c>
    </row>
    <row r="668" customFormat="false" ht="48" hidden="false" customHeight="true" outlineLevel="0" collapsed="false">
      <c r="A668" s="1" t="s">
        <v>45</v>
      </c>
      <c r="B668" s="1" t="s">
        <v>2097</v>
      </c>
      <c r="C668" s="1" t="s">
        <v>84</v>
      </c>
      <c r="D668" s="1" t="s">
        <v>580</v>
      </c>
      <c r="E668" s="1" t="n">
        <v>33</v>
      </c>
      <c r="F668" s="1" t="s">
        <v>2516</v>
      </c>
      <c r="G668" s="1" t="s">
        <v>236</v>
      </c>
      <c r="H668" s="1" t="s">
        <v>2517</v>
      </c>
      <c r="I668" s="1" t="s">
        <v>231</v>
      </c>
      <c r="J668" s="1" t="s">
        <v>310</v>
      </c>
      <c r="K668" s="1" t="n">
        <v>20.31</v>
      </c>
      <c r="L668" s="1" t="n">
        <v>4.4</v>
      </c>
      <c r="M668" s="1" t="n">
        <v>118</v>
      </c>
      <c r="N668" s="4" t="b">
        <f aca="false">FALSE()</f>
        <v>0</v>
      </c>
      <c r="O668" s="1" t="s">
        <v>2390</v>
      </c>
      <c r="P668" s="4" t="b">
        <f aca="false">FALSE()</f>
        <v>0</v>
      </c>
      <c r="Q668" s="1" t="s">
        <v>435</v>
      </c>
      <c r="R668" s="1" t="s">
        <v>2407</v>
      </c>
      <c r="S668" s="1" t="s">
        <v>2518</v>
      </c>
      <c r="T668" s="1" t="s">
        <v>222</v>
      </c>
      <c r="U668" s="1" t="s">
        <v>2102</v>
      </c>
    </row>
    <row r="669" customFormat="false" ht="48" hidden="false" customHeight="true" outlineLevel="0" collapsed="false">
      <c r="A669" s="1" t="s">
        <v>45</v>
      </c>
      <c r="B669" s="1" t="s">
        <v>2097</v>
      </c>
      <c r="C669" s="1" t="s">
        <v>84</v>
      </c>
      <c r="D669" s="1" t="s">
        <v>580</v>
      </c>
      <c r="E669" s="1" t="n">
        <v>34</v>
      </c>
      <c r="F669" s="1" t="s">
        <v>2519</v>
      </c>
      <c r="G669" s="1" t="s">
        <v>236</v>
      </c>
      <c r="H669" s="1" t="s">
        <v>2520</v>
      </c>
      <c r="I669" s="1" t="s">
        <v>402</v>
      </c>
      <c r="J669" s="1" t="s">
        <v>310</v>
      </c>
      <c r="K669" s="1" t="n">
        <v>20.1</v>
      </c>
      <c r="L669" s="1" t="n">
        <v>4.5</v>
      </c>
      <c r="M669" s="1" t="n">
        <v>436</v>
      </c>
      <c r="N669" s="4" t="b">
        <f aca="false">FALSE()</f>
        <v>0</v>
      </c>
      <c r="O669" s="1" t="s">
        <v>2472</v>
      </c>
      <c r="P669" s="4" t="b">
        <f aca="false">FALSE()</f>
        <v>0</v>
      </c>
      <c r="Q669" s="1" t="s">
        <v>233</v>
      </c>
      <c r="R669" s="1" t="s">
        <v>2407</v>
      </c>
      <c r="S669" s="1" t="s">
        <v>2521</v>
      </c>
      <c r="T669" s="1" t="s">
        <v>222</v>
      </c>
      <c r="U669" s="1" t="s">
        <v>2102</v>
      </c>
    </row>
    <row r="670" customFormat="false" ht="48" hidden="false" customHeight="true" outlineLevel="0" collapsed="false">
      <c r="A670" s="1" t="s">
        <v>45</v>
      </c>
      <c r="B670" s="1" t="s">
        <v>2097</v>
      </c>
      <c r="C670" s="1" t="s">
        <v>84</v>
      </c>
      <c r="D670" s="1" t="s">
        <v>580</v>
      </c>
      <c r="E670" s="1" t="n">
        <v>35</v>
      </c>
      <c r="F670" s="1" t="s">
        <v>2522</v>
      </c>
      <c r="G670" s="1" t="s">
        <v>236</v>
      </c>
      <c r="H670" s="1" t="s">
        <v>2523</v>
      </c>
      <c r="I670" s="1" t="s">
        <v>402</v>
      </c>
      <c r="J670" s="1" t="s">
        <v>597</v>
      </c>
      <c r="K670" s="1" t="n">
        <v>35</v>
      </c>
      <c r="L670" s="1" t="n">
        <v>4.4</v>
      </c>
      <c r="M670" s="1" t="n">
        <v>4</v>
      </c>
      <c r="N670" s="4" t="b">
        <f aca="false">FALSE()</f>
        <v>0</v>
      </c>
      <c r="P670" s="4" t="b">
        <f aca="false">TRUE()</f>
        <v>1</v>
      </c>
      <c r="R670" s="1" t="s">
        <v>2407</v>
      </c>
      <c r="S670" s="1" t="s">
        <v>2524</v>
      </c>
      <c r="T670" s="1" t="s">
        <v>222</v>
      </c>
      <c r="U670" s="1" t="s">
        <v>2102</v>
      </c>
    </row>
    <row r="671" customFormat="false" ht="48" hidden="false" customHeight="true" outlineLevel="0" collapsed="false">
      <c r="A671" s="1" t="s">
        <v>45</v>
      </c>
      <c r="B671" s="1" t="s">
        <v>2097</v>
      </c>
      <c r="C671" s="1" t="s">
        <v>84</v>
      </c>
      <c r="D671" s="1" t="s">
        <v>580</v>
      </c>
      <c r="E671" s="1" t="n">
        <v>36</v>
      </c>
      <c r="F671" s="1" t="s">
        <v>2525</v>
      </c>
      <c r="G671" s="1" t="s">
        <v>236</v>
      </c>
      <c r="H671" s="1" t="s">
        <v>2526</v>
      </c>
      <c r="I671" s="1" t="s">
        <v>402</v>
      </c>
      <c r="J671" s="1" t="s">
        <v>597</v>
      </c>
      <c r="K671" s="1" t="n">
        <v>21.04</v>
      </c>
      <c r="L671" s="1" t="n">
        <v>4.6</v>
      </c>
      <c r="M671" s="1" t="n">
        <v>41</v>
      </c>
      <c r="N671" s="4" t="b">
        <f aca="false">FALSE()</f>
        <v>0</v>
      </c>
      <c r="O671" s="1" t="s">
        <v>2487</v>
      </c>
      <c r="P671" s="4" t="b">
        <f aca="false">TRUE()</f>
        <v>1</v>
      </c>
      <c r="R671" s="1" t="s">
        <v>2407</v>
      </c>
      <c r="S671" s="1" t="s">
        <v>2527</v>
      </c>
      <c r="T671" s="1" t="s">
        <v>222</v>
      </c>
      <c r="U671" s="1" t="s">
        <v>2102</v>
      </c>
    </row>
    <row r="672" customFormat="false" ht="48" hidden="false" customHeight="true" outlineLevel="0" collapsed="false">
      <c r="A672" s="1" t="s">
        <v>45</v>
      </c>
      <c r="B672" s="1" t="s">
        <v>2097</v>
      </c>
      <c r="C672" s="1" t="s">
        <v>84</v>
      </c>
      <c r="D672" s="1" t="s">
        <v>580</v>
      </c>
      <c r="E672" s="1" t="n">
        <v>37</v>
      </c>
      <c r="F672" s="1" t="s">
        <v>2528</v>
      </c>
      <c r="G672" s="1" t="s">
        <v>236</v>
      </c>
      <c r="H672" s="1" t="s">
        <v>2529</v>
      </c>
      <c r="I672" s="1" t="s">
        <v>2323</v>
      </c>
      <c r="J672" s="1" t="s">
        <v>371</v>
      </c>
      <c r="K672" s="1" t="n">
        <v>12.99</v>
      </c>
      <c r="L672" s="1" t="n">
        <v>4.4</v>
      </c>
      <c r="M672" s="1" t="n">
        <v>10500</v>
      </c>
      <c r="N672" s="4" t="b">
        <f aca="false">FALSE()</f>
        <v>0</v>
      </c>
      <c r="O672" s="1" t="s">
        <v>2257</v>
      </c>
      <c r="P672" s="4" t="b">
        <f aca="false">TRUE()</f>
        <v>1</v>
      </c>
      <c r="Q672" s="1" t="s">
        <v>251</v>
      </c>
      <c r="R672" s="1" t="s">
        <v>2407</v>
      </c>
      <c r="S672" s="1" t="s">
        <v>2530</v>
      </c>
      <c r="T672" s="1" t="s">
        <v>222</v>
      </c>
      <c r="U672" s="1" t="s">
        <v>2102</v>
      </c>
    </row>
    <row r="673" customFormat="false" ht="48" hidden="false" customHeight="true" outlineLevel="0" collapsed="false">
      <c r="A673" s="1" t="s">
        <v>45</v>
      </c>
      <c r="B673" s="1" t="s">
        <v>2097</v>
      </c>
      <c r="C673" s="1" t="s">
        <v>84</v>
      </c>
      <c r="D673" s="1" t="s">
        <v>580</v>
      </c>
      <c r="E673" s="1" t="n">
        <v>38</v>
      </c>
      <c r="F673" s="1" t="s">
        <v>2531</v>
      </c>
      <c r="G673" s="1" t="s">
        <v>236</v>
      </c>
      <c r="H673" s="1" t="s">
        <v>2532</v>
      </c>
      <c r="I673" s="1" t="s">
        <v>402</v>
      </c>
      <c r="J673" s="1" t="s">
        <v>310</v>
      </c>
      <c r="K673" s="1" t="n">
        <v>14.99</v>
      </c>
      <c r="L673" s="1" t="n">
        <v>4.4</v>
      </c>
      <c r="M673" s="1" t="n">
        <v>5900</v>
      </c>
      <c r="N673" s="4" t="b">
        <f aca="false">FALSE()</f>
        <v>0</v>
      </c>
      <c r="O673" s="1" t="s">
        <v>2533</v>
      </c>
      <c r="P673" s="4" t="b">
        <f aca="false">FALSE()</f>
        <v>0</v>
      </c>
      <c r="Q673" s="1" t="s">
        <v>435</v>
      </c>
      <c r="R673" s="1" t="s">
        <v>2407</v>
      </c>
      <c r="S673" s="1" t="s">
        <v>2534</v>
      </c>
      <c r="T673" s="1" t="s">
        <v>222</v>
      </c>
      <c r="U673" s="1" t="s">
        <v>2102</v>
      </c>
    </row>
    <row r="674" customFormat="false" ht="48" hidden="false" customHeight="true" outlineLevel="0" collapsed="false">
      <c r="A674" s="1" t="s">
        <v>45</v>
      </c>
      <c r="B674" s="1" t="s">
        <v>2097</v>
      </c>
      <c r="C674" s="1" t="s">
        <v>84</v>
      </c>
      <c r="D674" s="1" t="s">
        <v>580</v>
      </c>
      <c r="E674" s="1" t="n">
        <v>39</v>
      </c>
      <c r="F674" s="1" t="s">
        <v>2535</v>
      </c>
      <c r="G674" s="1" t="s">
        <v>236</v>
      </c>
      <c r="H674" s="1" t="s">
        <v>2536</v>
      </c>
      <c r="I674" s="1" t="s">
        <v>231</v>
      </c>
      <c r="J674" s="1" t="s">
        <v>371</v>
      </c>
      <c r="K674" s="1" t="n">
        <v>12.99</v>
      </c>
      <c r="L674" s="1" t="n">
        <v>4.2</v>
      </c>
      <c r="M674" s="1" t="n">
        <v>132</v>
      </c>
      <c r="N674" s="4" t="b">
        <f aca="false">FALSE()</f>
        <v>0</v>
      </c>
      <c r="P674" s="4" t="b">
        <f aca="false">TRUE()</f>
        <v>1</v>
      </c>
      <c r="R674" s="1" t="s">
        <v>2407</v>
      </c>
      <c r="S674" s="1" t="s">
        <v>2537</v>
      </c>
      <c r="T674" s="1" t="s">
        <v>222</v>
      </c>
      <c r="U674" s="1" t="s">
        <v>2102</v>
      </c>
    </row>
    <row r="675" customFormat="false" ht="48" hidden="false" customHeight="true" outlineLevel="0" collapsed="false">
      <c r="A675" s="1" t="s">
        <v>45</v>
      </c>
      <c r="B675" s="1" t="s">
        <v>2097</v>
      </c>
      <c r="C675" s="1" t="s">
        <v>84</v>
      </c>
      <c r="D675" s="1" t="s">
        <v>580</v>
      </c>
      <c r="E675" s="1" t="n">
        <v>40</v>
      </c>
      <c r="F675" s="1" t="s">
        <v>2538</v>
      </c>
      <c r="G675" s="1" t="s">
        <v>236</v>
      </c>
      <c r="H675" s="1" t="s">
        <v>2539</v>
      </c>
      <c r="I675" s="1" t="s">
        <v>2333</v>
      </c>
      <c r="J675" s="1" t="s">
        <v>310</v>
      </c>
      <c r="K675" s="1" t="n">
        <v>26</v>
      </c>
      <c r="L675" s="1" t="n">
        <v>4</v>
      </c>
      <c r="M675" s="1" t="n">
        <v>131</v>
      </c>
      <c r="N675" s="4" t="b">
        <f aca="false">FALSE()</f>
        <v>0</v>
      </c>
      <c r="O675" s="1" t="s">
        <v>2540</v>
      </c>
      <c r="P675" s="4" t="b">
        <f aca="false">FALSE()</f>
        <v>0</v>
      </c>
      <c r="R675" s="1" t="s">
        <v>2407</v>
      </c>
      <c r="S675" s="1" t="s">
        <v>2541</v>
      </c>
      <c r="T675" s="1" t="s">
        <v>222</v>
      </c>
      <c r="U675" s="1" t="s">
        <v>2102</v>
      </c>
    </row>
    <row r="676" customFormat="false" ht="48" hidden="false" customHeight="true" outlineLevel="0" collapsed="false">
      <c r="A676" s="1" t="s">
        <v>45</v>
      </c>
      <c r="B676" s="1" t="s">
        <v>2097</v>
      </c>
      <c r="C676" s="1" t="s">
        <v>84</v>
      </c>
      <c r="D676" s="1" t="s">
        <v>580</v>
      </c>
      <c r="E676" s="1" t="n">
        <v>41</v>
      </c>
      <c r="F676" s="1" t="s">
        <v>2542</v>
      </c>
      <c r="G676" s="1" t="s">
        <v>2481</v>
      </c>
      <c r="H676" s="1" t="s">
        <v>2543</v>
      </c>
      <c r="I676" s="1" t="s">
        <v>402</v>
      </c>
      <c r="J676" s="1" t="s">
        <v>597</v>
      </c>
      <c r="K676" s="1" t="n">
        <v>35</v>
      </c>
      <c r="L676" s="1" t="n">
        <v>4.4</v>
      </c>
      <c r="M676" s="1" t="n">
        <v>18</v>
      </c>
      <c r="N676" s="4" t="b">
        <f aca="false">FALSE()</f>
        <v>0</v>
      </c>
      <c r="P676" s="4" t="b">
        <f aca="false">TRUE()</f>
        <v>1</v>
      </c>
      <c r="R676" s="1" t="s">
        <v>2407</v>
      </c>
      <c r="S676" s="1" t="s">
        <v>2544</v>
      </c>
      <c r="T676" s="1" t="s">
        <v>222</v>
      </c>
      <c r="U676" s="1" t="s">
        <v>2102</v>
      </c>
    </row>
    <row r="677" customFormat="false" ht="48" hidden="false" customHeight="true" outlineLevel="0" collapsed="false">
      <c r="A677" s="1" t="s">
        <v>45</v>
      </c>
      <c r="B677" s="1" t="s">
        <v>2097</v>
      </c>
      <c r="C677" s="1" t="s">
        <v>84</v>
      </c>
      <c r="D677" s="1" t="s">
        <v>580</v>
      </c>
      <c r="E677" s="1" t="n">
        <v>42</v>
      </c>
      <c r="F677" s="1" t="s">
        <v>2545</v>
      </c>
      <c r="G677" s="1" t="s">
        <v>236</v>
      </c>
      <c r="H677" s="1" t="s">
        <v>2546</v>
      </c>
      <c r="I677" s="1" t="s">
        <v>2323</v>
      </c>
      <c r="J677" s="1" t="s">
        <v>597</v>
      </c>
      <c r="K677" s="1" t="n">
        <v>25.6</v>
      </c>
      <c r="L677" s="1" t="n">
        <v>4.3</v>
      </c>
      <c r="M677" s="1" t="n">
        <v>650</v>
      </c>
      <c r="N677" s="4" t="b">
        <f aca="false">FALSE()</f>
        <v>0</v>
      </c>
      <c r="P677" s="4" t="b">
        <f aca="false">TRUE()</f>
        <v>1</v>
      </c>
      <c r="R677" s="1" t="s">
        <v>2407</v>
      </c>
      <c r="S677" s="1" t="s">
        <v>2547</v>
      </c>
      <c r="T677" s="1" t="s">
        <v>222</v>
      </c>
      <c r="U677" s="1" t="s">
        <v>2102</v>
      </c>
    </row>
    <row r="678" customFormat="false" ht="48" hidden="false" customHeight="true" outlineLevel="0" collapsed="false">
      <c r="A678" s="1" t="s">
        <v>45</v>
      </c>
      <c r="B678" s="1" t="s">
        <v>2097</v>
      </c>
      <c r="C678" s="1" t="s">
        <v>84</v>
      </c>
      <c r="D678" s="1" t="s">
        <v>580</v>
      </c>
      <c r="E678" s="1" t="n">
        <v>43</v>
      </c>
      <c r="F678" s="1" t="s">
        <v>2548</v>
      </c>
      <c r="G678" s="1" t="s">
        <v>236</v>
      </c>
      <c r="H678" s="1" t="s">
        <v>2549</v>
      </c>
      <c r="I678" s="1" t="s">
        <v>231</v>
      </c>
      <c r="J678" s="1" t="s">
        <v>597</v>
      </c>
      <c r="K678" s="1" t="n">
        <v>31.35</v>
      </c>
      <c r="L678" s="1" t="n">
        <v>4.5</v>
      </c>
      <c r="M678" s="1" t="n">
        <v>199</v>
      </c>
      <c r="N678" s="4" t="b">
        <f aca="false">FALSE()</f>
        <v>0</v>
      </c>
      <c r="O678" s="1" t="s">
        <v>2487</v>
      </c>
      <c r="P678" s="4" t="b">
        <f aca="false">TRUE()</f>
        <v>1</v>
      </c>
      <c r="Q678" s="1" t="s">
        <v>251</v>
      </c>
      <c r="R678" s="1" t="s">
        <v>2407</v>
      </c>
      <c r="S678" s="1" t="s">
        <v>2550</v>
      </c>
      <c r="T678" s="1" t="s">
        <v>222</v>
      </c>
      <c r="U678" s="1" t="s">
        <v>2102</v>
      </c>
    </row>
    <row r="679" customFormat="false" ht="48" hidden="false" customHeight="true" outlineLevel="0" collapsed="false">
      <c r="A679" s="1" t="s">
        <v>45</v>
      </c>
      <c r="B679" s="1" t="s">
        <v>2097</v>
      </c>
      <c r="C679" s="1" t="s">
        <v>84</v>
      </c>
      <c r="D679" s="1" t="s">
        <v>580</v>
      </c>
      <c r="E679" s="1" t="n">
        <v>44</v>
      </c>
      <c r="F679" s="1" t="s">
        <v>2551</v>
      </c>
      <c r="G679" s="1" t="s">
        <v>2246</v>
      </c>
      <c r="H679" s="1" t="s">
        <v>2552</v>
      </c>
      <c r="I679" s="1" t="s">
        <v>231</v>
      </c>
      <c r="J679" s="1" t="s">
        <v>597</v>
      </c>
      <c r="K679" s="1" t="n">
        <v>12.99</v>
      </c>
      <c r="L679" s="1" t="n">
        <v>4.3</v>
      </c>
      <c r="M679" s="1" t="n">
        <v>1200</v>
      </c>
      <c r="N679" s="4" t="b">
        <f aca="false">FALSE()</f>
        <v>0</v>
      </c>
      <c r="O679" s="1" t="s">
        <v>2553</v>
      </c>
      <c r="P679" s="4" t="b">
        <f aca="false">TRUE()</f>
        <v>1</v>
      </c>
      <c r="Q679" s="1" t="s">
        <v>233</v>
      </c>
      <c r="R679" s="1" t="s">
        <v>2407</v>
      </c>
      <c r="S679" s="1" t="s">
        <v>2554</v>
      </c>
      <c r="T679" s="1" t="s">
        <v>222</v>
      </c>
      <c r="U679" s="1" t="s">
        <v>2102</v>
      </c>
    </row>
    <row r="680" customFormat="false" ht="48" hidden="false" customHeight="true" outlineLevel="0" collapsed="false">
      <c r="A680" s="1" t="s">
        <v>45</v>
      </c>
      <c r="B680" s="1" t="s">
        <v>2097</v>
      </c>
      <c r="C680" s="1" t="s">
        <v>84</v>
      </c>
      <c r="D680" s="1" t="s">
        <v>580</v>
      </c>
      <c r="E680" s="1" t="n">
        <v>45</v>
      </c>
      <c r="F680" s="1" t="s">
        <v>2555</v>
      </c>
      <c r="G680" s="1" t="s">
        <v>236</v>
      </c>
      <c r="H680" s="1" t="s">
        <v>2556</v>
      </c>
      <c r="I680" s="1" t="s">
        <v>402</v>
      </c>
      <c r="J680" s="1" t="s">
        <v>310</v>
      </c>
      <c r="K680" s="1" t="n">
        <v>18.96</v>
      </c>
      <c r="L680" s="1" t="n">
        <v>4.6</v>
      </c>
      <c r="M680" s="1" t="n">
        <v>2100</v>
      </c>
      <c r="N680" s="4" t="b">
        <f aca="false">FALSE()</f>
        <v>0</v>
      </c>
      <c r="O680" s="1" t="s">
        <v>2557</v>
      </c>
      <c r="P680" s="4" t="b">
        <f aca="false">FALSE()</f>
        <v>0</v>
      </c>
      <c r="Q680" s="1" t="s">
        <v>711</v>
      </c>
      <c r="R680" s="1" t="s">
        <v>2407</v>
      </c>
      <c r="S680" s="1" t="s">
        <v>2558</v>
      </c>
      <c r="T680" s="1" t="s">
        <v>222</v>
      </c>
      <c r="U680" s="1" t="s">
        <v>2102</v>
      </c>
    </row>
    <row r="681" customFormat="false" ht="48" hidden="false" customHeight="true" outlineLevel="0" collapsed="false">
      <c r="A681" s="1" t="s">
        <v>45</v>
      </c>
      <c r="B681" s="1" t="s">
        <v>2097</v>
      </c>
      <c r="C681" s="1" t="s">
        <v>84</v>
      </c>
      <c r="D681" s="1" t="s">
        <v>580</v>
      </c>
      <c r="E681" s="1" t="n">
        <v>46</v>
      </c>
      <c r="F681" s="1" t="s">
        <v>2559</v>
      </c>
      <c r="G681" s="1" t="s">
        <v>2246</v>
      </c>
      <c r="H681" s="1" t="s">
        <v>2560</v>
      </c>
      <c r="I681" s="1" t="s">
        <v>402</v>
      </c>
      <c r="J681" s="1" t="s">
        <v>310</v>
      </c>
      <c r="K681" s="1" t="n">
        <v>14.09</v>
      </c>
      <c r="L681" s="1" t="n">
        <v>4.4</v>
      </c>
      <c r="M681" s="1" t="n">
        <v>1100</v>
      </c>
      <c r="N681" s="4" t="b">
        <f aca="false">FALSE()</f>
        <v>0</v>
      </c>
      <c r="O681" s="1" t="s">
        <v>2257</v>
      </c>
      <c r="P681" s="4" t="b">
        <f aca="false">FALSE()</f>
        <v>0</v>
      </c>
      <c r="R681" s="1" t="s">
        <v>2407</v>
      </c>
      <c r="S681" s="1" t="s">
        <v>2561</v>
      </c>
      <c r="T681" s="1" t="s">
        <v>222</v>
      </c>
      <c r="U681" s="1" t="s">
        <v>2102</v>
      </c>
    </row>
    <row r="682" customFormat="false" ht="48" hidden="false" customHeight="true" outlineLevel="0" collapsed="false">
      <c r="A682" s="1" t="s">
        <v>45</v>
      </c>
      <c r="B682" s="1" t="s">
        <v>2097</v>
      </c>
      <c r="C682" s="1" t="s">
        <v>84</v>
      </c>
      <c r="D682" s="1" t="s">
        <v>580</v>
      </c>
      <c r="E682" s="1" t="n">
        <v>47</v>
      </c>
      <c r="F682" s="1" t="s">
        <v>2562</v>
      </c>
      <c r="G682" s="1" t="s">
        <v>236</v>
      </c>
      <c r="H682" s="1" t="s">
        <v>2563</v>
      </c>
      <c r="I682" s="1" t="s">
        <v>402</v>
      </c>
      <c r="J682" s="1" t="s">
        <v>310</v>
      </c>
      <c r="K682" s="1" t="n">
        <v>20.59</v>
      </c>
      <c r="L682" s="1" t="n">
        <v>4.5</v>
      </c>
      <c r="M682" s="1" t="n">
        <v>36</v>
      </c>
      <c r="N682" s="4" t="b">
        <f aca="false">FALSE()</f>
        <v>0</v>
      </c>
      <c r="O682" s="1" t="s">
        <v>2564</v>
      </c>
      <c r="P682" s="4" t="b">
        <f aca="false">FALSE()</f>
        <v>0</v>
      </c>
      <c r="Q682" s="1" t="s">
        <v>251</v>
      </c>
      <c r="R682" s="1" t="s">
        <v>2407</v>
      </c>
      <c r="S682" s="1" t="s">
        <v>2565</v>
      </c>
      <c r="T682" s="1" t="s">
        <v>222</v>
      </c>
      <c r="U682" s="1" t="s">
        <v>2102</v>
      </c>
    </row>
    <row r="683" customFormat="false" ht="48" hidden="false" customHeight="true" outlineLevel="0" collapsed="false">
      <c r="A683" s="1" t="s">
        <v>45</v>
      </c>
      <c r="B683" s="1" t="s">
        <v>2097</v>
      </c>
      <c r="C683" s="1" t="s">
        <v>84</v>
      </c>
      <c r="D683" s="1" t="s">
        <v>580</v>
      </c>
      <c r="E683" s="1" t="n">
        <v>48</v>
      </c>
      <c r="F683" s="1" t="s">
        <v>2566</v>
      </c>
      <c r="G683" s="1" t="s">
        <v>2410</v>
      </c>
      <c r="H683" s="1" t="s">
        <v>2567</v>
      </c>
      <c r="I683" s="1" t="s">
        <v>231</v>
      </c>
      <c r="J683" s="1" t="s">
        <v>310</v>
      </c>
      <c r="K683" s="1" t="n">
        <v>32.99</v>
      </c>
      <c r="L683" s="1" t="n">
        <v>4.2</v>
      </c>
      <c r="M683" s="1" t="n">
        <v>197</v>
      </c>
      <c r="N683" s="4" t="b">
        <f aca="false">FALSE()</f>
        <v>0</v>
      </c>
      <c r="O683" s="1" t="s">
        <v>2419</v>
      </c>
      <c r="P683" s="4" t="b">
        <f aca="false">FALSE()</f>
        <v>0</v>
      </c>
      <c r="R683" s="1" t="s">
        <v>2407</v>
      </c>
      <c r="S683" s="1" t="s">
        <v>2568</v>
      </c>
      <c r="T683" s="1" t="s">
        <v>222</v>
      </c>
      <c r="U683" s="1" t="s">
        <v>2102</v>
      </c>
    </row>
    <row r="684" customFormat="false" ht="48" hidden="false" customHeight="true" outlineLevel="0" collapsed="false">
      <c r="A684" s="1" t="s">
        <v>45</v>
      </c>
      <c r="B684" s="1" t="s">
        <v>2097</v>
      </c>
      <c r="C684" s="1" t="s">
        <v>66</v>
      </c>
      <c r="D684" s="1" t="s">
        <v>762</v>
      </c>
      <c r="E684" s="1" t="n">
        <v>1</v>
      </c>
      <c r="F684" s="1" t="s">
        <v>796</v>
      </c>
      <c r="G684" s="1" t="s">
        <v>774</v>
      </c>
      <c r="H684" s="1" t="s">
        <v>2569</v>
      </c>
      <c r="I684" s="1" t="s">
        <v>218</v>
      </c>
      <c r="J684" s="1" t="s">
        <v>310</v>
      </c>
      <c r="K684" s="1" t="n">
        <v>11.37</v>
      </c>
      <c r="L684" s="1" t="n">
        <v>4.6</v>
      </c>
      <c r="M684" s="1" t="n">
        <v>100100</v>
      </c>
      <c r="N684" s="4" t="b">
        <f aca="false">FALSE()</f>
        <v>0</v>
      </c>
      <c r="O684" s="1" t="s">
        <v>2570</v>
      </c>
      <c r="P684" s="4" t="b">
        <f aca="false">TRUE()</f>
        <v>1</v>
      </c>
      <c r="Q684" s="1" t="s">
        <v>251</v>
      </c>
      <c r="R684" s="1" t="s">
        <v>2571</v>
      </c>
      <c r="S684" s="1" t="s">
        <v>2572</v>
      </c>
      <c r="T684" s="1" t="s">
        <v>222</v>
      </c>
      <c r="U684" s="1" t="s">
        <v>2102</v>
      </c>
    </row>
    <row r="685" customFormat="false" ht="48" hidden="false" customHeight="true" outlineLevel="0" collapsed="false">
      <c r="A685" s="1" t="s">
        <v>45</v>
      </c>
      <c r="B685" s="1" t="s">
        <v>2097</v>
      </c>
      <c r="C685" s="1" t="s">
        <v>66</v>
      </c>
      <c r="D685" s="1" t="s">
        <v>762</v>
      </c>
      <c r="E685" s="1" t="n">
        <v>2</v>
      </c>
      <c r="F685" s="1" t="s">
        <v>769</v>
      </c>
      <c r="G685" s="1" t="s">
        <v>774</v>
      </c>
      <c r="H685" s="1" t="s">
        <v>2573</v>
      </c>
      <c r="I685" s="1" t="s">
        <v>218</v>
      </c>
      <c r="J685" s="1" t="s">
        <v>371</v>
      </c>
      <c r="K685" s="1" t="n">
        <v>13.33</v>
      </c>
      <c r="L685" s="1" t="n">
        <v>4.6</v>
      </c>
      <c r="M685" s="1" t="n">
        <v>100100</v>
      </c>
      <c r="N685" s="4" t="b">
        <f aca="false">FALSE()</f>
        <v>0</v>
      </c>
      <c r="P685" s="4" t="b">
        <f aca="false">TRUE()</f>
        <v>1</v>
      </c>
      <c r="R685" s="1" t="s">
        <v>2571</v>
      </c>
      <c r="S685" s="1" t="s">
        <v>2574</v>
      </c>
      <c r="T685" s="1" t="s">
        <v>222</v>
      </c>
      <c r="U685" s="1" t="s">
        <v>2102</v>
      </c>
    </row>
    <row r="686" customFormat="false" ht="48" hidden="false" customHeight="true" outlineLevel="0" collapsed="false">
      <c r="A686" s="1" t="s">
        <v>45</v>
      </c>
      <c r="B686" s="1" t="s">
        <v>2097</v>
      </c>
      <c r="C686" s="1" t="s">
        <v>66</v>
      </c>
      <c r="D686" s="1" t="s">
        <v>762</v>
      </c>
      <c r="E686" s="1" t="n">
        <v>3</v>
      </c>
      <c r="F686" s="1" t="s">
        <v>763</v>
      </c>
      <c r="G686" s="1" t="s">
        <v>774</v>
      </c>
      <c r="H686" s="1" t="s">
        <v>2575</v>
      </c>
      <c r="I686" s="1" t="s">
        <v>218</v>
      </c>
      <c r="J686" s="1" t="s">
        <v>371</v>
      </c>
      <c r="K686" s="1" t="n">
        <v>14.93</v>
      </c>
      <c r="L686" s="1" t="n">
        <v>4.6</v>
      </c>
      <c r="M686" s="1" t="n">
        <v>135800</v>
      </c>
      <c r="N686" s="4" t="b">
        <f aca="false">FALSE()</f>
        <v>0</v>
      </c>
      <c r="O686" s="1" t="s">
        <v>2257</v>
      </c>
      <c r="P686" s="4" t="b">
        <f aca="false">TRUE()</f>
        <v>1</v>
      </c>
      <c r="Q686" s="1" t="s">
        <v>251</v>
      </c>
      <c r="R686" s="1" t="s">
        <v>2571</v>
      </c>
      <c r="S686" s="1" t="s">
        <v>2576</v>
      </c>
      <c r="T686" s="1" t="s">
        <v>222</v>
      </c>
      <c r="U686" s="1" t="s">
        <v>2102</v>
      </c>
    </row>
    <row r="687" customFormat="false" ht="48" hidden="false" customHeight="true" outlineLevel="0" collapsed="false">
      <c r="A687" s="1" t="s">
        <v>45</v>
      </c>
      <c r="B687" s="1" t="s">
        <v>2097</v>
      </c>
      <c r="C687" s="1" t="s">
        <v>66</v>
      </c>
      <c r="D687" s="1" t="s">
        <v>762</v>
      </c>
      <c r="E687" s="1" t="n">
        <v>4</v>
      </c>
      <c r="F687" s="1" t="s">
        <v>2577</v>
      </c>
      <c r="G687" s="1" t="s">
        <v>236</v>
      </c>
      <c r="H687" s="1" t="s">
        <v>2578</v>
      </c>
      <c r="I687" s="1" t="s">
        <v>231</v>
      </c>
      <c r="J687" s="1" t="s">
        <v>310</v>
      </c>
      <c r="K687" s="1" t="n">
        <v>8.99</v>
      </c>
      <c r="L687" s="1" t="n">
        <v>4.5</v>
      </c>
      <c r="M687" s="1" t="n">
        <v>534</v>
      </c>
      <c r="N687" s="4" t="b">
        <f aca="false">FALSE()</f>
        <v>0</v>
      </c>
      <c r="O687" s="1" t="s">
        <v>2257</v>
      </c>
      <c r="P687" s="4" t="b">
        <f aca="false">TRUE()</f>
        <v>1</v>
      </c>
      <c r="Q687" s="1" t="s">
        <v>418</v>
      </c>
      <c r="R687" s="1" t="s">
        <v>2571</v>
      </c>
      <c r="S687" s="1" t="s">
        <v>2579</v>
      </c>
      <c r="T687" s="1" t="s">
        <v>222</v>
      </c>
      <c r="U687" s="1" t="s">
        <v>2102</v>
      </c>
    </row>
    <row r="688" customFormat="false" ht="48" hidden="false" customHeight="true" outlineLevel="0" collapsed="false">
      <c r="A688" s="1" t="s">
        <v>45</v>
      </c>
      <c r="B688" s="1" t="s">
        <v>2097</v>
      </c>
      <c r="C688" s="1" t="s">
        <v>66</v>
      </c>
      <c r="D688" s="1" t="s">
        <v>762</v>
      </c>
      <c r="E688" s="1" t="n">
        <v>5</v>
      </c>
      <c r="F688" s="1" t="s">
        <v>2580</v>
      </c>
      <c r="G688" s="1" t="s">
        <v>567</v>
      </c>
      <c r="H688" s="1" t="s">
        <v>2581</v>
      </c>
      <c r="I688" s="1" t="s">
        <v>231</v>
      </c>
      <c r="J688" s="1" t="s">
        <v>371</v>
      </c>
      <c r="K688" s="1" t="n">
        <v>7.16</v>
      </c>
      <c r="L688" s="1" t="n">
        <v>4.5</v>
      </c>
      <c r="M688" s="1" t="n">
        <v>148800</v>
      </c>
      <c r="N688" s="4" t="b">
        <f aca="false">FALSE()</f>
        <v>0</v>
      </c>
      <c r="P688" s="4" t="b">
        <f aca="false">TRUE()</f>
        <v>1</v>
      </c>
      <c r="Q688" s="1" t="s">
        <v>766</v>
      </c>
      <c r="R688" s="1" t="s">
        <v>2571</v>
      </c>
      <c r="S688" s="1" t="s">
        <v>2582</v>
      </c>
      <c r="T688" s="1" t="s">
        <v>222</v>
      </c>
      <c r="U688" s="1" t="s">
        <v>2102</v>
      </c>
    </row>
    <row r="689" customFormat="false" ht="48" hidden="false" customHeight="true" outlineLevel="0" collapsed="false">
      <c r="A689" s="1" t="s">
        <v>45</v>
      </c>
      <c r="B689" s="1" t="s">
        <v>2097</v>
      </c>
      <c r="C689" s="1" t="s">
        <v>66</v>
      </c>
      <c r="D689" s="1" t="s">
        <v>762</v>
      </c>
      <c r="E689" s="1" t="n">
        <v>6</v>
      </c>
      <c r="F689" s="1" t="s">
        <v>2583</v>
      </c>
      <c r="G689" s="1" t="s">
        <v>236</v>
      </c>
      <c r="H689" s="1" t="s">
        <v>2584</v>
      </c>
      <c r="I689" s="1" t="s">
        <v>231</v>
      </c>
      <c r="J689" s="1" t="s">
        <v>371</v>
      </c>
      <c r="K689" s="1" t="n">
        <v>9.99</v>
      </c>
      <c r="L689" s="1" t="n">
        <v>4.3</v>
      </c>
      <c r="M689" s="1" t="n">
        <v>54</v>
      </c>
      <c r="N689" s="4" t="b">
        <f aca="false">FALSE()</f>
        <v>0</v>
      </c>
      <c r="O689" s="1" t="s">
        <v>2257</v>
      </c>
      <c r="P689" s="4" t="b">
        <f aca="false">TRUE()</f>
        <v>1</v>
      </c>
      <c r="R689" s="1" t="s">
        <v>2571</v>
      </c>
      <c r="S689" s="1" t="s">
        <v>2585</v>
      </c>
      <c r="T689" s="1" t="s">
        <v>222</v>
      </c>
      <c r="U689" s="1" t="s">
        <v>2102</v>
      </c>
    </row>
    <row r="690" customFormat="false" ht="48" hidden="false" customHeight="true" outlineLevel="0" collapsed="false">
      <c r="A690" s="1" t="s">
        <v>45</v>
      </c>
      <c r="B690" s="1" t="s">
        <v>2097</v>
      </c>
      <c r="C690" s="1" t="s">
        <v>66</v>
      </c>
      <c r="D690" s="1" t="s">
        <v>762</v>
      </c>
      <c r="E690" s="1" t="n">
        <v>7</v>
      </c>
      <c r="F690" s="1" t="s">
        <v>2586</v>
      </c>
      <c r="G690" s="1" t="s">
        <v>567</v>
      </c>
      <c r="H690" s="1" t="s">
        <v>2587</v>
      </c>
      <c r="I690" s="1" t="s">
        <v>2333</v>
      </c>
      <c r="J690" s="1" t="s">
        <v>371</v>
      </c>
      <c r="K690" s="1" t="n">
        <v>9.49</v>
      </c>
      <c r="L690" s="1" t="n">
        <v>4.5</v>
      </c>
      <c r="M690" s="1" t="n">
        <v>148800</v>
      </c>
      <c r="N690" s="4" t="b">
        <f aca="false">FALSE()</f>
        <v>0</v>
      </c>
      <c r="P690" s="4" t="b">
        <f aca="false">TRUE()</f>
        <v>1</v>
      </c>
      <c r="Q690" s="1" t="s">
        <v>711</v>
      </c>
      <c r="R690" s="1" t="s">
        <v>2571</v>
      </c>
      <c r="S690" s="1" t="s">
        <v>2588</v>
      </c>
      <c r="T690" s="1" t="s">
        <v>222</v>
      </c>
      <c r="U690" s="1" t="s">
        <v>2102</v>
      </c>
    </row>
    <row r="691" customFormat="false" ht="48" hidden="false" customHeight="true" outlineLevel="0" collapsed="false">
      <c r="A691" s="1" t="s">
        <v>45</v>
      </c>
      <c r="B691" s="1" t="s">
        <v>2097</v>
      </c>
      <c r="C691" s="1" t="s">
        <v>66</v>
      </c>
      <c r="D691" s="1" t="s">
        <v>762</v>
      </c>
      <c r="E691" s="1" t="n">
        <v>8</v>
      </c>
      <c r="F691" s="1" t="s">
        <v>2589</v>
      </c>
      <c r="G691" s="1" t="s">
        <v>567</v>
      </c>
      <c r="H691" s="1" t="s">
        <v>2590</v>
      </c>
      <c r="I691" s="1" t="s">
        <v>2333</v>
      </c>
      <c r="J691" s="1" t="s">
        <v>371</v>
      </c>
      <c r="K691" s="1" t="n">
        <v>9.02</v>
      </c>
      <c r="L691" s="1" t="n">
        <v>4.5</v>
      </c>
      <c r="M691" s="1" t="n">
        <v>148800</v>
      </c>
      <c r="N691" s="4" t="b">
        <f aca="false">FALSE()</f>
        <v>0</v>
      </c>
      <c r="P691" s="4" t="b">
        <f aca="false">TRUE()</f>
        <v>1</v>
      </c>
      <c r="Q691" s="1" t="s">
        <v>618</v>
      </c>
      <c r="R691" s="1" t="s">
        <v>2571</v>
      </c>
      <c r="S691" s="1" t="s">
        <v>2591</v>
      </c>
      <c r="T691" s="1" t="s">
        <v>222</v>
      </c>
      <c r="U691" s="1" t="s">
        <v>2102</v>
      </c>
    </row>
    <row r="692" customFormat="false" ht="48" hidden="false" customHeight="true" outlineLevel="0" collapsed="false">
      <c r="A692" s="1" t="s">
        <v>45</v>
      </c>
      <c r="B692" s="1" t="s">
        <v>2097</v>
      </c>
      <c r="C692" s="1" t="s">
        <v>66</v>
      </c>
      <c r="D692" s="1" t="s">
        <v>762</v>
      </c>
      <c r="E692" s="1" t="n">
        <v>9</v>
      </c>
      <c r="F692" s="1" t="s">
        <v>2592</v>
      </c>
      <c r="G692" s="1" t="s">
        <v>236</v>
      </c>
      <c r="H692" s="1" t="s">
        <v>2593</v>
      </c>
      <c r="I692" s="1" t="s">
        <v>231</v>
      </c>
      <c r="J692" s="1" t="s">
        <v>371</v>
      </c>
      <c r="K692" s="1" t="n">
        <v>10.99</v>
      </c>
      <c r="L692" s="1" t="n">
        <v>4.5</v>
      </c>
      <c r="M692" s="1" t="n">
        <v>909</v>
      </c>
      <c r="N692" s="4" t="b">
        <f aca="false">FALSE()</f>
        <v>0</v>
      </c>
      <c r="O692" s="1" t="s">
        <v>2257</v>
      </c>
      <c r="P692" s="4" t="b">
        <f aca="false">TRUE()</f>
        <v>1</v>
      </c>
      <c r="Q692" s="1" t="s">
        <v>451</v>
      </c>
      <c r="R692" s="1" t="s">
        <v>2571</v>
      </c>
      <c r="S692" s="1" t="s">
        <v>2594</v>
      </c>
      <c r="T692" s="1" t="s">
        <v>222</v>
      </c>
      <c r="U692" s="1" t="s">
        <v>2102</v>
      </c>
    </row>
    <row r="693" customFormat="false" ht="48" hidden="false" customHeight="true" outlineLevel="0" collapsed="false">
      <c r="A693" s="1" t="s">
        <v>45</v>
      </c>
      <c r="B693" s="1" t="s">
        <v>2097</v>
      </c>
      <c r="C693" s="1" t="s">
        <v>66</v>
      </c>
      <c r="D693" s="1" t="s">
        <v>762</v>
      </c>
      <c r="E693" s="1" t="n">
        <v>10</v>
      </c>
      <c r="F693" s="1" t="s">
        <v>2595</v>
      </c>
      <c r="G693" s="1" t="s">
        <v>236</v>
      </c>
      <c r="H693" s="1" t="s">
        <v>2596</v>
      </c>
      <c r="I693" s="1" t="s">
        <v>218</v>
      </c>
      <c r="J693" s="1" t="s">
        <v>310</v>
      </c>
      <c r="K693" s="1" t="n">
        <v>23.53</v>
      </c>
      <c r="L693" s="1" t="n">
        <v>4.6</v>
      </c>
      <c r="M693" s="1" t="n">
        <v>7600</v>
      </c>
      <c r="N693" s="4" t="b">
        <f aca="false">FALSE()</f>
        <v>0</v>
      </c>
      <c r="P693" s="4" t="b">
        <f aca="false">TRUE()</f>
        <v>1</v>
      </c>
      <c r="R693" s="1" t="s">
        <v>2571</v>
      </c>
      <c r="S693" s="1" t="s">
        <v>2597</v>
      </c>
      <c r="T693" s="1" t="s">
        <v>222</v>
      </c>
      <c r="U693" s="1" t="s">
        <v>2102</v>
      </c>
    </row>
    <row r="694" customFormat="false" ht="48" hidden="false" customHeight="true" outlineLevel="0" collapsed="false">
      <c r="A694" s="1" t="s">
        <v>45</v>
      </c>
      <c r="B694" s="1" t="s">
        <v>2097</v>
      </c>
      <c r="C694" s="1" t="s">
        <v>66</v>
      </c>
      <c r="D694" s="1" t="s">
        <v>762</v>
      </c>
      <c r="E694" s="1" t="n">
        <v>11</v>
      </c>
      <c r="F694" s="1" t="s">
        <v>2598</v>
      </c>
      <c r="G694" s="1" t="s">
        <v>236</v>
      </c>
      <c r="H694" s="1" t="s">
        <v>2599</v>
      </c>
      <c r="I694" s="1" t="s">
        <v>402</v>
      </c>
      <c r="J694" s="1" t="s">
        <v>597</v>
      </c>
      <c r="L694" s="1" t="n">
        <v>4.3</v>
      </c>
      <c r="M694" s="1" t="n">
        <v>442</v>
      </c>
      <c r="N694" s="4" t="b">
        <f aca="false">FALSE()</f>
        <v>0</v>
      </c>
      <c r="P694" s="4" t="b">
        <f aca="false">TRUE()</f>
        <v>1</v>
      </c>
      <c r="Q694" s="1" t="s">
        <v>233</v>
      </c>
      <c r="R694" s="1" t="s">
        <v>2571</v>
      </c>
      <c r="S694" s="1" t="s">
        <v>2600</v>
      </c>
      <c r="T694" s="1" t="s">
        <v>222</v>
      </c>
      <c r="U694" s="1" t="s">
        <v>2102</v>
      </c>
    </row>
    <row r="695" customFormat="false" ht="48" hidden="false" customHeight="true" outlineLevel="0" collapsed="false">
      <c r="A695" s="1" t="s">
        <v>45</v>
      </c>
      <c r="B695" s="1" t="s">
        <v>2097</v>
      </c>
      <c r="C695" s="1" t="s">
        <v>66</v>
      </c>
      <c r="D695" s="1" t="s">
        <v>762</v>
      </c>
      <c r="E695" s="1" t="n">
        <v>12</v>
      </c>
      <c r="F695" s="1" t="s">
        <v>2601</v>
      </c>
      <c r="G695" s="1" t="s">
        <v>236</v>
      </c>
      <c r="H695" s="1" t="s">
        <v>2602</v>
      </c>
      <c r="I695" s="1" t="s">
        <v>231</v>
      </c>
      <c r="J695" s="1" t="s">
        <v>310</v>
      </c>
      <c r="K695" s="1" t="n">
        <v>31.18</v>
      </c>
      <c r="L695" s="1" t="n">
        <v>4.7</v>
      </c>
      <c r="M695" s="1" t="n">
        <v>1800</v>
      </c>
      <c r="N695" s="4" t="b">
        <f aca="false">FALSE()</f>
        <v>0</v>
      </c>
      <c r="P695" s="4" t="b">
        <f aca="false">TRUE()</f>
        <v>1</v>
      </c>
      <c r="R695" s="1" t="s">
        <v>2571</v>
      </c>
      <c r="S695" s="1" t="s">
        <v>2603</v>
      </c>
      <c r="T695" s="1" t="s">
        <v>222</v>
      </c>
      <c r="U695" s="1" t="s">
        <v>2102</v>
      </c>
    </row>
    <row r="696" customFormat="false" ht="48" hidden="false" customHeight="true" outlineLevel="0" collapsed="false">
      <c r="A696" s="1" t="s">
        <v>45</v>
      </c>
      <c r="B696" s="1" t="s">
        <v>2097</v>
      </c>
      <c r="C696" s="1" t="s">
        <v>66</v>
      </c>
      <c r="D696" s="1" t="s">
        <v>762</v>
      </c>
      <c r="E696" s="1" t="n">
        <v>13</v>
      </c>
      <c r="F696" s="1" t="s">
        <v>2604</v>
      </c>
      <c r="G696" s="1" t="s">
        <v>236</v>
      </c>
      <c r="H696" s="1" t="s">
        <v>2605</v>
      </c>
      <c r="I696" s="1" t="s">
        <v>402</v>
      </c>
      <c r="J696" s="1" t="s">
        <v>597</v>
      </c>
      <c r="L696" s="1" t="n">
        <v>4.3</v>
      </c>
      <c r="M696" s="1" t="n">
        <v>7400</v>
      </c>
      <c r="N696" s="4" t="b">
        <f aca="false">FALSE()</f>
        <v>0</v>
      </c>
      <c r="P696" s="4" t="b">
        <f aca="false">TRUE()</f>
        <v>1</v>
      </c>
      <c r="Q696" s="1" t="s">
        <v>233</v>
      </c>
      <c r="R696" s="1" t="s">
        <v>2571</v>
      </c>
      <c r="S696" s="1" t="s">
        <v>2606</v>
      </c>
      <c r="T696" s="1" t="s">
        <v>222</v>
      </c>
      <c r="U696" s="1" t="s">
        <v>2102</v>
      </c>
    </row>
    <row r="697" customFormat="false" ht="48" hidden="false" customHeight="true" outlineLevel="0" collapsed="false">
      <c r="A697" s="1" t="s">
        <v>45</v>
      </c>
      <c r="B697" s="1" t="s">
        <v>2097</v>
      </c>
      <c r="C697" s="1" t="s">
        <v>66</v>
      </c>
      <c r="D697" s="1" t="s">
        <v>762</v>
      </c>
      <c r="E697" s="1" t="n">
        <v>14</v>
      </c>
      <c r="F697" s="1" t="s">
        <v>2607</v>
      </c>
      <c r="G697" s="1" t="s">
        <v>236</v>
      </c>
      <c r="H697" s="1" t="s">
        <v>2608</v>
      </c>
      <c r="I697" s="1" t="s">
        <v>2323</v>
      </c>
      <c r="J697" s="1" t="s">
        <v>597</v>
      </c>
      <c r="K697" s="1" t="n">
        <v>8.99</v>
      </c>
      <c r="L697" s="1" t="n">
        <v>4.2</v>
      </c>
      <c r="M697" s="1" t="n">
        <v>1400</v>
      </c>
      <c r="N697" s="4" t="b">
        <f aca="false">FALSE()</f>
        <v>0</v>
      </c>
      <c r="P697" s="4" t="b">
        <f aca="false">TRUE()</f>
        <v>1</v>
      </c>
      <c r="Q697" s="1" t="s">
        <v>251</v>
      </c>
      <c r="R697" s="1" t="s">
        <v>2571</v>
      </c>
      <c r="S697" s="1" t="s">
        <v>2609</v>
      </c>
      <c r="T697" s="1" t="s">
        <v>222</v>
      </c>
      <c r="U697" s="1" t="s">
        <v>2102</v>
      </c>
    </row>
    <row r="698" customFormat="false" ht="48" hidden="false" customHeight="true" outlineLevel="0" collapsed="false">
      <c r="A698" s="1" t="s">
        <v>45</v>
      </c>
      <c r="B698" s="1" t="s">
        <v>2097</v>
      </c>
      <c r="C698" s="1" t="s">
        <v>66</v>
      </c>
      <c r="D698" s="1" t="s">
        <v>762</v>
      </c>
      <c r="E698" s="1" t="n">
        <v>15</v>
      </c>
      <c r="F698" s="1" t="s">
        <v>2610</v>
      </c>
      <c r="G698" s="1" t="s">
        <v>236</v>
      </c>
      <c r="H698" s="1" t="s">
        <v>2611</v>
      </c>
      <c r="I698" s="1" t="s">
        <v>231</v>
      </c>
      <c r="J698" s="1" t="s">
        <v>597</v>
      </c>
      <c r="K698" s="1" t="n">
        <v>14.46</v>
      </c>
      <c r="L698" s="1" t="n">
        <v>4.3</v>
      </c>
      <c r="M698" s="1" t="n">
        <v>1700</v>
      </c>
      <c r="N698" s="4" t="b">
        <f aca="false">FALSE()</f>
        <v>0</v>
      </c>
      <c r="O698" s="1" t="s">
        <v>2257</v>
      </c>
      <c r="P698" s="4" t="b">
        <f aca="false">TRUE()</f>
        <v>1</v>
      </c>
      <c r="R698" s="1" t="s">
        <v>2571</v>
      </c>
      <c r="S698" s="1" t="s">
        <v>2612</v>
      </c>
      <c r="T698" s="1" t="s">
        <v>222</v>
      </c>
      <c r="U698" s="1" t="s">
        <v>2102</v>
      </c>
    </row>
    <row r="699" customFormat="false" ht="48" hidden="false" customHeight="true" outlineLevel="0" collapsed="false">
      <c r="A699" s="1" t="s">
        <v>45</v>
      </c>
      <c r="B699" s="1" t="s">
        <v>2097</v>
      </c>
      <c r="C699" s="1" t="s">
        <v>66</v>
      </c>
      <c r="D699" s="1" t="s">
        <v>762</v>
      </c>
      <c r="E699" s="1" t="n">
        <v>16</v>
      </c>
      <c r="F699" s="1" t="s">
        <v>2613</v>
      </c>
      <c r="G699" s="1" t="s">
        <v>236</v>
      </c>
      <c r="H699" s="1" t="s">
        <v>2614</v>
      </c>
      <c r="I699" s="1" t="s">
        <v>231</v>
      </c>
      <c r="J699" s="1" t="s">
        <v>310</v>
      </c>
      <c r="L699" s="1" t="n">
        <v>3.2</v>
      </c>
      <c r="M699" s="1" t="n">
        <v>10</v>
      </c>
      <c r="N699" s="4" t="b">
        <f aca="false">FALSE()</f>
        <v>0</v>
      </c>
      <c r="P699" s="4" t="b">
        <f aca="false">TRUE()</f>
        <v>1</v>
      </c>
      <c r="R699" s="1" t="s">
        <v>2571</v>
      </c>
      <c r="S699" s="1" t="s">
        <v>2615</v>
      </c>
      <c r="T699" s="1" t="s">
        <v>222</v>
      </c>
      <c r="U699" s="1" t="s">
        <v>2102</v>
      </c>
    </row>
    <row r="700" customFormat="false" ht="48" hidden="false" customHeight="true" outlineLevel="0" collapsed="false">
      <c r="A700" s="1" t="s">
        <v>45</v>
      </c>
      <c r="B700" s="1" t="s">
        <v>2097</v>
      </c>
      <c r="C700" s="1" t="s">
        <v>66</v>
      </c>
      <c r="D700" s="1" t="s">
        <v>762</v>
      </c>
      <c r="E700" s="1" t="n">
        <v>17</v>
      </c>
      <c r="F700" s="1" t="s">
        <v>2616</v>
      </c>
      <c r="G700" s="1" t="s">
        <v>236</v>
      </c>
      <c r="H700" s="1" t="s">
        <v>2617</v>
      </c>
      <c r="I700" s="1" t="s">
        <v>402</v>
      </c>
      <c r="J700" s="1" t="s">
        <v>310</v>
      </c>
      <c r="L700" s="1" t="n">
        <v>4.4</v>
      </c>
      <c r="M700" s="1" t="n">
        <v>1500</v>
      </c>
      <c r="N700" s="4" t="b">
        <f aca="false">FALSE()</f>
        <v>0</v>
      </c>
      <c r="P700" s="4" t="b">
        <f aca="false">TRUE()</f>
        <v>1</v>
      </c>
      <c r="Q700" s="1" t="s">
        <v>423</v>
      </c>
      <c r="R700" s="1" t="s">
        <v>2571</v>
      </c>
      <c r="S700" s="1" t="s">
        <v>2618</v>
      </c>
      <c r="T700" s="1" t="s">
        <v>222</v>
      </c>
      <c r="U700" s="1" t="s">
        <v>2102</v>
      </c>
    </row>
    <row r="701" customFormat="false" ht="48" hidden="false" customHeight="true" outlineLevel="0" collapsed="false">
      <c r="A701" s="1" t="s">
        <v>45</v>
      </c>
      <c r="B701" s="1" t="s">
        <v>2097</v>
      </c>
      <c r="C701" s="1" t="s">
        <v>66</v>
      </c>
      <c r="D701" s="1" t="s">
        <v>762</v>
      </c>
      <c r="E701" s="1" t="n">
        <v>18</v>
      </c>
      <c r="F701" s="1" t="s">
        <v>2619</v>
      </c>
      <c r="G701" s="1" t="s">
        <v>567</v>
      </c>
      <c r="H701" s="1" t="s">
        <v>2620</v>
      </c>
      <c r="I701" s="1" t="s">
        <v>306</v>
      </c>
      <c r="J701" s="1" t="s">
        <v>597</v>
      </c>
      <c r="K701" s="1" t="n">
        <v>13.99</v>
      </c>
      <c r="L701" s="1" t="n">
        <v>4.4</v>
      </c>
      <c r="M701" s="1" t="n">
        <v>4500</v>
      </c>
      <c r="N701" s="4" t="b">
        <f aca="false">FALSE()</f>
        <v>0</v>
      </c>
      <c r="P701" s="4" t="b">
        <f aca="false">TRUE()</f>
        <v>1</v>
      </c>
      <c r="R701" s="1" t="s">
        <v>2571</v>
      </c>
      <c r="S701" s="1" t="s">
        <v>2621</v>
      </c>
      <c r="T701" s="1" t="s">
        <v>222</v>
      </c>
      <c r="U701" s="1" t="s">
        <v>2102</v>
      </c>
    </row>
    <row r="702" customFormat="false" ht="48" hidden="false" customHeight="true" outlineLevel="0" collapsed="false">
      <c r="A702" s="1" t="s">
        <v>45</v>
      </c>
      <c r="B702" s="1" t="s">
        <v>2097</v>
      </c>
      <c r="C702" s="1" t="s">
        <v>66</v>
      </c>
      <c r="D702" s="1" t="s">
        <v>762</v>
      </c>
      <c r="E702" s="1" t="n">
        <v>19</v>
      </c>
      <c r="F702" s="1" t="s">
        <v>2622</v>
      </c>
      <c r="G702" s="1" t="s">
        <v>2246</v>
      </c>
      <c r="H702" s="1" t="s">
        <v>2623</v>
      </c>
      <c r="I702" s="1" t="s">
        <v>402</v>
      </c>
      <c r="J702" s="1" t="s">
        <v>371</v>
      </c>
      <c r="K702" s="1" t="n">
        <v>7.99</v>
      </c>
      <c r="L702" s="1" t="n">
        <v>4.1</v>
      </c>
      <c r="M702" s="1" t="n">
        <v>3400</v>
      </c>
      <c r="N702" s="4" t="b">
        <f aca="false">FALSE()</f>
        <v>0</v>
      </c>
      <c r="O702" s="1" t="s">
        <v>2257</v>
      </c>
      <c r="P702" s="4" t="b">
        <f aca="false">TRUE()</f>
        <v>1</v>
      </c>
      <c r="Q702" s="1" t="s">
        <v>451</v>
      </c>
      <c r="R702" s="1" t="s">
        <v>2571</v>
      </c>
      <c r="S702" s="1" t="s">
        <v>2624</v>
      </c>
      <c r="T702" s="1" t="s">
        <v>222</v>
      </c>
      <c r="U702" s="1" t="s">
        <v>2102</v>
      </c>
    </row>
    <row r="703" customFormat="false" ht="48" hidden="false" customHeight="true" outlineLevel="0" collapsed="false">
      <c r="A703" s="1" t="s">
        <v>45</v>
      </c>
      <c r="B703" s="1" t="s">
        <v>2097</v>
      </c>
      <c r="C703" s="1" t="s">
        <v>66</v>
      </c>
      <c r="D703" s="1" t="s">
        <v>762</v>
      </c>
      <c r="E703" s="1" t="n">
        <v>20</v>
      </c>
      <c r="F703" s="1" t="s">
        <v>2625</v>
      </c>
      <c r="G703" s="1" t="s">
        <v>236</v>
      </c>
      <c r="H703" s="1" t="s">
        <v>2626</v>
      </c>
      <c r="I703" s="1" t="s">
        <v>2323</v>
      </c>
      <c r="J703" s="1" t="s">
        <v>371</v>
      </c>
      <c r="L703" s="1" t="n">
        <v>4.4</v>
      </c>
      <c r="M703" s="1" t="n">
        <v>2600</v>
      </c>
      <c r="N703" s="4" t="b">
        <f aca="false">FALSE()</f>
        <v>0</v>
      </c>
      <c r="P703" s="4" t="b">
        <f aca="false">TRUE()</f>
        <v>1</v>
      </c>
      <c r="R703" s="1" t="s">
        <v>2571</v>
      </c>
      <c r="S703" s="1" t="s">
        <v>2627</v>
      </c>
      <c r="T703" s="1" t="s">
        <v>222</v>
      </c>
      <c r="U703" s="1" t="s">
        <v>2102</v>
      </c>
    </row>
    <row r="704" customFormat="false" ht="48" hidden="false" customHeight="true" outlineLevel="0" collapsed="false">
      <c r="A704" s="1" t="s">
        <v>45</v>
      </c>
      <c r="B704" s="1" t="s">
        <v>2097</v>
      </c>
      <c r="C704" s="1" t="s">
        <v>66</v>
      </c>
      <c r="D704" s="1" t="s">
        <v>762</v>
      </c>
      <c r="E704" s="1" t="n">
        <v>21</v>
      </c>
      <c r="F704" s="1" t="s">
        <v>2628</v>
      </c>
      <c r="G704" s="1" t="s">
        <v>236</v>
      </c>
      <c r="H704" s="1" t="s">
        <v>2629</v>
      </c>
      <c r="I704" s="1" t="s">
        <v>231</v>
      </c>
      <c r="J704" s="1" t="s">
        <v>310</v>
      </c>
      <c r="K704" s="1" t="n">
        <v>29</v>
      </c>
      <c r="L704" s="1" t="n">
        <v>4.6</v>
      </c>
      <c r="M704" s="1" t="n">
        <v>2000</v>
      </c>
      <c r="N704" s="4" t="b">
        <f aca="false">FALSE()</f>
        <v>0</v>
      </c>
      <c r="P704" s="4" t="b">
        <f aca="false">TRUE()</f>
        <v>1</v>
      </c>
      <c r="R704" s="1" t="s">
        <v>2571</v>
      </c>
      <c r="S704" s="1" t="s">
        <v>2630</v>
      </c>
      <c r="T704" s="1" t="s">
        <v>222</v>
      </c>
      <c r="U704" s="1" t="s">
        <v>2102</v>
      </c>
    </row>
    <row r="705" customFormat="false" ht="48" hidden="false" customHeight="true" outlineLevel="0" collapsed="false">
      <c r="A705" s="1" t="s">
        <v>45</v>
      </c>
      <c r="B705" s="1" t="s">
        <v>2097</v>
      </c>
      <c r="C705" s="1" t="s">
        <v>66</v>
      </c>
      <c r="D705" s="1" t="s">
        <v>762</v>
      </c>
      <c r="E705" s="1" t="n">
        <v>22</v>
      </c>
      <c r="F705" s="1" t="s">
        <v>2631</v>
      </c>
      <c r="G705" s="1" t="s">
        <v>236</v>
      </c>
      <c r="H705" s="1" t="s">
        <v>2632</v>
      </c>
      <c r="I705" s="1" t="s">
        <v>2333</v>
      </c>
      <c r="J705" s="1" t="s">
        <v>371</v>
      </c>
      <c r="L705" s="1" t="n">
        <v>5</v>
      </c>
      <c r="M705" s="1" t="n">
        <v>3</v>
      </c>
      <c r="N705" s="4" t="b">
        <f aca="false">FALSE()</f>
        <v>0</v>
      </c>
      <c r="P705" s="4" t="b">
        <f aca="false">TRUE()</f>
        <v>1</v>
      </c>
      <c r="R705" s="1" t="s">
        <v>2571</v>
      </c>
      <c r="S705" s="1" t="s">
        <v>2633</v>
      </c>
      <c r="T705" s="1" t="s">
        <v>222</v>
      </c>
      <c r="U705" s="1" t="s">
        <v>2102</v>
      </c>
    </row>
    <row r="706" customFormat="false" ht="48" hidden="false" customHeight="true" outlineLevel="0" collapsed="false">
      <c r="A706" s="1" t="s">
        <v>45</v>
      </c>
      <c r="B706" s="1" t="s">
        <v>2097</v>
      </c>
      <c r="C706" s="1" t="s">
        <v>66</v>
      </c>
      <c r="D706" s="1" t="s">
        <v>762</v>
      </c>
      <c r="E706" s="1" t="n">
        <v>23</v>
      </c>
      <c r="F706" s="1" t="s">
        <v>2634</v>
      </c>
      <c r="G706" s="1" t="s">
        <v>919</v>
      </c>
      <c r="H706" s="1" t="s">
        <v>2635</v>
      </c>
      <c r="I706" s="1" t="s">
        <v>231</v>
      </c>
      <c r="J706" s="1" t="s">
        <v>310</v>
      </c>
      <c r="K706" s="1" t="n">
        <v>24.02</v>
      </c>
      <c r="L706" s="1" t="n">
        <v>4.6</v>
      </c>
      <c r="M706" s="1" t="n">
        <v>1000</v>
      </c>
      <c r="N706" s="4" t="b">
        <f aca="false">FALSE()</f>
        <v>0</v>
      </c>
      <c r="P706" s="4" t="b">
        <f aca="false">TRUE()</f>
        <v>1</v>
      </c>
      <c r="R706" s="1" t="s">
        <v>2571</v>
      </c>
      <c r="S706" s="1" t="s">
        <v>2636</v>
      </c>
      <c r="T706" s="1" t="s">
        <v>222</v>
      </c>
      <c r="U706" s="1" t="s">
        <v>2102</v>
      </c>
    </row>
    <row r="707" customFormat="false" ht="48" hidden="false" customHeight="true" outlineLevel="0" collapsed="false">
      <c r="A707" s="1" t="s">
        <v>45</v>
      </c>
      <c r="B707" s="1" t="s">
        <v>2097</v>
      </c>
      <c r="C707" s="1" t="s">
        <v>66</v>
      </c>
      <c r="D707" s="1" t="s">
        <v>762</v>
      </c>
      <c r="E707" s="1" t="n">
        <v>24</v>
      </c>
      <c r="F707" s="1" t="s">
        <v>2637</v>
      </c>
      <c r="G707" s="1" t="s">
        <v>2252</v>
      </c>
      <c r="H707" s="1" t="s">
        <v>2638</v>
      </c>
      <c r="I707" s="1" t="s">
        <v>402</v>
      </c>
      <c r="J707" s="1" t="s">
        <v>371</v>
      </c>
      <c r="L707" s="1" t="n">
        <v>4.4</v>
      </c>
      <c r="M707" s="1" t="n">
        <v>359</v>
      </c>
      <c r="N707" s="4" t="b">
        <f aca="false">FALSE()</f>
        <v>0</v>
      </c>
      <c r="P707" s="4" t="b">
        <f aca="false">TRUE()</f>
        <v>1</v>
      </c>
      <c r="R707" s="1" t="s">
        <v>2571</v>
      </c>
      <c r="S707" s="1" t="s">
        <v>2639</v>
      </c>
      <c r="T707" s="1" t="s">
        <v>222</v>
      </c>
      <c r="U707" s="1" t="s">
        <v>2102</v>
      </c>
    </row>
    <row r="708" customFormat="false" ht="48" hidden="false" customHeight="true" outlineLevel="0" collapsed="false">
      <c r="A708" s="1" t="s">
        <v>45</v>
      </c>
      <c r="B708" s="1" t="s">
        <v>2097</v>
      </c>
      <c r="C708" s="1" t="s">
        <v>66</v>
      </c>
      <c r="D708" s="1" t="s">
        <v>762</v>
      </c>
      <c r="E708" s="1" t="n">
        <v>25</v>
      </c>
      <c r="F708" s="1" t="s">
        <v>2640</v>
      </c>
      <c r="G708" s="1" t="s">
        <v>236</v>
      </c>
      <c r="H708" s="1" t="s">
        <v>2641</v>
      </c>
      <c r="I708" s="1" t="s">
        <v>2333</v>
      </c>
      <c r="J708" s="1" t="s">
        <v>597</v>
      </c>
      <c r="L708" s="1" t="n">
        <v>4.3</v>
      </c>
      <c r="M708" s="1" t="n">
        <v>954</v>
      </c>
      <c r="N708" s="4" t="b">
        <f aca="false">FALSE()</f>
        <v>0</v>
      </c>
      <c r="P708" s="4" t="b">
        <f aca="false">TRUE()</f>
        <v>1</v>
      </c>
      <c r="R708" s="1" t="s">
        <v>2571</v>
      </c>
      <c r="S708" s="1" t="s">
        <v>2642</v>
      </c>
      <c r="T708" s="1" t="s">
        <v>222</v>
      </c>
      <c r="U708" s="1" t="s">
        <v>2102</v>
      </c>
    </row>
    <row r="709" customFormat="false" ht="48" hidden="false" customHeight="true" outlineLevel="0" collapsed="false">
      <c r="A709" s="1" t="s">
        <v>45</v>
      </c>
      <c r="B709" s="1" t="s">
        <v>2097</v>
      </c>
      <c r="C709" s="1" t="s">
        <v>66</v>
      </c>
      <c r="D709" s="1" t="s">
        <v>762</v>
      </c>
      <c r="E709" s="1" t="n">
        <v>26</v>
      </c>
      <c r="F709" s="1" t="s">
        <v>2643</v>
      </c>
      <c r="G709" s="1" t="s">
        <v>236</v>
      </c>
      <c r="H709" s="1" t="s">
        <v>2644</v>
      </c>
      <c r="I709" s="1" t="s">
        <v>2333</v>
      </c>
      <c r="J709" s="1" t="s">
        <v>597</v>
      </c>
      <c r="K709" s="1" t="n">
        <v>11.11</v>
      </c>
      <c r="L709" s="1" t="n">
        <v>4.3</v>
      </c>
      <c r="M709" s="1" t="n">
        <v>815</v>
      </c>
      <c r="N709" s="4" t="b">
        <f aca="false">FALSE()</f>
        <v>0</v>
      </c>
      <c r="P709" s="4" t="b">
        <f aca="false">TRUE()</f>
        <v>1</v>
      </c>
      <c r="R709" s="1" t="s">
        <v>2571</v>
      </c>
      <c r="S709" s="1" t="s">
        <v>2645</v>
      </c>
      <c r="T709" s="1" t="s">
        <v>222</v>
      </c>
      <c r="U709" s="1" t="s">
        <v>2102</v>
      </c>
    </row>
    <row r="710" customFormat="false" ht="48" hidden="false" customHeight="true" outlineLevel="0" collapsed="false">
      <c r="A710" s="1" t="s">
        <v>45</v>
      </c>
      <c r="B710" s="1" t="s">
        <v>2097</v>
      </c>
      <c r="C710" s="1" t="s">
        <v>66</v>
      </c>
      <c r="D710" s="1" t="s">
        <v>762</v>
      </c>
      <c r="E710" s="1" t="n">
        <v>27</v>
      </c>
      <c r="F710" s="1" t="s">
        <v>2646</v>
      </c>
      <c r="G710" s="1" t="s">
        <v>2405</v>
      </c>
      <c r="H710" s="1" t="s">
        <v>2647</v>
      </c>
      <c r="I710" s="1" t="s">
        <v>231</v>
      </c>
      <c r="J710" s="1" t="s">
        <v>597</v>
      </c>
      <c r="L710" s="1" t="n">
        <v>4.5</v>
      </c>
      <c r="M710" s="1" t="n">
        <v>1300</v>
      </c>
      <c r="N710" s="4" t="b">
        <f aca="false">FALSE()</f>
        <v>0</v>
      </c>
      <c r="P710" s="4" t="b">
        <f aca="false">TRUE()</f>
        <v>1</v>
      </c>
      <c r="Q710" s="1" t="s">
        <v>251</v>
      </c>
      <c r="R710" s="1" t="s">
        <v>2571</v>
      </c>
      <c r="S710" s="1" t="s">
        <v>2648</v>
      </c>
      <c r="T710" s="1" t="s">
        <v>222</v>
      </c>
      <c r="U710" s="1" t="s">
        <v>2102</v>
      </c>
    </row>
    <row r="711" customFormat="false" ht="48" hidden="false" customHeight="true" outlineLevel="0" collapsed="false">
      <c r="A711" s="1" t="s">
        <v>45</v>
      </c>
      <c r="B711" s="1" t="s">
        <v>2097</v>
      </c>
      <c r="C711" s="1" t="s">
        <v>66</v>
      </c>
      <c r="D711" s="1" t="s">
        <v>762</v>
      </c>
      <c r="E711" s="1" t="n">
        <v>28</v>
      </c>
      <c r="F711" s="1" t="s">
        <v>2649</v>
      </c>
      <c r="G711" s="1" t="s">
        <v>236</v>
      </c>
      <c r="H711" s="1" t="s">
        <v>2650</v>
      </c>
      <c r="I711" s="1" t="s">
        <v>231</v>
      </c>
      <c r="J711" s="1" t="s">
        <v>310</v>
      </c>
      <c r="K711" s="1" t="n">
        <v>25.68</v>
      </c>
      <c r="L711" s="1" t="n">
        <v>4.4</v>
      </c>
      <c r="M711" s="1" t="n">
        <v>318</v>
      </c>
      <c r="N711" s="4" t="b">
        <f aca="false">FALSE()</f>
        <v>0</v>
      </c>
      <c r="P711" s="4" t="b">
        <f aca="false">TRUE()</f>
        <v>1</v>
      </c>
      <c r="R711" s="1" t="s">
        <v>2571</v>
      </c>
      <c r="S711" s="1" t="s">
        <v>2651</v>
      </c>
      <c r="T711" s="1" t="s">
        <v>222</v>
      </c>
      <c r="U711" s="1" t="s">
        <v>2102</v>
      </c>
    </row>
    <row r="712" customFormat="false" ht="48" hidden="false" customHeight="true" outlineLevel="0" collapsed="false">
      <c r="A712" s="1" t="s">
        <v>45</v>
      </c>
      <c r="B712" s="1" t="s">
        <v>2097</v>
      </c>
      <c r="C712" s="1" t="s">
        <v>66</v>
      </c>
      <c r="D712" s="1" t="s">
        <v>762</v>
      </c>
      <c r="E712" s="1" t="n">
        <v>29</v>
      </c>
      <c r="F712" s="1" t="s">
        <v>2652</v>
      </c>
      <c r="G712" s="1" t="s">
        <v>2252</v>
      </c>
      <c r="H712" s="1" t="s">
        <v>2653</v>
      </c>
      <c r="I712" s="1" t="s">
        <v>402</v>
      </c>
      <c r="J712" s="1" t="s">
        <v>371</v>
      </c>
      <c r="L712" s="1" t="n">
        <v>4.6</v>
      </c>
      <c r="M712" s="1" t="n">
        <v>45</v>
      </c>
      <c r="N712" s="4" t="b">
        <f aca="false">FALSE()</f>
        <v>0</v>
      </c>
      <c r="P712" s="4" t="b">
        <f aca="false">TRUE()</f>
        <v>1</v>
      </c>
      <c r="R712" s="1" t="s">
        <v>2571</v>
      </c>
      <c r="S712" s="1" t="s">
        <v>2654</v>
      </c>
      <c r="T712" s="1" t="s">
        <v>222</v>
      </c>
      <c r="U712" s="1" t="s">
        <v>2102</v>
      </c>
    </row>
    <row r="713" customFormat="false" ht="48" hidden="false" customHeight="true" outlineLevel="0" collapsed="false">
      <c r="A713" s="1" t="s">
        <v>45</v>
      </c>
      <c r="B713" s="1" t="s">
        <v>2097</v>
      </c>
      <c r="C713" s="1" t="s">
        <v>66</v>
      </c>
      <c r="D713" s="1" t="s">
        <v>762</v>
      </c>
      <c r="E713" s="1" t="n">
        <v>30</v>
      </c>
      <c r="F713" s="1" t="s">
        <v>2655</v>
      </c>
      <c r="G713" s="1" t="s">
        <v>2405</v>
      </c>
      <c r="H713" s="1" t="s">
        <v>2656</v>
      </c>
      <c r="I713" s="1" t="s">
        <v>402</v>
      </c>
      <c r="J713" s="1" t="s">
        <v>597</v>
      </c>
      <c r="L713" s="1" t="n">
        <v>4.3</v>
      </c>
      <c r="M713" s="1" t="n">
        <v>8400</v>
      </c>
      <c r="N713" s="4" t="b">
        <f aca="false">FALSE()</f>
        <v>0</v>
      </c>
      <c r="P713" s="4" t="b">
        <f aca="false">TRUE()</f>
        <v>1</v>
      </c>
      <c r="Q713" s="1" t="s">
        <v>418</v>
      </c>
      <c r="R713" s="1" t="s">
        <v>2571</v>
      </c>
      <c r="S713" s="1" t="s">
        <v>2657</v>
      </c>
      <c r="T713" s="1" t="s">
        <v>222</v>
      </c>
      <c r="U713" s="1" t="s">
        <v>2102</v>
      </c>
    </row>
    <row r="714" customFormat="false" ht="48" hidden="false" customHeight="true" outlineLevel="0" collapsed="false">
      <c r="A714" s="1" t="s">
        <v>45</v>
      </c>
      <c r="B714" s="1" t="s">
        <v>2097</v>
      </c>
      <c r="C714" s="1" t="s">
        <v>66</v>
      </c>
      <c r="D714" s="1" t="s">
        <v>762</v>
      </c>
      <c r="E714" s="1" t="n">
        <v>31</v>
      </c>
      <c r="F714" s="1" t="s">
        <v>2658</v>
      </c>
      <c r="G714" s="1" t="s">
        <v>919</v>
      </c>
      <c r="H714" s="1" t="s">
        <v>2659</v>
      </c>
      <c r="I714" s="1" t="s">
        <v>378</v>
      </c>
      <c r="J714" s="1" t="s">
        <v>310</v>
      </c>
      <c r="K714" s="1" t="n">
        <v>30.05</v>
      </c>
      <c r="L714" s="1" t="n">
        <v>4.5</v>
      </c>
      <c r="M714" s="1" t="n">
        <v>42000</v>
      </c>
      <c r="N714" s="4" t="b">
        <f aca="false">FALSE()</f>
        <v>0</v>
      </c>
      <c r="P714" s="4" t="b">
        <f aca="false">TRUE()</f>
        <v>1</v>
      </c>
      <c r="R714" s="1" t="s">
        <v>2571</v>
      </c>
      <c r="S714" s="1" t="s">
        <v>2660</v>
      </c>
      <c r="T714" s="1" t="s">
        <v>222</v>
      </c>
      <c r="U714" s="1" t="s">
        <v>2102</v>
      </c>
    </row>
    <row r="715" customFormat="false" ht="48" hidden="false" customHeight="true" outlineLevel="0" collapsed="false">
      <c r="A715" s="1" t="s">
        <v>45</v>
      </c>
      <c r="B715" s="1" t="s">
        <v>2097</v>
      </c>
      <c r="C715" s="1" t="s">
        <v>66</v>
      </c>
      <c r="D715" s="1" t="s">
        <v>762</v>
      </c>
      <c r="E715" s="1" t="n">
        <v>32</v>
      </c>
      <c r="F715" s="1" t="s">
        <v>2661</v>
      </c>
      <c r="G715" s="1" t="s">
        <v>774</v>
      </c>
      <c r="H715" s="1" t="s">
        <v>2662</v>
      </c>
      <c r="I715" s="1" t="s">
        <v>218</v>
      </c>
      <c r="J715" s="1" t="s">
        <v>371</v>
      </c>
      <c r="L715" s="1" t="n">
        <v>4.6</v>
      </c>
      <c r="M715" s="1" t="n">
        <v>16500</v>
      </c>
      <c r="N715" s="4" t="b">
        <f aca="false">FALSE()</f>
        <v>0</v>
      </c>
      <c r="P715" s="4" t="b">
        <f aca="false">TRUE()</f>
        <v>1</v>
      </c>
      <c r="Q715" s="1" t="s">
        <v>251</v>
      </c>
      <c r="R715" s="1" t="s">
        <v>2571</v>
      </c>
      <c r="S715" s="1" t="s">
        <v>2663</v>
      </c>
      <c r="T715" s="1" t="s">
        <v>222</v>
      </c>
      <c r="U715" s="1" t="s">
        <v>2102</v>
      </c>
    </row>
    <row r="716" customFormat="false" ht="48" hidden="false" customHeight="true" outlineLevel="0" collapsed="false">
      <c r="A716" s="1" t="s">
        <v>45</v>
      </c>
      <c r="B716" s="1" t="s">
        <v>2097</v>
      </c>
      <c r="C716" s="1" t="s">
        <v>66</v>
      </c>
      <c r="D716" s="1" t="s">
        <v>762</v>
      </c>
      <c r="E716" s="1" t="n">
        <v>33</v>
      </c>
      <c r="F716" s="1" t="s">
        <v>2664</v>
      </c>
      <c r="G716" s="1" t="s">
        <v>236</v>
      </c>
      <c r="H716" s="1" t="s">
        <v>2665</v>
      </c>
      <c r="I716" s="1" t="s">
        <v>2323</v>
      </c>
      <c r="J716" s="1" t="s">
        <v>371</v>
      </c>
      <c r="L716" s="1" t="n">
        <v>4.5</v>
      </c>
      <c r="M716" s="1" t="n">
        <v>712</v>
      </c>
      <c r="N716" s="4" t="b">
        <f aca="false">FALSE()</f>
        <v>0</v>
      </c>
      <c r="P716" s="4" t="b">
        <f aca="false">TRUE()</f>
        <v>1</v>
      </c>
      <c r="Q716" s="1" t="s">
        <v>251</v>
      </c>
      <c r="R716" s="1" t="s">
        <v>2571</v>
      </c>
      <c r="S716" s="1" t="s">
        <v>2666</v>
      </c>
      <c r="T716" s="1" t="s">
        <v>222</v>
      </c>
      <c r="U716" s="1" t="s">
        <v>2102</v>
      </c>
    </row>
    <row r="717" customFormat="false" ht="48" hidden="false" customHeight="true" outlineLevel="0" collapsed="false">
      <c r="A717" s="1" t="s">
        <v>45</v>
      </c>
      <c r="B717" s="1" t="s">
        <v>2097</v>
      </c>
      <c r="C717" s="1" t="s">
        <v>66</v>
      </c>
      <c r="D717" s="1" t="s">
        <v>762</v>
      </c>
      <c r="E717" s="1" t="n">
        <v>34</v>
      </c>
      <c r="F717" s="1" t="s">
        <v>2667</v>
      </c>
      <c r="G717" s="1" t="s">
        <v>236</v>
      </c>
      <c r="H717" s="1" t="s">
        <v>2668</v>
      </c>
      <c r="I717" s="1" t="s">
        <v>402</v>
      </c>
      <c r="J717" s="1" t="s">
        <v>371</v>
      </c>
      <c r="L717" s="1" t="n">
        <v>4.4</v>
      </c>
      <c r="M717" s="1" t="n">
        <v>1200</v>
      </c>
      <c r="N717" s="4" t="b">
        <f aca="false">FALSE()</f>
        <v>0</v>
      </c>
      <c r="P717" s="4" t="b">
        <f aca="false">TRUE()</f>
        <v>1</v>
      </c>
      <c r="Q717" s="1" t="s">
        <v>233</v>
      </c>
      <c r="R717" s="1" t="s">
        <v>2571</v>
      </c>
      <c r="S717" s="1" t="s">
        <v>2669</v>
      </c>
      <c r="T717" s="1" t="s">
        <v>222</v>
      </c>
      <c r="U717" s="1" t="s">
        <v>2102</v>
      </c>
    </row>
    <row r="718" customFormat="false" ht="48" hidden="false" customHeight="true" outlineLevel="0" collapsed="false">
      <c r="A718" s="1" t="s">
        <v>45</v>
      </c>
      <c r="B718" s="1" t="s">
        <v>2097</v>
      </c>
      <c r="C718" s="1" t="s">
        <v>66</v>
      </c>
      <c r="D718" s="1" t="s">
        <v>762</v>
      </c>
      <c r="E718" s="1" t="n">
        <v>35</v>
      </c>
      <c r="F718" s="1" t="s">
        <v>2670</v>
      </c>
      <c r="G718" s="1" t="s">
        <v>236</v>
      </c>
      <c r="H718" s="1" t="s">
        <v>2671</v>
      </c>
      <c r="I718" s="1" t="s">
        <v>2323</v>
      </c>
      <c r="J718" s="1" t="s">
        <v>310</v>
      </c>
      <c r="L718" s="1" t="n">
        <v>4.7</v>
      </c>
      <c r="M718" s="1" t="n">
        <v>144</v>
      </c>
      <c r="N718" s="4" t="b">
        <f aca="false">FALSE()</f>
        <v>0</v>
      </c>
      <c r="P718" s="4" t="b">
        <f aca="false">TRUE()</f>
        <v>1</v>
      </c>
      <c r="R718" s="1" t="s">
        <v>2571</v>
      </c>
      <c r="S718" s="1" t="s">
        <v>2672</v>
      </c>
      <c r="T718" s="1" t="s">
        <v>222</v>
      </c>
      <c r="U718" s="1" t="s">
        <v>2102</v>
      </c>
    </row>
    <row r="719" customFormat="false" ht="48" hidden="false" customHeight="true" outlineLevel="0" collapsed="false">
      <c r="A719" s="1" t="s">
        <v>45</v>
      </c>
      <c r="B719" s="1" t="s">
        <v>2097</v>
      </c>
      <c r="C719" s="1" t="s">
        <v>66</v>
      </c>
      <c r="D719" s="1" t="s">
        <v>762</v>
      </c>
      <c r="E719" s="1" t="n">
        <v>36</v>
      </c>
      <c r="F719" s="1" t="s">
        <v>2673</v>
      </c>
      <c r="G719" s="1" t="s">
        <v>2405</v>
      </c>
      <c r="H719" s="1" t="s">
        <v>2674</v>
      </c>
      <c r="I719" s="1" t="s">
        <v>402</v>
      </c>
      <c r="J719" s="1" t="s">
        <v>597</v>
      </c>
      <c r="L719" s="1" t="n">
        <v>4.5</v>
      </c>
      <c r="M719" s="1" t="n">
        <v>775</v>
      </c>
      <c r="N719" s="4" t="b">
        <f aca="false">FALSE()</f>
        <v>0</v>
      </c>
      <c r="P719" s="4" t="b">
        <f aca="false">TRUE()</f>
        <v>1</v>
      </c>
      <c r="Q719" s="1" t="s">
        <v>451</v>
      </c>
      <c r="R719" s="1" t="s">
        <v>2571</v>
      </c>
      <c r="S719" s="1" t="s">
        <v>2675</v>
      </c>
      <c r="T719" s="1" t="s">
        <v>222</v>
      </c>
      <c r="U719" s="1" t="s">
        <v>2102</v>
      </c>
    </row>
    <row r="720" customFormat="false" ht="48" hidden="false" customHeight="true" outlineLevel="0" collapsed="false">
      <c r="A720" s="1" t="s">
        <v>45</v>
      </c>
      <c r="B720" s="1" t="s">
        <v>2097</v>
      </c>
      <c r="C720" s="1" t="s">
        <v>66</v>
      </c>
      <c r="D720" s="1" t="s">
        <v>762</v>
      </c>
      <c r="E720" s="1" t="n">
        <v>37</v>
      </c>
      <c r="F720" s="1" t="s">
        <v>2676</v>
      </c>
      <c r="G720" s="1" t="s">
        <v>236</v>
      </c>
      <c r="H720" s="1" t="s">
        <v>2677</v>
      </c>
      <c r="I720" s="1" t="s">
        <v>2323</v>
      </c>
      <c r="J720" s="1" t="s">
        <v>310</v>
      </c>
      <c r="K720" s="1" t="n">
        <v>8.79</v>
      </c>
      <c r="L720" s="1" t="n">
        <v>4.5</v>
      </c>
      <c r="M720" s="1" t="n">
        <v>1300</v>
      </c>
      <c r="N720" s="4" t="b">
        <f aca="false">FALSE()</f>
        <v>0</v>
      </c>
      <c r="O720" s="1" t="s">
        <v>2257</v>
      </c>
      <c r="P720" s="4" t="b">
        <f aca="false">TRUE()</f>
        <v>1</v>
      </c>
      <c r="R720" s="1" t="s">
        <v>2571</v>
      </c>
      <c r="S720" s="1" t="s">
        <v>2678</v>
      </c>
      <c r="T720" s="1" t="s">
        <v>222</v>
      </c>
      <c r="U720" s="1" t="s">
        <v>2102</v>
      </c>
    </row>
    <row r="721" customFormat="false" ht="48" hidden="false" customHeight="true" outlineLevel="0" collapsed="false">
      <c r="A721" s="1" t="s">
        <v>45</v>
      </c>
      <c r="B721" s="1" t="s">
        <v>2097</v>
      </c>
      <c r="C721" s="1" t="s">
        <v>66</v>
      </c>
      <c r="D721" s="1" t="s">
        <v>762</v>
      </c>
      <c r="E721" s="1" t="n">
        <v>38</v>
      </c>
      <c r="F721" s="1" t="s">
        <v>2679</v>
      </c>
      <c r="G721" s="1" t="s">
        <v>236</v>
      </c>
      <c r="H721" s="1" t="s">
        <v>2680</v>
      </c>
      <c r="I721" s="1" t="s">
        <v>306</v>
      </c>
      <c r="J721" s="1" t="s">
        <v>597</v>
      </c>
      <c r="K721" s="1" t="n">
        <v>21.8</v>
      </c>
      <c r="L721" s="1" t="n">
        <v>4.3</v>
      </c>
      <c r="M721" s="1" t="n">
        <v>1600</v>
      </c>
      <c r="N721" s="4" t="b">
        <f aca="false">FALSE()</f>
        <v>0</v>
      </c>
      <c r="P721" s="4" t="b">
        <f aca="false">TRUE()</f>
        <v>1</v>
      </c>
      <c r="R721" s="1" t="s">
        <v>2571</v>
      </c>
      <c r="S721" s="1" t="s">
        <v>2681</v>
      </c>
      <c r="T721" s="1" t="s">
        <v>222</v>
      </c>
      <c r="U721" s="1" t="s">
        <v>2102</v>
      </c>
    </row>
    <row r="722" customFormat="false" ht="48" hidden="false" customHeight="true" outlineLevel="0" collapsed="false">
      <c r="A722" s="1" t="s">
        <v>45</v>
      </c>
      <c r="B722" s="1" t="s">
        <v>2097</v>
      </c>
      <c r="C722" s="1" t="s">
        <v>66</v>
      </c>
      <c r="D722" s="1" t="s">
        <v>762</v>
      </c>
      <c r="E722" s="1" t="n">
        <v>39</v>
      </c>
      <c r="F722" s="1" t="s">
        <v>2682</v>
      </c>
      <c r="G722" s="1" t="s">
        <v>236</v>
      </c>
      <c r="H722" s="1" t="s">
        <v>2683</v>
      </c>
      <c r="I722" s="1" t="s">
        <v>2323</v>
      </c>
      <c r="J722" s="1" t="s">
        <v>310</v>
      </c>
      <c r="K722" s="1" t="n">
        <v>8.48</v>
      </c>
      <c r="L722" s="1" t="n">
        <v>4.5</v>
      </c>
      <c r="M722" s="1" t="n">
        <v>1600</v>
      </c>
      <c r="N722" s="4" t="b">
        <f aca="false">FALSE()</f>
        <v>0</v>
      </c>
      <c r="O722" s="1" t="s">
        <v>2257</v>
      </c>
      <c r="P722" s="4" t="b">
        <f aca="false">TRUE()</f>
        <v>1</v>
      </c>
      <c r="R722" s="1" t="s">
        <v>2571</v>
      </c>
      <c r="S722" s="1" t="s">
        <v>2684</v>
      </c>
      <c r="T722" s="1" t="s">
        <v>222</v>
      </c>
      <c r="U722" s="1" t="s">
        <v>2102</v>
      </c>
    </row>
    <row r="723" customFormat="false" ht="48" hidden="false" customHeight="true" outlineLevel="0" collapsed="false">
      <c r="A723" s="1" t="s">
        <v>45</v>
      </c>
      <c r="B723" s="1" t="s">
        <v>2097</v>
      </c>
      <c r="C723" s="1" t="s">
        <v>66</v>
      </c>
      <c r="D723" s="1" t="s">
        <v>762</v>
      </c>
      <c r="E723" s="1" t="n">
        <v>40</v>
      </c>
      <c r="F723" s="1" t="s">
        <v>2685</v>
      </c>
      <c r="G723" s="1" t="s">
        <v>236</v>
      </c>
      <c r="H723" s="1" t="s">
        <v>2686</v>
      </c>
      <c r="I723" s="1" t="s">
        <v>402</v>
      </c>
      <c r="J723" s="1" t="s">
        <v>597</v>
      </c>
      <c r="L723" s="1" t="n">
        <v>4.5</v>
      </c>
      <c r="M723" s="1" t="n">
        <v>186</v>
      </c>
      <c r="N723" s="4" t="b">
        <f aca="false">FALSE()</f>
        <v>0</v>
      </c>
      <c r="P723" s="4" t="b">
        <f aca="false">TRUE()</f>
        <v>1</v>
      </c>
      <c r="Q723" s="1" t="s">
        <v>251</v>
      </c>
      <c r="R723" s="1" t="s">
        <v>2571</v>
      </c>
      <c r="S723" s="1" t="s">
        <v>2687</v>
      </c>
      <c r="T723" s="1" t="s">
        <v>222</v>
      </c>
      <c r="U723" s="1" t="s">
        <v>2102</v>
      </c>
    </row>
    <row r="724" customFormat="false" ht="48" hidden="false" customHeight="true" outlineLevel="0" collapsed="false">
      <c r="A724" s="1" t="s">
        <v>45</v>
      </c>
      <c r="B724" s="1" t="s">
        <v>2097</v>
      </c>
      <c r="C724" s="1" t="s">
        <v>66</v>
      </c>
      <c r="D724" s="1" t="s">
        <v>762</v>
      </c>
      <c r="E724" s="1" t="n">
        <v>41</v>
      </c>
      <c r="F724" s="1" t="s">
        <v>2688</v>
      </c>
      <c r="G724" s="1" t="s">
        <v>236</v>
      </c>
      <c r="H724" s="1" t="s">
        <v>2689</v>
      </c>
      <c r="I724" s="1" t="s">
        <v>231</v>
      </c>
      <c r="J724" s="1" t="s">
        <v>597</v>
      </c>
      <c r="L724" s="1" t="n">
        <v>4</v>
      </c>
      <c r="M724" s="1" t="n">
        <v>656</v>
      </c>
      <c r="N724" s="4" t="b">
        <f aca="false">FALSE()</f>
        <v>0</v>
      </c>
      <c r="P724" s="4" t="b">
        <f aca="false">TRUE()</f>
        <v>1</v>
      </c>
      <c r="R724" s="1" t="s">
        <v>2571</v>
      </c>
      <c r="S724" s="1" t="s">
        <v>2690</v>
      </c>
      <c r="T724" s="1" t="s">
        <v>222</v>
      </c>
      <c r="U724" s="1" t="s">
        <v>2102</v>
      </c>
    </row>
    <row r="725" customFormat="false" ht="48" hidden="false" customHeight="true" outlineLevel="0" collapsed="false">
      <c r="A725" s="1" t="s">
        <v>45</v>
      </c>
      <c r="B725" s="1" t="s">
        <v>2097</v>
      </c>
      <c r="C725" s="1" t="s">
        <v>66</v>
      </c>
      <c r="D725" s="1" t="s">
        <v>762</v>
      </c>
      <c r="E725" s="1" t="n">
        <v>42</v>
      </c>
      <c r="F725" s="1" t="s">
        <v>2691</v>
      </c>
      <c r="G725" s="1" t="s">
        <v>2246</v>
      </c>
      <c r="H725" s="1" t="s">
        <v>2692</v>
      </c>
      <c r="I725" s="1" t="s">
        <v>402</v>
      </c>
      <c r="J725" s="1" t="s">
        <v>597</v>
      </c>
      <c r="K725" s="1" t="n">
        <v>7.26</v>
      </c>
      <c r="L725" s="1" t="n">
        <v>4.4</v>
      </c>
      <c r="M725" s="1" t="n">
        <v>3000</v>
      </c>
      <c r="N725" s="4" t="b">
        <f aca="false">FALSE()</f>
        <v>0</v>
      </c>
      <c r="O725" s="1" t="s">
        <v>2257</v>
      </c>
      <c r="P725" s="4" t="b">
        <f aca="false">TRUE()</f>
        <v>1</v>
      </c>
      <c r="Q725" s="1" t="s">
        <v>251</v>
      </c>
      <c r="R725" s="1" t="s">
        <v>2571</v>
      </c>
      <c r="S725" s="1" t="s">
        <v>2693</v>
      </c>
      <c r="T725" s="1" t="s">
        <v>222</v>
      </c>
      <c r="U725" s="1" t="s">
        <v>2102</v>
      </c>
    </row>
    <row r="726" customFormat="false" ht="48" hidden="false" customHeight="true" outlineLevel="0" collapsed="false">
      <c r="A726" s="1" t="s">
        <v>45</v>
      </c>
      <c r="B726" s="1" t="s">
        <v>2097</v>
      </c>
      <c r="C726" s="1" t="s">
        <v>66</v>
      </c>
      <c r="D726" s="1" t="s">
        <v>762</v>
      </c>
      <c r="E726" s="1" t="n">
        <v>43</v>
      </c>
      <c r="F726" s="1" t="s">
        <v>2694</v>
      </c>
      <c r="G726" s="1" t="s">
        <v>236</v>
      </c>
      <c r="H726" s="1" t="s">
        <v>2695</v>
      </c>
      <c r="I726" s="1" t="s">
        <v>231</v>
      </c>
      <c r="J726" s="1" t="s">
        <v>597</v>
      </c>
      <c r="K726" s="1" t="n">
        <v>19.89</v>
      </c>
      <c r="L726" s="1" t="n">
        <v>5</v>
      </c>
      <c r="M726" s="1" t="n">
        <v>3</v>
      </c>
      <c r="N726" s="4" t="b">
        <f aca="false">FALSE()</f>
        <v>0</v>
      </c>
      <c r="O726" s="1" t="s">
        <v>2696</v>
      </c>
      <c r="P726" s="4" t="b">
        <f aca="false">TRUE()</f>
        <v>1</v>
      </c>
      <c r="Q726" s="1" t="s">
        <v>251</v>
      </c>
      <c r="R726" s="1" t="s">
        <v>2571</v>
      </c>
      <c r="S726" s="1" t="s">
        <v>2697</v>
      </c>
      <c r="T726" s="1" t="s">
        <v>222</v>
      </c>
      <c r="U726" s="1" t="s">
        <v>2102</v>
      </c>
    </row>
    <row r="727" customFormat="false" ht="48" hidden="false" customHeight="true" outlineLevel="0" collapsed="false">
      <c r="A727" s="1" t="s">
        <v>45</v>
      </c>
      <c r="B727" s="1" t="s">
        <v>2097</v>
      </c>
      <c r="C727" s="1" t="s">
        <v>66</v>
      </c>
      <c r="D727" s="1" t="s">
        <v>762</v>
      </c>
      <c r="E727" s="1" t="n">
        <v>44</v>
      </c>
      <c r="F727" s="1" t="s">
        <v>2698</v>
      </c>
      <c r="G727" s="1" t="s">
        <v>236</v>
      </c>
      <c r="H727" s="1" t="s">
        <v>2699</v>
      </c>
      <c r="I727" s="1" t="s">
        <v>402</v>
      </c>
      <c r="J727" s="1" t="s">
        <v>371</v>
      </c>
      <c r="L727" s="1" t="n">
        <v>4.4</v>
      </c>
      <c r="M727" s="1" t="n">
        <v>270</v>
      </c>
      <c r="N727" s="4" t="b">
        <f aca="false">FALSE()</f>
        <v>0</v>
      </c>
      <c r="P727" s="4" t="b">
        <f aca="false">TRUE()</f>
        <v>1</v>
      </c>
      <c r="R727" s="1" t="s">
        <v>2571</v>
      </c>
      <c r="S727" s="1" t="s">
        <v>2700</v>
      </c>
      <c r="T727" s="1" t="s">
        <v>222</v>
      </c>
      <c r="U727" s="1" t="s">
        <v>2102</v>
      </c>
    </row>
    <row r="728" customFormat="false" ht="48" hidden="false" customHeight="true" outlineLevel="0" collapsed="false">
      <c r="A728" s="1" t="s">
        <v>45</v>
      </c>
      <c r="B728" s="1" t="s">
        <v>2097</v>
      </c>
      <c r="C728" s="1" t="s">
        <v>66</v>
      </c>
      <c r="D728" s="1" t="s">
        <v>762</v>
      </c>
      <c r="E728" s="1" t="n">
        <v>45</v>
      </c>
      <c r="F728" s="1" t="s">
        <v>2701</v>
      </c>
      <c r="G728" s="1" t="s">
        <v>236</v>
      </c>
      <c r="H728" s="1" t="s">
        <v>2702</v>
      </c>
      <c r="I728" s="1" t="s">
        <v>231</v>
      </c>
      <c r="J728" s="1" t="s">
        <v>310</v>
      </c>
      <c r="L728" s="1" t="n">
        <v>4.2</v>
      </c>
      <c r="M728" s="1" t="n">
        <v>1200</v>
      </c>
      <c r="N728" s="4" t="b">
        <f aca="false">FALSE()</f>
        <v>0</v>
      </c>
      <c r="P728" s="4" t="b">
        <f aca="false">TRUE()</f>
        <v>1</v>
      </c>
      <c r="R728" s="1" t="s">
        <v>2571</v>
      </c>
      <c r="S728" s="1" t="s">
        <v>2703</v>
      </c>
      <c r="T728" s="1" t="s">
        <v>222</v>
      </c>
      <c r="U728" s="1" t="s">
        <v>2102</v>
      </c>
    </row>
    <row r="729" customFormat="false" ht="48" hidden="false" customHeight="true" outlineLevel="0" collapsed="false">
      <c r="A729" s="1" t="s">
        <v>45</v>
      </c>
      <c r="B729" s="1" t="s">
        <v>2097</v>
      </c>
      <c r="C729" s="1" t="s">
        <v>66</v>
      </c>
      <c r="D729" s="1" t="s">
        <v>762</v>
      </c>
      <c r="E729" s="1" t="n">
        <v>46</v>
      </c>
      <c r="F729" s="1" t="s">
        <v>2704</v>
      </c>
      <c r="G729" s="1" t="s">
        <v>236</v>
      </c>
      <c r="H729" s="1" t="s">
        <v>2705</v>
      </c>
      <c r="I729" s="1" t="s">
        <v>402</v>
      </c>
      <c r="J729" s="1" t="s">
        <v>371</v>
      </c>
      <c r="L729" s="1" t="n">
        <v>3</v>
      </c>
      <c r="M729" s="1" t="n">
        <v>4</v>
      </c>
      <c r="N729" s="4" t="b">
        <f aca="false">FALSE()</f>
        <v>0</v>
      </c>
      <c r="P729" s="4" t="b">
        <f aca="false">TRUE()</f>
        <v>1</v>
      </c>
      <c r="R729" s="1" t="s">
        <v>2571</v>
      </c>
      <c r="S729" s="1" t="s">
        <v>2706</v>
      </c>
      <c r="T729" s="1" t="s">
        <v>222</v>
      </c>
      <c r="U729" s="1" t="s">
        <v>2102</v>
      </c>
    </row>
    <row r="730" customFormat="false" ht="48" hidden="false" customHeight="true" outlineLevel="0" collapsed="false">
      <c r="A730" s="1" t="s">
        <v>45</v>
      </c>
      <c r="B730" s="1" t="s">
        <v>2097</v>
      </c>
      <c r="C730" s="1" t="s">
        <v>66</v>
      </c>
      <c r="D730" s="1" t="s">
        <v>762</v>
      </c>
      <c r="E730" s="1" t="n">
        <v>47</v>
      </c>
      <c r="F730" s="1" t="s">
        <v>2707</v>
      </c>
      <c r="G730" s="1" t="s">
        <v>236</v>
      </c>
      <c r="H730" s="1" t="s">
        <v>2708</v>
      </c>
      <c r="I730" s="1" t="s">
        <v>231</v>
      </c>
      <c r="J730" s="1" t="s">
        <v>371</v>
      </c>
      <c r="L730" s="1" t="n">
        <v>4.4</v>
      </c>
      <c r="M730" s="1" t="n">
        <v>1800</v>
      </c>
      <c r="N730" s="4" t="b">
        <f aca="false">FALSE()</f>
        <v>0</v>
      </c>
      <c r="P730" s="4" t="b">
        <f aca="false">TRUE()</f>
        <v>1</v>
      </c>
      <c r="R730" s="1" t="s">
        <v>2571</v>
      </c>
      <c r="S730" s="1" t="s">
        <v>2709</v>
      </c>
      <c r="T730" s="1" t="s">
        <v>222</v>
      </c>
      <c r="U730" s="1" t="s">
        <v>2102</v>
      </c>
    </row>
    <row r="731" customFormat="false" ht="48" hidden="false" customHeight="true" outlineLevel="0" collapsed="false">
      <c r="A731" s="1" t="s">
        <v>45</v>
      </c>
      <c r="B731" s="1" t="s">
        <v>2097</v>
      </c>
      <c r="C731" s="1" t="s">
        <v>66</v>
      </c>
      <c r="D731" s="1" t="s">
        <v>762</v>
      </c>
      <c r="E731" s="1" t="n">
        <v>48</v>
      </c>
      <c r="F731" s="1" t="s">
        <v>2710</v>
      </c>
      <c r="G731" s="1" t="s">
        <v>2405</v>
      </c>
      <c r="H731" s="1" t="s">
        <v>2711</v>
      </c>
      <c r="I731" s="1" t="s">
        <v>402</v>
      </c>
      <c r="J731" s="1" t="s">
        <v>597</v>
      </c>
      <c r="L731" s="1" t="n">
        <v>4.5</v>
      </c>
      <c r="M731" s="1" t="n">
        <v>2000</v>
      </c>
      <c r="N731" s="4" t="b">
        <f aca="false">FALSE()</f>
        <v>0</v>
      </c>
      <c r="P731" s="4" t="b">
        <f aca="false">TRUE()</f>
        <v>1</v>
      </c>
      <c r="Q731" s="1" t="s">
        <v>233</v>
      </c>
      <c r="R731" s="1" t="s">
        <v>2571</v>
      </c>
      <c r="S731" s="1" t="s">
        <v>2712</v>
      </c>
      <c r="T731" s="1" t="s">
        <v>222</v>
      </c>
      <c r="U731" s="1" t="s">
        <v>2102</v>
      </c>
    </row>
    <row r="732" customFormat="false" ht="48" hidden="false" customHeight="true" outlineLevel="0" collapsed="false">
      <c r="A732" s="1" t="s">
        <v>45</v>
      </c>
      <c r="B732" s="1" t="s">
        <v>2097</v>
      </c>
      <c r="C732" s="1" t="s">
        <v>931</v>
      </c>
      <c r="D732" s="1" t="s">
        <v>932</v>
      </c>
      <c r="E732" s="1" t="n">
        <v>1</v>
      </c>
      <c r="F732" s="1" t="s">
        <v>2713</v>
      </c>
      <c r="G732" s="1" t="s">
        <v>2714</v>
      </c>
      <c r="H732" s="1" t="s">
        <v>2715</v>
      </c>
      <c r="I732" s="1" t="s">
        <v>218</v>
      </c>
      <c r="J732" s="1" t="s">
        <v>584</v>
      </c>
      <c r="K732" s="1" t="n">
        <v>37.37</v>
      </c>
      <c r="L732" s="1" t="n">
        <v>4.4</v>
      </c>
      <c r="M732" s="1" t="n">
        <v>452</v>
      </c>
      <c r="N732" s="4" t="b">
        <f aca="false">FALSE()</f>
        <v>0</v>
      </c>
      <c r="P732" s="4" t="b">
        <f aca="false">FALSE()</f>
        <v>0</v>
      </c>
      <c r="R732" s="1" t="s">
        <v>2716</v>
      </c>
      <c r="S732" s="1" t="s">
        <v>2717</v>
      </c>
      <c r="T732" s="1" t="s">
        <v>222</v>
      </c>
      <c r="U732" s="1" t="s">
        <v>2102</v>
      </c>
    </row>
    <row r="733" customFormat="false" ht="48" hidden="false" customHeight="true" outlineLevel="0" collapsed="false">
      <c r="A733" s="1" t="s">
        <v>45</v>
      </c>
      <c r="B733" s="1" t="s">
        <v>2097</v>
      </c>
      <c r="C733" s="1" t="s">
        <v>931</v>
      </c>
      <c r="D733" s="1" t="s">
        <v>932</v>
      </c>
      <c r="E733" s="1" t="n">
        <v>2</v>
      </c>
      <c r="F733" s="1" t="s">
        <v>2718</v>
      </c>
      <c r="G733" s="1" t="s">
        <v>236</v>
      </c>
      <c r="H733" s="1" t="s">
        <v>2719</v>
      </c>
      <c r="I733" s="1" t="s">
        <v>231</v>
      </c>
      <c r="J733" s="1" t="s">
        <v>689</v>
      </c>
      <c r="K733" s="1" t="n">
        <v>113.69</v>
      </c>
      <c r="L733" s="1" t="n">
        <v>4.4</v>
      </c>
      <c r="M733" s="1" t="n">
        <v>1100</v>
      </c>
      <c r="N733" s="4" t="b">
        <f aca="false">FALSE()</f>
        <v>0</v>
      </c>
      <c r="P733" s="4" t="b">
        <f aca="false">FALSE()</f>
        <v>0</v>
      </c>
      <c r="R733" s="1" t="s">
        <v>2716</v>
      </c>
      <c r="S733" s="1" t="s">
        <v>2720</v>
      </c>
      <c r="T733" s="1" t="s">
        <v>222</v>
      </c>
      <c r="U733" s="1" t="s">
        <v>2102</v>
      </c>
    </row>
    <row r="734" customFormat="false" ht="48" hidden="false" customHeight="true" outlineLevel="0" collapsed="false">
      <c r="A734" s="1" t="s">
        <v>45</v>
      </c>
      <c r="B734" s="1" t="s">
        <v>2097</v>
      </c>
      <c r="C734" s="1" t="s">
        <v>931</v>
      </c>
      <c r="D734" s="1" t="s">
        <v>932</v>
      </c>
      <c r="E734" s="1" t="n">
        <v>3</v>
      </c>
      <c r="F734" s="1" t="s">
        <v>2721</v>
      </c>
      <c r="G734" s="1" t="s">
        <v>236</v>
      </c>
      <c r="H734" s="1" t="s">
        <v>2722</v>
      </c>
      <c r="I734" s="1" t="s">
        <v>218</v>
      </c>
      <c r="J734" s="1" t="s">
        <v>689</v>
      </c>
      <c r="K734" s="1" t="n">
        <v>155.66</v>
      </c>
      <c r="L734" s="1" t="n">
        <v>4.4</v>
      </c>
      <c r="M734" s="1" t="n">
        <v>631</v>
      </c>
      <c r="N734" s="4" t="b">
        <f aca="false">FALSE()</f>
        <v>0</v>
      </c>
      <c r="P734" s="4" t="b">
        <f aca="false">TRUE()</f>
        <v>1</v>
      </c>
      <c r="R734" s="1" t="s">
        <v>2716</v>
      </c>
      <c r="S734" s="1" t="s">
        <v>2723</v>
      </c>
      <c r="T734" s="1" t="s">
        <v>222</v>
      </c>
      <c r="U734" s="1" t="s">
        <v>2102</v>
      </c>
    </row>
    <row r="735" customFormat="false" ht="48" hidden="false" customHeight="true" outlineLevel="0" collapsed="false">
      <c r="A735" s="1" t="s">
        <v>45</v>
      </c>
      <c r="B735" s="1" t="s">
        <v>2097</v>
      </c>
      <c r="C735" s="1" t="s">
        <v>931</v>
      </c>
      <c r="D735" s="1" t="s">
        <v>932</v>
      </c>
      <c r="E735" s="1" t="n">
        <v>4</v>
      </c>
      <c r="F735" s="1" t="s">
        <v>2724</v>
      </c>
      <c r="G735" s="1" t="s">
        <v>1023</v>
      </c>
      <c r="H735" s="1" t="s">
        <v>2725</v>
      </c>
      <c r="I735" s="1" t="s">
        <v>218</v>
      </c>
      <c r="J735" s="1" t="s">
        <v>689</v>
      </c>
      <c r="K735" s="1" t="n">
        <v>166.23</v>
      </c>
      <c r="L735" s="1" t="n">
        <v>4.3</v>
      </c>
      <c r="M735" s="1" t="n">
        <v>3800</v>
      </c>
      <c r="N735" s="4" t="b">
        <f aca="false">FALSE()</f>
        <v>0</v>
      </c>
      <c r="P735" s="4" t="b">
        <f aca="false">TRUE()</f>
        <v>1</v>
      </c>
      <c r="R735" s="1" t="s">
        <v>2716</v>
      </c>
      <c r="S735" s="1" t="s">
        <v>2726</v>
      </c>
      <c r="T735" s="1" t="s">
        <v>222</v>
      </c>
      <c r="U735" s="1" t="s">
        <v>2102</v>
      </c>
    </row>
    <row r="736" customFormat="false" ht="48" hidden="false" customHeight="true" outlineLevel="0" collapsed="false">
      <c r="A736" s="1" t="s">
        <v>45</v>
      </c>
      <c r="B736" s="1" t="s">
        <v>2097</v>
      </c>
      <c r="C736" s="1" t="s">
        <v>931</v>
      </c>
      <c r="D736" s="1" t="s">
        <v>932</v>
      </c>
      <c r="E736" s="1" t="n">
        <v>5</v>
      </c>
      <c r="F736" s="1" t="s">
        <v>2727</v>
      </c>
      <c r="G736" s="1" t="s">
        <v>236</v>
      </c>
      <c r="H736" s="1" t="s">
        <v>2728</v>
      </c>
      <c r="I736" s="1" t="s">
        <v>218</v>
      </c>
      <c r="J736" s="1" t="s">
        <v>371</v>
      </c>
      <c r="K736" s="1" t="n">
        <v>17.09</v>
      </c>
      <c r="L736" s="1" t="n">
        <v>4.6</v>
      </c>
      <c r="M736" s="1" t="n">
        <v>4200</v>
      </c>
      <c r="N736" s="4" t="b">
        <f aca="false">FALSE()</f>
        <v>0</v>
      </c>
      <c r="O736" s="1" t="s">
        <v>2257</v>
      </c>
      <c r="P736" s="4" t="b">
        <f aca="false">FALSE()</f>
        <v>0</v>
      </c>
      <c r="R736" s="1" t="s">
        <v>2716</v>
      </c>
      <c r="S736" s="1" t="s">
        <v>2729</v>
      </c>
      <c r="T736" s="1" t="s">
        <v>222</v>
      </c>
      <c r="U736" s="1" t="s">
        <v>2102</v>
      </c>
    </row>
    <row r="737" customFormat="false" ht="48" hidden="false" customHeight="true" outlineLevel="0" collapsed="false">
      <c r="A737" s="1" t="s">
        <v>45</v>
      </c>
      <c r="B737" s="1" t="s">
        <v>2097</v>
      </c>
      <c r="C737" s="1" t="s">
        <v>931</v>
      </c>
      <c r="D737" s="1" t="s">
        <v>932</v>
      </c>
      <c r="E737" s="1" t="n">
        <v>6</v>
      </c>
      <c r="F737" s="1" t="s">
        <v>2730</v>
      </c>
      <c r="G737" s="1" t="s">
        <v>236</v>
      </c>
      <c r="H737" s="1" t="s">
        <v>2731</v>
      </c>
      <c r="I737" s="1" t="s">
        <v>231</v>
      </c>
      <c r="J737" s="1" t="s">
        <v>689</v>
      </c>
      <c r="L737" s="1" t="n">
        <v>4.4</v>
      </c>
      <c r="M737" s="1" t="n">
        <v>47</v>
      </c>
      <c r="N737" s="4" t="b">
        <f aca="false">FALSE()</f>
        <v>0</v>
      </c>
      <c r="P737" s="4" t="b">
        <f aca="false">FALSE()</f>
        <v>0</v>
      </c>
      <c r="R737" s="1" t="s">
        <v>2716</v>
      </c>
      <c r="S737" s="1" t="s">
        <v>2732</v>
      </c>
      <c r="T737" s="1" t="s">
        <v>222</v>
      </c>
      <c r="U737" s="1" t="s">
        <v>2102</v>
      </c>
    </row>
    <row r="738" customFormat="false" ht="48" hidden="false" customHeight="true" outlineLevel="0" collapsed="false">
      <c r="A738" s="1" t="s">
        <v>45</v>
      </c>
      <c r="B738" s="1" t="s">
        <v>2097</v>
      </c>
      <c r="C738" s="1" t="s">
        <v>931</v>
      </c>
      <c r="D738" s="1" t="s">
        <v>932</v>
      </c>
      <c r="E738" s="1" t="n">
        <v>7</v>
      </c>
      <c r="F738" s="1" t="s">
        <v>2733</v>
      </c>
      <c r="G738" s="1" t="s">
        <v>1415</v>
      </c>
      <c r="H738" s="1" t="s">
        <v>2734</v>
      </c>
      <c r="I738" s="1" t="s">
        <v>218</v>
      </c>
      <c r="J738" s="1" t="s">
        <v>597</v>
      </c>
      <c r="K738" s="1" t="n">
        <v>55.76</v>
      </c>
      <c r="L738" s="1" t="n">
        <v>4.4</v>
      </c>
      <c r="M738" s="1" t="n">
        <v>1600</v>
      </c>
      <c r="N738" s="4" t="b">
        <f aca="false">FALSE()</f>
        <v>0</v>
      </c>
      <c r="P738" s="4" t="b">
        <f aca="false">FALSE()</f>
        <v>0</v>
      </c>
      <c r="R738" s="1" t="s">
        <v>2716</v>
      </c>
      <c r="S738" s="1" t="s">
        <v>2735</v>
      </c>
      <c r="T738" s="1" t="s">
        <v>222</v>
      </c>
      <c r="U738" s="1" t="s">
        <v>2102</v>
      </c>
    </row>
    <row r="739" customFormat="false" ht="48" hidden="false" customHeight="true" outlineLevel="0" collapsed="false">
      <c r="A739" s="1" t="s">
        <v>45</v>
      </c>
      <c r="B739" s="1" t="s">
        <v>2097</v>
      </c>
      <c r="C739" s="1" t="s">
        <v>931</v>
      </c>
      <c r="D739" s="1" t="s">
        <v>932</v>
      </c>
      <c r="E739" s="1" t="n">
        <v>8</v>
      </c>
      <c r="F739" s="1" t="s">
        <v>2736</v>
      </c>
      <c r="G739" s="1" t="s">
        <v>236</v>
      </c>
      <c r="H739" s="1" t="s">
        <v>2737</v>
      </c>
      <c r="I739" s="1" t="s">
        <v>242</v>
      </c>
      <c r="J739" s="1" t="s">
        <v>689</v>
      </c>
      <c r="K739" s="1" t="n">
        <v>124.56</v>
      </c>
      <c r="L739" s="1" t="n">
        <v>4.2</v>
      </c>
      <c r="M739" s="1" t="n">
        <v>69</v>
      </c>
      <c r="N739" s="4" t="b">
        <f aca="false">FALSE()</f>
        <v>0</v>
      </c>
      <c r="P739" s="4" t="b">
        <f aca="false">TRUE()</f>
        <v>1</v>
      </c>
      <c r="R739" s="1" t="s">
        <v>2716</v>
      </c>
      <c r="S739" s="1" t="s">
        <v>2738</v>
      </c>
      <c r="T739" s="1" t="s">
        <v>222</v>
      </c>
      <c r="U739" s="1" t="s">
        <v>2102</v>
      </c>
    </row>
    <row r="740" customFormat="false" ht="48" hidden="false" customHeight="true" outlineLevel="0" collapsed="false">
      <c r="A740" s="1" t="s">
        <v>45</v>
      </c>
      <c r="B740" s="1" t="s">
        <v>2097</v>
      </c>
      <c r="C740" s="1" t="s">
        <v>931</v>
      </c>
      <c r="D740" s="1" t="s">
        <v>932</v>
      </c>
      <c r="E740" s="1" t="n">
        <v>9</v>
      </c>
      <c r="F740" s="1" t="s">
        <v>2739</v>
      </c>
      <c r="G740" s="1" t="s">
        <v>236</v>
      </c>
      <c r="H740" s="1" t="s">
        <v>2740</v>
      </c>
      <c r="I740" s="1" t="s">
        <v>218</v>
      </c>
      <c r="J740" s="1" t="s">
        <v>310</v>
      </c>
      <c r="K740" s="1" t="n">
        <v>41.22</v>
      </c>
      <c r="L740" s="1" t="n">
        <v>4.6</v>
      </c>
      <c r="M740" s="1" t="n">
        <v>1500</v>
      </c>
      <c r="N740" s="4" t="b">
        <f aca="false">FALSE()</f>
        <v>0</v>
      </c>
      <c r="P740" s="4" t="b">
        <f aca="false">TRUE()</f>
        <v>1</v>
      </c>
      <c r="R740" s="1" t="s">
        <v>2716</v>
      </c>
      <c r="S740" s="1" t="s">
        <v>2741</v>
      </c>
      <c r="T740" s="1" t="s">
        <v>222</v>
      </c>
      <c r="U740" s="1" t="s">
        <v>2102</v>
      </c>
    </row>
    <row r="741" customFormat="false" ht="48" hidden="false" customHeight="true" outlineLevel="0" collapsed="false">
      <c r="A741" s="1" t="s">
        <v>45</v>
      </c>
      <c r="B741" s="1" t="s">
        <v>2097</v>
      </c>
      <c r="C741" s="1" t="s">
        <v>931</v>
      </c>
      <c r="D741" s="1" t="s">
        <v>932</v>
      </c>
      <c r="E741" s="1" t="n">
        <v>10</v>
      </c>
      <c r="F741" s="1" t="s">
        <v>2742</v>
      </c>
      <c r="G741" s="1" t="s">
        <v>774</v>
      </c>
      <c r="H741" s="1" t="s">
        <v>2743</v>
      </c>
      <c r="I741" s="1" t="s">
        <v>218</v>
      </c>
      <c r="J741" s="1" t="s">
        <v>371</v>
      </c>
      <c r="K741" s="1" t="n">
        <v>14.59</v>
      </c>
      <c r="L741" s="1" t="n">
        <v>4.6</v>
      </c>
      <c r="M741" s="1" t="n">
        <v>70100</v>
      </c>
      <c r="N741" s="4" t="b">
        <f aca="false">FALSE()</f>
        <v>0</v>
      </c>
      <c r="O741" s="1" t="s">
        <v>2744</v>
      </c>
      <c r="P741" s="4" t="b">
        <f aca="false">FALSE()</f>
        <v>0</v>
      </c>
      <c r="R741" s="1" t="s">
        <v>2716</v>
      </c>
      <c r="S741" s="1" t="s">
        <v>2745</v>
      </c>
      <c r="T741" s="1" t="s">
        <v>222</v>
      </c>
      <c r="U741" s="1" t="s">
        <v>2102</v>
      </c>
    </row>
    <row r="742" customFormat="false" ht="48" hidden="false" customHeight="true" outlineLevel="0" collapsed="false">
      <c r="A742" s="1" t="s">
        <v>45</v>
      </c>
      <c r="B742" s="1" t="s">
        <v>2097</v>
      </c>
      <c r="C742" s="1" t="s">
        <v>931</v>
      </c>
      <c r="D742" s="1" t="s">
        <v>932</v>
      </c>
      <c r="E742" s="1" t="n">
        <v>11</v>
      </c>
      <c r="F742" s="1" t="s">
        <v>2746</v>
      </c>
      <c r="G742" s="1" t="s">
        <v>2156</v>
      </c>
      <c r="H742" s="1" t="s">
        <v>2747</v>
      </c>
      <c r="I742" s="1" t="s">
        <v>231</v>
      </c>
      <c r="J742" s="1" t="s">
        <v>689</v>
      </c>
      <c r="K742" s="1" t="n">
        <v>124.84</v>
      </c>
      <c r="L742" s="1" t="n">
        <v>4.4</v>
      </c>
      <c r="M742" s="1" t="n">
        <v>5900</v>
      </c>
      <c r="N742" s="4" t="b">
        <f aca="false">FALSE()</f>
        <v>0</v>
      </c>
      <c r="P742" s="4" t="b">
        <f aca="false">TRUE()</f>
        <v>1</v>
      </c>
      <c r="R742" s="1" t="s">
        <v>2716</v>
      </c>
      <c r="S742" s="1" t="s">
        <v>2748</v>
      </c>
      <c r="T742" s="1" t="s">
        <v>222</v>
      </c>
      <c r="U742" s="1" t="s">
        <v>2102</v>
      </c>
    </row>
    <row r="743" customFormat="false" ht="48" hidden="false" customHeight="true" outlineLevel="0" collapsed="false">
      <c r="A743" s="1" t="s">
        <v>45</v>
      </c>
      <c r="B743" s="1" t="s">
        <v>2097</v>
      </c>
      <c r="C743" s="1" t="s">
        <v>931</v>
      </c>
      <c r="D743" s="1" t="s">
        <v>932</v>
      </c>
      <c r="E743" s="1" t="n">
        <v>12</v>
      </c>
      <c r="F743" s="1" t="s">
        <v>2749</v>
      </c>
      <c r="G743" s="1" t="s">
        <v>236</v>
      </c>
      <c r="H743" s="1" t="s">
        <v>2750</v>
      </c>
      <c r="I743" s="1" t="s">
        <v>242</v>
      </c>
      <c r="J743" s="1" t="s">
        <v>310</v>
      </c>
      <c r="K743" s="1" t="n">
        <v>25.92</v>
      </c>
      <c r="L743" s="1" t="n">
        <v>4.6</v>
      </c>
      <c r="M743" s="1" t="n">
        <v>9500</v>
      </c>
      <c r="N743" s="4" t="b">
        <f aca="false">FALSE()</f>
        <v>0</v>
      </c>
      <c r="P743" s="4" t="b">
        <f aca="false">TRUE()</f>
        <v>1</v>
      </c>
      <c r="R743" s="1" t="s">
        <v>2716</v>
      </c>
      <c r="S743" s="1" t="s">
        <v>2751</v>
      </c>
      <c r="T743" s="1" t="s">
        <v>222</v>
      </c>
      <c r="U743" s="1" t="s">
        <v>2102</v>
      </c>
    </row>
    <row r="744" customFormat="false" ht="48" hidden="false" customHeight="true" outlineLevel="0" collapsed="false">
      <c r="A744" s="1" t="s">
        <v>45</v>
      </c>
      <c r="B744" s="1" t="s">
        <v>2097</v>
      </c>
      <c r="C744" s="1" t="s">
        <v>931</v>
      </c>
      <c r="D744" s="1" t="s">
        <v>932</v>
      </c>
      <c r="E744" s="1" t="n">
        <v>13</v>
      </c>
      <c r="F744" s="1" t="s">
        <v>2752</v>
      </c>
      <c r="G744" s="1" t="s">
        <v>2753</v>
      </c>
      <c r="H744" s="1" t="s">
        <v>2754</v>
      </c>
      <c r="I744" s="1" t="s">
        <v>231</v>
      </c>
      <c r="J744" s="1" t="s">
        <v>689</v>
      </c>
      <c r="K744" s="1" t="n">
        <v>39.25</v>
      </c>
      <c r="L744" s="1" t="n">
        <v>4.1</v>
      </c>
      <c r="M744" s="1" t="n">
        <v>1000</v>
      </c>
      <c r="N744" s="4" t="b">
        <f aca="false">FALSE()</f>
        <v>0</v>
      </c>
      <c r="P744" s="4" t="b">
        <f aca="false">FALSE()</f>
        <v>0</v>
      </c>
      <c r="R744" s="1" t="s">
        <v>2716</v>
      </c>
      <c r="S744" s="1" t="s">
        <v>2755</v>
      </c>
      <c r="T744" s="1" t="s">
        <v>222</v>
      </c>
      <c r="U744" s="1" t="s">
        <v>2102</v>
      </c>
    </row>
    <row r="745" customFormat="false" ht="48" hidden="false" customHeight="true" outlineLevel="0" collapsed="false">
      <c r="A745" s="1" t="s">
        <v>45</v>
      </c>
      <c r="B745" s="1" t="s">
        <v>2097</v>
      </c>
      <c r="C745" s="1" t="s">
        <v>931</v>
      </c>
      <c r="D745" s="1" t="s">
        <v>932</v>
      </c>
      <c r="E745" s="1" t="n">
        <v>14</v>
      </c>
      <c r="F745" s="1" t="s">
        <v>2756</v>
      </c>
      <c r="G745" s="1" t="s">
        <v>236</v>
      </c>
      <c r="H745" s="1" t="s">
        <v>2757</v>
      </c>
      <c r="I745" s="1" t="s">
        <v>218</v>
      </c>
      <c r="J745" s="1" t="s">
        <v>689</v>
      </c>
      <c r="K745" s="1" t="n">
        <v>65.42</v>
      </c>
      <c r="L745" s="1" t="n">
        <v>4.4</v>
      </c>
      <c r="M745" s="1" t="n">
        <v>2800</v>
      </c>
      <c r="N745" s="4" t="b">
        <f aca="false">FALSE()</f>
        <v>0</v>
      </c>
      <c r="P745" s="4" t="b">
        <f aca="false">FALSE()</f>
        <v>0</v>
      </c>
      <c r="R745" s="1" t="s">
        <v>2716</v>
      </c>
      <c r="S745" s="1" t="s">
        <v>2758</v>
      </c>
      <c r="T745" s="1" t="s">
        <v>222</v>
      </c>
      <c r="U745" s="1" t="s">
        <v>2102</v>
      </c>
    </row>
    <row r="746" customFormat="false" ht="48" hidden="false" customHeight="true" outlineLevel="0" collapsed="false">
      <c r="A746" s="1" t="s">
        <v>45</v>
      </c>
      <c r="B746" s="1" t="s">
        <v>2097</v>
      </c>
      <c r="C746" s="1" t="s">
        <v>931</v>
      </c>
      <c r="D746" s="1" t="s">
        <v>932</v>
      </c>
      <c r="E746" s="1" t="n">
        <v>15</v>
      </c>
      <c r="F746" s="1" t="s">
        <v>2421</v>
      </c>
      <c r="G746" s="1" t="s">
        <v>2410</v>
      </c>
      <c r="H746" s="1" t="s">
        <v>2422</v>
      </c>
      <c r="I746" s="1" t="s">
        <v>402</v>
      </c>
      <c r="J746" s="1" t="s">
        <v>597</v>
      </c>
      <c r="K746" s="1" t="n">
        <v>34</v>
      </c>
      <c r="L746" s="1" t="n">
        <v>4.5</v>
      </c>
      <c r="M746" s="1" t="n">
        <v>980</v>
      </c>
      <c r="N746" s="4" t="b">
        <f aca="false">FALSE()</f>
        <v>0</v>
      </c>
      <c r="O746" s="1" t="s">
        <v>2412</v>
      </c>
      <c r="P746" s="4" t="b">
        <f aca="false">FALSE()</f>
        <v>0</v>
      </c>
      <c r="Q746" s="1" t="s">
        <v>451</v>
      </c>
      <c r="R746" s="1" t="s">
        <v>2716</v>
      </c>
      <c r="S746" s="1" t="s">
        <v>2423</v>
      </c>
      <c r="T746" s="1" t="s">
        <v>222</v>
      </c>
      <c r="U746" s="1" t="s">
        <v>2102</v>
      </c>
    </row>
    <row r="747" customFormat="false" ht="48" hidden="false" customHeight="true" outlineLevel="0" collapsed="false">
      <c r="A747" s="1" t="s">
        <v>45</v>
      </c>
      <c r="B747" s="1" t="s">
        <v>2097</v>
      </c>
      <c r="C747" s="1" t="s">
        <v>931</v>
      </c>
      <c r="D747" s="1" t="s">
        <v>932</v>
      </c>
      <c r="E747" s="1" t="n">
        <v>16</v>
      </c>
      <c r="F747" s="1" t="s">
        <v>2759</v>
      </c>
      <c r="G747" s="1" t="s">
        <v>236</v>
      </c>
      <c r="H747" s="1" t="s">
        <v>2760</v>
      </c>
      <c r="I747" s="1" t="s">
        <v>306</v>
      </c>
      <c r="J747" s="1" t="s">
        <v>689</v>
      </c>
      <c r="K747" s="1" t="n">
        <v>37</v>
      </c>
      <c r="L747" s="1" t="n">
        <v>4.5</v>
      </c>
      <c r="M747" s="1" t="n">
        <v>582</v>
      </c>
      <c r="N747" s="4" t="b">
        <f aca="false">FALSE()</f>
        <v>0</v>
      </c>
      <c r="P747" s="4" t="b">
        <f aca="false">FALSE()</f>
        <v>0</v>
      </c>
      <c r="R747" s="1" t="s">
        <v>2716</v>
      </c>
      <c r="S747" s="1" t="s">
        <v>2761</v>
      </c>
      <c r="T747" s="1" t="s">
        <v>222</v>
      </c>
      <c r="U747" s="1" t="s">
        <v>2102</v>
      </c>
    </row>
    <row r="748" customFormat="false" ht="48" hidden="false" customHeight="true" outlineLevel="0" collapsed="false">
      <c r="A748" s="1" t="s">
        <v>45</v>
      </c>
      <c r="B748" s="1" t="s">
        <v>2097</v>
      </c>
      <c r="C748" s="1" t="s">
        <v>931</v>
      </c>
      <c r="D748" s="1" t="s">
        <v>932</v>
      </c>
      <c r="E748" s="1" t="n">
        <v>17</v>
      </c>
      <c r="F748" s="1" t="s">
        <v>2762</v>
      </c>
      <c r="G748" s="1" t="s">
        <v>236</v>
      </c>
      <c r="H748" s="1" t="s">
        <v>2763</v>
      </c>
      <c r="I748" s="1" t="s">
        <v>231</v>
      </c>
      <c r="J748" s="1" t="s">
        <v>689</v>
      </c>
      <c r="L748" s="1" t="n">
        <v>4.4</v>
      </c>
      <c r="M748" s="1" t="n">
        <v>47</v>
      </c>
      <c r="N748" s="4" t="b">
        <f aca="false">FALSE()</f>
        <v>0</v>
      </c>
      <c r="P748" s="4" t="b">
        <f aca="false">FALSE()</f>
        <v>0</v>
      </c>
      <c r="R748" s="1" t="s">
        <v>2716</v>
      </c>
      <c r="S748" s="1" t="s">
        <v>2764</v>
      </c>
      <c r="T748" s="1" t="s">
        <v>222</v>
      </c>
      <c r="U748" s="1" t="s">
        <v>2102</v>
      </c>
    </row>
    <row r="749" customFormat="false" ht="48" hidden="false" customHeight="true" outlineLevel="0" collapsed="false">
      <c r="A749" s="1" t="s">
        <v>45</v>
      </c>
      <c r="B749" s="1" t="s">
        <v>2097</v>
      </c>
      <c r="C749" s="1" t="s">
        <v>931</v>
      </c>
      <c r="D749" s="1" t="s">
        <v>932</v>
      </c>
      <c r="E749" s="1" t="n">
        <v>18</v>
      </c>
      <c r="F749" s="1" t="s">
        <v>2765</v>
      </c>
      <c r="G749" s="1" t="s">
        <v>236</v>
      </c>
      <c r="H749" s="1" t="s">
        <v>2766</v>
      </c>
      <c r="I749" s="1" t="s">
        <v>402</v>
      </c>
      <c r="J749" s="1" t="s">
        <v>689</v>
      </c>
      <c r="L749" s="1" t="n">
        <v>4.4</v>
      </c>
      <c r="M749" s="1" t="n">
        <v>47</v>
      </c>
      <c r="N749" s="4" t="b">
        <f aca="false">FALSE()</f>
        <v>0</v>
      </c>
      <c r="P749" s="4" t="b">
        <f aca="false">FALSE()</f>
        <v>0</v>
      </c>
      <c r="R749" s="1" t="s">
        <v>2716</v>
      </c>
      <c r="S749" s="1" t="s">
        <v>2767</v>
      </c>
      <c r="T749" s="1" t="s">
        <v>222</v>
      </c>
      <c r="U749" s="1" t="s">
        <v>2102</v>
      </c>
    </row>
    <row r="750" customFormat="false" ht="48" hidden="false" customHeight="true" outlineLevel="0" collapsed="false">
      <c r="A750" s="1" t="s">
        <v>45</v>
      </c>
      <c r="B750" s="1" t="s">
        <v>2097</v>
      </c>
      <c r="C750" s="1" t="s">
        <v>931</v>
      </c>
      <c r="D750" s="1" t="s">
        <v>932</v>
      </c>
      <c r="E750" s="1" t="n">
        <v>19</v>
      </c>
      <c r="F750" s="1" t="s">
        <v>2768</v>
      </c>
      <c r="G750" s="1" t="s">
        <v>236</v>
      </c>
      <c r="H750" s="1" t="s">
        <v>2769</v>
      </c>
      <c r="I750" s="1" t="s">
        <v>402</v>
      </c>
      <c r="J750" s="1" t="s">
        <v>597</v>
      </c>
      <c r="K750" s="1" t="n">
        <v>26.37</v>
      </c>
      <c r="L750" s="1" t="n">
        <v>4.3</v>
      </c>
      <c r="M750" s="1" t="n">
        <v>325</v>
      </c>
      <c r="N750" s="4" t="b">
        <f aca="false">FALSE()</f>
        <v>0</v>
      </c>
      <c r="P750" s="4" t="b">
        <f aca="false">FALSE()</f>
        <v>0</v>
      </c>
      <c r="Q750" s="1" t="s">
        <v>251</v>
      </c>
      <c r="R750" s="1" t="s">
        <v>2716</v>
      </c>
      <c r="S750" s="1" t="s">
        <v>2770</v>
      </c>
      <c r="T750" s="1" t="s">
        <v>222</v>
      </c>
      <c r="U750" s="1" t="s">
        <v>2102</v>
      </c>
    </row>
    <row r="751" customFormat="false" ht="48" hidden="false" customHeight="true" outlineLevel="0" collapsed="false">
      <c r="A751" s="1" t="s">
        <v>45</v>
      </c>
      <c r="B751" s="1" t="s">
        <v>2097</v>
      </c>
      <c r="C751" s="1" t="s">
        <v>931</v>
      </c>
      <c r="D751" s="1" t="s">
        <v>932</v>
      </c>
      <c r="E751" s="1" t="n">
        <v>20</v>
      </c>
      <c r="F751" s="1" t="s">
        <v>2771</v>
      </c>
      <c r="G751" s="1" t="s">
        <v>2753</v>
      </c>
      <c r="H751" s="1" t="s">
        <v>2772</v>
      </c>
      <c r="I751" s="1" t="s">
        <v>231</v>
      </c>
      <c r="J751" s="1" t="s">
        <v>689</v>
      </c>
      <c r="K751" s="1" t="n">
        <v>68</v>
      </c>
      <c r="L751" s="1" t="n">
        <v>4.2</v>
      </c>
      <c r="M751" s="1" t="n">
        <v>923</v>
      </c>
      <c r="N751" s="4" t="b">
        <f aca="false">FALSE()</f>
        <v>0</v>
      </c>
      <c r="P751" s="4" t="b">
        <f aca="false">FALSE()</f>
        <v>0</v>
      </c>
      <c r="R751" s="1" t="s">
        <v>2716</v>
      </c>
      <c r="S751" s="1" t="s">
        <v>2773</v>
      </c>
      <c r="T751" s="1" t="s">
        <v>222</v>
      </c>
      <c r="U751" s="1" t="s">
        <v>2102</v>
      </c>
    </row>
    <row r="752" customFormat="false" ht="48" hidden="false" customHeight="true" outlineLevel="0" collapsed="false">
      <c r="A752" s="1" t="s">
        <v>45</v>
      </c>
      <c r="B752" s="1" t="s">
        <v>2097</v>
      </c>
      <c r="C752" s="1" t="s">
        <v>931</v>
      </c>
      <c r="D752" s="1" t="s">
        <v>932</v>
      </c>
      <c r="E752" s="1" t="n">
        <v>21</v>
      </c>
      <c r="F752" s="1" t="s">
        <v>2774</v>
      </c>
      <c r="G752" s="1" t="s">
        <v>236</v>
      </c>
      <c r="H752" s="1" t="s">
        <v>2775</v>
      </c>
      <c r="I752" s="1" t="s">
        <v>242</v>
      </c>
      <c r="J752" s="1" t="s">
        <v>597</v>
      </c>
      <c r="K752" s="1" t="n">
        <v>51.36</v>
      </c>
      <c r="L752" s="1" t="n">
        <v>4.3</v>
      </c>
      <c r="M752" s="1" t="n">
        <v>421</v>
      </c>
      <c r="N752" s="4" t="b">
        <f aca="false">FALSE()</f>
        <v>0</v>
      </c>
      <c r="P752" s="4" t="b">
        <f aca="false">FALSE()</f>
        <v>0</v>
      </c>
      <c r="R752" s="1" t="s">
        <v>2716</v>
      </c>
      <c r="S752" s="1" t="s">
        <v>2776</v>
      </c>
      <c r="T752" s="1" t="s">
        <v>222</v>
      </c>
      <c r="U752" s="1" t="s">
        <v>2102</v>
      </c>
    </row>
    <row r="753" customFormat="false" ht="48" hidden="false" customHeight="true" outlineLevel="0" collapsed="false">
      <c r="A753" s="1" t="s">
        <v>45</v>
      </c>
      <c r="B753" s="1" t="s">
        <v>2097</v>
      </c>
      <c r="C753" s="1" t="s">
        <v>931</v>
      </c>
      <c r="D753" s="1" t="s">
        <v>932</v>
      </c>
      <c r="E753" s="1" t="n">
        <v>22</v>
      </c>
      <c r="F753" s="1" t="s">
        <v>2628</v>
      </c>
      <c r="G753" s="1" t="s">
        <v>236</v>
      </c>
      <c r="H753" s="1" t="s">
        <v>2629</v>
      </c>
      <c r="I753" s="1" t="s">
        <v>231</v>
      </c>
      <c r="J753" s="1" t="s">
        <v>310</v>
      </c>
      <c r="K753" s="1" t="n">
        <v>29</v>
      </c>
      <c r="L753" s="1" t="n">
        <v>4.6</v>
      </c>
      <c r="M753" s="1" t="n">
        <v>2000</v>
      </c>
      <c r="N753" s="4" t="b">
        <f aca="false">FALSE()</f>
        <v>0</v>
      </c>
      <c r="P753" s="4" t="b">
        <f aca="false">FALSE()</f>
        <v>0</v>
      </c>
      <c r="R753" s="1" t="s">
        <v>2716</v>
      </c>
      <c r="S753" s="1" t="s">
        <v>2630</v>
      </c>
      <c r="T753" s="1" t="s">
        <v>222</v>
      </c>
      <c r="U753" s="1" t="s">
        <v>2102</v>
      </c>
    </row>
    <row r="754" customFormat="false" ht="48" hidden="false" customHeight="true" outlineLevel="0" collapsed="false">
      <c r="A754" s="1" t="s">
        <v>45</v>
      </c>
      <c r="B754" s="1" t="s">
        <v>2097</v>
      </c>
      <c r="C754" s="1" t="s">
        <v>931</v>
      </c>
      <c r="D754" s="1" t="s">
        <v>932</v>
      </c>
      <c r="E754" s="1" t="n">
        <v>23</v>
      </c>
      <c r="F754" s="1" t="s">
        <v>2777</v>
      </c>
      <c r="G754" s="1" t="s">
        <v>236</v>
      </c>
      <c r="H754" s="1" t="s">
        <v>2778</v>
      </c>
      <c r="I754" s="1" t="s">
        <v>218</v>
      </c>
      <c r="J754" s="1" t="s">
        <v>689</v>
      </c>
      <c r="K754" s="1" t="n">
        <v>176.96</v>
      </c>
      <c r="L754" s="1" t="n">
        <v>4.3</v>
      </c>
      <c r="M754" s="1" t="n">
        <v>871</v>
      </c>
      <c r="N754" s="4" t="b">
        <f aca="false">FALSE()</f>
        <v>0</v>
      </c>
      <c r="P754" s="4" t="b">
        <f aca="false">FALSE()</f>
        <v>0</v>
      </c>
      <c r="R754" s="1" t="s">
        <v>2716</v>
      </c>
      <c r="S754" s="1" t="s">
        <v>2779</v>
      </c>
      <c r="T754" s="1" t="s">
        <v>222</v>
      </c>
      <c r="U754" s="1" t="s">
        <v>2102</v>
      </c>
    </row>
    <row r="755" customFormat="false" ht="48" hidden="false" customHeight="true" outlineLevel="0" collapsed="false">
      <c r="A755" s="1" t="s">
        <v>45</v>
      </c>
      <c r="B755" s="1" t="s">
        <v>2097</v>
      </c>
      <c r="C755" s="1" t="s">
        <v>931</v>
      </c>
      <c r="D755" s="1" t="s">
        <v>932</v>
      </c>
      <c r="E755" s="1" t="n">
        <v>24</v>
      </c>
      <c r="F755" s="1" t="s">
        <v>2116</v>
      </c>
      <c r="G755" s="1" t="s">
        <v>236</v>
      </c>
      <c r="H755" s="1" t="s">
        <v>2117</v>
      </c>
      <c r="I755" s="1" t="s">
        <v>242</v>
      </c>
      <c r="J755" s="1" t="s">
        <v>219</v>
      </c>
      <c r="L755" s="1" t="n">
        <v>4.7</v>
      </c>
      <c r="M755" s="1" t="n">
        <v>7</v>
      </c>
      <c r="N755" s="4" t="b">
        <f aca="false">FALSE()</f>
        <v>0</v>
      </c>
      <c r="P755" s="4" t="b">
        <f aca="false">FALSE()</f>
        <v>0</v>
      </c>
      <c r="R755" s="1" t="s">
        <v>2716</v>
      </c>
      <c r="S755" s="1" t="s">
        <v>2118</v>
      </c>
      <c r="T755" s="1" t="s">
        <v>222</v>
      </c>
      <c r="U755" s="1" t="s">
        <v>2102</v>
      </c>
    </row>
    <row r="756" customFormat="false" ht="48" hidden="false" customHeight="true" outlineLevel="0" collapsed="false">
      <c r="A756" s="1" t="s">
        <v>45</v>
      </c>
      <c r="B756" s="1" t="s">
        <v>2097</v>
      </c>
      <c r="C756" s="1" t="s">
        <v>931</v>
      </c>
      <c r="D756" s="1" t="s">
        <v>932</v>
      </c>
      <c r="E756" s="1" t="n">
        <v>25</v>
      </c>
      <c r="F756" s="1" t="s">
        <v>2780</v>
      </c>
      <c r="G756" s="1" t="s">
        <v>236</v>
      </c>
      <c r="H756" s="1" t="s">
        <v>2781</v>
      </c>
      <c r="I756" s="1" t="s">
        <v>218</v>
      </c>
      <c r="J756" s="1" t="s">
        <v>310</v>
      </c>
      <c r="K756" s="1" t="n">
        <v>24.04</v>
      </c>
      <c r="L756" s="1" t="n">
        <v>4.6</v>
      </c>
      <c r="M756" s="1" t="n">
        <v>2500</v>
      </c>
      <c r="N756" s="4" t="b">
        <f aca="false">FALSE()</f>
        <v>0</v>
      </c>
      <c r="O756" s="1" t="s">
        <v>2782</v>
      </c>
      <c r="P756" s="4" t="b">
        <f aca="false">TRUE()</f>
        <v>1</v>
      </c>
      <c r="R756" s="1" t="s">
        <v>2716</v>
      </c>
      <c r="S756" s="1" t="s">
        <v>2783</v>
      </c>
      <c r="T756" s="1" t="s">
        <v>222</v>
      </c>
      <c r="U756" s="1" t="s">
        <v>2102</v>
      </c>
    </row>
    <row r="757" customFormat="false" ht="48" hidden="false" customHeight="true" outlineLevel="0" collapsed="false">
      <c r="A757" s="1" t="s">
        <v>45</v>
      </c>
      <c r="B757" s="1" t="s">
        <v>2097</v>
      </c>
      <c r="C757" s="1" t="s">
        <v>931</v>
      </c>
      <c r="D757" s="1" t="s">
        <v>932</v>
      </c>
      <c r="E757" s="1" t="n">
        <v>26</v>
      </c>
      <c r="F757" s="1" t="s">
        <v>2784</v>
      </c>
      <c r="G757" s="1" t="s">
        <v>236</v>
      </c>
      <c r="H757" s="1" t="s">
        <v>2785</v>
      </c>
      <c r="I757" s="1" t="s">
        <v>402</v>
      </c>
      <c r="J757" s="1" t="s">
        <v>597</v>
      </c>
      <c r="L757" s="1" t="n">
        <v>4.2</v>
      </c>
      <c r="M757" s="1" t="n">
        <v>918</v>
      </c>
      <c r="N757" s="4" t="b">
        <f aca="false">FALSE()</f>
        <v>0</v>
      </c>
      <c r="P757" s="4" t="b">
        <f aca="false">FALSE()</f>
        <v>0</v>
      </c>
      <c r="Q757" s="1" t="s">
        <v>233</v>
      </c>
      <c r="R757" s="1" t="s">
        <v>2716</v>
      </c>
      <c r="S757" s="1" t="s">
        <v>2786</v>
      </c>
      <c r="T757" s="1" t="s">
        <v>222</v>
      </c>
      <c r="U757" s="1" t="s">
        <v>2102</v>
      </c>
    </row>
    <row r="758" customFormat="false" ht="48" hidden="false" customHeight="true" outlineLevel="0" collapsed="false">
      <c r="A758" s="1" t="s">
        <v>45</v>
      </c>
      <c r="B758" s="1" t="s">
        <v>2097</v>
      </c>
      <c r="C758" s="1" t="s">
        <v>931</v>
      </c>
      <c r="D758" s="1" t="s">
        <v>932</v>
      </c>
      <c r="E758" s="1" t="n">
        <v>27</v>
      </c>
      <c r="F758" s="1" t="s">
        <v>2787</v>
      </c>
      <c r="G758" s="1" t="s">
        <v>2410</v>
      </c>
      <c r="H758" s="1" t="s">
        <v>2788</v>
      </c>
      <c r="I758" s="1" t="s">
        <v>2333</v>
      </c>
      <c r="J758" s="1" t="s">
        <v>597</v>
      </c>
      <c r="K758" s="1" t="n">
        <v>38</v>
      </c>
      <c r="L758" s="1" t="n">
        <v>4.5</v>
      </c>
      <c r="M758" s="1" t="n">
        <v>980</v>
      </c>
      <c r="N758" s="4" t="b">
        <f aca="false">FALSE()</f>
        <v>0</v>
      </c>
      <c r="O758" s="1" t="s">
        <v>2540</v>
      </c>
      <c r="P758" s="4" t="b">
        <f aca="false">FALSE()</f>
        <v>0</v>
      </c>
      <c r="Q758" s="1" t="s">
        <v>233</v>
      </c>
      <c r="R758" s="1" t="s">
        <v>2716</v>
      </c>
      <c r="S758" s="1" t="s">
        <v>2789</v>
      </c>
      <c r="T758" s="1" t="s">
        <v>222</v>
      </c>
      <c r="U758" s="1" t="s">
        <v>2102</v>
      </c>
    </row>
    <row r="759" customFormat="false" ht="48" hidden="false" customHeight="true" outlineLevel="0" collapsed="false">
      <c r="A759" s="1" t="s">
        <v>45</v>
      </c>
      <c r="B759" s="1" t="s">
        <v>2097</v>
      </c>
      <c r="C759" s="1" t="s">
        <v>931</v>
      </c>
      <c r="D759" s="1" t="s">
        <v>932</v>
      </c>
      <c r="E759" s="1" t="n">
        <v>28</v>
      </c>
      <c r="F759" s="1" t="s">
        <v>2790</v>
      </c>
      <c r="G759" s="1" t="s">
        <v>236</v>
      </c>
      <c r="H759" s="1" t="s">
        <v>2791</v>
      </c>
      <c r="I759" s="1" t="s">
        <v>231</v>
      </c>
      <c r="J759" s="1" t="s">
        <v>597</v>
      </c>
      <c r="K759" s="1" t="n">
        <v>35.52</v>
      </c>
      <c r="L759" s="1" t="n">
        <v>4.1</v>
      </c>
      <c r="M759" s="1" t="n">
        <v>16</v>
      </c>
      <c r="N759" s="4" t="b">
        <f aca="false">FALSE()</f>
        <v>0</v>
      </c>
      <c r="P759" s="4" t="b">
        <f aca="false">FALSE()</f>
        <v>0</v>
      </c>
      <c r="R759" s="1" t="s">
        <v>2716</v>
      </c>
      <c r="S759" s="1" t="s">
        <v>2792</v>
      </c>
      <c r="T759" s="1" t="s">
        <v>222</v>
      </c>
      <c r="U759" s="1" t="s">
        <v>2102</v>
      </c>
    </row>
    <row r="760" customFormat="false" ht="48" hidden="false" customHeight="true" outlineLevel="0" collapsed="false">
      <c r="A760" s="1" t="s">
        <v>45</v>
      </c>
      <c r="B760" s="1" t="s">
        <v>2097</v>
      </c>
      <c r="C760" s="1" t="s">
        <v>931</v>
      </c>
      <c r="D760" s="1" t="s">
        <v>932</v>
      </c>
      <c r="E760" s="1" t="n">
        <v>29</v>
      </c>
      <c r="F760" s="1" t="s">
        <v>2793</v>
      </c>
      <c r="G760" s="1" t="s">
        <v>236</v>
      </c>
      <c r="H760" s="1" t="s">
        <v>2794</v>
      </c>
      <c r="I760" s="1" t="s">
        <v>231</v>
      </c>
      <c r="J760" s="1" t="s">
        <v>310</v>
      </c>
      <c r="K760" s="1" t="n">
        <v>26.96</v>
      </c>
      <c r="L760" s="1" t="n">
        <v>4.5</v>
      </c>
      <c r="M760" s="1" t="n">
        <v>382</v>
      </c>
      <c r="N760" s="4" t="b">
        <f aca="false">FALSE()</f>
        <v>0</v>
      </c>
      <c r="P760" s="4" t="b">
        <f aca="false">TRUE()</f>
        <v>1</v>
      </c>
      <c r="R760" s="1" t="s">
        <v>2716</v>
      </c>
      <c r="S760" s="1" t="s">
        <v>2795</v>
      </c>
      <c r="T760" s="1" t="s">
        <v>222</v>
      </c>
      <c r="U760" s="1" t="s">
        <v>2102</v>
      </c>
    </row>
    <row r="761" customFormat="false" ht="48" hidden="false" customHeight="true" outlineLevel="0" collapsed="false">
      <c r="A761" s="1" t="s">
        <v>45</v>
      </c>
      <c r="B761" s="1" t="s">
        <v>2097</v>
      </c>
      <c r="C761" s="1" t="s">
        <v>931</v>
      </c>
      <c r="D761" s="1" t="s">
        <v>932</v>
      </c>
      <c r="E761" s="1" t="n">
        <v>30</v>
      </c>
      <c r="F761" s="1" t="s">
        <v>2796</v>
      </c>
      <c r="G761" s="1" t="s">
        <v>236</v>
      </c>
      <c r="H761" s="1" t="s">
        <v>2797</v>
      </c>
      <c r="I761" s="1" t="s">
        <v>402</v>
      </c>
      <c r="J761" s="1" t="s">
        <v>689</v>
      </c>
      <c r="L761" s="1" t="n">
        <v>4.6</v>
      </c>
      <c r="M761" s="1" t="n">
        <v>50</v>
      </c>
      <c r="N761" s="4" t="b">
        <f aca="false">FALSE()</f>
        <v>0</v>
      </c>
      <c r="P761" s="4" t="b">
        <f aca="false">FALSE()</f>
        <v>0</v>
      </c>
      <c r="R761" s="1" t="s">
        <v>2716</v>
      </c>
      <c r="S761" s="1" t="s">
        <v>2798</v>
      </c>
      <c r="T761" s="1" t="s">
        <v>222</v>
      </c>
      <c r="U761" s="1" t="s">
        <v>2102</v>
      </c>
    </row>
    <row r="762" customFormat="false" ht="48" hidden="false" customHeight="true" outlineLevel="0" collapsed="false">
      <c r="A762" s="1" t="s">
        <v>45</v>
      </c>
      <c r="B762" s="1" t="s">
        <v>2097</v>
      </c>
      <c r="C762" s="1" t="s">
        <v>931</v>
      </c>
      <c r="D762" s="1" t="s">
        <v>932</v>
      </c>
      <c r="E762" s="1" t="n">
        <v>31</v>
      </c>
      <c r="F762" s="1" t="s">
        <v>2799</v>
      </c>
      <c r="G762" s="1" t="s">
        <v>236</v>
      </c>
      <c r="H762" s="1" t="s">
        <v>2800</v>
      </c>
      <c r="I762" s="1" t="s">
        <v>218</v>
      </c>
      <c r="J762" s="1" t="s">
        <v>371</v>
      </c>
      <c r="K762" s="1" t="n">
        <v>35.62</v>
      </c>
      <c r="L762" s="1" t="n">
        <v>4.5</v>
      </c>
      <c r="M762" s="1" t="n">
        <v>47000</v>
      </c>
      <c r="N762" s="4" t="b">
        <f aca="false">FALSE()</f>
        <v>0</v>
      </c>
      <c r="P762" s="4" t="b">
        <f aca="false">FALSE()</f>
        <v>0</v>
      </c>
      <c r="R762" s="1" t="s">
        <v>2716</v>
      </c>
      <c r="S762" s="1" t="s">
        <v>2801</v>
      </c>
      <c r="T762" s="1" t="s">
        <v>222</v>
      </c>
      <c r="U762" s="1" t="s">
        <v>2102</v>
      </c>
    </row>
    <row r="763" customFormat="false" ht="48" hidden="false" customHeight="true" outlineLevel="0" collapsed="false">
      <c r="A763" s="1" t="s">
        <v>45</v>
      </c>
      <c r="B763" s="1" t="s">
        <v>2097</v>
      </c>
      <c r="C763" s="1" t="s">
        <v>931</v>
      </c>
      <c r="D763" s="1" t="s">
        <v>932</v>
      </c>
      <c r="E763" s="1" t="n">
        <v>32</v>
      </c>
      <c r="F763" s="1" t="s">
        <v>2802</v>
      </c>
      <c r="G763" s="1" t="s">
        <v>236</v>
      </c>
      <c r="H763" s="1" t="s">
        <v>2803</v>
      </c>
      <c r="I763" s="1" t="s">
        <v>231</v>
      </c>
      <c r="J763" s="1" t="s">
        <v>689</v>
      </c>
      <c r="K763" s="1" t="n">
        <v>85.94</v>
      </c>
      <c r="L763" s="1" t="n">
        <v>4.3</v>
      </c>
      <c r="M763" s="1" t="n">
        <v>1400</v>
      </c>
      <c r="N763" s="4" t="b">
        <f aca="false">FALSE()</f>
        <v>0</v>
      </c>
      <c r="O763" s="1" t="s">
        <v>2804</v>
      </c>
      <c r="P763" s="4" t="b">
        <f aca="false">FALSE()</f>
        <v>0</v>
      </c>
      <c r="R763" s="1" t="s">
        <v>2716</v>
      </c>
      <c r="S763" s="1" t="s">
        <v>2805</v>
      </c>
      <c r="T763" s="1" t="s">
        <v>222</v>
      </c>
      <c r="U763" s="1" t="s">
        <v>2102</v>
      </c>
    </row>
    <row r="764" customFormat="false" ht="48" hidden="false" customHeight="true" outlineLevel="0" collapsed="false">
      <c r="A764" s="1" t="s">
        <v>45</v>
      </c>
      <c r="B764" s="1" t="s">
        <v>2097</v>
      </c>
      <c r="C764" s="1" t="s">
        <v>931</v>
      </c>
      <c r="D764" s="1" t="s">
        <v>932</v>
      </c>
      <c r="E764" s="1" t="n">
        <v>33</v>
      </c>
      <c r="F764" s="1" t="s">
        <v>2806</v>
      </c>
      <c r="G764" s="1" t="s">
        <v>919</v>
      </c>
      <c r="H764" s="1" t="s">
        <v>2807</v>
      </c>
      <c r="I764" s="1" t="s">
        <v>231</v>
      </c>
      <c r="J764" s="1" t="s">
        <v>310</v>
      </c>
      <c r="K764" s="1" t="n">
        <v>47.09</v>
      </c>
      <c r="L764" s="1" t="n">
        <v>4.5</v>
      </c>
      <c r="M764" s="1" t="n">
        <v>3800</v>
      </c>
      <c r="N764" s="4" t="b">
        <f aca="false">FALSE()</f>
        <v>0</v>
      </c>
      <c r="P764" s="4" t="b">
        <f aca="false">FALSE()</f>
        <v>0</v>
      </c>
      <c r="R764" s="1" t="s">
        <v>2716</v>
      </c>
      <c r="S764" s="1" t="s">
        <v>2808</v>
      </c>
      <c r="T764" s="1" t="s">
        <v>222</v>
      </c>
      <c r="U764" s="1" t="s">
        <v>2102</v>
      </c>
    </row>
    <row r="765" customFormat="false" ht="48" hidden="false" customHeight="true" outlineLevel="0" collapsed="false">
      <c r="A765" s="1" t="s">
        <v>45</v>
      </c>
      <c r="B765" s="1" t="s">
        <v>2097</v>
      </c>
      <c r="C765" s="1" t="s">
        <v>931</v>
      </c>
      <c r="D765" s="1" t="s">
        <v>932</v>
      </c>
      <c r="E765" s="1" t="n">
        <v>34</v>
      </c>
      <c r="F765" s="1" t="s">
        <v>2809</v>
      </c>
      <c r="G765" s="1" t="s">
        <v>236</v>
      </c>
      <c r="H765" s="1" t="s">
        <v>2810</v>
      </c>
      <c r="I765" s="1" t="s">
        <v>402</v>
      </c>
      <c r="J765" s="1" t="s">
        <v>310</v>
      </c>
      <c r="L765" s="1" t="n">
        <v>4.3</v>
      </c>
      <c r="M765" s="1" t="n">
        <v>1900</v>
      </c>
      <c r="N765" s="4" t="b">
        <f aca="false">FALSE()</f>
        <v>0</v>
      </c>
      <c r="P765" s="4" t="b">
        <f aca="false">FALSE()</f>
        <v>0</v>
      </c>
      <c r="R765" s="1" t="s">
        <v>2716</v>
      </c>
      <c r="S765" s="1" t="s">
        <v>2811</v>
      </c>
      <c r="T765" s="1" t="s">
        <v>222</v>
      </c>
      <c r="U765" s="1" t="s">
        <v>2102</v>
      </c>
    </row>
    <row r="766" customFormat="false" ht="48" hidden="false" customHeight="true" outlineLevel="0" collapsed="false">
      <c r="A766" s="1" t="s">
        <v>45</v>
      </c>
      <c r="B766" s="1" t="s">
        <v>2097</v>
      </c>
      <c r="C766" s="1" t="s">
        <v>931</v>
      </c>
      <c r="D766" s="1" t="s">
        <v>932</v>
      </c>
      <c r="E766" s="1" t="n">
        <v>35</v>
      </c>
      <c r="F766" s="1" t="s">
        <v>2812</v>
      </c>
      <c r="G766" s="1" t="s">
        <v>774</v>
      </c>
      <c r="H766" s="1" t="s">
        <v>2813</v>
      </c>
      <c r="I766" s="1" t="s">
        <v>218</v>
      </c>
      <c r="J766" s="1" t="s">
        <v>371</v>
      </c>
      <c r="K766" s="1" t="n">
        <v>16.92</v>
      </c>
      <c r="L766" s="1" t="n">
        <v>4.6</v>
      </c>
      <c r="M766" s="1" t="n">
        <v>213300</v>
      </c>
      <c r="N766" s="4" t="b">
        <f aca="false">FALSE()</f>
        <v>0</v>
      </c>
      <c r="O766" s="1" t="s">
        <v>2257</v>
      </c>
      <c r="P766" s="4" t="b">
        <f aca="false">FALSE()</f>
        <v>0</v>
      </c>
      <c r="R766" s="1" t="s">
        <v>2716</v>
      </c>
      <c r="S766" s="1" t="s">
        <v>2814</v>
      </c>
      <c r="T766" s="1" t="s">
        <v>222</v>
      </c>
      <c r="U766" s="1" t="s">
        <v>2102</v>
      </c>
    </row>
    <row r="767" customFormat="false" ht="48" hidden="false" customHeight="true" outlineLevel="0" collapsed="false">
      <c r="A767" s="1" t="s">
        <v>45</v>
      </c>
      <c r="B767" s="1" t="s">
        <v>2097</v>
      </c>
      <c r="C767" s="1" t="s">
        <v>931</v>
      </c>
      <c r="D767" s="1" t="s">
        <v>932</v>
      </c>
      <c r="E767" s="1" t="n">
        <v>36</v>
      </c>
      <c r="F767" s="1" t="s">
        <v>2815</v>
      </c>
      <c r="G767" s="1" t="s">
        <v>681</v>
      </c>
      <c r="H767" s="1" t="s">
        <v>2816</v>
      </c>
      <c r="I767" s="1" t="s">
        <v>218</v>
      </c>
      <c r="J767" s="1" t="s">
        <v>584</v>
      </c>
      <c r="K767" s="1" t="n">
        <v>83.05</v>
      </c>
      <c r="L767" s="1" t="n">
        <v>4.1</v>
      </c>
      <c r="M767" s="1" t="n">
        <v>43</v>
      </c>
      <c r="N767" s="4" t="b">
        <f aca="false">FALSE()</f>
        <v>0</v>
      </c>
      <c r="P767" s="4" t="b">
        <f aca="false">FALSE()</f>
        <v>0</v>
      </c>
      <c r="R767" s="1" t="s">
        <v>2716</v>
      </c>
      <c r="S767" s="1" t="s">
        <v>2817</v>
      </c>
      <c r="T767" s="1" t="s">
        <v>222</v>
      </c>
      <c r="U767" s="1" t="s">
        <v>2102</v>
      </c>
    </row>
    <row r="768" customFormat="false" ht="48" hidden="false" customHeight="true" outlineLevel="0" collapsed="false">
      <c r="A768" s="1" t="s">
        <v>45</v>
      </c>
      <c r="B768" s="1" t="s">
        <v>2097</v>
      </c>
      <c r="C768" s="1" t="s">
        <v>931</v>
      </c>
      <c r="D768" s="1" t="s">
        <v>932</v>
      </c>
      <c r="E768" s="1" t="n">
        <v>37</v>
      </c>
      <c r="F768" s="1" t="s">
        <v>2818</v>
      </c>
      <c r="G768" s="1" t="s">
        <v>236</v>
      </c>
      <c r="H768" s="1" t="s">
        <v>2819</v>
      </c>
      <c r="I768" s="1" t="s">
        <v>402</v>
      </c>
      <c r="J768" s="1" t="s">
        <v>689</v>
      </c>
      <c r="L768" s="1" t="n">
        <v>5</v>
      </c>
      <c r="M768" s="1" t="n">
        <v>1</v>
      </c>
      <c r="N768" s="4" t="b">
        <f aca="false">FALSE()</f>
        <v>0</v>
      </c>
      <c r="P768" s="4" t="b">
        <f aca="false">FALSE()</f>
        <v>0</v>
      </c>
      <c r="R768" s="1" t="s">
        <v>2716</v>
      </c>
      <c r="S768" s="1" t="s">
        <v>2820</v>
      </c>
      <c r="T768" s="1" t="s">
        <v>222</v>
      </c>
      <c r="U768" s="1" t="s">
        <v>2102</v>
      </c>
    </row>
    <row r="769" customFormat="false" ht="48" hidden="false" customHeight="true" outlineLevel="0" collapsed="false">
      <c r="A769" s="1" t="s">
        <v>45</v>
      </c>
      <c r="B769" s="1" t="s">
        <v>2097</v>
      </c>
      <c r="C769" s="1" t="s">
        <v>931</v>
      </c>
      <c r="D769" s="1" t="s">
        <v>932</v>
      </c>
      <c r="E769" s="1" t="n">
        <v>38</v>
      </c>
      <c r="F769" s="1" t="s">
        <v>2821</v>
      </c>
      <c r="G769" s="1" t="s">
        <v>236</v>
      </c>
      <c r="H769" s="1" t="s">
        <v>2822</v>
      </c>
      <c r="I769" s="1" t="s">
        <v>218</v>
      </c>
      <c r="J769" s="1" t="s">
        <v>597</v>
      </c>
      <c r="K769" s="1" t="n">
        <v>36.32</v>
      </c>
      <c r="L769" s="1" t="n">
        <v>4.3</v>
      </c>
      <c r="M769" s="1" t="n">
        <v>448</v>
      </c>
      <c r="N769" s="4" t="b">
        <f aca="false">FALSE()</f>
        <v>0</v>
      </c>
      <c r="P769" s="4" t="b">
        <f aca="false">FALSE()</f>
        <v>0</v>
      </c>
      <c r="R769" s="1" t="s">
        <v>2716</v>
      </c>
      <c r="S769" s="1" t="s">
        <v>2823</v>
      </c>
      <c r="T769" s="1" t="s">
        <v>222</v>
      </c>
      <c r="U769" s="1" t="s">
        <v>2102</v>
      </c>
    </row>
    <row r="770" customFormat="false" ht="48" hidden="false" customHeight="true" outlineLevel="0" collapsed="false">
      <c r="A770" s="1" t="s">
        <v>45</v>
      </c>
      <c r="B770" s="1" t="s">
        <v>2097</v>
      </c>
      <c r="C770" s="1" t="s">
        <v>931</v>
      </c>
      <c r="D770" s="1" t="s">
        <v>932</v>
      </c>
      <c r="E770" s="1" t="n">
        <v>39</v>
      </c>
      <c r="F770" s="1" t="s">
        <v>2824</v>
      </c>
      <c r="G770" s="1" t="s">
        <v>236</v>
      </c>
      <c r="H770" s="1" t="s">
        <v>2825</v>
      </c>
      <c r="I770" s="1" t="s">
        <v>218</v>
      </c>
      <c r="J770" s="1" t="s">
        <v>310</v>
      </c>
      <c r="K770" s="1" t="n">
        <v>43.69</v>
      </c>
      <c r="L770" s="1" t="n">
        <v>4.6</v>
      </c>
      <c r="M770" s="1" t="n">
        <v>26700</v>
      </c>
      <c r="N770" s="4" t="b">
        <f aca="false">FALSE()</f>
        <v>0</v>
      </c>
      <c r="P770" s="4" t="b">
        <f aca="false">FALSE()</f>
        <v>0</v>
      </c>
      <c r="R770" s="1" t="s">
        <v>2716</v>
      </c>
      <c r="S770" s="1" t="s">
        <v>2826</v>
      </c>
      <c r="T770" s="1" t="s">
        <v>222</v>
      </c>
      <c r="U770" s="1" t="s">
        <v>2102</v>
      </c>
    </row>
    <row r="771" customFormat="false" ht="48" hidden="false" customHeight="true" outlineLevel="0" collapsed="false">
      <c r="A771" s="1" t="s">
        <v>45</v>
      </c>
      <c r="B771" s="1" t="s">
        <v>2097</v>
      </c>
      <c r="C771" s="1" t="s">
        <v>931</v>
      </c>
      <c r="D771" s="1" t="s">
        <v>932</v>
      </c>
      <c r="E771" s="1" t="n">
        <v>40</v>
      </c>
      <c r="F771" s="1" t="s">
        <v>2827</v>
      </c>
      <c r="G771" s="1" t="s">
        <v>236</v>
      </c>
      <c r="H771" s="1" t="s">
        <v>2828</v>
      </c>
      <c r="I771" s="1" t="s">
        <v>402</v>
      </c>
      <c r="J771" s="1" t="s">
        <v>597</v>
      </c>
      <c r="L771" s="1" t="n">
        <v>3.9</v>
      </c>
      <c r="M771" s="1" t="n">
        <v>430</v>
      </c>
      <c r="N771" s="4" t="b">
        <f aca="false">FALSE()</f>
        <v>0</v>
      </c>
      <c r="P771" s="4" t="b">
        <f aca="false">FALSE()</f>
        <v>0</v>
      </c>
      <c r="R771" s="1" t="s">
        <v>2716</v>
      </c>
      <c r="S771" s="1" t="s">
        <v>2829</v>
      </c>
      <c r="T771" s="1" t="s">
        <v>222</v>
      </c>
      <c r="U771" s="1" t="s">
        <v>2102</v>
      </c>
    </row>
    <row r="772" customFormat="false" ht="48" hidden="false" customHeight="true" outlineLevel="0" collapsed="false">
      <c r="A772" s="1" t="s">
        <v>45</v>
      </c>
      <c r="B772" s="1" t="s">
        <v>2097</v>
      </c>
      <c r="C772" s="1" t="s">
        <v>931</v>
      </c>
      <c r="D772" s="1" t="s">
        <v>932</v>
      </c>
      <c r="E772" s="1" t="n">
        <v>41</v>
      </c>
      <c r="F772" s="1" t="s">
        <v>2830</v>
      </c>
      <c r="G772" s="1" t="s">
        <v>236</v>
      </c>
      <c r="H772" s="1" t="s">
        <v>2831</v>
      </c>
      <c r="I772" s="1" t="s">
        <v>2323</v>
      </c>
      <c r="J772" s="1" t="s">
        <v>597</v>
      </c>
      <c r="L772" s="1" t="n">
        <v>4.3</v>
      </c>
      <c r="M772" s="1" t="n">
        <v>60</v>
      </c>
      <c r="N772" s="4" t="b">
        <f aca="false">FALSE()</f>
        <v>0</v>
      </c>
      <c r="P772" s="4" t="b">
        <f aca="false">FALSE()</f>
        <v>0</v>
      </c>
      <c r="R772" s="1" t="s">
        <v>2716</v>
      </c>
      <c r="S772" s="1" t="s">
        <v>2832</v>
      </c>
      <c r="T772" s="1" t="s">
        <v>222</v>
      </c>
      <c r="U772" s="1" t="s">
        <v>2102</v>
      </c>
    </row>
    <row r="773" customFormat="false" ht="48" hidden="false" customHeight="true" outlineLevel="0" collapsed="false">
      <c r="A773" s="1" t="s">
        <v>45</v>
      </c>
      <c r="B773" s="1" t="s">
        <v>2097</v>
      </c>
      <c r="C773" s="1" t="s">
        <v>931</v>
      </c>
      <c r="D773" s="1" t="s">
        <v>932</v>
      </c>
      <c r="E773" s="1" t="n">
        <v>42</v>
      </c>
      <c r="F773" s="1" t="s">
        <v>2833</v>
      </c>
      <c r="G773" s="1" t="s">
        <v>236</v>
      </c>
      <c r="H773" s="1" t="s">
        <v>2834</v>
      </c>
      <c r="I773" s="1" t="s">
        <v>2323</v>
      </c>
      <c r="J773" s="1" t="s">
        <v>371</v>
      </c>
      <c r="L773" s="1" t="n">
        <v>4.4</v>
      </c>
      <c r="M773" s="1" t="n">
        <v>383</v>
      </c>
      <c r="N773" s="4" t="b">
        <f aca="false">FALSE()</f>
        <v>0</v>
      </c>
      <c r="P773" s="4" t="b">
        <f aca="false">FALSE()</f>
        <v>0</v>
      </c>
      <c r="R773" s="1" t="s">
        <v>2716</v>
      </c>
      <c r="S773" s="1" t="s">
        <v>2835</v>
      </c>
      <c r="T773" s="1" t="s">
        <v>222</v>
      </c>
      <c r="U773" s="1" t="s">
        <v>2102</v>
      </c>
    </row>
    <row r="774" customFormat="false" ht="48" hidden="false" customHeight="true" outlineLevel="0" collapsed="false">
      <c r="A774" s="1" t="s">
        <v>45</v>
      </c>
      <c r="B774" s="1" t="s">
        <v>2097</v>
      </c>
      <c r="C774" s="1" t="s">
        <v>931</v>
      </c>
      <c r="D774" s="1" t="s">
        <v>932</v>
      </c>
      <c r="E774" s="1" t="n">
        <v>43</v>
      </c>
      <c r="F774" s="1" t="s">
        <v>2836</v>
      </c>
      <c r="G774" s="1" t="s">
        <v>236</v>
      </c>
      <c r="H774" s="1" t="s">
        <v>2837</v>
      </c>
      <c r="I774" s="1" t="s">
        <v>231</v>
      </c>
      <c r="J774" s="1" t="s">
        <v>371</v>
      </c>
      <c r="L774" s="1" t="n">
        <v>4</v>
      </c>
      <c r="M774" s="1" t="n">
        <v>11</v>
      </c>
      <c r="N774" s="4" t="b">
        <f aca="false">FALSE()</f>
        <v>0</v>
      </c>
      <c r="P774" s="4" t="b">
        <f aca="false">FALSE()</f>
        <v>0</v>
      </c>
      <c r="R774" s="1" t="s">
        <v>2716</v>
      </c>
      <c r="S774" s="1" t="s">
        <v>2838</v>
      </c>
      <c r="T774" s="1" t="s">
        <v>222</v>
      </c>
      <c r="U774" s="1" t="s">
        <v>2102</v>
      </c>
    </row>
    <row r="775" customFormat="false" ht="48" hidden="false" customHeight="true" outlineLevel="0" collapsed="false">
      <c r="A775" s="1" t="s">
        <v>45</v>
      </c>
      <c r="B775" s="1" t="s">
        <v>2097</v>
      </c>
      <c r="C775" s="1" t="s">
        <v>931</v>
      </c>
      <c r="D775" s="1" t="s">
        <v>932</v>
      </c>
      <c r="E775" s="1" t="n">
        <v>44</v>
      </c>
      <c r="F775" s="1" t="s">
        <v>2839</v>
      </c>
      <c r="G775" s="1" t="s">
        <v>236</v>
      </c>
      <c r="H775" s="1" t="s">
        <v>2840</v>
      </c>
      <c r="I775" s="1" t="s">
        <v>231</v>
      </c>
      <c r="J775" s="1" t="s">
        <v>597</v>
      </c>
      <c r="K775" s="1" t="n">
        <v>78.21</v>
      </c>
      <c r="L775" s="1" t="n">
        <v>4.6</v>
      </c>
      <c r="M775" s="1" t="n">
        <v>68</v>
      </c>
      <c r="N775" s="4" t="b">
        <f aca="false">FALSE()</f>
        <v>0</v>
      </c>
      <c r="P775" s="4" t="b">
        <f aca="false">FALSE()</f>
        <v>0</v>
      </c>
      <c r="R775" s="1" t="s">
        <v>2716</v>
      </c>
      <c r="S775" s="1" t="s">
        <v>2841</v>
      </c>
      <c r="T775" s="1" t="s">
        <v>222</v>
      </c>
      <c r="U775" s="1" t="s">
        <v>2102</v>
      </c>
    </row>
    <row r="776" customFormat="false" ht="48" hidden="false" customHeight="true" outlineLevel="0" collapsed="false">
      <c r="A776" s="1" t="s">
        <v>45</v>
      </c>
      <c r="B776" s="1" t="s">
        <v>2097</v>
      </c>
      <c r="C776" s="1" t="s">
        <v>931</v>
      </c>
      <c r="D776" s="1" t="s">
        <v>932</v>
      </c>
      <c r="E776" s="1" t="n">
        <v>45</v>
      </c>
      <c r="F776" s="1" t="s">
        <v>2842</v>
      </c>
      <c r="G776" s="1" t="s">
        <v>236</v>
      </c>
      <c r="H776" s="1" t="s">
        <v>2843</v>
      </c>
      <c r="I776" s="1" t="s">
        <v>378</v>
      </c>
      <c r="J776" s="1" t="s">
        <v>310</v>
      </c>
      <c r="L776" s="1" t="n">
        <v>4.5</v>
      </c>
      <c r="M776" s="1" t="n">
        <v>14000</v>
      </c>
      <c r="N776" s="4" t="b">
        <f aca="false">FALSE()</f>
        <v>0</v>
      </c>
      <c r="P776" s="4" t="b">
        <f aca="false">FALSE()</f>
        <v>0</v>
      </c>
      <c r="R776" s="1" t="s">
        <v>2716</v>
      </c>
      <c r="S776" s="1" t="s">
        <v>2844</v>
      </c>
      <c r="T776" s="1" t="s">
        <v>222</v>
      </c>
      <c r="U776" s="1" t="s">
        <v>2102</v>
      </c>
    </row>
    <row r="777" customFormat="false" ht="48" hidden="false" customHeight="true" outlineLevel="0" collapsed="false">
      <c r="A777" s="1" t="s">
        <v>45</v>
      </c>
      <c r="B777" s="1" t="s">
        <v>2097</v>
      </c>
      <c r="C777" s="1" t="s">
        <v>931</v>
      </c>
      <c r="D777" s="1" t="s">
        <v>932</v>
      </c>
      <c r="E777" s="1" t="n">
        <v>46</v>
      </c>
      <c r="F777" s="1" t="s">
        <v>2845</v>
      </c>
      <c r="G777" s="1" t="s">
        <v>236</v>
      </c>
      <c r="H777" s="1" t="s">
        <v>2846</v>
      </c>
      <c r="I777" s="1" t="s">
        <v>402</v>
      </c>
      <c r="J777" s="1" t="s">
        <v>597</v>
      </c>
      <c r="L777" s="1" t="n">
        <v>4</v>
      </c>
      <c r="M777" s="1" t="n">
        <v>1</v>
      </c>
      <c r="N777" s="4" t="b">
        <f aca="false">FALSE()</f>
        <v>0</v>
      </c>
      <c r="P777" s="4" t="b">
        <f aca="false">FALSE()</f>
        <v>0</v>
      </c>
      <c r="R777" s="1" t="s">
        <v>2716</v>
      </c>
      <c r="S777" s="1" t="s">
        <v>2847</v>
      </c>
      <c r="T777" s="1" t="s">
        <v>222</v>
      </c>
      <c r="U777" s="1" t="s">
        <v>2102</v>
      </c>
    </row>
    <row r="778" customFormat="false" ht="48" hidden="false" customHeight="true" outlineLevel="0" collapsed="false">
      <c r="A778" s="1" t="s">
        <v>45</v>
      </c>
      <c r="B778" s="1" t="s">
        <v>2097</v>
      </c>
      <c r="C778" s="1" t="s">
        <v>931</v>
      </c>
      <c r="D778" s="1" t="s">
        <v>932</v>
      </c>
      <c r="E778" s="1" t="n">
        <v>47</v>
      </c>
      <c r="F778" s="1" t="s">
        <v>2848</v>
      </c>
      <c r="G778" s="1" t="s">
        <v>2252</v>
      </c>
      <c r="H778" s="1" t="s">
        <v>2849</v>
      </c>
      <c r="I778" s="1" t="s">
        <v>402</v>
      </c>
      <c r="J778" s="1" t="s">
        <v>371</v>
      </c>
      <c r="L778" s="1" t="n">
        <v>4.5</v>
      </c>
      <c r="M778" s="1" t="n">
        <v>2800</v>
      </c>
      <c r="N778" s="4" t="b">
        <f aca="false">FALSE()</f>
        <v>0</v>
      </c>
      <c r="P778" s="4" t="b">
        <f aca="false">FALSE()</f>
        <v>0</v>
      </c>
      <c r="R778" s="1" t="s">
        <v>2716</v>
      </c>
      <c r="S778" s="1" t="s">
        <v>2850</v>
      </c>
      <c r="T778" s="1" t="s">
        <v>222</v>
      </c>
      <c r="U778" s="1" t="s">
        <v>2102</v>
      </c>
    </row>
    <row r="779" customFormat="false" ht="48" hidden="false" customHeight="true" outlineLevel="0" collapsed="false">
      <c r="A779" s="1" t="s">
        <v>45</v>
      </c>
      <c r="B779" s="1" t="s">
        <v>2097</v>
      </c>
      <c r="C779" s="1" t="s">
        <v>931</v>
      </c>
      <c r="D779" s="1" t="s">
        <v>932</v>
      </c>
      <c r="E779" s="1" t="n">
        <v>48</v>
      </c>
      <c r="F779" s="1" t="s">
        <v>2851</v>
      </c>
      <c r="G779" s="1" t="s">
        <v>236</v>
      </c>
      <c r="H779" s="1" t="s">
        <v>2852</v>
      </c>
      <c r="I779" s="1" t="s">
        <v>2323</v>
      </c>
      <c r="J779" s="1" t="s">
        <v>310</v>
      </c>
      <c r="K779" s="1" t="n">
        <v>15.9</v>
      </c>
      <c r="L779" s="1" t="n">
        <v>4.5</v>
      </c>
      <c r="M779" s="1" t="n">
        <v>5800</v>
      </c>
      <c r="N779" s="4" t="b">
        <f aca="false">FALSE()</f>
        <v>0</v>
      </c>
      <c r="O779" s="1" t="s">
        <v>2853</v>
      </c>
      <c r="P779" s="4" t="b">
        <f aca="false">FALSE()</f>
        <v>0</v>
      </c>
      <c r="Q779" s="1" t="s">
        <v>251</v>
      </c>
      <c r="R779" s="1" t="s">
        <v>2716</v>
      </c>
      <c r="S779" s="1" t="s">
        <v>2854</v>
      </c>
      <c r="T779" s="1" t="s">
        <v>222</v>
      </c>
      <c r="U779" s="1" t="s">
        <v>2102</v>
      </c>
    </row>
    <row r="780" customFormat="false" ht="48" hidden="false" customHeight="true" outlineLevel="0" collapsed="false">
      <c r="A780" s="1" t="s">
        <v>45</v>
      </c>
      <c r="B780" s="1" t="s">
        <v>2097</v>
      </c>
      <c r="C780" s="1" t="s">
        <v>1100</v>
      </c>
      <c r="D780" s="1" t="s">
        <v>1101</v>
      </c>
      <c r="E780" s="1" t="n">
        <v>1</v>
      </c>
      <c r="F780" s="1" t="s">
        <v>2855</v>
      </c>
      <c r="G780" s="1" t="s">
        <v>236</v>
      </c>
      <c r="H780" s="1" t="s">
        <v>2856</v>
      </c>
      <c r="I780" s="1" t="s">
        <v>242</v>
      </c>
      <c r="J780" s="1" t="s">
        <v>1104</v>
      </c>
      <c r="K780" s="1" t="n">
        <v>47.42</v>
      </c>
      <c r="N780" s="4" t="b">
        <f aca="false">FALSE()</f>
        <v>0</v>
      </c>
      <c r="P780" s="4" t="b">
        <f aca="false">TRUE()</f>
        <v>1</v>
      </c>
      <c r="R780" s="1" t="s">
        <v>2857</v>
      </c>
      <c r="S780" s="1" t="s">
        <v>2858</v>
      </c>
      <c r="T780" s="1" t="s">
        <v>222</v>
      </c>
      <c r="U780" s="1" t="s">
        <v>2102</v>
      </c>
    </row>
    <row r="781" customFormat="false" ht="48" hidden="false" customHeight="true" outlineLevel="0" collapsed="false">
      <c r="A781" s="1" t="s">
        <v>45</v>
      </c>
      <c r="B781" s="1" t="s">
        <v>2097</v>
      </c>
      <c r="C781" s="1" t="s">
        <v>1100</v>
      </c>
      <c r="D781" s="1" t="s">
        <v>1101</v>
      </c>
      <c r="E781" s="1" t="n">
        <v>2</v>
      </c>
      <c r="F781" s="1" t="s">
        <v>2859</v>
      </c>
      <c r="G781" s="1" t="s">
        <v>236</v>
      </c>
      <c r="H781" s="1" t="s">
        <v>2860</v>
      </c>
      <c r="I781" s="1" t="s">
        <v>242</v>
      </c>
      <c r="J781" s="1" t="s">
        <v>1104</v>
      </c>
      <c r="K781" s="1" t="n">
        <v>35.66</v>
      </c>
      <c r="L781" s="1" t="n">
        <v>5</v>
      </c>
      <c r="M781" s="1" t="n">
        <v>7</v>
      </c>
      <c r="N781" s="4" t="b">
        <f aca="false">FALSE()</f>
        <v>0</v>
      </c>
      <c r="P781" s="4" t="b">
        <f aca="false">TRUE()</f>
        <v>1</v>
      </c>
      <c r="R781" s="1" t="s">
        <v>2857</v>
      </c>
      <c r="S781" s="1" t="s">
        <v>2861</v>
      </c>
      <c r="T781" s="1" t="s">
        <v>222</v>
      </c>
      <c r="U781" s="1" t="s">
        <v>2102</v>
      </c>
    </row>
    <row r="782" customFormat="false" ht="48" hidden="false" customHeight="true" outlineLevel="0" collapsed="false">
      <c r="A782" s="1" t="s">
        <v>45</v>
      </c>
      <c r="B782" s="1" t="s">
        <v>2097</v>
      </c>
      <c r="C782" s="1" t="s">
        <v>1100</v>
      </c>
      <c r="D782" s="1" t="s">
        <v>1101</v>
      </c>
      <c r="E782" s="1" t="n">
        <v>3</v>
      </c>
      <c r="F782" s="1" t="s">
        <v>2862</v>
      </c>
      <c r="G782" s="1" t="s">
        <v>236</v>
      </c>
      <c r="H782" s="1" t="s">
        <v>2863</v>
      </c>
      <c r="I782" s="1" t="s">
        <v>242</v>
      </c>
      <c r="J782" s="1" t="s">
        <v>1104</v>
      </c>
      <c r="K782" s="1" t="n">
        <v>52.33</v>
      </c>
      <c r="L782" s="1" t="n">
        <v>4.2</v>
      </c>
      <c r="M782" s="1" t="n">
        <v>148</v>
      </c>
      <c r="N782" s="4" t="b">
        <f aca="false">FALSE()</f>
        <v>0</v>
      </c>
      <c r="P782" s="4" t="b">
        <f aca="false">TRUE()</f>
        <v>1</v>
      </c>
      <c r="R782" s="1" t="s">
        <v>2857</v>
      </c>
      <c r="S782" s="1" t="s">
        <v>2864</v>
      </c>
      <c r="T782" s="1" t="s">
        <v>222</v>
      </c>
      <c r="U782" s="1" t="s">
        <v>2102</v>
      </c>
    </row>
    <row r="783" customFormat="false" ht="48" hidden="false" customHeight="true" outlineLevel="0" collapsed="false">
      <c r="A783" s="1" t="s">
        <v>45</v>
      </c>
      <c r="B783" s="1" t="s">
        <v>2097</v>
      </c>
      <c r="C783" s="1" t="s">
        <v>1100</v>
      </c>
      <c r="D783" s="1" t="s">
        <v>1101</v>
      </c>
      <c r="E783" s="1" t="n">
        <v>4</v>
      </c>
      <c r="F783" s="1" t="s">
        <v>2865</v>
      </c>
      <c r="G783" s="1" t="s">
        <v>236</v>
      </c>
      <c r="H783" s="1" t="s">
        <v>2866</v>
      </c>
      <c r="I783" s="1" t="s">
        <v>242</v>
      </c>
      <c r="J783" s="1" t="s">
        <v>1104</v>
      </c>
      <c r="K783" s="1" t="n">
        <v>44.54</v>
      </c>
      <c r="L783" s="1" t="n">
        <v>4.2</v>
      </c>
      <c r="M783" s="1" t="n">
        <v>9</v>
      </c>
      <c r="N783" s="4" t="b">
        <f aca="false">FALSE()</f>
        <v>0</v>
      </c>
      <c r="P783" s="4" t="b">
        <f aca="false">TRUE()</f>
        <v>1</v>
      </c>
      <c r="R783" s="1" t="s">
        <v>2857</v>
      </c>
      <c r="S783" s="1" t="s">
        <v>2867</v>
      </c>
      <c r="T783" s="1" t="s">
        <v>222</v>
      </c>
      <c r="U783" s="1" t="s">
        <v>2102</v>
      </c>
    </row>
    <row r="784" customFormat="false" ht="48" hidden="false" customHeight="true" outlineLevel="0" collapsed="false">
      <c r="A784" s="1" t="s">
        <v>45</v>
      </c>
      <c r="B784" s="1" t="s">
        <v>2097</v>
      </c>
      <c r="C784" s="1" t="s">
        <v>1100</v>
      </c>
      <c r="D784" s="1" t="s">
        <v>1101</v>
      </c>
      <c r="E784" s="1" t="n">
        <v>5</v>
      </c>
      <c r="F784" s="1" t="s">
        <v>2868</v>
      </c>
      <c r="G784" s="1" t="s">
        <v>236</v>
      </c>
      <c r="H784" s="1" t="s">
        <v>2869</v>
      </c>
      <c r="I784" s="1" t="s">
        <v>231</v>
      </c>
      <c r="J784" s="1" t="s">
        <v>1104</v>
      </c>
      <c r="K784" s="1" t="n">
        <v>64.19</v>
      </c>
      <c r="L784" s="1" t="n">
        <v>4.2</v>
      </c>
      <c r="M784" s="1" t="n">
        <v>148</v>
      </c>
      <c r="N784" s="4" t="b">
        <f aca="false">FALSE()</f>
        <v>0</v>
      </c>
      <c r="P784" s="4" t="b">
        <f aca="false">TRUE()</f>
        <v>1</v>
      </c>
      <c r="R784" s="1" t="s">
        <v>2857</v>
      </c>
      <c r="S784" s="1" t="s">
        <v>2870</v>
      </c>
      <c r="T784" s="1" t="s">
        <v>222</v>
      </c>
      <c r="U784" s="1" t="s">
        <v>2102</v>
      </c>
    </row>
    <row r="785" customFormat="false" ht="48" hidden="false" customHeight="true" outlineLevel="0" collapsed="false">
      <c r="A785" s="1" t="s">
        <v>45</v>
      </c>
      <c r="B785" s="1" t="s">
        <v>2097</v>
      </c>
      <c r="C785" s="1" t="s">
        <v>1100</v>
      </c>
      <c r="D785" s="1" t="s">
        <v>1101</v>
      </c>
      <c r="E785" s="1" t="n">
        <v>6</v>
      </c>
      <c r="F785" s="1" t="s">
        <v>2871</v>
      </c>
      <c r="G785" s="1" t="s">
        <v>236</v>
      </c>
      <c r="H785" s="1" t="s">
        <v>2872</v>
      </c>
      <c r="I785" s="1" t="s">
        <v>242</v>
      </c>
      <c r="J785" s="1" t="s">
        <v>310</v>
      </c>
      <c r="K785" s="1" t="n">
        <v>72.62</v>
      </c>
      <c r="L785" s="1" t="n">
        <v>4.2</v>
      </c>
      <c r="M785" s="1" t="n">
        <v>781</v>
      </c>
      <c r="N785" s="4" t="b">
        <f aca="false">FALSE()</f>
        <v>0</v>
      </c>
      <c r="P785" s="4" t="b">
        <f aca="false">TRUE()</f>
        <v>1</v>
      </c>
      <c r="R785" s="1" t="s">
        <v>2857</v>
      </c>
      <c r="S785" s="1" t="s">
        <v>2873</v>
      </c>
      <c r="T785" s="1" t="s">
        <v>222</v>
      </c>
      <c r="U785" s="1" t="s">
        <v>2102</v>
      </c>
    </row>
    <row r="786" customFormat="false" ht="48" hidden="false" customHeight="true" outlineLevel="0" collapsed="false">
      <c r="A786" s="1" t="s">
        <v>45</v>
      </c>
      <c r="B786" s="1" t="s">
        <v>2097</v>
      </c>
      <c r="C786" s="1" t="s">
        <v>1100</v>
      </c>
      <c r="D786" s="1" t="s">
        <v>1101</v>
      </c>
      <c r="E786" s="1" t="n">
        <v>7</v>
      </c>
      <c r="F786" s="1" t="s">
        <v>2874</v>
      </c>
      <c r="G786" s="1" t="s">
        <v>236</v>
      </c>
      <c r="H786" s="1" t="s">
        <v>2875</v>
      </c>
      <c r="I786" s="1" t="s">
        <v>218</v>
      </c>
      <c r="J786" s="1" t="s">
        <v>1104</v>
      </c>
      <c r="K786" s="1" t="n">
        <v>87.8</v>
      </c>
      <c r="L786" s="1" t="n">
        <v>4.2</v>
      </c>
      <c r="M786" s="1" t="n">
        <v>326</v>
      </c>
      <c r="N786" s="4" t="b">
        <f aca="false">FALSE()</f>
        <v>0</v>
      </c>
      <c r="P786" s="4" t="b">
        <f aca="false">TRUE()</f>
        <v>1</v>
      </c>
      <c r="R786" s="1" t="s">
        <v>2857</v>
      </c>
      <c r="S786" s="1" t="s">
        <v>2876</v>
      </c>
      <c r="T786" s="1" t="s">
        <v>222</v>
      </c>
      <c r="U786" s="1" t="s">
        <v>2102</v>
      </c>
    </row>
    <row r="787" customFormat="false" ht="48" hidden="false" customHeight="true" outlineLevel="0" collapsed="false">
      <c r="A787" s="1" t="s">
        <v>45</v>
      </c>
      <c r="B787" s="1" t="s">
        <v>2097</v>
      </c>
      <c r="C787" s="1" t="s">
        <v>1100</v>
      </c>
      <c r="D787" s="1" t="s">
        <v>1101</v>
      </c>
      <c r="E787" s="1" t="n">
        <v>8</v>
      </c>
      <c r="F787" s="1" t="s">
        <v>2877</v>
      </c>
      <c r="G787" s="1" t="s">
        <v>236</v>
      </c>
      <c r="H787" s="1" t="s">
        <v>2878</v>
      </c>
      <c r="I787" s="1" t="s">
        <v>231</v>
      </c>
      <c r="J787" s="1" t="s">
        <v>1104</v>
      </c>
      <c r="K787" s="1" t="n">
        <v>67.76</v>
      </c>
      <c r="L787" s="1" t="n">
        <v>4.2</v>
      </c>
      <c r="M787" s="1" t="n">
        <v>148</v>
      </c>
      <c r="N787" s="4" t="b">
        <f aca="false">FALSE()</f>
        <v>0</v>
      </c>
      <c r="P787" s="4" t="b">
        <f aca="false">TRUE()</f>
        <v>1</v>
      </c>
      <c r="R787" s="1" t="s">
        <v>2857</v>
      </c>
      <c r="S787" s="1" t="s">
        <v>2879</v>
      </c>
      <c r="T787" s="1" t="s">
        <v>222</v>
      </c>
      <c r="U787" s="1" t="s">
        <v>2102</v>
      </c>
    </row>
    <row r="788" customFormat="false" ht="48" hidden="false" customHeight="true" outlineLevel="0" collapsed="false">
      <c r="A788" s="1" t="s">
        <v>45</v>
      </c>
      <c r="B788" s="1" t="s">
        <v>2097</v>
      </c>
      <c r="C788" s="1" t="s">
        <v>1100</v>
      </c>
      <c r="D788" s="1" t="s">
        <v>1101</v>
      </c>
      <c r="E788" s="1" t="n">
        <v>9</v>
      </c>
      <c r="F788" s="1" t="s">
        <v>2880</v>
      </c>
      <c r="G788" s="1" t="s">
        <v>236</v>
      </c>
      <c r="H788" s="1" t="s">
        <v>2881</v>
      </c>
      <c r="I788" s="1" t="s">
        <v>231</v>
      </c>
      <c r="J788" s="1" t="s">
        <v>310</v>
      </c>
      <c r="K788" s="1" t="n">
        <v>113.39</v>
      </c>
      <c r="L788" s="1" t="n">
        <v>4.4</v>
      </c>
      <c r="M788" s="1" t="n">
        <v>490</v>
      </c>
      <c r="N788" s="4" t="b">
        <f aca="false">FALSE()</f>
        <v>0</v>
      </c>
      <c r="P788" s="4" t="b">
        <f aca="false">TRUE()</f>
        <v>1</v>
      </c>
      <c r="R788" s="1" t="s">
        <v>2857</v>
      </c>
      <c r="S788" s="1" t="s">
        <v>2882</v>
      </c>
      <c r="T788" s="1" t="s">
        <v>222</v>
      </c>
      <c r="U788" s="1" t="s">
        <v>2102</v>
      </c>
    </row>
    <row r="789" customFormat="false" ht="48" hidden="false" customHeight="true" outlineLevel="0" collapsed="false">
      <c r="A789" s="1" t="s">
        <v>45</v>
      </c>
      <c r="B789" s="1" t="s">
        <v>2097</v>
      </c>
      <c r="C789" s="1" t="s">
        <v>1100</v>
      </c>
      <c r="D789" s="1" t="s">
        <v>1101</v>
      </c>
      <c r="E789" s="1" t="n">
        <v>10</v>
      </c>
      <c r="F789" s="1" t="s">
        <v>2883</v>
      </c>
      <c r="G789" s="1" t="s">
        <v>236</v>
      </c>
      <c r="H789" s="1" t="s">
        <v>2884</v>
      </c>
      <c r="I789" s="1" t="s">
        <v>231</v>
      </c>
      <c r="J789" s="1" t="s">
        <v>1104</v>
      </c>
      <c r="K789" s="1" t="n">
        <v>78.07</v>
      </c>
      <c r="L789" s="1" t="n">
        <v>5</v>
      </c>
      <c r="M789" s="1" t="n">
        <v>1</v>
      </c>
      <c r="N789" s="4" t="b">
        <f aca="false">FALSE()</f>
        <v>0</v>
      </c>
      <c r="P789" s="4" t="b">
        <f aca="false">TRUE()</f>
        <v>1</v>
      </c>
      <c r="R789" s="1" t="s">
        <v>2857</v>
      </c>
      <c r="S789" s="1" t="s">
        <v>2885</v>
      </c>
      <c r="T789" s="1" t="s">
        <v>222</v>
      </c>
      <c r="U789" s="1" t="s">
        <v>2102</v>
      </c>
    </row>
    <row r="790" customFormat="false" ht="48" hidden="false" customHeight="true" outlineLevel="0" collapsed="false">
      <c r="A790" s="1" t="s">
        <v>45</v>
      </c>
      <c r="B790" s="1" t="s">
        <v>2097</v>
      </c>
      <c r="C790" s="1" t="s">
        <v>1100</v>
      </c>
      <c r="D790" s="1" t="s">
        <v>1101</v>
      </c>
      <c r="E790" s="1" t="n">
        <v>11</v>
      </c>
      <c r="F790" s="1" t="s">
        <v>2886</v>
      </c>
      <c r="G790" s="1" t="s">
        <v>236</v>
      </c>
      <c r="H790" s="1" t="s">
        <v>2887</v>
      </c>
      <c r="I790" s="1" t="s">
        <v>231</v>
      </c>
      <c r="J790" s="1" t="s">
        <v>1104</v>
      </c>
      <c r="K790" s="1" t="n">
        <v>78.82</v>
      </c>
      <c r="L790" s="1" t="n">
        <v>4.3</v>
      </c>
      <c r="M790" s="1" t="n">
        <v>58</v>
      </c>
      <c r="N790" s="4" t="b">
        <f aca="false">FALSE()</f>
        <v>0</v>
      </c>
      <c r="P790" s="4" t="b">
        <f aca="false">TRUE()</f>
        <v>1</v>
      </c>
      <c r="R790" s="1" t="s">
        <v>2857</v>
      </c>
      <c r="S790" s="1" t="s">
        <v>2888</v>
      </c>
      <c r="T790" s="1" t="s">
        <v>222</v>
      </c>
      <c r="U790" s="1" t="s">
        <v>2102</v>
      </c>
    </row>
    <row r="791" customFormat="false" ht="48" hidden="false" customHeight="true" outlineLevel="0" collapsed="false">
      <c r="A791" s="1" t="s">
        <v>45</v>
      </c>
      <c r="B791" s="1" t="s">
        <v>2097</v>
      </c>
      <c r="C791" s="1" t="s">
        <v>1100</v>
      </c>
      <c r="D791" s="1" t="s">
        <v>1101</v>
      </c>
      <c r="E791" s="1" t="n">
        <v>12</v>
      </c>
      <c r="F791" s="1" t="s">
        <v>2889</v>
      </c>
      <c r="G791" s="1" t="s">
        <v>236</v>
      </c>
      <c r="H791" s="1" t="s">
        <v>2890</v>
      </c>
      <c r="I791" s="1" t="s">
        <v>218</v>
      </c>
      <c r="J791" s="1" t="s">
        <v>597</v>
      </c>
      <c r="K791" s="1" t="n">
        <v>70.13</v>
      </c>
      <c r="L791" s="1" t="n">
        <v>4.1</v>
      </c>
      <c r="M791" s="1" t="n">
        <v>47</v>
      </c>
      <c r="N791" s="4" t="b">
        <f aca="false">FALSE()</f>
        <v>0</v>
      </c>
      <c r="P791" s="4" t="b">
        <f aca="false">TRUE()</f>
        <v>1</v>
      </c>
      <c r="R791" s="1" t="s">
        <v>2857</v>
      </c>
      <c r="S791" s="1" t="s">
        <v>2891</v>
      </c>
      <c r="T791" s="1" t="s">
        <v>222</v>
      </c>
      <c r="U791" s="1" t="s">
        <v>2102</v>
      </c>
    </row>
    <row r="792" customFormat="false" ht="48" hidden="false" customHeight="true" outlineLevel="0" collapsed="false">
      <c r="A792" s="1" t="s">
        <v>45</v>
      </c>
      <c r="B792" s="1" t="s">
        <v>2097</v>
      </c>
      <c r="C792" s="1" t="s">
        <v>1100</v>
      </c>
      <c r="D792" s="1" t="s">
        <v>1101</v>
      </c>
      <c r="E792" s="1" t="n">
        <v>13</v>
      </c>
      <c r="F792" s="1" t="s">
        <v>2892</v>
      </c>
      <c r="G792" s="1" t="s">
        <v>236</v>
      </c>
      <c r="H792" s="1" t="s">
        <v>2893</v>
      </c>
      <c r="I792" s="1" t="s">
        <v>218</v>
      </c>
      <c r="J792" s="1" t="s">
        <v>1104</v>
      </c>
      <c r="K792" s="1" t="n">
        <v>95.22</v>
      </c>
      <c r="L792" s="1" t="n">
        <v>5</v>
      </c>
      <c r="M792" s="1" t="n">
        <v>1</v>
      </c>
      <c r="N792" s="4" t="b">
        <f aca="false">FALSE()</f>
        <v>0</v>
      </c>
      <c r="P792" s="4" t="b">
        <f aca="false">TRUE()</f>
        <v>1</v>
      </c>
      <c r="R792" s="1" t="s">
        <v>2857</v>
      </c>
      <c r="S792" s="1" t="s">
        <v>2894</v>
      </c>
      <c r="T792" s="1" t="s">
        <v>222</v>
      </c>
      <c r="U792" s="1" t="s">
        <v>2102</v>
      </c>
    </row>
    <row r="793" customFormat="false" ht="48" hidden="false" customHeight="true" outlineLevel="0" collapsed="false">
      <c r="A793" s="1" t="s">
        <v>45</v>
      </c>
      <c r="B793" s="1" t="s">
        <v>2097</v>
      </c>
      <c r="C793" s="1" t="s">
        <v>1100</v>
      </c>
      <c r="D793" s="1" t="s">
        <v>1101</v>
      </c>
      <c r="E793" s="1" t="n">
        <v>14</v>
      </c>
      <c r="F793" s="1" t="s">
        <v>2895</v>
      </c>
      <c r="G793" s="1" t="s">
        <v>236</v>
      </c>
      <c r="H793" s="1" t="s">
        <v>2896</v>
      </c>
      <c r="I793" s="1" t="s">
        <v>218</v>
      </c>
      <c r="J793" s="1" t="s">
        <v>1104</v>
      </c>
      <c r="K793" s="1" t="n">
        <v>82.64</v>
      </c>
      <c r="L793" s="1" t="n">
        <v>4.4</v>
      </c>
      <c r="M793" s="1" t="n">
        <v>12</v>
      </c>
      <c r="N793" s="4" t="b">
        <f aca="false">FALSE()</f>
        <v>0</v>
      </c>
      <c r="P793" s="4" t="b">
        <f aca="false">TRUE()</f>
        <v>1</v>
      </c>
      <c r="R793" s="1" t="s">
        <v>2857</v>
      </c>
      <c r="S793" s="1" t="s">
        <v>2897</v>
      </c>
      <c r="T793" s="1" t="s">
        <v>222</v>
      </c>
      <c r="U793" s="1" t="s">
        <v>2102</v>
      </c>
    </row>
    <row r="794" customFormat="false" ht="48" hidden="false" customHeight="true" outlineLevel="0" collapsed="false">
      <c r="A794" s="1" t="s">
        <v>45</v>
      </c>
      <c r="B794" s="1" t="s">
        <v>2097</v>
      </c>
      <c r="C794" s="1" t="s">
        <v>1100</v>
      </c>
      <c r="D794" s="1" t="s">
        <v>1101</v>
      </c>
      <c r="E794" s="1" t="n">
        <v>15</v>
      </c>
      <c r="F794" s="1" t="s">
        <v>2898</v>
      </c>
      <c r="G794" s="1" t="s">
        <v>236</v>
      </c>
      <c r="H794" s="1" t="s">
        <v>2899</v>
      </c>
      <c r="I794" s="1" t="s">
        <v>218</v>
      </c>
      <c r="J794" s="1" t="s">
        <v>597</v>
      </c>
      <c r="K794" s="1" t="n">
        <v>52.74</v>
      </c>
      <c r="L794" s="1" t="n">
        <v>4.1</v>
      </c>
      <c r="M794" s="1" t="n">
        <v>47</v>
      </c>
      <c r="N794" s="4" t="b">
        <f aca="false">FALSE()</f>
        <v>0</v>
      </c>
      <c r="P794" s="4" t="b">
        <f aca="false">TRUE()</f>
        <v>1</v>
      </c>
      <c r="R794" s="1" t="s">
        <v>2857</v>
      </c>
      <c r="S794" s="1" t="s">
        <v>2900</v>
      </c>
      <c r="T794" s="1" t="s">
        <v>222</v>
      </c>
      <c r="U794" s="1" t="s">
        <v>2102</v>
      </c>
    </row>
    <row r="795" customFormat="false" ht="48" hidden="false" customHeight="true" outlineLevel="0" collapsed="false">
      <c r="A795" s="1" t="s">
        <v>45</v>
      </c>
      <c r="B795" s="1" t="s">
        <v>2097</v>
      </c>
      <c r="C795" s="1" t="s">
        <v>1100</v>
      </c>
      <c r="D795" s="1" t="s">
        <v>1101</v>
      </c>
      <c r="E795" s="1" t="n">
        <v>16</v>
      </c>
      <c r="F795" s="1" t="s">
        <v>2901</v>
      </c>
      <c r="G795" s="1" t="s">
        <v>236</v>
      </c>
      <c r="H795" s="1" t="s">
        <v>2902</v>
      </c>
      <c r="I795" s="1" t="s">
        <v>231</v>
      </c>
      <c r="J795" s="1" t="s">
        <v>1104</v>
      </c>
      <c r="K795" s="1" t="n">
        <v>61.32</v>
      </c>
      <c r="N795" s="4" t="b">
        <f aca="false">FALSE()</f>
        <v>0</v>
      </c>
      <c r="P795" s="4" t="b">
        <f aca="false">TRUE()</f>
        <v>1</v>
      </c>
      <c r="R795" s="1" t="s">
        <v>2857</v>
      </c>
      <c r="S795" s="1" t="s">
        <v>2903</v>
      </c>
      <c r="T795" s="1" t="s">
        <v>222</v>
      </c>
      <c r="U795" s="1" t="s">
        <v>2102</v>
      </c>
    </row>
    <row r="796" customFormat="false" ht="48" hidden="false" customHeight="true" outlineLevel="0" collapsed="false">
      <c r="A796" s="1" t="s">
        <v>45</v>
      </c>
      <c r="B796" s="1" t="s">
        <v>2097</v>
      </c>
      <c r="C796" s="1" t="s">
        <v>1100</v>
      </c>
      <c r="D796" s="1" t="s">
        <v>1101</v>
      </c>
      <c r="E796" s="1" t="n">
        <v>17</v>
      </c>
      <c r="F796" s="1" t="s">
        <v>2904</v>
      </c>
      <c r="G796" s="1" t="s">
        <v>236</v>
      </c>
      <c r="H796" s="1" t="s">
        <v>2905</v>
      </c>
      <c r="I796" s="1" t="s">
        <v>231</v>
      </c>
      <c r="J796" s="1" t="s">
        <v>1104</v>
      </c>
      <c r="K796" s="1" t="n">
        <v>87.47</v>
      </c>
      <c r="L796" s="1" t="n">
        <v>4.1</v>
      </c>
      <c r="M796" s="1" t="n">
        <v>10</v>
      </c>
      <c r="N796" s="4" t="b">
        <f aca="false">FALSE()</f>
        <v>0</v>
      </c>
      <c r="P796" s="4" t="b">
        <f aca="false">TRUE()</f>
        <v>1</v>
      </c>
      <c r="R796" s="1" t="s">
        <v>2857</v>
      </c>
      <c r="S796" s="1" t="s">
        <v>2906</v>
      </c>
      <c r="T796" s="1" t="s">
        <v>222</v>
      </c>
      <c r="U796" s="1" t="s">
        <v>2102</v>
      </c>
    </row>
    <row r="797" customFormat="false" ht="48" hidden="false" customHeight="true" outlineLevel="0" collapsed="false">
      <c r="A797" s="1" t="s">
        <v>45</v>
      </c>
      <c r="B797" s="1" t="s">
        <v>2097</v>
      </c>
      <c r="C797" s="1" t="s">
        <v>1100</v>
      </c>
      <c r="D797" s="1" t="s">
        <v>1101</v>
      </c>
      <c r="E797" s="1" t="n">
        <v>18</v>
      </c>
      <c r="F797" s="1" t="s">
        <v>2907</v>
      </c>
      <c r="G797" s="1" t="s">
        <v>236</v>
      </c>
      <c r="H797" s="1" t="s">
        <v>2908</v>
      </c>
      <c r="I797" s="1" t="s">
        <v>242</v>
      </c>
      <c r="J797" s="1" t="s">
        <v>1104</v>
      </c>
      <c r="K797" s="1" t="n">
        <v>57.88</v>
      </c>
      <c r="L797" s="1" t="n">
        <v>2.9</v>
      </c>
      <c r="M797" s="1" t="n">
        <v>156</v>
      </c>
      <c r="N797" s="4" t="b">
        <f aca="false">FALSE()</f>
        <v>0</v>
      </c>
      <c r="P797" s="4" t="b">
        <f aca="false">TRUE()</f>
        <v>1</v>
      </c>
      <c r="R797" s="1" t="s">
        <v>2857</v>
      </c>
      <c r="S797" s="1" t="s">
        <v>2909</v>
      </c>
      <c r="T797" s="1" t="s">
        <v>222</v>
      </c>
      <c r="U797" s="1" t="s">
        <v>2102</v>
      </c>
    </row>
    <row r="798" customFormat="false" ht="48" hidden="false" customHeight="true" outlineLevel="0" collapsed="false">
      <c r="A798" s="1" t="s">
        <v>45</v>
      </c>
      <c r="B798" s="1" t="s">
        <v>2097</v>
      </c>
      <c r="C798" s="1" t="s">
        <v>1100</v>
      </c>
      <c r="D798" s="1" t="s">
        <v>1101</v>
      </c>
      <c r="E798" s="1" t="n">
        <v>19</v>
      </c>
      <c r="F798" s="1" t="s">
        <v>2910</v>
      </c>
      <c r="G798" s="1" t="s">
        <v>236</v>
      </c>
      <c r="H798" s="1" t="s">
        <v>2911</v>
      </c>
      <c r="I798" s="1" t="s">
        <v>218</v>
      </c>
      <c r="J798" s="1" t="s">
        <v>1104</v>
      </c>
      <c r="K798" s="1" t="n">
        <v>103.36</v>
      </c>
      <c r="L798" s="1" t="n">
        <v>3.5</v>
      </c>
      <c r="M798" s="1" t="n">
        <v>3</v>
      </c>
      <c r="N798" s="4" t="b">
        <f aca="false">FALSE()</f>
        <v>0</v>
      </c>
      <c r="P798" s="4" t="b">
        <f aca="false">TRUE()</f>
        <v>1</v>
      </c>
      <c r="R798" s="1" t="s">
        <v>2857</v>
      </c>
      <c r="S798" s="1" t="s">
        <v>2912</v>
      </c>
      <c r="T798" s="1" t="s">
        <v>222</v>
      </c>
      <c r="U798" s="1" t="s">
        <v>2102</v>
      </c>
    </row>
    <row r="799" customFormat="false" ht="48" hidden="false" customHeight="true" outlineLevel="0" collapsed="false">
      <c r="A799" s="1" t="s">
        <v>45</v>
      </c>
      <c r="B799" s="1" t="s">
        <v>2097</v>
      </c>
      <c r="C799" s="1" t="s">
        <v>1100</v>
      </c>
      <c r="D799" s="1" t="s">
        <v>1101</v>
      </c>
      <c r="E799" s="1" t="n">
        <v>20</v>
      </c>
      <c r="F799" s="1" t="s">
        <v>2913</v>
      </c>
      <c r="G799" s="1" t="s">
        <v>236</v>
      </c>
      <c r="H799" s="1" t="s">
        <v>2914</v>
      </c>
      <c r="I799" s="1" t="s">
        <v>231</v>
      </c>
      <c r="J799" s="1" t="s">
        <v>1104</v>
      </c>
      <c r="K799" s="1" t="n">
        <v>132.54</v>
      </c>
      <c r="L799" s="1" t="n">
        <v>4.2</v>
      </c>
      <c r="M799" s="1" t="n">
        <v>84</v>
      </c>
      <c r="N799" s="4" t="b">
        <f aca="false">FALSE()</f>
        <v>0</v>
      </c>
      <c r="P799" s="4" t="b">
        <f aca="false">TRUE()</f>
        <v>1</v>
      </c>
      <c r="R799" s="1" t="s">
        <v>2857</v>
      </c>
      <c r="S799" s="1" t="s">
        <v>2915</v>
      </c>
      <c r="T799" s="1" t="s">
        <v>222</v>
      </c>
      <c r="U799" s="1" t="s">
        <v>2102</v>
      </c>
    </row>
    <row r="800" customFormat="false" ht="48" hidden="false" customHeight="true" outlineLevel="0" collapsed="false">
      <c r="A800" s="1" t="s">
        <v>45</v>
      </c>
      <c r="B800" s="1" t="s">
        <v>2097</v>
      </c>
      <c r="C800" s="1" t="s">
        <v>1100</v>
      </c>
      <c r="D800" s="1" t="s">
        <v>1101</v>
      </c>
      <c r="E800" s="1" t="n">
        <v>21</v>
      </c>
      <c r="F800" s="1" t="s">
        <v>2916</v>
      </c>
      <c r="G800" s="1" t="s">
        <v>236</v>
      </c>
      <c r="H800" s="1" t="s">
        <v>1173</v>
      </c>
      <c r="I800" s="1" t="s">
        <v>306</v>
      </c>
      <c r="J800" s="1" t="s">
        <v>1104</v>
      </c>
      <c r="K800" s="1" t="n">
        <v>105.94</v>
      </c>
      <c r="L800" s="1" t="n">
        <v>3.7</v>
      </c>
      <c r="M800" s="1" t="n">
        <v>39</v>
      </c>
      <c r="N800" s="4" t="b">
        <f aca="false">FALSE()</f>
        <v>0</v>
      </c>
      <c r="P800" s="4" t="b">
        <f aca="false">TRUE()</f>
        <v>1</v>
      </c>
      <c r="R800" s="1" t="s">
        <v>2857</v>
      </c>
      <c r="S800" s="1" t="s">
        <v>2917</v>
      </c>
      <c r="T800" s="1" t="s">
        <v>222</v>
      </c>
      <c r="U800" s="1" t="s">
        <v>2102</v>
      </c>
    </row>
    <row r="801" customFormat="false" ht="48" hidden="false" customHeight="true" outlineLevel="0" collapsed="false">
      <c r="A801" s="1" t="s">
        <v>45</v>
      </c>
      <c r="B801" s="1" t="s">
        <v>2097</v>
      </c>
      <c r="C801" s="1" t="s">
        <v>1100</v>
      </c>
      <c r="D801" s="1" t="s">
        <v>1101</v>
      </c>
      <c r="E801" s="1" t="n">
        <v>22</v>
      </c>
      <c r="F801" s="1" t="s">
        <v>2918</v>
      </c>
      <c r="G801" s="1" t="s">
        <v>236</v>
      </c>
      <c r="H801" s="1" t="s">
        <v>2919</v>
      </c>
      <c r="I801" s="1" t="s">
        <v>231</v>
      </c>
      <c r="J801" s="1" t="s">
        <v>1104</v>
      </c>
      <c r="K801" s="1" t="n">
        <v>66.4</v>
      </c>
      <c r="L801" s="1" t="n">
        <v>4.3</v>
      </c>
      <c r="M801" s="1" t="n">
        <v>106</v>
      </c>
      <c r="N801" s="4" t="b">
        <f aca="false">FALSE()</f>
        <v>0</v>
      </c>
      <c r="P801" s="4" t="b">
        <f aca="false">TRUE()</f>
        <v>1</v>
      </c>
      <c r="R801" s="1" t="s">
        <v>2857</v>
      </c>
      <c r="S801" s="1" t="s">
        <v>2920</v>
      </c>
      <c r="T801" s="1" t="s">
        <v>222</v>
      </c>
      <c r="U801" s="1" t="s">
        <v>2102</v>
      </c>
    </row>
    <row r="802" customFormat="false" ht="48" hidden="false" customHeight="true" outlineLevel="0" collapsed="false">
      <c r="A802" s="1" t="s">
        <v>45</v>
      </c>
      <c r="B802" s="1" t="s">
        <v>2097</v>
      </c>
      <c r="C802" s="1" t="s">
        <v>1100</v>
      </c>
      <c r="D802" s="1" t="s">
        <v>1101</v>
      </c>
      <c r="E802" s="1" t="n">
        <v>23</v>
      </c>
      <c r="F802" s="1" t="s">
        <v>2921</v>
      </c>
      <c r="G802" s="1" t="s">
        <v>236</v>
      </c>
      <c r="H802" s="1" t="s">
        <v>2922</v>
      </c>
      <c r="I802" s="1" t="s">
        <v>242</v>
      </c>
      <c r="J802" s="1" t="s">
        <v>1104</v>
      </c>
      <c r="K802" s="1" t="n">
        <v>143.82</v>
      </c>
      <c r="L802" s="1" t="n">
        <v>4.7</v>
      </c>
      <c r="M802" s="1" t="n">
        <v>17</v>
      </c>
      <c r="N802" s="4" t="b">
        <f aca="false">FALSE()</f>
        <v>0</v>
      </c>
      <c r="P802" s="4" t="b">
        <f aca="false">TRUE()</f>
        <v>1</v>
      </c>
      <c r="R802" s="1" t="s">
        <v>2857</v>
      </c>
      <c r="S802" s="1" t="s">
        <v>2923</v>
      </c>
      <c r="T802" s="1" t="s">
        <v>222</v>
      </c>
      <c r="U802" s="1" t="s">
        <v>2102</v>
      </c>
    </row>
    <row r="803" customFormat="false" ht="48" hidden="false" customHeight="true" outlineLevel="0" collapsed="false">
      <c r="A803" s="1" t="s">
        <v>45</v>
      </c>
      <c r="B803" s="1" t="s">
        <v>2097</v>
      </c>
      <c r="C803" s="1" t="s">
        <v>1100</v>
      </c>
      <c r="D803" s="1" t="s">
        <v>1101</v>
      </c>
      <c r="E803" s="1" t="n">
        <v>24</v>
      </c>
      <c r="F803" s="1" t="s">
        <v>2924</v>
      </c>
      <c r="G803" s="1" t="s">
        <v>236</v>
      </c>
      <c r="H803" s="1" t="s">
        <v>2925</v>
      </c>
      <c r="I803" s="1" t="s">
        <v>2926</v>
      </c>
      <c r="J803" s="1" t="s">
        <v>310</v>
      </c>
      <c r="K803" s="1" t="n">
        <v>59.53</v>
      </c>
      <c r="L803" s="1" t="n">
        <v>4.1</v>
      </c>
      <c r="M803" s="1" t="n">
        <v>67</v>
      </c>
      <c r="N803" s="4" t="b">
        <f aca="false">FALSE()</f>
        <v>0</v>
      </c>
      <c r="P803" s="4" t="b">
        <f aca="false">TRUE()</f>
        <v>1</v>
      </c>
      <c r="R803" s="1" t="s">
        <v>2857</v>
      </c>
      <c r="S803" s="1" t="s">
        <v>2927</v>
      </c>
      <c r="T803" s="1" t="s">
        <v>222</v>
      </c>
      <c r="U803" s="1" t="s">
        <v>2102</v>
      </c>
    </row>
    <row r="804" customFormat="false" ht="48" hidden="false" customHeight="true" outlineLevel="0" collapsed="false">
      <c r="A804" s="1" t="s">
        <v>45</v>
      </c>
      <c r="B804" s="1" t="s">
        <v>2097</v>
      </c>
      <c r="C804" s="1" t="s">
        <v>1100</v>
      </c>
      <c r="D804" s="1" t="s">
        <v>1101</v>
      </c>
      <c r="E804" s="1" t="n">
        <v>25</v>
      </c>
      <c r="F804" s="1" t="s">
        <v>2928</v>
      </c>
      <c r="G804" s="1" t="s">
        <v>236</v>
      </c>
      <c r="H804" s="1" t="s">
        <v>2929</v>
      </c>
      <c r="I804" s="1" t="s">
        <v>231</v>
      </c>
      <c r="J804" s="1" t="s">
        <v>1104</v>
      </c>
      <c r="K804" s="1" t="n">
        <v>67.7</v>
      </c>
      <c r="N804" s="4" t="b">
        <f aca="false">FALSE()</f>
        <v>0</v>
      </c>
      <c r="P804" s="4" t="b">
        <f aca="false">TRUE()</f>
        <v>1</v>
      </c>
      <c r="R804" s="1" t="s">
        <v>2857</v>
      </c>
      <c r="S804" s="1" t="s">
        <v>2930</v>
      </c>
      <c r="T804" s="1" t="s">
        <v>222</v>
      </c>
      <c r="U804" s="1" t="s">
        <v>2102</v>
      </c>
    </row>
    <row r="805" customFormat="false" ht="48" hidden="false" customHeight="true" outlineLevel="0" collapsed="false">
      <c r="A805" s="1" t="s">
        <v>45</v>
      </c>
      <c r="B805" s="1" t="s">
        <v>2097</v>
      </c>
      <c r="C805" s="1" t="s">
        <v>1100</v>
      </c>
      <c r="D805" s="1" t="s">
        <v>1101</v>
      </c>
      <c r="E805" s="1" t="n">
        <v>26</v>
      </c>
      <c r="F805" s="1" t="s">
        <v>2931</v>
      </c>
      <c r="G805" s="1" t="s">
        <v>236</v>
      </c>
      <c r="H805" s="1" t="s">
        <v>2932</v>
      </c>
      <c r="I805" s="1" t="s">
        <v>218</v>
      </c>
      <c r="J805" s="1" t="s">
        <v>1104</v>
      </c>
      <c r="K805" s="1" t="n">
        <v>130.46</v>
      </c>
      <c r="L805" s="1" t="n">
        <v>4.4</v>
      </c>
      <c r="M805" s="1" t="n">
        <v>58</v>
      </c>
      <c r="N805" s="4" t="b">
        <f aca="false">FALSE()</f>
        <v>0</v>
      </c>
      <c r="P805" s="4" t="b">
        <f aca="false">TRUE()</f>
        <v>1</v>
      </c>
      <c r="R805" s="1" t="s">
        <v>2857</v>
      </c>
      <c r="S805" s="1" t="s">
        <v>2933</v>
      </c>
      <c r="T805" s="1" t="s">
        <v>222</v>
      </c>
      <c r="U805" s="1" t="s">
        <v>2102</v>
      </c>
    </row>
    <row r="806" customFormat="false" ht="48" hidden="false" customHeight="true" outlineLevel="0" collapsed="false">
      <c r="A806" s="1" t="s">
        <v>45</v>
      </c>
      <c r="B806" s="1" t="s">
        <v>2097</v>
      </c>
      <c r="C806" s="1" t="s">
        <v>1100</v>
      </c>
      <c r="D806" s="1" t="s">
        <v>1101</v>
      </c>
      <c r="E806" s="1" t="n">
        <v>27</v>
      </c>
      <c r="F806" s="1" t="s">
        <v>2934</v>
      </c>
      <c r="G806" s="1" t="s">
        <v>236</v>
      </c>
      <c r="H806" s="1" t="s">
        <v>2935</v>
      </c>
      <c r="I806" s="1" t="s">
        <v>242</v>
      </c>
      <c r="J806" s="1" t="s">
        <v>1104</v>
      </c>
      <c r="K806" s="1" t="n">
        <v>60.8</v>
      </c>
      <c r="N806" s="4" t="b">
        <f aca="false">FALSE()</f>
        <v>0</v>
      </c>
      <c r="P806" s="4" t="b">
        <f aca="false">TRUE()</f>
        <v>1</v>
      </c>
      <c r="R806" s="1" t="s">
        <v>2857</v>
      </c>
      <c r="S806" s="1" t="s">
        <v>2936</v>
      </c>
      <c r="T806" s="1" t="s">
        <v>222</v>
      </c>
      <c r="U806" s="1" t="s">
        <v>2102</v>
      </c>
    </row>
    <row r="807" customFormat="false" ht="48" hidden="false" customHeight="true" outlineLevel="0" collapsed="false">
      <c r="A807" s="1" t="s">
        <v>45</v>
      </c>
      <c r="B807" s="1" t="s">
        <v>2097</v>
      </c>
      <c r="C807" s="1" t="s">
        <v>1100</v>
      </c>
      <c r="D807" s="1" t="s">
        <v>1101</v>
      </c>
      <c r="E807" s="1" t="n">
        <v>28</v>
      </c>
      <c r="F807" s="1" t="s">
        <v>2937</v>
      </c>
      <c r="G807" s="1" t="s">
        <v>236</v>
      </c>
      <c r="H807" s="1" t="s">
        <v>2938</v>
      </c>
      <c r="I807" s="1" t="s">
        <v>218</v>
      </c>
      <c r="J807" s="1" t="s">
        <v>1104</v>
      </c>
      <c r="K807" s="1" t="n">
        <v>102.55</v>
      </c>
      <c r="L807" s="1" t="n">
        <v>3.7</v>
      </c>
      <c r="M807" s="1" t="n">
        <v>7</v>
      </c>
      <c r="N807" s="4" t="b">
        <f aca="false">FALSE()</f>
        <v>0</v>
      </c>
      <c r="P807" s="4" t="b">
        <f aca="false">TRUE()</f>
        <v>1</v>
      </c>
      <c r="R807" s="1" t="s">
        <v>2857</v>
      </c>
      <c r="S807" s="1" t="s">
        <v>2939</v>
      </c>
      <c r="T807" s="1" t="s">
        <v>222</v>
      </c>
      <c r="U807" s="1" t="s">
        <v>2102</v>
      </c>
    </row>
    <row r="808" customFormat="false" ht="48" hidden="false" customHeight="true" outlineLevel="0" collapsed="false">
      <c r="A808" s="1" t="s">
        <v>45</v>
      </c>
      <c r="B808" s="1" t="s">
        <v>2097</v>
      </c>
      <c r="C808" s="1" t="s">
        <v>1100</v>
      </c>
      <c r="D808" s="1" t="s">
        <v>1101</v>
      </c>
      <c r="E808" s="1" t="n">
        <v>29</v>
      </c>
      <c r="F808" s="1" t="s">
        <v>2940</v>
      </c>
      <c r="G808" s="1" t="s">
        <v>236</v>
      </c>
      <c r="H808" s="1" t="s">
        <v>2941</v>
      </c>
      <c r="I808" s="1" t="s">
        <v>289</v>
      </c>
      <c r="J808" s="1" t="s">
        <v>1104</v>
      </c>
      <c r="K808" s="1" t="n">
        <v>134.52</v>
      </c>
      <c r="L808" s="1" t="n">
        <v>4.3</v>
      </c>
      <c r="M808" s="1" t="n">
        <v>1000</v>
      </c>
      <c r="N808" s="4" t="b">
        <f aca="false">FALSE()</f>
        <v>0</v>
      </c>
      <c r="P808" s="4" t="b">
        <f aca="false">TRUE()</f>
        <v>1</v>
      </c>
      <c r="R808" s="1" t="s">
        <v>2857</v>
      </c>
      <c r="S808" s="1" t="s">
        <v>2942</v>
      </c>
      <c r="T808" s="1" t="s">
        <v>222</v>
      </c>
      <c r="U808" s="1" t="s">
        <v>2102</v>
      </c>
    </row>
    <row r="809" customFormat="false" ht="48" hidden="false" customHeight="true" outlineLevel="0" collapsed="false">
      <c r="A809" s="1" t="s">
        <v>45</v>
      </c>
      <c r="B809" s="1" t="s">
        <v>2097</v>
      </c>
      <c r="C809" s="1" t="s">
        <v>1100</v>
      </c>
      <c r="D809" s="1" t="s">
        <v>1101</v>
      </c>
      <c r="E809" s="1" t="n">
        <v>30</v>
      </c>
      <c r="F809" s="1" t="s">
        <v>2943</v>
      </c>
      <c r="G809" s="1" t="s">
        <v>236</v>
      </c>
      <c r="H809" s="1" t="s">
        <v>1173</v>
      </c>
      <c r="I809" s="1" t="s">
        <v>306</v>
      </c>
      <c r="J809" s="1" t="s">
        <v>1104</v>
      </c>
      <c r="K809" s="1" t="n">
        <v>96.56</v>
      </c>
      <c r="L809" s="1" t="n">
        <v>3.5</v>
      </c>
      <c r="M809" s="1" t="n">
        <v>3</v>
      </c>
      <c r="N809" s="4" t="b">
        <f aca="false">FALSE()</f>
        <v>0</v>
      </c>
      <c r="P809" s="4" t="b">
        <f aca="false">TRUE()</f>
        <v>1</v>
      </c>
      <c r="R809" s="1" t="s">
        <v>2857</v>
      </c>
      <c r="S809" s="1" t="s">
        <v>2944</v>
      </c>
      <c r="T809" s="1" t="s">
        <v>222</v>
      </c>
      <c r="U809" s="1" t="s">
        <v>2102</v>
      </c>
    </row>
    <row r="810" customFormat="false" ht="48" hidden="false" customHeight="true" outlineLevel="0" collapsed="false">
      <c r="A810" s="1" t="s">
        <v>45</v>
      </c>
      <c r="B810" s="1" t="s">
        <v>2097</v>
      </c>
      <c r="C810" s="1" t="s">
        <v>1100</v>
      </c>
      <c r="D810" s="1" t="s">
        <v>1101</v>
      </c>
      <c r="E810" s="1" t="n">
        <v>31</v>
      </c>
      <c r="F810" s="1" t="s">
        <v>2945</v>
      </c>
      <c r="G810" s="1" t="s">
        <v>236</v>
      </c>
      <c r="H810" s="1" t="s">
        <v>2946</v>
      </c>
      <c r="I810" s="1" t="s">
        <v>218</v>
      </c>
      <c r="J810" s="1" t="s">
        <v>1104</v>
      </c>
      <c r="K810" s="1" t="n">
        <v>158.46</v>
      </c>
      <c r="L810" s="1" t="n">
        <v>4.8</v>
      </c>
      <c r="M810" s="1" t="n">
        <v>24</v>
      </c>
      <c r="N810" s="4" t="b">
        <f aca="false">FALSE()</f>
        <v>0</v>
      </c>
      <c r="P810" s="4" t="b">
        <f aca="false">TRUE()</f>
        <v>1</v>
      </c>
      <c r="R810" s="1" t="s">
        <v>2857</v>
      </c>
      <c r="S810" s="1" t="s">
        <v>2947</v>
      </c>
      <c r="T810" s="1" t="s">
        <v>222</v>
      </c>
      <c r="U810" s="1" t="s">
        <v>2102</v>
      </c>
    </row>
    <row r="811" customFormat="false" ht="48" hidden="false" customHeight="true" outlineLevel="0" collapsed="false">
      <c r="A811" s="1" t="s">
        <v>45</v>
      </c>
      <c r="B811" s="1" t="s">
        <v>2097</v>
      </c>
      <c r="C811" s="1" t="s">
        <v>1100</v>
      </c>
      <c r="D811" s="1" t="s">
        <v>1101</v>
      </c>
      <c r="E811" s="1" t="n">
        <v>32</v>
      </c>
      <c r="F811" s="1" t="s">
        <v>2948</v>
      </c>
      <c r="G811" s="1" t="s">
        <v>236</v>
      </c>
      <c r="H811" s="1" t="s">
        <v>2949</v>
      </c>
      <c r="I811" s="1" t="s">
        <v>299</v>
      </c>
      <c r="J811" s="1" t="s">
        <v>1104</v>
      </c>
      <c r="K811" s="1" t="n">
        <v>70.91</v>
      </c>
      <c r="L811" s="1" t="n">
        <v>4.2</v>
      </c>
      <c r="M811" s="1" t="n">
        <v>4</v>
      </c>
      <c r="N811" s="4" t="b">
        <f aca="false">FALSE()</f>
        <v>0</v>
      </c>
      <c r="P811" s="4" t="b">
        <f aca="false">TRUE()</f>
        <v>1</v>
      </c>
      <c r="R811" s="1" t="s">
        <v>2857</v>
      </c>
      <c r="S811" s="1" t="s">
        <v>2950</v>
      </c>
      <c r="T811" s="1" t="s">
        <v>222</v>
      </c>
      <c r="U811" s="1" t="s">
        <v>2102</v>
      </c>
    </row>
    <row r="812" customFormat="false" ht="48" hidden="false" customHeight="true" outlineLevel="0" collapsed="false">
      <c r="A812" s="1" t="s">
        <v>45</v>
      </c>
      <c r="B812" s="1" t="s">
        <v>2097</v>
      </c>
      <c r="C812" s="1" t="s">
        <v>1100</v>
      </c>
      <c r="D812" s="1" t="s">
        <v>1101</v>
      </c>
      <c r="E812" s="1" t="n">
        <v>33</v>
      </c>
      <c r="F812" s="1" t="s">
        <v>2951</v>
      </c>
      <c r="G812" s="1" t="s">
        <v>236</v>
      </c>
      <c r="H812" s="1" t="s">
        <v>2952</v>
      </c>
      <c r="I812" s="1" t="s">
        <v>289</v>
      </c>
      <c r="J812" s="1" t="s">
        <v>1104</v>
      </c>
      <c r="K812" s="1" t="n">
        <v>66.34</v>
      </c>
      <c r="L812" s="1" t="n">
        <v>5</v>
      </c>
      <c r="M812" s="1" t="n">
        <v>2</v>
      </c>
      <c r="N812" s="4" t="b">
        <f aca="false">FALSE()</f>
        <v>0</v>
      </c>
      <c r="P812" s="4" t="b">
        <f aca="false">TRUE()</f>
        <v>1</v>
      </c>
      <c r="R812" s="1" t="s">
        <v>2857</v>
      </c>
      <c r="S812" s="1" t="s">
        <v>2953</v>
      </c>
      <c r="T812" s="1" t="s">
        <v>222</v>
      </c>
      <c r="U812" s="1" t="s">
        <v>2102</v>
      </c>
    </row>
    <row r="813" customFormat="false" ht="48" hidden="false" customHeight="true" outlineLevel="0" collapsed="false">
      <c r="A813" s="1" t="s">
        <v>45</v>
      </c>
      <c r="B813" s="1" t="s">
        <v>2097</v>
      </c>
      <c r="C813" s="1" t="s">
        <v>1100</v>
      </c>
      <c r="D813" s="1" t="s">
        <v>1101</v>
      </c>
      <c r="E813" s="1" t="n">
        <v>34</v>
      </c>
      <c r="F813" s="1" t="s">
        <v>1253</v>
      </c>
      <c r="G813" s="1" t="s">
        <v>236</v>
      </c>
      <c r="H813" s="1" t="s">
        <v>1254</v>
      </c>
      <c r="I813" s="1" t="s">
        <v>218</v>
      </c>
      <c r="J813" s="1" t="s">
        <v>1104</v>
      </c>
      <c r="K813" s="1" t="n">
        <v>66.9</v>
      </c>
      <c r="N813" s="4" t="b">
        <f aca="false">FALSE()</f>
        <v>0</v>
      </c>
      <c r="P813" s="4" t="b">
        <f aca="false">TRUE()</f>
        <v>1</v>
      </c>
      <c r="R813" s="1" t="s">
        <v>2857</v>
      </c>
      <c r="S813" s="1" t="s">
        <v>2954</v>
      </c>
      <c r="T813" s="1" t="s">
        <v>222</v>
      </c>
      <c r="U813" s="1" t="s">
        <v>2102</v>
      </c>
    </row>
    <row r="814" customFormat="false" ht="48" hidden="false" customHeight="true" outlineLevel="0" collapsed="false">
      <c r="A814" s="1" t="s">
        <v>45</v>
      </c>
      <c r="B814" s="1" t="s">
        <v>2097</v>
      </c>
      <c r="C814" s="1" t="s">
        <v>1100</v>
      </c>
      <c r="D814" s="1" t="s">
        <v>1101</v>
      </c>
      <c r="E814" s="1" t="n">
        <v>35</v>
      </c>
      <c r="F814" s="1" t="s">
        <v>2955</v>
      </c>
      <c r="G814" s="1" t="s">
        <v>236</v>
      </c>
      <c r="H814" s="1" t="s">
        <v>2956</v>
      </c>
      <c r="I814" s="1" t="s">
        <v>231</v>
      </c>
      <c r="J814" s="1" t="s">
        <v>1104</v>
      </c>
      <c r="K814" s="1" t="n">
        <v>82.55</v>
      </c>
      <c r="L814" s="1" t="n">
        <v>4.6</v>
      </c>
      <c r="M814" s="1" t="n">
        <v>3</v>
      </c>
      <c r="N814" s="4" t="b">
        <f aca="false">FALSE()</f>
        <v>0</v>
      </c>
      <c r="P814" s="4" t="b">
        <f aca="false">TRUE()</f>
        <v>1</v>
      </c>
      <c r="R814" s="1" t="s">
        <v>2857</v>
      </c>
      <c r="S814" s="1" t="s">
        <v>2957</v>
      </c>
      <c r="T814" s="1" t="s">
        <v>222</v>
      </c>
      <c r="U814" s="1" t="s">
        <v>2102</v>
      </c>
    </row>
    <row r="815" customFormat="false" ht="48" hidden="false" customHeight="true" outlineLevel="0" collapsed="false">
      <c r="A815" s="1" t="s">
        <v>45</v>
      </c>
      <c r="B815" s="1" t="s">
        <v>2097</v>
      </c>
      <c r="C815" s="1" t="s">
        <v>1100</v>
      </c>
      <c r="D815" s="1" t="s">
        <v>1101</v>
      </c>
      <c r="E815" s="1" t="n">
        <v>36</v>
      </c>
      <c r="F815" s="1" t="s">
        <v>2125</v>
      </c>
      <c r="G815" s="1" t="s">
        <v>236</v>
      </c>
      <c r="H815" s="1" t="s">
        <v>2126</v>
      </c>
      <c r="I815" s="1" t="s">
        <v>289</v>
      </c>
      <c r="J815" s="1" t="s">
        <v>219</v>
      </c>
      <c r="K815" s="1" t="n">
        <v>93.55</v>
      </c>
      <c r="L815" s="1" t="n">
        <v>4.5</v>
      </c>
      <c r="M815" s="1" t="n">
        <v>407</v>
      </c>
      <c r="N815" s="4" t="b">
        <f aca="false">FALSE()</f>
        <v>0</v>
      </c>
      <c r="P815" s="4" t="b">
        <f aca="false">TRUE()</f>
        <v>1</v>
      </c>
      <c r="R815" s="1" t="s">
        <v>2857</v>
      </c>
      <c r="S815" s="1" t="s">
        <v>2127</v>
      </c>
      <c r="T815" s="1" t="s">
        <v>222</v>
      </c>
      <c r="U815" s="1" t="s">
        <v>2102</v>
      </c>
    </row>
    <row r="816" customFormat="false" ht="48" hidden="false" customHeight="true" outlineLevel="0" collapsed="false">
      <c r="A816" s="1" t="s">
        <v>45</v>
      </c>
      <c r="B816" s="1" t="s">
        <v>2097</v>
      </c>
      <c r="C816" s="1" t="s">
        <v>1100</v>
      </c>
      <c r="D816" s="1" t="s">
        <v>1101</v>
      </c>
      <c r="E816" s="1" t="n">
        <v>37</v>
      </c>
      <c r="F816" s="1" t="s">
        <v>2958</v>
      </c>
      <c r="G816" s="1" t="s">
        <v>236</v>
      </c>
      <c r="H816" s="1" t="s">
        <v>2959</v>
      </c>
      <c r="I816" s="1" t="s">
        <v>218</v>
      </c>
      <c r="J816" s="1" t="s">
        <v>1104</v>
      </c>
      <c r="K816" s="1" t="n">
        <v>74.9</v>
      </c>
      <c r="L816" s="1" t="n">
        <v>3.1</v>
      </c>
      <c r="M816" s="1" t="n">
        <v>69</v>
      </c>
      <c r="N816" s="4" t="b">
        <f aca="false">FALSE()</f>
        <v>0</v>
      </c>
      <c r="P816" s="4" t="b">
        <f aca="false">TRUE()</f>
        <v>1</v>
      </c>
      <c r="R816" s="1" t="s">
        <v>2857</v>
      </c>
      <c r="S816" s="1" t="s">
        <v>2960</v>
      </c>
      <c r="T816" s="1" t="s">
        <v>222</v>
      </c>
      <c r="U816" s="1" t="s">
        <v>2102</v>
      </c>
    </row>
    <row r="817" customFormat="false" ht="48" hidden="false" customHeight="true" outlineLevel="0" collapsed="false">
      <c r="A817" s="1" t="s">
        <v>45</v>
      </c>
      <c r="B817" s="1" t="s">
        <v>2097</v>
      </c>
      <c r="C817" s="1" t="s">
        <v>1100</v>
      </c>
      <c r="D817" s="1" t="s">
        <v>1101</v>
      </c>
      <c r="E817" s="1" t="n">
        <v>38</v>
      </c>
      <c r="F817" s="1" t="s">
        <v>2146</v>
      </c>
      <c r="G817" s="1" t="s">
        <v>236</v>
      </c>
      <c r="H817" s="1" t="s">
        <v>2147</v>
      </c>
      <c r="I817" s="1" t="s">
        <v>231</v>
      </c>
      <c r="J817" s="1" t="s">
        <v>371</v>
      </c>
      <c r="K817" s="1" t="n">
        <v>29.24</v>
      </c>
      <c r="L817" s="1" t="n">
        <v>4.6</v>
      </c>
      <c r="M817" s="1" t="n">
        <v>4200</v>
      </c>
      <c r="N817" s="4" t="b">
        <f aca="false">FALSE()</f>
        <v>0</v>
      </c>
      <c r="P817" s="4" t="b">
        <f aca="false">TRUE()</f>
        <v>1</v>
      </c>
      <c r="R817" s="1" t="s">
        <v>2857</v>
      </c>
      <c r="S817" s="1" t="s">
        <v>2148</v>
      </c>
      <c r="T817" s="1" t="s">
        <v>222</v>
      </c>
      <c r="U817" s="1" t="s">
        <v>2102</v>
      </c>
    </row>
    <row r="818" customFormat="false" ht="48" hidden="false" customHeight="true" outlineLevel="0" collapsed="false">
      <c r="A818" s="1" t="s">
        <v>45</v>
      </c>
      <c r="B818" s="1" t="s">
        <v>2097</v>
      </c>
      <c r="C818" s="1" t="s">
        <v>1100</v>
      </c>
      <c r="D818" s="1" t="s">
        <v>1101</v>
      </c>
      <c r="E818" s="1" t="n">
        <v>39</v>
      </c>
      <c r="F818" s="1" t="s">
        <v>2961</v>
      </c>
      <c r="G818" s="1" t="s">
        <v>236</v>
      </c>
      <c r="H818" s="1" t="s">
        <v>2962</v>
      </c>
      <c r="I818" s="1" t="s">
        <v>242</v>
      </c>
      <c r="J818" s="1" t="s">
        <v>1104</v>
      </c>
      <c r="K818" s="1" t="n">
        <v>79.42</v>
      </c>
      <c r="L818" s="1" t="n">
        <v>5</v>
      </c>
      <c r="M818" s="1" t="n">
        <v>3</v>
      </c>
      <c r="N818" s="4" t="b">
        <f aca="false">FALSE()</f>
        <v>0</v>
      </c>
      <c r="P818" s="4" t="b">
        <f aca="false">TRUE()</f>
        <v>1</v>
      </c>
      <c r="R818" s="1" t="s">
        <v>2857</v>
      </c>
      <c r="S818" s="1" t="s">
        <v>2963</v>
      </c>
      <c r="T818" s="1" t="s">
        <v>222</v>
      </c>
      <c r="U818" s="1" t="s">
        <v>2102</v>
      </c>
    </row>
    <row r="819" customFormat="false" ht="48" hidden="false" customHeight="true" outlineLevel="0" collapsed="false">
      <c r="A819" s="1" t="s">
        <v>45</v>
      </c>
      <c r="B819" s="1" t="s">
        <v>2097</v>
      </c>
      <c r="C819" s="1" t="s">
        <v>1100</v>
      </c>
      <c r="D819" s="1" t="s">
        <v>1101</v>
      </c>
      <c r="E819" s="1" t="n">
        <v>40</v>
      </c>
      <c r="F819" s="1" t="s">
        <v>2964</v>
      </c>
      <c r="G819" s="1" t="s">
        <v>236</v>
      </c>
      <c r="H819" s="1" t="s">
        <v>2965</v>
      </c>
      <c r="I819" s="1" t="s">
        <v>231</v>
      </c>
      <c r="J819" s="1" t="s">
        <v>1104</v>
      </c>
      <c r="K819" s="1" t="n">
        <v>75.22</v>
      </c>
      <c r="L819" s="1" t="n">
        <v>3.5</v>
      </c>
      <c r="M819" s="1" t="n">
        <v>39</v>
      </c>
      <c r="N819" s="4" t="b">
        <f aca="false">FALSE()</f>
        <v>0</v>
      </c>
      <c r="P819" s="4" t="b">
        <f aca="false">TRUE()</f>
        <v>1</v>
      </c>
      <c r="R819" s="1" t="s">
        <v>2857</v>
      </c>
      <c r="S819" s="1" t="s">
        <v>2966</v>
      </c>
      <c r="T819" s="1" t="s">
        <v>222</v>
      </c>
      <c r="U819" s="1" t="s">
        <v>2102</v>
      </c>
    </row>
    <row r="820" customFormat="false" ht="48" hidden="false" customHeight="true" outlineLevel="0" collapsed="false">
      <c r="A820" s="1" t="s">
        <v>45</v>
      </c>
      <c r="B820" s="1" t="s">
        <v>2097</v>
      </c>
      <c r="C820" s="1" t="s">
        <v>1100</v>
      </c>
      <c r="D820" s="1" t="s">
        <v>1101</v>
      </c>
      <c r="E820" s="1" t="n">
        <v>41</v>
      </c>
      <c r="F820" s="1" t="s">
        <v>2967</v>
      </c>
      <c r="G820" s="1" t="s">
        <v>236</v>
      </c>
      <c r="H820" s="1" t="s">
        <v>2968</v>
      </c>
      <c r="I820" s="1" t="s">
        <v>231</v>
      </c>
      <c r="J820" s="1" t="s">
        <v>1104</v>
      </c>
      <c r="K820" s="1" t="n">
        <v>189.31</v>
      </c>
      <c r="L820" s="1" t="n">
        <v>4.2</v>
      </c>
      <c r="M820" s="1" t="n">
        <v>73</v>
      </c>
      <c r="N820" s="4" t="b">
        <f aca="false">FALSE()</f>
        <v>0</v>
      </c>
      <c r="P820" s="4" t="b">
        <f aca="false">TRUE()</f>
        <v>1</v>
      </c>
      <c r="R820" s="1" t="s">
        <v>2857</v>
      </c>
      <c r="S820" s="1" t="s">
        <v>2969</v>
      </c>
      <c r="T820" s="1" t="s">
        <v>222</v>
      </c>
      <c r="U820" s="1" t="s">
        <v>2102</v>
      </c>
    </row>
    <row r="821" customFormat="false" ht="48" hidden="false" customHeight="true" outlineLevel="0" collapsed="false">
      <c r="A821" s="1" t="s">
        <v>45</v>
      </c>
      <c r="B821" s="1" t="s">
        <v>2097</v>
      </c>
      <c r="C821" s="1" t="s">
        <v>1100</v>
      </c>
      <c r="D821" s="1" t="s">
        <v>1101</v>
      </c>
      <c r="E821" s="1" t="n">
        <v>42</v>
      </c>
      <c r="F821" s="1" t="s">
        <v>2970</v>
      </c>
      <c r="G821" s="1" t="s">
        <v>236</v>
      </c>
      <c r="H821" s="1" t="s">
        <v>2971</v>
      </c>
      <c r="I821" s="1" t="s">
        <v>231</v>
      </c>
      <c r="J821" s="1" t="s">
        <v>1104</v>
      </c>
      <c r="K821" s="1" t="n">
        <v>119.45</v>
      </c>
      <c r="L821" s="1" t="n">
        <v>4.2</v>
      </c>
      <c r="M821" s="1" t="n">
        <v>105</v>
      </c>
      <c r="N821" s="4" t="b">
        <f aca="false">FALSE()</f>
        <v>0</v>
      </c>
      <c r="P821" s="4" t="b">
        <f aca="false">TRUE()</f>
        <v>1</v>
      </c>
      <c r="R821" s="1" t="s">
        <v>2857</v>
      </c>
      <c r="S821" s="1" t="s">
        <v>2972</v>
      </c>
      <c r="T821" s="1" t="s">
        <v>222</v>
      </c>
      <c r="U821" s="1" t="s">
        <v>2102</v>
      </c>
    </row>
    <row r="822" customFormat="false" ht="48" hidden="false" customHeight="true" outlineLevel="0" collapsed="false">
      <c r="A822" s="1" t="s">
        <v>45</v>
      </c>
      <c r="B822" s="1" t="s">
        <v>2097</v>
      </c>
      <c r="C822" s="1" t="s">
        <v>1100</v>
      </c>
      <c r="D822" s="1" t="s">
        <v>1101</v>
      </c>
      <c r="E822" s="1" t="n">
        <v>43</v>
      </c>
      <c r="F822" s="1" t="s">
        <v>2973</v>
      </c>
      <c r="G822" s="1" t="s">
        <v>236</v>
      </c>
      <c r="H822" s="1" t="s">
        <v>2974</v>
      </c>
      <c r="I822" s="1" t="s">
        <v>218</v>
      </c>
      <c r="J822" s="1" t="s">
        <v>597</v>
      </c>
      <c r="K822" s="1" t="n">
        <v>95.76</v>
      </c>
      <c r="L822" s="1" t="n">
        <v>4.1</v>
      </c>
      <c r="M822" s="1" t="n">
        <v>47</v>
      </c>
      <c r="N822" s="4" t="b">
        <f aca="false">FALSE()</f>
        <v>0</v>
      </c>
      <c r="P822" s="4" t="b">
        <f aca="false">TRUE()</f>
        <v>1</v>
      </c>
      <c r="R822" s="1" t="s">
        <v>2857</v>
      </c>
      <c r="S822" s="1" t="s">
        <v>2975</v>
      </c>
      <c r="T822" s="1" t="s">
        <v>222</v>
      </c>
      <c r="U822" s="1" t="s">
        <v>2102</v>
      </c>
    </row>
    <row r="823" customFormat="false" ht="48" hidden="false" customHeight="true" outlineLevel="0" collapsed="false">
      <c r="A823" s="1" t="s">
        <v>45</v>
      </c>
      <c r="B823" s="1" t="s">
        <v>2097</v>
      </c>
      <c r="C823" s="1" t="s">
        <v>1100</v>
      </c>
      <c r="D823" s="1" t="s">
        <v>1101</v>
      </c>
      <c r="E823" s="1" t="n">
        <v>44</v>
      </c>
      <c r="F823" s="1" t="s">
        <v>2976</v>
      </c>
      <c r="G823" s="1" t="s">
        <v>236</v>
      </c>
      <c r="H823" s="1" t="s">
        <v>2977</v>
      </c>
      <c r="I823" s="1" t="s">
        <v>402</v>
      </c>
      <c r="J823" s="1" t="s">
        <v>597</v>
      </c>
      <c r="L823" s="1" t="n">
        <v>3.9</v>
      </c>
      <c r="M823" s="1" t="n">
        <v>430</v>
      </c>
      <c r="N823" s="4" t="b">
        <f aca="false">FALSE()</f>
        <v>0</v>
      </c>
      <c r="P823" s="4" t="b">
        <f aca="false">TRUE()</f>
        <v>1</v>
      </c>
      <c r="Q823" s="1" t="s">
        <v>251</v>
      </c>
      <c r="R823" s="1" t="s">
        <v>2857</v>
      </c>
      <c r="S823" s="1" t="s">
        <v>2978</v>
      </c>
      <c r="T823" s="1" t="s">
        <v>222</v>
      </c>
      <c r="U823" s="1" t="s">
        <v>2102</v>
      </c>
    </row>
    <row r="824" customFormat="false" ht="48" hidden="false" customHeight="true" outlineLevel="0" collapsed="false">
      <c r="A824" s="1" t="s">
        <v>45</v>
      </c>
      <c r="B824" s="1" t="s">
        <v>2097</v>
      </c>
      <c r="C824" s="1" t="s">
        <v>1100</v>
      </c>
      <c r="D824" s="1" t="s">
        <v>1101</v>
      </c>
      <c r="E824" s="1" t="n">
        <v>45</v>
      </c>
      <c r="F824" s="1" t="s">
        <v>2979</v>
      </c>
      <c r="G824" s="1" t="s">
        <v>236</v>
      </c>
      <c r="H824" s="1" t="s">
        <v>2980</v>
      </c>
      <c r="I824" s="1" t="s">
        <v>242</v>
      </c>
      <c r="J824" s="1" t="s">
        <v>1104</v>
      </c>
      <c r="K824" s="1" t="n">
        <v>120.74</v>
      </c>
      <c r="L824" s="1" t="n">
        <v>3.9</v>
      </c>
      <c r="M824" s="1" t="n">
        <v>13</v>
      </c>
      <c r="N824" s="4" t="b">
        <f aca="false">FALSE()</f>
        <v>0</v>
      </c>
      <c r="P824" s="4" t="b">
        <f aca="false">TRUE()</f>
        <v>1</v>
      </c>
      <c r="R824" s="1" t="s">
        <v>2857</v>
      </c>
      <c r="S824" s="1" t="s">
        <v>2981</v>
      </c>
      <c r="T824" s="1" t="s">
        <v>222</v>
      </c>
      <c r="U824" s="1" t="s">
        <v>2102</v>
      </c>
    </row>
    <row r="825" customFormat="false" ht="48" hidden="false" customHeight="true" outlineLevel="0" collapsed="false">
      <c r="A825" s="1" t="s">
        <v>45</v>
      </c>
      <c r="B825" s="1" t="s">
        <v>2097</v>
      </c>
      <c r="C825" s="1" t="s">
        <v>1100</v>
      </c>
      <c r="D825" s="1" t="s">
        <v>1101</v>
      </c>
      <c r="E825" s="1" t="n">
        <v>46</v>
      </c>
      <c r="F825" s="1" t="s">
        <v>2982</v>
      </c>
      <c r="G825" s="1" t="s">
        <v>236</v>
      </c>
      <c r="H825" s="1" t="s">
        <v>2983</v>
      </c>
      <c r="I825" s="1" t="s">
        <v>242</v>
      </c>
      <c r="J825" s="1" t="s">
        <v>1104</v>
      </c>
      <c r="K825" s="1" t="n">
        <v>77.03</v>
      </c>
      <c r="L825" s="1" t="n">
        <v>4</v>
      </c>
      <c r="M825" s="1" t="n">
        <v>3</v>
      </c>
      <c r="N825" s="4" t="b">
        <f aca="false">FALSE()</f>
        <v>0</v>
      </c>
      <c r="P825" s="4" t="b">
        <f aca="false">TRUE()</f>
        <v>1</v>
      </c>
      <c r="R825" s="1" t="s">
        <v>2857</v>
      </c>
      <c r="S825" s="1" t="s">
        <v>2984</v>
      </c>
      <c r="T825" s="1" t="s">
        <v>222</v>
      </c>
      <c r="U825" s="1" t="s">
        <v>2102</v>
      </c>
    </row>
    <row r="826" customFormat="false" ht="48" hidden="false" customHeight="true" outlineLevel="0" collapsed="false">
      <c r="A826" s="1" t="s">
        <v>45</v>
      </c>
      <c r="B826" s="1" t="s">
        <v>2097</v>
      </c>
      <c r="C826" s="1" t="s">
        <v>1100</v>
      </c>
      <c r="D826" s="1" t="s">
        <v>1101</v>
      </c>
      <c r="E826" s="1" t="n">
        <v>47</v>
      </c>
      <c r="F826" s="1" t="s">
        <v>2985</v>
      </c>
      <c r="G826" s="1" t="s">
        <v>236</v>
      </c>
      <c r="H826" s="1" t="s">
        <v>2986</v>
      </c>
      <c r="I826" s="1" t="s">
        <v>231</v>
      </c>
      <c r="J826" s="1" t="s">
        <v>1104</v>
      </c>
      <c r="K826" s="1" t="n">
        <v>111.59</v>
      </c>
      <c r="L826" s="1" t="n">
        <v>3.4</v>
      </c>
      <c r="M826" s="1" t="n">
        <v>5</v>
      </c>
      <c r="N826" s="4" t="b">
        <f aca="false">FALSE()</f>
        <v>0</v>
      </c>
      <c r="P826" s="4" t="b">
        <f aca="false">TRUE()</f>
        <v>1</v>
      </c>
      <c r="R826" s="1" t="s">
        <v>2857</v>
      </c>
      <c r="S826" s="1" t="s">
        <v>2987</v>
      </c>
      <c r="T826" s="1" t="s">
        <v>222</v>
      </c>
      <c r="U826" s="1" t="s">
        <v>2102</v>
      </c>
    </row>
    <row r="827" customFormat="false" ht="48" hidden="false" customHeight="true" outlineLevel="0" collapsed="false">
      <c r="A827" s="1" t="s">
        <v>45</v>
      </c>
      <c r="B827" s="1" t="s">
        <v>2097</v>
      </c>
      <c r="C827" s="1" t="s">
        <v>1100</v>
      </c>
      <c r="D827" s="1" t="s">
        <v>1101</v>
      </c>
      <c r="E827" s="1" t="n">
        <v>48</v>
      </c>
      <c r="F827" s="1" t="s">
        <v>2988</v>
      </c>
      <c r="G827" s="1" t="s">
        <v>236</v>
      </c>
      <c r="H827" s="1" t="s">
        <v>2989</v>
      </c>
      <c r="I827" s="1" t="s">
        <v>218</v>
      </c>
      <c r="J827" s="1" t="s">
        <v>1104</v>
      </c>
      <c r="K827" s="1" t="n">
        <v>75.38</v>
      </c>
      <c r="N827" s="4" t="b">
        <f aca="false">FALSE()</f>
        <v>0</v>
      </c>
      <c r="P827" s="4" t="b">
        <f aca="false">TRUE()</f>
        <v>1</v>
      </c>
      <c r="R827" s="1" t="s">
        <v>2857</v>
      </c>
      <c r="S827" s="1" t="s">
        <v>2990</v>
      </c>
      <c r="T827" s="1" t="s">
        <v>222</v>
      </c>
      <c r="U827" s="1" t="s">
        <v>2102</v>
      </c>
    </row>
    <row r="828" customFormat="false" ht="48" hidden="false" customHeight="true" outlineLevel="0" collapsed="false">
      <c r="A828" s="1" t="s">
        <v>45</v>
      </c>
      <c r="B828" s="1" t="s">
        <v>2097</v>
      </c>
      <c r="C828" s="1" t="s">
        <v>75</v>
      </c>
      <c r="D828" s="1" t="s">
        <v>1259</v>
      </c>
      <c r="E828" s="1" t="n">
        <v>1</v>
      </c>
      <c r="F828" s="1" t="s">
        <v>2991</v>
      </c>
      <c r="G828" s="1" t="s">
        <v>2405</v>
      </c>
      <c r="H828" s="1" t="s">
        <v>2992</v>
      </c>
      <c r="I828" s="1" t="s">
        <v>306</v>
      </c>
      <c r="J828" s="1" t="s">
        <v>597</v>
      </c>
      <c r="L828" s="1" t="n">
        <v>4.4</v>
      </c>
      <c r="M828" s="1" t="n">
        <v>7200</v>
      </c>
      <c r="N828" s="4" t="b">
        <f aca="false">FALSE()</f>
        <v>0</v>
      </c>
      <c r="P828" s="4" t="b">
        <f aca="false">TRUE()</f>
        <v>1</v>
      </c>
      <c r="Q828" s="1" t="s">
        <v>435</v>
      </c>
      <c r="R828" s="1" t="s">
        <v>2993</v>
      </c>
      <c r="S828" s="1" t="s">
        <v>2994</v>
      </c>
      <c r="T828" s="1" t="s">
        <v>222</v>
      </c>
      <c r="U828" s="1" t="s">
        <v>2102</v>
      </c>
    </row>
    <row r="829" customFormat="false" ht="48" hidden="false" customHeight="true" outlineLevel="0" collapsed="false">
      <c r="A829" s="1" t="s">
        <v>45</v>
      </c>
      <c r="B829" s="1" t="s">
        <v>2097</v>
      </c>
      <c r="C829" s="1" t="s">
        <v>75</v>
      </c>
      <c r="D829" s="1" t="s">
        <v>1259</v>
      </c>
      <c r="E829" s="1" t="n">
        <v>2</v>
      </c>
      <c r="F829" s="1" t="s">
        <v>2995</v>
      </c>
      <c r="G829" s="1" t="s">
        <v>236</v>
      </c>
      <c r="H829" s="1" t="s">
        <v>2996</v>
      </c>
      <c r="I829" s="1" t="s">
        <v>306</v>
      </c>
      <c r="J829" s="1" t="s">
        <v>371</v>
      </c>
      <c r="L829" s="1" t="n">
        <v>4.6</v>
      </c>
      <c r="M829" s="1" t="n">
        <v>1200</v>
      </c>
      <c r="N829" s="4" t="b">
        <f aca="false">FALSE()</f>
        <v>0</v>
      </c>
      <c r="P829" s="4" t="b">
        <f aca="false">TRUE()</f>
        <v>1</v>
      </c>
      <c r="Q829" s="1" t="s">
        <v>711</v>
      </c>
      <c r="R829" s="1" t="s">
        <v>2993</v>
      </c>
      <c r="S829" s="1" t="s">
        <v>2997</v>
      </c>
      <c r="T829" s="1" t="s">
        <v>222</v>
      </c>
      <c r="U829" s="1" t="s">
        <v>2102</v>
      </c>
    </row>
    <row r="830" customFormat="false" ht="48" hidden="false" customHeight="true" outlineLevel="0" collapsed="false">
      <c r="A830" s="1" t="s">
        <v>45</v>
      </c>
      <c r="B830" s="1" t="s">
        <v>2097</v>
      </c>
      <c r="C830" s="1" t="s">
        <v>75</v>
      </c>
      <c r="D830" s="1" t="s">
        <v>1259</v>
      </c>
      <c r="E830" s="1" t="n">
        <v>3</v>
      </c>
      <c r="F830" s="1" t="s">
        <v>2998</v>
      </c>
      <c r="G830" s="1" t="s">
        <v>2405</v>
      </c>
      <c r="H830" s="1" t="s">
        <v>2999</v>
      </c>
      <c r="I830" s="1" t="s">
        <v>306</v>
      </c>
      <c r="J830" s="1" t="s">
        <v>597</v>
      </c>
      <c r="L830" s="1" t="n">
        <v>4.5</v>
      </c>
      <c r="M830" s="1" t="n">
        <v>947</v>
      </c>
      <c r="N830" s="4" t="b">
        <f aca="false">FALSE()</f>
        <v>0</v>
      </c>
      <c r="P830" s="4" t="b">
        <f aca="false">TRUE()</f>
        <v>1</v>
      </c>
      <c r="Q830" s="1" t="s">
        <v>233</v>
      </c>
      <c r="R830" s="1" t="s">
        <v>2993</v>
      </c>
      <c r="S830" s="1" t="s">
        <v>3000</v>
      </c>
      <c r="T830" s="1" t="s">
        <v>222</v>
      </c>
      <c r="U830" s="1" t="s">
        <v>2102</v>
      </c>
    </row>
    <row r="831" customFormat="false" ht="48" hidden="false" customHeight="true" outlineLevel="0" collapsed="false">
      <c r="A831" s="1" t="s">
        <v>45</v>
      </c>
      <c r="B831" s="1" t="s">
        <v>2097</v>
      </c>
      <c r="C831" s="1" t="s">
        <v>75</v>
      </c>
      <c r="D831" s="1" t="s">
        <v>1259</v>
      </c>
      <c r="E831" s="1" t="n">
        <v>4</v>
      </c>
      <c r="F831" s="1" t="s">
        <v>3001</v>
      </c>
      <c r="G831" s="1" t="s">
        <v>236</v>
      </c>
      <c r="H831" s="1" t="s">
        <v>3002</v>
      </c>
      <c r="I831" s="1" t="s">
        <v>1267</v>
      </c>
      <c r="J831" s="1" t="s">
        <v>597</v>
      </c>
      <c r="L831" s="1" t="n">
        <v>4.4</v>
      </c>
      <c r="M831" s="1" t="n">
        <v>1900</v>
      </c>
      <c r="N831" s="4" t="b">
        <f aca="false">FALSE()</f>
        <v>0</v>
      </c>
      <c r="P831" s="4" t="b">
        <f aca="false">TRUE()</f>
        <v>1</v>
      </c>
      <c r="R831" s="1" t="s">
        <v>2993</v>
      </c>
      <c r="S831" s="1" t="s">
        <v>3003</v>
      </c>
      <c r="T831" s="1" t="s">
        <v>222</v>
      </c>
      <c r="U831" s="1" t="s">
        <v>2102</v>
      </c>
    </row>
    <row r="832" customFormat="false" ht="48" hidden="false" customHeight="true" outlineLevel="0" collapsed="false">
      <c r="A832" s="1" t="s">
        <v>45</v>
      </c>
      <c r="B832" s="1" t="s">
        <v>2097</v>
      </c>
      <c r="C832" s="1" t="s">
        <v>75</v>
      </c>
      <c r="D832" s="1" t="s">
        <v>1259</v>
      </c>
      <c r="E832" s="1" t="n">
        <v>5</v>
      </c>
      <c r="F832" s="1" t="s">
        <v>3004</v>
      </c>
      <c r="G832" s="1" t="s">
        <v>236</v>
      </c>
      <c r="H832" s="1" t="s">
        <v>3005</v>
      </c>
      <c r="I832" s="1" t="s">
        <v>306</v>
      </c>
      <c r="J832" s="1" t="s">
        <v>597</v>
      </c>
      <c r="L832" s="1" t="n">
        <v>4.3</v>
      </c>
      <c r="M832" s="1" t="n">
        <v>1400</v>
      </c>
      <c r="N832" s="4" t="b">
        <f aca="false">FALSE()</f>
        <v>0</v>
      </c>
      <c r="P832" s="4" t="b">
        <f aca="false">TRUE()</f>
        <v>1</v>
      </c>
      <c r="Q832" s="1" t="s">
        <v>233</v>
      </c>
      <c r="R832" s="1" t="s">
        <v>2993</v>
      </c>
      <c r="S832" s="1" t="s">
        <v>3006</v>
      </c>
      <c r="T832" s="1" t="s">
        <v>222</v>
      </c>
      <c r="U832" s="1" t="s">
        <v>2102</v>
      </c>
    </row>
    <row r="833" customFormat="false" ht="48" hidden="false" customHeight="true" outlineLevel="0" collapsed="false">
      <c r="A833" s="1" t="s">
        <v>45</v>
      </c>
      <c r="B833" s="1" t="s">
        <v>2097</v>
      </c>
      <c r="C833" s="1" t="s">
        <v>75</v>
      </c>
      <c r="D833" s="1" t="s">
        <v>1259</v>
      </c>
      <c r="E833" s="1" t="n">
        <v>6</v>
      </c>
      <c r="F833" s="1" t="s">
        <v>3007</v>
      </c>
      <c r="G833" s="1" t="s">
        <v>236</v>
      </c>
      <c r="H833" s="1" t="s">
        <v>3008</v>
      </c>
      <c r="I833" s="1" t="s">
        <v>1267</v>
      </c>
      <c r="J833" s="1" t="s">
        <v>597</v>
      </c>
      <c r="L833" s="1" t="n">
        <v>4.5</v>
      </c>
      <c r="M833" s="1" t="n">
        <v>468</v>
      </c>
      <c r="N833" s="4" t="b">
        <f aca="false">FALSE()</f>
        <v>0</v>
      </c>
      <c r="P833" s="4" t="b">
        <f aca="false">TRUE()</f>
        <v>1</v>
      </c>
      <c r="R833" s="1" t="s">
        <v>2993</v>
      </c>
      <c r="S833" s="1" t="s">
        <v>3009</v>
      </c>
      <c r="T833" s="1" t="s">
        <v>222</v>
      </c>
      <c r="U833" s="1" t="s">
        <v>2102</v>
      </c>
    </row>
    <row r="834" customFormat="false" ht="48" hidden="false" customHeight="true" outlineLevel="0" collapsed="false">
      <c r="A834" s="1" t="s">
        <v>45</v>
      </c>
      <c r="B834" s="1" t="s">
        <v>2097</v>
      </c>
      <c r="C834" s="1" t="s">
        <v>75</v>
      </c>
      <c r="D834" s="1" t="s">
        <v>1259</v>
      </c>
      <c r="E834" s="1" t="n">
        <v>7</v>
      </c>
      <c r="F834" s="1" t="s">
        <v>3010</v>
      </c>
      <c r="G834" s="1" t="s">
        <v>2405</v>
      </c>
      <c r="H834" s="1" t="s">
        <v>3011</v>
      </c>
      <c r="I834" s="1" t="s">
        <v>306</v>
      </c>
      <c r="J834" s="1" t="s">
        <v>597</v>
      </c>
      <c r="L834" s="1" t="n">
        <v>4.4</v>
      </c>
      <c r="M834" s="1" t="n">
        <v>440</v>
      </c>
      <c r="N834" s="4" t="b">
        <f aca="false">FALSE()</f>
        <v>0</v>
      </c>
      <c r="P834" s="4" t="b">
        <f aca="false">TRUE()</f>
        <v>1</v>
      </c>
      <c r="Q834" s="1" t="s">
        <v>435</v>
      </c>
      <c r="R834" s="1" t="s">
        <v>2993</v>
      </c>
      <c r="S834" s="1" t="s">
        <v>3012</v>
      </c>
      <c r="T834" s="1" t="s">
        <v>222</v>
      </c>
      <c r="U834" s="1" t="s">
        <v>2102</v>
      </c>
    </row>
    <row r="835" customFormat="false" ht="48" hidden="false" customHeight="true" outlineLevel="0" collapsed="false">
      <c r="A835" s="1" t="s">
        <v>45</v>
      </c>
      <c r="B835" s="1" t="s">
        <v>2097</v>
      </c>
      <c r="C835" s="1" t="s">
        <v>75</v>
      </c>
      <c r="D835" s="1" t="s">
        <v>1259</v>
      </c>
      <c r="E835" s="1" t="n">
        <v>8</v>
      </c>
      <c r="F835" s="1" t="s">
        <v>3013</v>
      </c>
      <c r="G835" s="1" t="s">
        <v>2405</v>
      </c>
      <c r="H835" s="1" t="s">
        <v>3014</v>
      </c>
      <c r="I835" s="1" t="s">
        <v>306</v>
      </c>
      <c r="J835" s="1" t="s">
        <v>597</v>
      </c>
      <c r="L835" s="1" t="n">
        <v>4.4</v>
      </c>
      <c r="M835" s="1" t="n">
        <v>7200</v>
      </c>
      <c r="N835" s="4" t="b">
        <f aca="false">FALSE()</f>
        <v>0</v>
      </c>
      <c r="P835" s="4" t="b">
        <f aca="false">TRUE()</f>
        <v>1</v>
      </c>
      <c r="Q835" s="1" t="s">
        <v>251</v>
      </c>
      <c r="R835" s="1" t="s">
        <v>2993</v>
      </c>
      <c r="S835" s="1" t="s">
        <v>3015</v>
      </c>
      <c r="T835" s="1" t="s">
        <v>222</v>
      </c>
      <c r="U835" s="1" t="s">
        <v>2102</v>
      </c>
    </row>
    <row r="836" customFormat="false" ht="48" hidden="false" customHeight="true" outlineLevel="0" collapsed="false">
      <c r="A836" s="1" t="s">
        <v>45</v>
      </c>
      <c r="B836" s="1" t="s">
        <v>2097</v>
      </c>
      <c r="C836" s="1" t="s">
        <v>75</v>
      </c>
      <c r="D836" s="1" t="s">
        <v>1259</v>
      </c>
      <c r="E836" s="1" t="n">
        <v>9</v>
      </c>
      <c r="F836" s="1" t="s">
        <v>3016</v>
      </c>
      <c r="G836" s="1" t="s">
        <v>2410</v>
      </c>
      <c r="H836" s="1" t="s">
        <v>3017</v>
      </c>
      <c r="I836" s="1" t="s">
        <v>306</v>
      </c>
      <c r="J836" s="1" t="s">
        <v>310</v>
      </c>
      <c r="K836" s="1" t="n">
        <v>10</v>
      </c>
      <c r="L836" s="1" t="n">
        <v>4.4</v>
      </c>
      <c r="M836" s="1" t="n">
        <v>172</v>
      </c>
      <c r="N836" s="4" t="b">
        <f aca="false">FALSE()</f>
        <v>0</v>
      </c>
      <c r="O836" s="1" t="s">
        <v>2257</v>
      </c>
      <c r="P836" s="4" t="b">
        <f aca="false">TRUE()</f>
        <v>1</v>
      </c>
      <c r="Q836" s="1" t="s">
        <v>435</v>
      </c>
      <c r="R836" s="1" t="s">
        <v>2993</v>
      </c>
      <c r="S836" s="1" t="s">
        <v>3018</v>
      </c>
      <c r="T836" s="1" t="s">
        <v>222</v>
      </c>
      <c r="U836" s="1" t="s">
        <v>2102</v>
      </c>
    </row>
    <row r="837" customFormat="false" ht="48" hidden="false" customHeight="true" outlineLevel="0" collapsed="false">
      <c r="A837" s="1" t="s">
        <v>45</v>
      </c>
      <c r="B837" s="1" t="s">
        <v>2097</v>
      </c>
      <c r="C837" s="1" t="s">
        <v>75</v>
      </c>
      <c r="D837" s="1" t="s">
        <v>1259</v>
      </c>
      <c r="E837" s="1" t="n">
        <v>10</v>
      </c>
      <c r="F837" s="1" t="s">
        <v>3019</v>
      </c>
      <c r="G837" s="1" t="s">
        <v>236</v>
      </c>
      <c r="H837" s="1" t="s">
        <v>3020</v>
      </c>
      <c r="I837" s="1" t="s">
        <v>1267</v>
      </c>
      <c r="J837" s="1" t="s">
        <v>310</v>
      </c>
      <c r="K837" s="1" t="n">
        <v>9.98</v>
      </c>
      <c r="L837" s="1" t="n">
        <v>4.6</v>
      </c>
      <c r="M837" s="1" t="n">
        <v>6800</v>
      </c>
      <c r="N837" s="4" t="b">
        <f aca="false">FALSE()</f>
        <v>0</v>
      </c>
      <c r="O837" s="1" t="s">
        <v>2257</v>
      </c>
      <c r="P837" s="4" t="b">
        <f aca="false">TRUE()</f>
        <v>1</v>
      </c>
      <c r="Q837" s="1" t="s">
        <v>233</v>
      </c>
      <c r="R837" s="1" t="s">
        <v>2993</v>
      </c>
      <c r="S837" s="1" t="s">
        <v>3021</v>
      </c>
      <c r="T837" s="1" t="s">
        <v>222</v>
      </c>
      <c r="U837" s="1" t="s">
        <v>2102</v>
      </c>
    </row>
    <row r="838" customFormat="false" ht="48" hidden="false" customHeight="true" outlineLevel="0" collapsed="false">
      <c r="A838" s="1" t="s">
        <v>45</v>
      </c>
      <c r="B838" s="1" t="s">
        <v>2097</v>
      </c>
      <c r="C838" s="1" t="s">
        <v>75</v>
      </c>
      <c r="D838" s="1" t="s">
        <v>1259</v>
      </c>
      <c r="E838" s="1" t="n">
        <v>11</v>
      </c>
      <c r="F838" s="1" t="s">
        <v>3022</v>
      </c>
      <c r="G838" s="1" t="s">
        <v>236</v>
      </c>
      <c r="H838" s="1" t="s">
        <v>3023</v>
      </c>
      <c r="I838" s="1" t="s">
        <v>306</v>
      </c>
      <c r="J838" s="1" t="s">
        <v>597</v>
      </c>
      <c r="L838" s="1" t="n">
        <v>4.2</v>
      </c>
      <c r="M838" s="1" t="n">
        <v>41</v>
      </c>
      <c r="N838" s="4" t="b">
        <f aca="false">FALSE()</f>
        <v>0</v>
      </c>
      <c r="P838" s="4" t="b">
        <f aca="false">TRUE()</f>
        <v>1</v>
      </c>
      <c r="R838" s="1" t="s">
        <v>2993</v>
      </c>
      <c r="S838" s="1" t="s">
        <v>3024</v>
      </c>
      <c r="T838" s="1" t="s">
        <v>222</v>
      </c>
      <c r="U838" s="1" t="s">
        <v>2102</v>
      </c>
    </row>
    <row r="839" customFormat="false" ht="48" hidden="false" customHeight="true" outlineLevel="0" collapsed="false">
      <c r="A839" s="1" t="s">
        <v>45</v>
      </c>
      <c r="B839" s="1" t="s">
        <v>2097</v>
      </c>
      <c r="C839" s="1" t="s">
        <v>75</v>
      </c>
      <c r="D839" s="1" t="s">
        <v>1259</v>
      </c>
      <c r="E839" s="1" t="n">
        <v>12</v>
      </c>
      <c r="F839" s="1" t="s">
        <v>3025</v>
      </c>
      <c r="G839" s="1" t="s">
        <v>236</v>
      </c>
      <c r="H839" s="1" t="s">
        <v>3026</v>
      </c>
      <c r="I839" s="1" t="s">
        <v>1267</v>
      </c>
      <c r="J839" s="1" t="s">
        <v>310</v>
      </c>
      <c r="K839" s="1" t="n">
        <v>5.96</v>
      </c>
      <c r="L839" s="1" t="n">
        <v>4.6</v>
      </c>
      <c r="M839" s="1" t="n">
        <v>6800</v>
      </c>
      <c r="N839" s="4" t="b">
        <f aca="false">FALSE()</f>
        <v>0</v>
      </c>
      <c r="O839" s="1" t="s">
        <v>2257</v>
      </c>
      <c r="P839" s="4" t="b">
        <f aca="false">TRUE()</f>
        <v>1</v>
      </c>
      <c r="Q839" s="1" t="s">
        <v>233</v>
      </c>
      <c r="R839" s="1" t="s">
        <v>2993</v>
      </c>
      <c r="S839" s="1" t="s">
        <v>3027</v>
      </c>
      <c r="T839" s="1" t="s">
        <v>222</v>
      </c>
      <c r="U839" s="1" t="s">
        <v>2102</v>
      </c>
    </row>
    <row r="840" customFormat="false" ht="48" hidden="false" customHeight="true" outlineLevel="0" collapsed="false">
      <c r="A840" s="1" t="s">
        <v>45</v>
      </c>
      <c r="B840" s="1" t="s">
        <v>2097</v>
      </c>
      <c r="C840" s="1" t="s">
        <v>75</v>
      </c>
      <c r="D840" s="1" t="s">
        <v>1259</v>
      </c>
      <c r="E840" s="1" t="n">
        <v>13</v>
      </c>
      <c r="F840" s="1" t="s">
        <v>3028</v>
      </c>
      <c r="G840" s="1" t="s">
        <v>2405</v>
      </c>
      <c r="H840" s="1" t="s">
        <v>3029</v>
      </c>
      <c r="I840" s="1" t="s">
        <v>306</v>
      </c>
      <c r="J840" s="1" t="s">
        <v>597</v>
      </c>
      <c r="L840" s="1" t="n">
        <v>4.6</v>
      </c>
      <c r="M840" s="1" t="n">
        <v>1800</v>
      </c>
      <c r="N840" s="4" t="b">
        <f aca="false">FALSE()</f>
        <v>0</v>
      </c>
      <c r="P840" s="4" t="b">
        <f aca="false">TRUE()</f>
        <v>1</v>
      </c>
      <c r="Q840" s="1" t="s">
        <v>251</v>
      </c>
      <c r="R840" s="1" t="s">
        <v>2993</v>
      </c>
      <c r="S840" s="1" t="s">
        <v>3030</v>
      </c>
      <c r="T840" s="1" t="s">
        <v>222</v>
      </c>
      <c r="U840" s="1" t="s">
        <v>2102</v>
      </c>
    </row>
    <row r="841" customFormat="false" ht="48" hidden="false" customHeight="true" outlineLevel="0" collapsed="false">
      <c r="A841" s="1" t="s">
        <v>45</v>
      </c>
      <c r="B841" s="1" t="s">
        <v>2097</v>
      </c>
      <c r="C841" s="1" t="s">
        <v>75</v>
      </c>
      <c r="D841" s="1" t="s">
        <v>1259</v>
      </c>
      <c r="E841" s="1" t="n">
        <v>14</v>
      </c>
      <c r="F841" s="1" t="s">
        <v>3031</v>
      </c>
      <c r="G841" s="1" t="s">
        <v>2246</v>
      </c>
      <c r="H841" s="1" t="s">
        <v>3032</v>
      </c>
      <c r="I841" s="1" t="s">
        <v>1267</v>
      </c>
      <c r="J841" s="1" t="s">
        <v>310</v>
      </c>
      <c r="K841" s="1" t="n">
        <v>5.43</v>
      </c>
      <c r="L841" s="1" t="n">
        <v>4.4</v>
      </c>
      <c r="M841" s="1" t="n">
        <v>3000</v>
      </c>
      <c r="N841" s="4" t="b">
        <f aca="false">FALSE()</f>
        <v>0</v>
      </c>
      <c r="O841" s="1" t="s">
        <v>2257</v>
      </c>
      <c r="P841" s="4" t="b">
        <f aca="false">TRUE()</f>
        <v>1</v>
      </c>
      <c r="Q841" s="1" t="s">
        <v>233</v>
      </c>
      <c r="R841" s="1" t="s">
        <v>2993</v>
      </c>
      <c r="S841" s="1" t="s">
        <v>3033</v>
      </c>
      <c r="T841" s="1" t="s">
        <v>222</v>
      </c>
      <c r="U841" s="1" t="s">
        <v>2102</v>
      </c>
    </row>
    <row r="842" customFormat="false" ht="48" hidden="false" customHeight="true" outlineLevel="0" collapsed="false">
      <c r="A842" s="1" t="s">
        <v>45</v>
      </c>
      <c r="B842" s="1" t="s">
        <v>2097</v>
      </c>
      <c r="C842" s="1" t="s">
        <v>75</v>
      </c>
      <c r="D842" s="1" t="s">
        <v>1259</v>
      </c>
      <c r="E842" s="1" t="n">
        <v>15</v>
      </c>
      <c r="F842" s="1" t="s">
        <v>3034</v>
      </c>
      <c r="G842" s="1" t="s">
        <v>2405</v>
      </c>
      <c r="H842" s="1" t="s">
        <v>3035</v>
      </c>
      <c r="I842" s="1" t="s">
        <v>306</v>
      </c>
      <c r="J842" s="1" t="s">
        <v>597</v>
      </c>
      <c r="L842" s="1" t="n">
        <v>4.4</v>
      </c>
      <c r="M842" s="1" t="n">
        <v>255</v>
      </c>
      <c r="N842" s="4" t="b">
        <f aca="false">FALSE()</f>
        <v>0</v>
      </c>
      <c r="P842" s="4" t="b">
        <f aca="false">TRUE()</f>
        <v>1</v>
      </c>
      <c r="R842" s="1" t="s">
        <v>2993</v>
      </c>
      <c r="S842" s="1" t="s">
        <v>3036</v>
      </c>
      <c r="T842" s="1" t="s">
        <v>222</v>
      </c>
      <c r="U842" s="1" t="s">
        <v>2102</v>
      </c>
    </row>
    <row r="843" customFormat="false" ht="48" hidden="false" customHeight="true" outlineLevel="0" collapsed="false">
      <c r="A843" s="1" t="s">
        <v>45</v>
      </c>
      <c r="B843" s="1" t="s">
        <v>2097</v>
      </c>
      <c r="C843" s="1" t="s">
        <v>75</v>
      </c>
      <c r="D843" s="1" t="s">
        <v>1259</v>
      </c>
      <c r="E843" s="1" t="n">
        <v>16</v>
      </c>
      <c r="F843" s="1" t="s">
        <v>3037</v>
      </c>
      <c r="G843" s="1" t="s">
        <v>236</v>
      </c>
      <c r="H843" s="1" t="s">
        <v>3038</v>
      </c>
      <c r="I843" s="1" t="s">
        <v>306</v>
      </c>
      <c r="J843" s="1" t="s">
        <v>689</v>
      </c>
      <c r="K843" s="1" t="n">
        <v>4.36</v>
      </c>
      <c r="L843" s="1" t="n">
        <v>4.2</v>
      </c>
      <c r="M843" s="1" t="n">
        <v>106</v>
      </c>
      <c r="N843" s="4" t="b">
        <f aca="false">FALSE()</f>
        <v>0</v>
      </c>
      <c r="O843" s="1" t="s">
        <v>2257</v>
      </c>
      <c r="P843" s="4" t="b">
        <f aca="false">TRUE()</f>
        <v>1</v>
      </c>
      <c r="Q843" s="1" t="s">
        <v>251</v>
      </c>
      <c r="R843" s="1" t="s">
        <v>2993</v>
      </c>
      <c r="S843" s="1" t="s">
        <v>3039</v>
      </c>
      <c r="T843" s="1" t="s">
        <v>222</v>
      </c>
      <c r="U843" s="1" t="s">
        <v>2102</v>
      </c>
    </row>
    <row r="844" customFormat="false" ht="48" hidden="false" customHeight="true" outlineLevel="0" collapsed="false">
      <c r="A844" s="1" t="s">
        <v>45</v>
      </c>
      <c r="B844" s="1" t="s">
        <v>2097</v>
      </c>
      <c r="C844" s="1" t="s">
        <v>75</v>
      </c>
      <c r="D844" s="1" t="s">
        <v>1259</v>
      </c>
      <c r="E844" s="1" t="n">
        <v>17</v>
      </c>
      <c r="F844" s="1" t="s">
        <v>3040</v>
      </c>
      <c r="G844" s="1" t="s">
        <v>567</v>
      </c>
      <c r="H844" s="1" t="s">
        <v>3041</v>
      </c>
      <c r="I844" s="1" t="s">
        <v>1267</v>
      </c>
      <c r="J844" s="1" t="s">
        <v>597</v>
      </c>
      <c r="K844" s="1" t="n">
        <v>9.89</v>
      </c>
      <c r="L844" s="1" t="n">
        <v>4.4</v>
      </c>
      <c r="M844" s="1" t="n">
        <v>3800</v>
      </c>
      <c r="N844" s="4" t="b">
        <f aca="false">FALSE()</f>
        <v>0</v>
      </c>
      <c r="P844" s="4" t="b">
        <f aca="false">TRUE()</f>
        <v>1</v>
      </c>
      <c r="Q844" s="1" t="s">
        <v>233</v>
      </c>
      <c r="R844" s="1" t="s">
        <v>2993</v>
      </c>
      <c r="S844" s="1" t="s">
        <v>3042</v>
      </c>
      <c r="T844" s="1" t="s">
        <v>222</v>
      </c>
      <c r="U844" s="1" t="s">
        <v>2102</v>
      </c>
    </row>
    <row r="845" customFormat="false" ht="48" hidden="false" customHeight="true" outlineLevel="0" collapsed="false">
      <c r="A845" s="1" t="s">
        <v>45</v>
      </c>
      <c r="B845" s="1" t="s">
        <v>2097</v>
      </c>
      <c r="C845" s="1" t="s">
        <v>75</v>
      </c>
      <c r="D845" s="1" t="s">
        <v>1259</v>
      </c>
      <c r="E845" s="1" t="n">
        <v>18</v>
      </c>
      <c r="F845" s="1" t="s">
        <v>3043</v>
      </c>
      <c r="G845" s="1" t="s">
        <v>236</v>
      </c>
      <c r="H845" s="1" t="s">
        <v>3044</v>
      </c>
      <c r="I845" s="1" t="s">
        <v>306</v>
      </c>
      <c r="J845" s="1" t="s">
        <v>597</v>
      </c>
      <c r="L845" s="1" t="n">
        <v>4.4</v>
      </c>
      <c r="M845" s="1" t="n">
        <v>457</v>
      </c>
      <c r="N845" s="4" t="b">
        <f aca="false">FALSE()</f>
        <v>0</v>
      </c>
      <c r="P845" s="4" t="b">
        <f aca="false">TRUE()</f>
        <v>1</v>
      </c>
      <c r="Q845" s="1" t="s">
        <v>251</v>
      </c>
      <c r="R845" s="1" t="s">
        <v>2993</v>
      </c>
      <c r="S845" s="1" t="s">
        <v>3045</v>
      </c>
      <c r="T845" s="1" t="s">
        <v>222</v>
      </c>
      <c r="U845" s="1" t="s">
        <v>2102</v>
      </c>
    </row>
    <row r="846" customFormat="false" ht="48" hidden="false" customHeight="true" outlineLevel="0" collapsed="false">
      <c r="A846" s="1" t="s">
        <v>45</v>
      </c>
      <c r="B846" s="1" t="s">
        <v>2097</v>
      </c>
      <c r="C846" s="1" t="s">
        <v>75</v>
      </c>
      <c r="D846" s="1" t="s">
        <v>1259</v>
      </c>
      <c r="E846" s="1" t="n">
        <v>19</v>
      </c>
      <c r="F846" s="1" t="s">
        <v>3046</v>
      </c>
      <c r="G846" s="1" t="s">
        <v>2410</v>
      </c>
      <c r="H846" s="1" t="s">
        <v>3047</v>
      </c>
      <c r="I846" s="1" t="s">
        <v>306</v>
      </c>
      <c r="J846" s="1" t="s">
        <v>310</v>
      </c>
      <c r="K846" s="1" t="n">
        <v>10</v>
      </c>
      <c r="L846" s="1" t="n">
        <v>4.4</v>
      </c>
      <c r="M846" s="1" t="n">
        <v>172</v>
      </c>
      <c r="N846" s="4" t="b">
        <f aca="false">FALSE()</f>
        <v>0</v>
      </c>
      <c r="O846" s="1" t="s">
        <v>2257</v>
      </c>
      <c r="P846" s="4" t="b">
        <f aca="false">TRUE()</f>
        <v>1</v>
      </c>
      <c r="Q846" s="1" t="s">
        <v>233</v>
      </c>
      <c r="R846" s="1" t="s">
        <v>2993</v>
      </c>
      <c r="S846" s="1" t="s">
        <v>3048</v>
      </c>
      <c r="T846" s="1" t="s">
        <v>222</v>
      </c>
      <c r="U846" s="1" t="s">
        <v>2102</v>
      </c>
    </row>
    <row r="847" customFormat="false" ht="48" hidden="false" customHeight="true" outlineLevel="0" collapsed="false">
      <c r="A847" s="1" t="s">
        <v>45</v>
      </c>
      <c r="B847" s="1" t="s">
        <v>2097</v>
      </c>
      <c r="C847" s="1" t="s">
        <v>75</v>
      </c>
      <c r="D847" s="1" t="s">
        <v>1259</v>
      </c>
      <c r="E847" s="1" t="n">
        <v>20</v>
      </c>
      <c r="F847" s="1" t="s">
        <v>3049</v>
      </c>
      <c r="G847" s="1" t="s">
        <v>567</v>
      </c>
      <c r="H847" s="1" t="s">
        <v>3050</v>
      </c>
      <c r="I847" s="1" t="s">
        <v>1267</v>
      </c>
      <c r="J847" s="1" t="s">
        <v>597</v>
      </c>
      <c r="K847" s="1" t="n">
        <v>15.7</v>
      </c>
      <c r="L847" s="1" t="n">
        <v>4.3</v>
      </c>
      <c r="M847" s="1" t="n">
        <v>1600</v>
      </c>
      <c r="N847" s="4" t="b">
        <f aca="false">FALSE()</f>
        <v>0</v>
      </c>
      <c r="P847" s="4" t="b">
        <f aca="false">TRUE()</f>
        <v>1</v>
      </c>
      <c r="Q847" s="1" t="s">
        <v>251</v>
      </c>
      <c r="R847" s="1" t="s">
        <v>2993</v>
      </c>
      <c r="S847" s="1" t="s">
        <v>3051</v>
      </c>
      <c r="T847" s="1" t="s">
        <v>222</v>
      </c>
      <c r="U847" s="1" t="s">
        <v>2102</v>
      </c>
    </row>
    <row r="848" customFormat="false" ht="48" hidden="false" customHeight="true" outlineLevel="0" collapsed="false">
      <c r="A848" s="1" t="s">
        <v>45</v>
      </c>
      <c r="B848" s="1" t="s">
        <v>2097</v>
      </c>
      <c r="C848" s="1" t="s">
        <v>75</v>
      </c>
      <c r="D848" s="1" t="s">
        <v>1259</v>
      </c>
      <c r="E848" s="1" t="n">
        <v>21</v>
      </c>
      <c r="F848" s="1" t="s">
        <v>3052</v>
      </c>
      <c r="G848" s="1" t="s">
        <v>236</v>
      </c>
      <c r="H848" s="1" t="s">
        <v>3053</v>
      </c>
      <c r="I848" s="1" t="s">
        <v>306</v>
      </c>
      <c r="J848" s="1" t="s">
        <v>597</v>
      </c>
      <c r="L848" s="1" t="n">
        <v>4.3</v>
      </c>
      <c r="M848" s="1" t="n">
        <v>1200</v>
      </c>
      <c r="N848" s="4" t="b">
        <f aca="false">FALSE()</f>
        <v>0</v>
      </c>
      <c r="P848" s="4" t="b">
        <f aca="false">TRUE()</f>
        <v>1</v>
      </c>
      <c r="R848" s="1" t="s">
        <v>2993</v>
      </c>
      <c r="S848" s="1" t="s">
        <v>3054</v>
      </c>
      <c r="T848" s="1" t="s">
        <v>222</v>
      </c>
      <c r="U848" s="1" t="s">
        <v>2102</v>
      </c>
    </row>
    <row r="849" customFormat="false" ht="48" hidden="false" customHeight="true" outlineLevel="0" collapsed="false">
      <c r="A849" s="1" t="s">
        <v>45</v>
      </c>
      <c r="B849" s="1" t="s">
        <v>2097</v>
      </c>
      <c r="C849" s="1" t="s">
        <v>75</v>
      </c>
      <c r="D849" s="1" t="s">
        <v>1259</v>
      </c>
      <c r="E849" s="1" t="n">
        <v>22</v>
      </c>
      <c r="F849" s="1" t="s">
        <v>3055</v>
      </c>
      <c r="G849" s="1" t="s">
        <v>236</v>
      </c>
      <c r="H849" s="1" t="s">
        <v>3056</v>
      </c>
      <c r="I849" s="1" t="s">
        <v>306</v>
      </c>
      <c r="J849" s="1" t="s">
        <v>597</v>
      </c>
      <c r="L849" s="1" t="n">
        <v>4.5</v>
      </c>
      <c r="M849" s="1" t="n">
        <v>326</v>
      </c>
      <c r="N849" s="4" t="b">
        <f aca="false">FALSE()</f>
        <v>0</v>
      </c>
      <c r="P849" s="4" t="b">
        <f aca="false">TRUE()</f>
        <v>1</v>
      </c>
      <c r="R849" s="1" t="s">
        <v>2993</v>
      </c>
      <c r="S849" s="1" t="s">
        <v>3057</v>
      </c>
      <c r="T849" s="1" t="s">
        <v>222</v>
      </c>
      <c r="U849" s="1" t="s">
        <v>2102</v>
      </c>
    </row>
    <row r="850" customFormat="false" ht="48" hidden="false" customHeight="true" outlineLevel="0" collapsed="false">
      <c r="A850" s="1" t="s">
        <v>45</v>
      </c>
      <c r="B850" s="1" t="s">
        <v>2097</v>
      </c>
      <c r="C850" s="1" t="s">
        <v>75</v>
      </c>
      <c r="D850" s="1" t="s">
        <v>1259</v>
      </c>
      <c r="E850" s="1" t="n">
        <v>23</v>
      </c>
      <c r="F850" s="1" t="s">
        <v>3058</v>
      </c>
      <c r="G850" s="1" t="s">
        <v>236</v>
      </c>
      <c r="H850" s="1" t="s">
        <v>3059</v>
      </c>
      <c r="I850" s="1" t="s">
        <v>306</v>
      </c>
      <c r="J850" s="1" t="s">
        <v>597</v>
      </c>
      <c r="L850" s="1" t="n">
        <v>4</v>
      </c>
      <c r="M850" s="1" t="n">
        <v>83</v>
      </c>
      <c r="N850" s="4" t="b">
        <f aca="false">FALSE()</f>
        <v>0</v>
      </c>
      <c r="P850" s="4" t="b">
        <f aca="false">TRUE()</f>
        <v>1</v>
      </c>
      <c r="R850" s="1" t="s">
        <v>2993</v>
      </c>
      <c r="S850" s="1" t="s">
        <v>3060</v>
      </c>
      <c r="T850" s="1" t="s">
        <v>222</v>
      </c>
      <c r="U850" s="1" t="s">
        <v>2102</v>
      </c>
    </row>
    <row r="851" customFormat="false" ht="48" hidden="false" customHeight="true" outlineLevel="0" collapsed="false">
      <c r="A851" s="1" t="s">
        <v>45</v>
      </c>
      <c r="B851" s="1" t="s">
        <v>2097</v>
      </c>
      <c r="C851" s="1" t="s">
        <v>75</v>
      </c>
      <c r="D851" s="1" t="s">
        <v>1259</v>
      </c>
      <c r="E851" s="1" t="n">
        <v>24</v>
      </c>
      <c r="F851" s="1" t="s">
        <v>3061</v>
      </c>
      <c r="G851" s="1" t="s">
        <v>236</v>
      </c>
      <c r="H851" s="1" t="s">
        <v>3062</v>
      </c>
      <c r="I851" s="1" t="s">
        <v>306</v>
      </c>
      <c r="J851" s="1" t="s">
        <v>597</v>
      </c>
      <c r="K851" s="1" t="n">
        <v>10</v>
      </c>
      <c r="L851" s="1" t="n">
        <v>4.4</v>
      </c>
      <c r="M851" s="1" t="n">
        <v>84</v>
      </c>
      <c r="N851" s="4" t="b">
        <f aca="false">FALSE()</f>
        <v>0</v>
      </c>
      <c r="P851" s="4" t="b">
        <f aca="false">TRUE()</f>
        <v>1</v>
      </c>
      <c r="Q851" s="1" t="s">
        <v>251</v>
      </c>
      <c r="R851" s="1" t="s">
        <v>2993</v>
      </c>
      <c r="S851" s="1" t="s">
        <v>3063</v>
      </c>
      <c r="T851" s="1" t="s">
        <v>222</v>
      </c>
      <c r="U851" s="1" t="s">
        <v>2102</v>
      </c>
    </row>
    <row r="852" customFormat="false" ht="48" hidden="false" customHeight="true" outlineLevel="0" collapsed="false">
      <c r="A852" s="1" t="s">
        <v>45</v>
      </c>
      <c r="B852" s="1" t="s">
        <v>2097</v>
      </c>
      <c r="C852" s="1" t="s">
        <v>75</v>
      </c>
      <c r="D852" s="1" t="s">
        <v>1259</v>
      </c>
      <c r="E852" s="1" t="n">
        <v>25</v>
      </c>
      <c r="F852" s="1" t="s">
        <v>3064</v>
      </c>
      <c r="G852" s="1" t="s">
        <v>236</v>
      </c>
      <c r="H852" s="1" t="s">
        <v>3065</v>
      </c>
      <c r="I852" s="1" t="s">
        <v>306</v>
      </c>
      <c r="J852" s="1" t="s">
        <v>597</v>
      </c>
      <c r="K852" s="1" t="n">
        <v>8</v>
      </c>
      <c r="L852" s="1" t="n">
        <v>4.4</v>
      </c>
      <c r="M852" s="1" t="n">
        <v>13</v>
      </c>
      <c r="N852" s="4" t="b">
        <f aca="false">FALSE()</f>
        <v>0</v>
      </c>
      <c r="O852" s="1" t="s">
        <v>2257</v>
      </c>
      <c r="P852" s="4" t="b">
        <f aca="false">TRUE()</f>
        <v>1</v>
      </c>
      <c r="R852" s="1" t="s">
        <v>2993</v>
      </c>
      <c r="S852" s="1" t="s">
        <v>3066</v>
      </c>
      <c r="T852" s="1" t="s">
        <v>222</v>
      </c>
      <c r="U852" s="1" t="s">
        <v>2102</v>
      </c>
    </row>
    <row r="853" customFormat="false" ht="48" hidden="false" customHeight="true" outlineLevel="0" collapsed="false">
      <c r="A853" s="1" t="s">
        <v>45</v>
      </c>
      <c r="B853" s="1" t="s">
        <v>2097</v>
      </c>
      <c r="C853" s="1" t="s">
        <v>75</v>
      </c>
      <c r="D853" s="1" t="s">
        <v>1259</v>
      </c>
      <c r="E853" s="1" t="n">
        <v>26</v>
      </c>
      <c r="F853" s="1" t="s">
        <v>3067</v>
      </c>
      <c r="G853" s="1" t="s">
        <v>236</v>
      </c>
      <c r="H853" s="1" t="s">
        <v>3068</v>
      </c>
      <c r="I853" s="1" t="s">
        <v>306</v>
      </c>
      <c r="J853" s="1" t="s">
        <v>597</v>
      </c>
      <c r="L853" s="1" t="n">
        <v>4.4</v>
      </c>
      <c r="M853" s="1" t="n">
        <v>5100</v>
      </c>
      <c r="N853" s="4" t="b">
        <f aca="false">FALSE()</f>
        <v>0</v>
      </c>
      <c r="P853" s="4" t="b">
        <f aca="false">TRUE()</f>
        <v>1</v>
      </c>
      <c r="R853" s="1" t="s">
        <v>2993</v>
      </c>
      <c r="S853" s="1" t="s">
        <v>3069</v>
      </c>
      <c r="T853" s="1" t="s">
        <v>222</v>
      </c>
      <c r="U853" s="1" t="s">
        <v>2102</v>
      </c>
    </row>
    <row r="854" customFormat="false" ht="48" hidden="false" customHeight="true" outlineLevel="0" collapsed="false">
      <c r="A854" s="1" t="s">
        <v>45</v>
      </c>
      <c r="B854" s="1" t="s">
        <v>2097</v>
      </c>
      <c r="C854" s="1" t="s">
        <v>75</v>
      </c>
      <c r="D854" s="1" t="s">
        <v>1259</v>
      </c>
      <c r="E854" s="1" t="n">
        <v>27</v>
      </c>
      <c r="F854" s="1" t="s">
        <v>3070</v>
      </c>
      <c r="G854" s="1" t="s">
        <v>236</v>
      </c>
      <c r="H854" s="1" t="s">
        <v>3071</v>
      </c>
      <c r="I854" s="1" t="s">
        <v>306</v>
      </c>
      <c r="J854" s="1" t="s">
        <v>597</v>
      </c>
      <c r="L854" s="1" t="n">
        <v>4.3</v>
      </c>
      <c r="M854" s="1" t="n">
        <v>129</v>
      </c>
      <c r="N854" s="4" t="b">
        <f aca="false">FALSE()</f>
        <v>0</v>
      </c>
      <c r="P854" s="4" t="b">
        <f aca="false">TRUE()</f>
        <v>1</v>
      </c>
      <c r="Q854" s="1" t="s">
        <v>251</v>
      </c>
      <c r="R854" s="1" t="s">
        <v>2993</v>
      </c>
      <c r="S854" s="1" t="s">
        <v>3072</v>
      </c>
      <c r="T854" s="1" t="s">
        <v>222</v>
      </c>
      <c r="U854" s="1" t="s">
        <v>2102</v>
      </c>
    </row>
    <row r="855" customFormat="false" ht="48" hidden="false" customHeight="true" outlineLevel="0" collapsed="false">
      <c r="A855" s="1" t="s">
        <v>45</v>
      </c>
      <c r="B855" s="1" t="s">
        <v>2097</v>
      </c>
      <c r="C855" s="1" t="s">
        <v>75</v>
      </c>
      <c r="D855" s="1" t="s">
        <v>1259</v>
      </c>
      <c r="E855" s="1" t="n">
        <v>28</v>
      </c>
      <c r="F855" s="1" t="s">
        <v>3073</v>
      </c>
      <c r="G855" s="1" t="s">
        <v>236</v>
      </c>
      <c r="H855" s="1" t="s">
        <v>3074</v>
      </c>
      <c r="I855" s="1" t="s">
        <v>306</v>
      </c>
      <c r="J855" s="1" t="s">
        <v>597</v>
      </c>
      <c r="L855" s="1" t="n">
        <v>4.4</v>
      </c>
      <c r="M855" s="1" t="n">
        <v>175</v>
      </c>
      <c r="N855" s="4" t="b">
        <f aca="false">FALSE()</f>
        <v>0</v>
      </c>
      <c r="P855" s="4" t="b">
        <f aca="false">TRUE()</f>
        <v>1</v>
      </c>
      <c r="R855" s="1" t="s">
        <v>2993</v>
      </c>
      <c r="S855" s="1" t="s">
        <v>3075</v>
      </c>
      <c r="T855" s="1" t="s">
        <v>222</v>
      </c>
      <c r="U855" s="1" t="s">
        <v>2102</v>
      </c>
    </row>
    <row r="856" customFormat="false" ht="48" hidden="false" customHeight="true" outlineLevel="0" collapsed="false">
      <c r="A856" s="1" t="s">
        <v>45</v>
      </c>
      <c r="B856" s="1" t="s">
        <v>2097</v>
      </c>
      <c r="C856" s="1" t="s">
        <v>75</v>
      </c>
      <c r="D856" s="1" t="s">
        <v>1259</v>
      </c>
      <c r="E856" s="1" t="n">
        <v>29</v>
      </c>
      <c r="F856" s="1" t="s">
        <v>3076</v>
      </c>
      <c r="G856" s="1" t="s">
        <v>567</v>
      </c>
      <c r="H856" s="1" t="s">
        <v>3077</v>
      </c>
      <c r="I856" s="1" t="s">
        <v>306</v>
      </c>
      <c r="J856" s="1" t="s">
        <v>371</v>
      </c>
      <c r="K856" s="1" t="n">
        <v>6.08</v>
      </c>
      <c r="L856" s="1" t="n">
        <v>4.5</v>
      </c>
      <c r="M856" s="1" t="n">
        <v>34200</v>
      </c>
      <c r="N856" s="4" t="b">
        <f aca="false">FALSE()</f>
        <v>0</v>
      </c>
      <c r="P856" s="4" t="b">
        <f aca="false">TRUE()</f>
        <v>1</v>
      </c>
      <c r="Q856" s="1" t="s">
        <v>711</v>
      </c>
      <c r="R856" s="1" t="s">
        <v>2993</v>
      </c>
      <c r="S856" s="1" t="s">
        <v>3078</v>
      </c>
      <c r="T856" s="1" t="s">
        <v>222</v>
      </c>
      <c r="U856" s="1" t="s">
        <v>2102</v>
      </c>
    </row>
    <row r="857" customFormat="false" ht="48" hidden="false" customHeight="true" outlineLevel="0" collapsed="false">
      <c r="A857" s="1" t="s">
        <v>45</v>
      </c>
      <c r="B857" s="1" t="s">
        <v>2097</v>
      </c>
      <c r="C857" s="1" t="s">
        <v>75</v>
      </c>
      <c r="D857" s="1" t="s">
        <v>1259</v>
      </c>
      <c r="E857" s="1" t="n">
        <v>30</v>
      </c>
      <c r="F857" s="1" t="s">
        <v>3079</v>
      </c>
      <c r="G857" s="1" t="s">
        <v>236</v>
      </c>
      <c r="H857" s="1" t="s">
        <v>3080</v>
      </c>
      <c r="I857" s="1" t="s">
        <v>306</v>
      </c>
      <c r="J857" s="1" t="s">
        <v>689</v>
      </c>
      <c r="L857" s="1" t="n">
        <v>4.3</v>
      </c>
      <c r="M857" s="1" t="n">
        <v>44</v>
      </c>
      <c r="N857" s="4" t="b">
        <f aca="false">FALSE()</f>
        <v>0</v>
      </c>
      <c r="P857" s="4" t="b">
        <f aca="false">TRUE()</f>
        <v>1</v>
      </c>
      <c r="R857" s="1" t="s">
        <v>2993</v>
      </c>
      <c r="S857" s="1" t="s">
        <v>3081</v>
      </c>
      <c r="T857" s="1" t="s">
        <v>222</v>
      </c>
      <c r="U857" s="1" t="s">
        <v>2102</v>
      </c>
    </row>
    <row r="858" customFormat="false" ht="48" hidden="false" customHeight="true" outlineLevel="0" collapsed="false">
      <c r="A858" s="1" t="s">
        <v>45</v>
      </c>
      <c r="B858" s="1" t="s">
        <v>2097</v>
      </c>
      <c r="C858" s="1" t="s">
        <v>75</v>
      </c>
      <c r="D858" s="1" t="s">
        <v>1259</v>
      </c>
      <c r="E858" s="1" t="n">
        <v>31</v>
      </c>
      <c r="F858" s="1" t="s">
        <v>3082</v>
      </c>
      <c r="G858" s="1" t="s">
        <v>2246</v>
      </c>
      <c r="H858" s="1" t="s">
        <v>3083</v>
      </c>
      <c r="I858" s="1" t="s">
        <v>306</v>
      </c>
      <c r="J858" s="1" t="s">
        <v>371</v>
      </c>
      <c r="K858" s="1" t="n">
        <v>3.99</v>
      </c>
      <c r="L858" s="1" t="n">
        <v>4.3</v>
      </c>
      <c r="M858" s="1" t="n">
        <v>1400</v>
      </c>
      <c r="N858" s="4" t="b">
        <f aca="false">FALSE()</f>
        <v>0</v>
      </c>
      <c r="O858" s="1" t="s">
        <v>2257</v>
      </c>
      <c r="P858" s="4" t="b">
        <f aca="false">TRUE()</f>
        <v>1</v>
      </c>
      <c r="Q858" s="1" t="s">
        <v>409</v>
      </c>
      <c r="R858" s="1" t="s">
        <v>2993</v>
      </c>
      <c r="S858" s="1" t="s">
        <v>3084</v>
      </c>
      <c r="T858" s="1" t="s">
        <v>222</v>
      </c>
      <c r="U858" s="1" t="s">
        <v>2102</v>
      </c>
    </row>
    <row r="859" customFormat="false" ht="48" hidden="false" customHeight="true" outlineLevel="0" collapsed="false">
      <c r="A859" s="1" t="s">
        <v>45</v>
      </c>
      <c r="B859" s="1" t="s">
        <v>2097</v>
      </c>
      <c r="C859" s="1" t="s">
        <v>75</v>
      </c>
      <c r="D859" s="1" t="s">
        <v>1259</v>
      </c>
      <c r="E859" s="1" t="n">
        <v>32</v>
      </c>
      <c r="F859" s="1" t="s">
        <v>3085</v>
      </c>
      <c r="G859" s="1" t="s">
        <v>236</v>
      </c>
      <c r="H859" s="1" t="s">
        <v>3086</v>
      </c>
      <c r="I859" s="1" t="s">
        <v>1267</v>
      </c>
      <c r="J859" s="1" t="s">
        <v>597</v>
      </c>
      <c r="L859" s="1" t="n">
        <v>4.4</v>
      </c>
      <c r="M859" s="1" t="n">
        <v>1900</v>
      </c>
      <c r="N859" s="4" t="b">
        <f aca="false">FALSE()</f>
        <v>0</v>
      </c>
      <c r="P859" s="4" t="b">
        <f aca="false">TRUE()</f>
        <v>1</v>
      </c>
      <c r="Q859" s="1" t="s">
        <v>711</v>
      </c>
      <c r="R859" s="1" t="s">
        <v>2993</v>
      </c>
      <c r="S859" s="1" t="s">
        <v>3087</v>
      </c>
      <c r="T859" s="1" t="s">
        <v>222</v>
      </c>
      <c r="U859" s="1" t="s">
        <v>2102</v>
      </c>
    </row>
    <row r="860" customFormat="false" ht="48" hidden="false" customHeight="true" outlineLevel="0" collapsed="false">
      <c r="A860" s="1" t="s">
        <v>45</v>
      </c>
      <c r="B860" s="1" t="s">
        <v>2097</v>
      </c>
      <c r="C860" s="1" t="s">
        <v>75</v>
      </c>
      <c r="D860" s="1" t="s">
        <v>1259</v>
      </c>
      <c r="E860" s="1" t="n">
        <v>33</v>
      </c>
      <c r="F860" s="1" t="s">
        <v>3088</v>
      </c>
      <c r="G860" s="1" t="s">
        <v>236</v>
      </c>
      <c r="H860" s="1" t="s">
        <v>3089</v>
      </c>
      <c r="I860" s="1" t="s">
        <v>306</v>
      </c>
      <c r="J860" s="1" t="s">
        <v>597</v>
      </c>
      <c r="L860" s="1" t="n">
        <v>4.2</v>
      </c>
      <c r="M860" s="1" t="n">
        <v>648</v>
      </c>
      <c r="N860" s="4" t="b">
        <f aca="false">FALSE()</f>
        <v>0</v>
      </c>
      <c r="P860" s="4" t="b">
        <f aca="false">TRUE()</f>
        <v>1</v>
      </c>
      <c r="R860" s="1" t="s">
        <v>2993</v>
      </c>
      <c r="S860" s="1" t="s">
        <v>3090</v>
      </c>
      <c r="T860" s="1" t="s">
        <v>222</v>
      </c>
      <c r="U860" s="1" t="s">
        <v>2102</v>
      </c>
    </row>
    <row r="861" customFormat="false" ht="48" hidden="false" customHeight="true" outlineLevel="0" collapsed="false">
      <c r="A861" s="1" t="s">
        <v>45</v>
      </c>
      <c r="B861" s="1" t="s">
        <v>2097</v>
      </c>
      <c r="C861" s="1" t="s">
        <v>75</v>
      </c>
      <c r="D861" s="1" t="s">
        <v>1259</v>
      </c>
      <c r="E861" s="1" t="n">
        <v>34</v>
      </c>
      <c r="F861" s="1" t="s">
        <v>3091</v>
      </c>
      <c r="G861" s="1" t="s">
        <v>236</v>
      </c>
      <c r="H861" s="1" t="s">
        <v>3092</v>
      </c>
      <c r="I861" s="1" t="s">
        <v>1267</v>
      </c>
      <c r="J861" s="1" t="s">
        <v>597</v>
      </c>
      <c r="K861" s="1" t="n">
        <v>12</v>
      </c>
      <c r="L861" s="1" t="n">
        <v>4.2</v>
      </c>
      <c r="M861" s="1" t="n">
        <v>27</v>
      </c>
      <c r="N861" s="4" t="b">
        <f aca="false">FALSE()</f>
        <v>0</v>
      </c>
      <c r="O861" s="1" t="s">
        <v>2257</v>
      </c>
      <c r="P861" s="4" t="b">
        <f aca="false">TRUE()</f>
        <v>1</v>
      </c>
      <c r="Q861" s="1" t="s">
        <v>251</v>
      </c>
      <c r="R861" s="1" t="s">
        <v>2993</v>
      </c>
      <c r="S861" s="1" t="s">
        <v>3093</v>
      </c>
      <c r="T861" s="1" t="s">
        <v>222</v>
      </c>
      <c r="U861" s="1" t="s">
        <v>2102</v>
      </c>
    </row>
    <row r="862" customFormat="false" ht="48" hidden="false" customHeight="true" outlineLevel="0" collapsed="false">
      <c r="A862" s="1" t="s">
        <v>45</v>
      </c>
      <c r="B862" s="1" t="s">
        <v>2097</v>
      </c>
      <c r="C862" s="1" t="s">
        <v>75</v>
      </c>
      <c r="D862" s="1" t="s">
        <v>1259</v>
      </c>
      <c r="E862" s="1" t="n">
        <v>35</v>
      </c>
      <c r="F862" s="1" t="s">
        <v>3094</v>
      </c>
      <c r="G862" s="1" t="s">
        <v>236</v>
      </c>
      <c r="H862" s="1" t="s">
        <v>3095</v>
      </c>
      <c r="I862" s="1" t="s">
        <v>306</v>
      </c>
      <c r="J862" s="1" t="s">
        <v>597</v>
      </c>
      <c r="L862" s="1" t="n">
        <v>4.4</v>
      </c>
      <c r="M862" s="1" t="n">
        <v>272</v>
      </c>
      <c r="N862" s="4" t="b">
        <f aca="false">FALSE()</f>
        <v>0</v>
      </c>
      <c r="P862" s="4" t="b">
        <f aca="false">TRUE()</f>
        <v>1</v>
      </c>
      <c r="Q862" s="1" t="s">
        <v>251</v>
      </c>
      <c r="R862" s="1" t="s">
        <v>2993</v>
      </c>
      <c r="S862" s="1" t="s">
        <v>3096</v>
      </c>
      <c r="T862" s="1" t="s">
        <v>222</v>
      </c>
      <c r="U862" s="1" t="s">
        <v>2102</v>
      </c>
    </row>
    <row r="863" customFormat="false" ht="48" hidden="false" customHeight="true" outlineLevel="0" collapsed="false">
      <c r="A863" s="1" t="s">
        <v>45</v>
      </c>
      <c r="B863" s="1" t="s">
        <v>2097</v>
      </c>
      <c r="C863" s="1" t="s">
        <v>75</v>
      </c>
      <c r="D863" s="1" t="s">
        <v>1259</v>
      </c>
      <c r="E863" s="1" t="n">
        <v>36</v>
      </c>
      <c r="F863" s="1" t="s">
        <v>3097</v>
      </c>
      <c r="G863" s="1" t="s">
        <v>236</v>
      </c>
      <c r="H863" s="1" t="s">
        <v>3098</v>
      </c>
      <c r="I863" s="1" t="s">
        <v>1267</v>
      </c>
      <c r="J863" s="1" t="s">
        <v>310</v>
      </c>
      <c r="L863" s="1" t="n">
        <v>4.7</v>
      </c>
      <c r="M863" s="1" t="n">
        <v>1300</v>
      </c>
      <c r="N863" s="4" t="b">
        <f aca="false">FALSE()</f>
        <v>0</v>
      </c>
      <c r="P863" s="4" t="b">
        <f aca="false">TRUE()</f>
        <v>1</v>
      </c>
      <c r="Q863" s="1" t="s">
        <v>711</v>
      </c>
      <c r="R863" s="1" t="s">
        <v>2993</v>
      </c>
      <c r="S863" s="1" t="s">
        <v>3099</v>
      </c>
      <c r="T863" s="1" t="s">
        <v>222</v>
      </c>
      <c r="U863" s="1" t="s">
        <v>2102</v>
      </c>
    </row>
    <row r="864" customFormat="false" ht="48" hidden="false" customHeight="true" outlineLevel="0" collapsed="false">
      <c r="A864" s="1" t="s">
        <v>45</v>
      </c>
      <c r="B864" s="1" t="s">
        <v>2097</v>
      </c>
      <c r="C864" s="1" t="s">
        <v>75</v>
      </c>
      <c r="D864" s="1" t="s">
        <v>1259</v>
      </c>
      <c r="E864" s="1" t="n">
        <v>37</v>
      </c>
      <c r="F864" s="1" t="s">
        <v>3100</v>
      </c>
      <c r="G864" s="1" t="s">
        <v>236</v>
      </c>
      <c r="H864" s="1" t="s">
        <v>3101</v>
      </c>
      <c r="I864" s="1" t="s">
        <v>1267</v>
      </c>
      <c r="J864" s="1" t="s">
        <v>597</v>
      </c>
      <c r="K864" s="1" t="n">
        <v>9</v>
      </c>
      <c r="L864" s="1" t="n">
        <v>5</v>
      </c>
      <c r="M864" s="1" t="n">
        <v>1</v>
      </c>
      <c r="N864" s="4" t="b">
        <f aca="false">FALSE()</f>
        <v>0</v>
      </c>
      <c r="P864" s="4" t="b">
        <f aca="false">TRUE()</f>
        <v>1</v>
      </c>
      <c r="R864" s="1" t="s">
        <v>2993</v>
      </c>
      <c r="S864" s="1" t="s">
        <v>3102</v>
      </c>
      <c r="T864" s="1" t="s">
        <v>222</v>
      </c>
      <c r="U864" s="1" t="s">
        <v>2102</v>
      </c>
    </row>
    <row r="865" customFormat="false" ht="48" hidden="false" customHeight="true" outlineLevel="0" collapsed="false">
      <c r="A865" s="1" t="s">
        <v>45</v>
      </c>
      <c r="B865" s="1" t="s">
        <v>2097</v>
      </c>
      <c r="C865" s="1" t="s">
        <v>75</v>
      </c>
      <c r="D865" s="1" t="s">
        <v>1259</v>
      </c>
      <c r="E865" s="1" t="n">
        <v>38</v>
      </c>
      <c r="F865" s="1" t="s">
        <v>3103</v>
      </c>
      <c r="G865" s="1" t="s">
        <v>236</v>
      </c>
      <c r="H865" s="1" t="s">
        <v>3104</v>
      </c>
      <c r="I865" s="1" t="s">
        <v>306</v>
      </c>
      <c r="J865" s="1" t="s">
        <v>597</v>
      </c>
      <c r="K865" s="1" t="n">
        <v>9.34</v>
      </c>
      <c r="L865" s="1" t="n">
        <v>4.2</v>
      </c>
      <c r="M865" s="1" t="n">
        <v>178</v>
      </c>
      <c r="N865" s="4" t="b">
        <f aca="false">FALSE()</f>
        <v>0</v>
      </c>
      <c r="O865" s="1" t="s">
        <v>2257</v>
      </c>
      <c r="P865" s="4" t="b">
        <f aca="false">TRUE()</f>
        <v>1</v>
      </c>
      <c r="R865" s="1" t="s">
        <v>2993</v>
      </c>
      <c r="S865" s="1" t="s">
        <v>3105</v>
      </c>
      <c r="T865" s="1" t="s">
        <v>222</v>
      </c>
      <c r="U865" s="1" t="s">
        <v>2102</v>
      </c>
    </row>
    <row r="866" customFormat="false" ht="48" hidden="false" customHeight="true" outlineLevel="0" collapsed="false">
      <c r="A866" s="1" t="s">
        <v>45</v>
      </c>
      <c r="B866" s="1" t="s">
        <v>2097</v>
      </c>
      <c r="C866" s="1" t="s">
        <v>75</v>
      </c>
      <c r="D866" s="1" t="s">
        <v>1259</v>
      </c>
      <c r="E866" s="1" t="n">
        <v>39</v>
      </c>
      <c r="F866" s="1" t="s">
        <v>3106</v>
      </c>
      <c r="G866" s="1" t="s">
        <v>236</v>
      </c>
      <c r="H866" s="1" t="s">
        <v>3107</v>
      </c>
      <c r="I866" s="1" t="s">
        <v>1267</v>
      </c>
      <c r="J866" s="1" t="s">
        <v>597</v>
      </c>
      <c r="K866" s="1" t="n">
        <v>9</v>
      </c>
      <c r="L866" s="1" t="n">
        <v>4.3</v>
      </c>
      <c r="M866" s="1" t="n">
        <v>63</v>
      </c>
      <c r="N866" s="4" t="b">
        <f aca="false">FALSE()</f>
        <v>0</v>
      </c>
      <c r="O866" s="1" t="s">
        <v>2257</v>
      </c>
      <c r="P866" s="4" t="b">
        <f aca="false">TRUE()</f>
        <v>1</v>
      </c>
      <c r="R866" s="1" t="s">
        <v>2993</v>
      </c>
      <c r="S866" s="1" t="s">
        <v>3108</v>
      </c>
      <c r="T866" s="1" t="s">
        <v>222</v>
      </c>
      <c r="U866" s="1" t="s">
        <v>2102</v>
      </c>
    </row>
    <row r="867" customFormat="false" ht="48" hidden="false" customHeight="true" outlineLevel="0" collapsed="false">
      <c r="A867" s="1" t="s">
        <v>45</v>
      </c>
      <c r="B867" s="1" t="s">
        <v>2097</v>
      </c>
      <c r="C867" s="1" t="s">
        <v>75</v>
      </c>
      <c r="D867" s="1" t="s">
        <v>1259</v>
      </c>
      <c r="E867" s="1" t="n">
        <v>40</v>
      </c>
      <c r="F867" s="1" t="s">
        <v>3109</v>
      </c>
      <c r="G867" s="1" t="s">
        <v>236</v>
      </c>
      <c r="H867" s="1" t="s">
        <v>3110</v>
      </c>
      <c r="I867" s="1" t="s">
        <v>218</v>
      </c>
      <c r="J867" s="1" t="s">
        <v>597</v>
      </c>
      <c r="K867" s="1" t="n">
        <v>20.64</v>
      </c>
      <c r="L867" s="1" t="n">
        <v>4.3</v>
      </c>
      <c r="M867" s="1" t="n">
        <v>692</v>
      </c>
      <c r="N867" s="4" t="b">
        <f aca="false">FALSE()</f>
        <v>0</v>
      </c>
      <c r="P867" s="4" t="b">
        <f aca="false">TRUE()</f>
        <v>1</v>
      </c>
      <c r="R867" s="1" t="s">
        <v>2993</v>
      </c>
      <c r="S867" s="1" t="s">
        <v>3111</v>
      </c>
      <c r="T867" s="1" t="s">
        <v>222</v>
      </c>
      <c r="U867" s="1" t="s">
        <v>2102</v>
      </c>
    </row>
    <row r="868" customFormat="false" ht="48" hidden="false" customHeight="true" outlineLevel="0" collapsed="false">
      <c r="A868" s="1" t="s">
        <v>45</v>
      </c>
      <c r="B868" s="1" t="s">
        <v>2097</v>
      </c>
      <c r="C868" s="1" t="s">
        <v>75</v>
      </c>
      <c r="D868" s="1" t="s">
        <v>1259</v>
      </c>
      <c r="E868" s="1" t="n">
        <v>41</v>
      </c>
      <c r="F868" s="1" t="s">
        <v>3112</v>
      </c>
      <c r="G868" s="1" t="s">
        <v>236</v>
      </c>
      <c r="H868" s="1" t="s">
        <v>3113</v>
      </c>
      <c r="I868" s="1" t="s">
        <v>306</v>
      </c>
      <c r="J868" s="1" t="s">
        <v>597</v>
      </c>
      <c r="L868" s="1" t="n">
        <v>4.3</v>
      </c>
      <c r="M868" s="1" t="n">
        <v>613</v>
      </c>
      <c r="N868" s="4" t="b">
        <f aca="false">FALSE()</f>
        <v>0</v>
      </c>
      <c r="P868" s="4" t="b">
        <f aca="false">TRUE()</f>
        <v>1</v>
      </c>
      <c r="R868" s="1" t="s">
        <v>2993</v>
      </c>
      <c r="S868" s="1" t="s">
        <v>3114</v>
      </c>
      <c r="T868" s="1" t="s">
        <v>222</v>
      </c>
      <c r="U868" s="1" t="s">
        <v>2102</v>
      </c>
    </row>
    <row r="869" customFormat="false" ht="48" hidden="false" customHeight="true" outlineLevel="0" collapsed="false">
      <c r="A869" s="1" t="s">
        <v>45</v>
      </c>
      <c r="B869" s="1" t="s">
        <v>2097</v>
      </c>
      <c r="C869" s="1" t="s">
        <v>75</v>
      </c>
      <c r="D869" s="1" t="s">
        <v>1259</v>
      </c>
      <c r="E869" s="1" t="n">
        <v>42</v>
      </c>
      <c r="F869" s="1" t="s">
        <v>3115</v>
      </c>
      <c r="G869" s="1" t="s">
        <v>236</v>
      </c>
      <c r="H869" s="1" t="s">
        <v>3116</v>
      </c>
      <c r="I869" s="1" t="s">
        <v>306</v>
      </c>
      <c r="J869" s="1" t="s">
        <v>597</v>
      </c>
      <c r="L869" s="1" t="n">
        <v>4.6</v>
      </c>
      <c r="M869" s="1" t="n">
        <v>156</v>
      </c>
      <c r="N869" s="4" t="b">
        <f aca="false">FALSE()</f>
        <v>0</v>
      </c>
      <c r="P869" s="4" t="b">
        <f aca="false">TRUE()</f>
        <v>1</v>
      </c>
      <c r="R869" s="1" t="s">
        <v>2993</v>
      </c>
      <c r="S869" s="1" t="s">
        <v>3117</v>
      </c>
      <c r="T869" s="1" t="s">
        <v>222</v>
      </c>
      <c r="U869" s="1" t="s">
        <v>2102</v>
      </c>
    </row>
    <row r="870" customFormat="false" ht="48" hidden="false" customHeight="true" outlineLevel="0" collapsed="false">
      <c r="A870" s="1" t="s">
        <v>45</v>
      </c>
      <c r="B870" s="1" t="s">
        <v>2097</v>
      </c>
      <c r="C870" s="1" t="s">
        <v>75</v>
      </c>
      <c r="D870" s="1" t="s">
        <v>1259</v>
      </c>
      <c r="E870" s="1" t="n">
        <v>43</v>
      </c>
      <c r="F870" s="1" t="s">
        <v>3118</v>
      </c>
      <c r="G870" s="1" t="s">
        <v>236</v>
      </c>
      <c r="H870" s="1" t="s">
        <v>3119</v>
      </c>
      <c r="I870" s="1" t="s">
        <v>1267</v>
      </c>
      <c r="J870" s="1" t="s">
        <v>597</v>
      </c>
      <c r="K870" s="1" t="n">
        <v>12</v>
      </c>
      <c r="L870" s="1" t="n">
        <v>4.2</v>
      </c>
      <c r="M870" s="1" t="n">
        <v>6</v>
      </c>
      <c r="N870" s="4" t="b">
        <f aca="false">FALSE()</f>
        <v>0</v>
      </c>
      <c r="P870" s="4" t="b">
        <f aca="false">TRUE()</f>
        <v>1</v>
      </c>
      <c r="R870" s="1" t="s">
        <v>2993</v>
      </c>
      <c r="S870" s="1" t="s">
        <v>3120</v>
      </c>
      <c r="T870" s="1" t="s">
        <v>222</v>
      </c>
      <c r="U870" s="1" t="s">
        <v>2102</v>
      </c>
    </row>
    <row r="871" customFormat="false" ht="48" hidden="false" customHeight="true" outlineLevel="0" collapsed="false">
      <c r="A871" s="1" t="s">
        <v>45</v>
      </c>
      <c r="B871" s="1" t="s">
        <v>2097</v>
      </c>
      <c r="C871" s="1" t="s">
        <v>75</v>
      </c>
      <c r="D871" s="1" t="s">
        <v>1259</v>
      </c>
      <c r="E871" s="1" t="n">
        <v>44</v>
      </c>
      <c r="F871" s="1" t="s">
        <v>3121</v>
      </c>
      <c r="G871" s="1" t="s">
        <v>236</v>
      </c>
      <c r="H871" s="1" t="s">
        <v>3122</v>
      </c>
      <c r="I871" s="1" t="s">
        <v>306</v>
      </c>
      <c r="J871" s="1" t="s">
        <v>597</v>
      </c>
      <c r="L871" s="1" t="n">
        <v>4.3</v>
      </c>
      <c r="M871" s="1" t="n">
        <v>241</v>
      </c>
      <c r="N871" s="4" t="b">
        <f aca="false">FALSE()</f>
        <v>0</v>
      </c>
      <c r="P871" s="4" t="b">
        <f aca="false">TRUE()</f>
        <v>1</v>
      </c>
      <c r="Q871" s="1" t="s">
        <v>251</v>
      </c>
      <c r="R871" s="1" t="s">
        <v>2993</v>
      </c>
      <c r="S871" s="1" t="s">
        <v>3123</v>
      </c>
      <c r="T871" s="1" t="s">
        <v>222</v>
      </c>
      <c r="U871" s="1" t="s">
        <v>2102</v>
      </c>
    </row>
    <row r="872" customFormat="false" ht="48" hidden="false" customHeight="true" outlineLevel="0" collapsed="false">
      <c r="A872" s="1" t="s">
        <v>45</v>
      </c>
      <c r="B872" s="1" t="s">
        <v>2097</v>
      </c>
      <c r="C872" s="1" t="s">
        <v>75</v>
      </c>
      <c r="D872" s="1" t="s">
        <v>1259</v>
      </c>
      <c r="E872" s="1" t="n">
        <v>45</v>
      </c>
      <c r="F872" s="1" t="s">
        <v>3124</v>
      </c>
      <c r="G872" s="1" t="s">
        <v>2405</v>
      </c>
      <c r="H872" s="1" t="s">
        <v>3125</v>
      </c>
      <c r="I872" s="1" t="s">
        <v>306</v>
      </c>
      <c r="J872" s="1" t="s">
        <v>310</v>
      </c>
      <c r="L872" s="1" t="n">
        <v>4.4</v>
      </c>
      <c r="M872" s="1" t="n">
        <v>1900</v>
      </c>
      <c r="N872" s="4" t="b">
        <f aca="false">FALSE()</f>
        <v>0</v>
      </c>
      <c r="P872" s="4" t="b">
        <f aca="false">TRUE()</f>
        <v>1</v>
      </c>
      <c r="R872" s="1" t="s">
        <v>2993</v>
      </c>
      <c r="S872" s="1" t="s">
        <v>3126</v>
      </c>
      <c r="T872" s="1" t="s">
        <v>222</v>
      </c>
      <c r="U872" s="1" t="s">
        <v>2102</v>
      </c>
    </row>
    <row r="873" customFormat="false" ht="48" hidden="false" customHeight="true" outlineLevel="0" collapsed="false">
      <c r="A873" s="1" t="s">
        <v>45</v>
      </c>
      <c r="B873" s="1" t="s">
        <v>2097</v>
      </c>
      <c r="C873" s="1" t="s">
        <v>75</v>
      </c>
      <c r="D873" s="1" t="s">
        <v>1259</v>
      </c>
      <c r="E873" s="1" t="n">
        <v>46</v>
      </c>
      <c r="F873" s="1" t="s">
        <v>3127</v>
      </c>
      <c r="G873" s="1" t="s">
        <v>236</v>
      </c>
      <c r="H873" s="1" t="s">
        <v>3128</v>
      </c>
      <c r="I873" s="1" t="s">
        <v>306</v>
      </c>
      <c r="J873" s="1" t="s">
        <v>597</v>
      </c>
      <c r="L873" s="1" t="n">
        <v>4.4</v>
      </c>
      <c r="M873" s="1" t="n">
        <v>8700</v>
      </c>
      <c r="N873" s="4" t="b">
        <f aca="false">FALSE()</f>
        <v>0</v>
      </c>
      <c r="P873" s="4" t="b">
        <f aca="false">TRUE()</f>
        <v>1</v>
      </c>
      <c r="Q873" s="1" t="s">
        <v>233</v>
      </c>
      <c r="R873" s="1" t="s">
        <v>2993</v>
      </c>
      <c r="S873" s="1" t="s">
        <v>3129</v>
      </c>
      <c r="T873" s="1" t="s">
        <v>222</v>
      </c>
      <c r="U873" s="1" t="s">
        <v>2102</v>
      </c>
    </row>
    <row r="874" customFormat="false" ht="48" hidden="false" customHeight="true" outlineLevel="0" collapsed="false">
      <c r="A874" s="1" t="s">
        <v>45</v>
      </c>
      <c r="B874" s="1" t="s">
        <v>2097</v>
      </c>
      <c r="C874" s="1" t="s">
        <v>75</v>
      </c>
      <c r="D874" s="1" t="s">
        <v>1259</v>
      </c>
      <c r="E874" s="1" t="n">
        <v>47</v>
      </c>
      <c r="F874" s="1" t="s">
        <v>3130</v>
      </c>
      <c r="G874" s="1" t="s">
        <v>236</v>
      </c>
      <c r="H874" s="1" t="s">
        <v>3131</v>
      </c>
      <c r="I874" s="1" t="s">
        <v>306</v>
      </c>
      <c r="J874" s="1" t="s">
        <v>597</v>
      </c>
      <c r="K874" s="1" t="n">
        <v>22.92</v>
      </c>
      <c r="L874" s="1" t="n">
        <v>4.4</v>
      </c>
      <c r="M874" s="1" t="n">
        <v>2900</v>
      </c>
      <c r="N874" s="4" t="b">
        <f aca="false">FALSE()</f>
        <v>0</v>
      </c>
      <c r="P874" s="4" t="b">
        <f aca="false">TRUE()</f>
        <v>1</v>
      </c>
      <c r="R874" s="1" t="s">
        <v>2993</v>
      </c>
      <c r="S874" s="1" t="s">
        <v>3132</v>
      </c>
      <c r="T874" s="1" t="s">
        <v>222</v>
      </c>
      <c r="U874" s="1" t="s">
        <v>2102</v>
      </c>
    </row>
    <row r="875" customFormat="false" ht="48" hidden="false" customHeight="true" outlineLevel="0" collapsed="false">
      <c r="A875" s="1" t="s">
        <v>45</v>
      </c>
      <c r="B875" s="1" t="s">
        <v>2097</v>
      </c>
      <c r="C875" s="1" t="s">
        <v>75</v>
      </c>
      <c r="D875" s="1" t="s">
        <v>1259</v>
      </c>
      <c r="E875" s="1" t="n">
        <v>48</v>
      </c>
      <c r="F875" s="1" t="s">
        <v>3133</v>
      </c>
      <c r="G875" s="1" t="s">
        <v>236</v>
      </c>
      <c r="H875" s="1" t="s">
        <v>3134</v>
      </c>
      <c r="I875" s="1" t="s">
        <v>306</v>
      </c>
      <c r="J875" s="1" t="s">
        <v>597</v>
      </c>
      <c r="L875" s="1" t="n">
        <v>4.2</v>
      </c>
      <c r="M875" s="1" t="n">
        <v>34</v>
      </c>
      <c r="N875" s="4" t="b">
        <f aca="false">FALSE()</f>
        <v>0</v>
      </c>
      <c r="P875" s="4" t="b">
        <f aca="false">TRUE()</f>
        <v>1</v>
      </c>
      <c r="R875" s="1" t="s">
        <v>2993</v>
      </c>
      <c r="S875" s="1" t="s">
        <v>3135</v>
      </c>
      <c r="T875" s="1" t="s">
        <v>222</v>
      </c>
      <c r="U875" s="1" t="s">
        <v>2102</v>
      </c>
    </row>
    <row r="876" customFormat="false" ht="48" hidden="false" customHeight="true" outlineLevel="0" collapsed="false">
      <c r="A876" s="1" t="s">
        <v>45</v>
      </c>
      <c r="B876" s="1" t="s">
        <v>2097</v>
      </c>
      <c r="C876" s="1" t="s">
        <v>111</v>
      </c>
      <c r="D876" s="1" t="s">
        <v>1425</v>
      </c>
      <c r="E876" s="1" t="n">
        <v>1</v>
      </c>
      <c r="F876" s="1" t="s">
        <v>3136</v>
      </c>
      <c r="G876" s="1" t="s">
        <v>2481</v>
      </c>
      <c r="H876" s="1" t="s">
        <v>3137</v>
      </c>
      <c r="I876" s="1" t="s">
        <v>402</v>
      </c>
      <c r="J876" s="1" t="s">
        <v>310</v>
      </c>
      <c r="K876" s="1" t="n">
        <v>16.99</v>
      </c>
      <c r="L876" s="1" t="n">
        <v>4.6</v>
      </c>
      <c r="M876" s="1" t="n">
        <v>8500</v>
      </c>
      <c r="N876" s="4" t="b">
        <f aca="false">FALSE()</f>
        <v>0</v>
      </c>
      <c r="O876" s="1" t="s">
        <v>3138</v>
      </c>
      <c r="P876" s="4" t="b">
        <f aca="false">TRUE()</f>
        <v>1</v>
      </c>
      <c r="Q876" s="1" t="s">
        <v>711</v>
      </c>
      <c r="R876" s="1" t="s">
        <v>3139</v>
      </c>
      <c r="S876" s="1" t="s">
        <v>3140</v>
      </c>
      <c r="T876" s="1" t="s">
        <v>222</v>
      </c>
      <c r="U876" s="1" t="s">
        <v>2102</v>
      </c>
    </row>
    <row r="877" customFormat="false" ht="48" hidden="false" customHeight="true" outlineLevel="0" collapsed="false">
      <c r="A877" s="1" t="s">
        <v>45</v>
      </c>
      <c r="B877" s="1" t="s">
        <v>2097</v>
      </c>
      <c r="C877" s="1" t="s">
        <v>111</v>
      </c>
      <c r="D877" s="1" t="s">
        <v>1425</v>
      </c>
      <c r="E877" s="1" t="n">
        <v>2</v>
      </c>
      <c r="F877" s="1" t="s">
        <v>3141</v>
      </c>
      <c r="G877" s="1" t="s">
        <v>236</v>
      </c>
      <c r="H877" s="1" t="s">
        <v>3142</v>
      </c>
      <c r="I877" s="1" t="s">
        <v>402</v>
      </c>
      <c r="J877" s="1" t="s">
        <v>597</v>
      </c>
      <c r="L877" s="1" t="n">
        <v>4.5</v>
      </c>
      <c r="M877" s="1" t="n">
        <v>1800</v>
      </c>
      <c r="N877" s="4" t="b">
        <f aca="false">FALSE()</f>
        <v>0</v>
      </c>
      <c r="P877" s="4" t="b">
        <f aca="false">TRUE()</f>
        <v>1</v>
      </c>
      <c r="Q877" s="1" t="s">
        <v>711</v>
      </c>
      <c r="R877" s="1" t="s">
        <v>3139</v>
      </c>
      <c r="S877" s="1" t="s">
        <v>3143</v>
      </c>
      <c r="T877" s="1" t="s">
        <v>222</v>
      </c>
      <c r="U877" s="1" t="s">
        <v>2102</v>
      </c>
    </row>
    <row r="878" customFormat="false" ht="48" hidden="false" customHeight="true" outlineLevel="0" collapsed="false">
      <c r="A878" s="1" t="s">
        <v>45</v>
      </c>
      <c r="B878" s="1" t="s">
        <v>2097</v>
      </c>
      <c r="C878" s="1" t="s">
        <v>111</v>
      </c>
      <c r="D878" s="1" t="s">
        <v>1425</v>
      </c>
      <c r="E878" s="1" t="n">
        <v>3</v>
      </c>
      <c r="F878" s="1" t="s">
        <v>3144</v>
      </c>
      <c r="G878" s="1" t="s">
        <v>236</v>
      </c>
      <c r="H878" s="1" t="s">
        <v>3145</v>
      </c>
      <c r="I878" s="1" t="s">
        <v>402</v>
      </c>
      <c r="J878" s="1" t="s">
        <v>310</v>
      </c>
      <c r="L878" s="1" t="n">
        <v>4.6</v>
      </c>
      <c r="M878" s="1" t="n">
        <v>646</v>
      </c>
      <c r="N878" s="4" t="b">
        <f aca="false">FALSE()</f>
        <v>0</v>
      </c>
      <c r="P878" s="4" t="b">
        <f aca="false">TRUE()</f>
        <v>1</v>
      </c>
      <c r="Q878" s="1" t="s">
        <v>418</v>
      </c>
      <c r="R878" s="1" t="s">
        <v>3139</v>
      </c>
      <c r="S878" s="1" t="s">
        <v>3146</v>
      </c>
      <c r="T878" s="1" t="s">
        <v>222</v>
      </c>
      <c r="U878" s="1" t="s">
        <v>2102</v>
      </c>
    </row>
    <row r="879" customFormat="false" ht="48" hidden="false" customHeight="true" outlineLevel="0" collapsed="false">
      <c r="A879" s="1" t="s">
        <v>45</v>
      </c>
      <c r="B879" s="1" t="s">
        <v>2097</v>
      </c>
      <c r="C879" s="1" t="s">
        <v>111</v>
      </c>
      <c r="D879" s="1" t="s">
        <v>1425</v>
      </c>
      <c r="E879" s="1" t="n">
        <v>4</v>
      </c>
      <c r="F879" s="1" t="s">
        <v>3147</v>
      </c>
      <c r="G879" s="1" t="s">
        <v>2481</v>
      </c>
      <c r="H879" s="1" t="s">
        <v>3148</v>
      </c>
      <c r="I879" s="1" t="s">
        <v>231</v>
      </c>
      <c r="J879" s="1" t="s">
        <v>310</v>
      </c>
      <c r="K879" s="1" t="n">
        <v>18.99</v>
      </c>
      <c r="L879" s="1" t="n">
        <v>4.6</v>
      </c>
      <c r="M879" s="1" t="n">
        <v>8500</v>
      </c>
      <c r="N879" s="4" t="b">
        <f aca="false">FALSE()</f>
        <v>0</v>
      </c>
      <c r="P879" s="4" t="b">
        <f aca="false">TRUE()</f>
        <v>1</v>
      </c>
      <c r="Q879" s="1" t="s">
        <v>618</v>
      </c>
      <c r="R879" s="1" t="s">
        <v>3139</v>
      </c>
      <c r="S879" s="1" t="s">
        <v>3149</v>
      </c>
      <c r="T879" s="1" t="s">
        <v>222</v>
      </c>
      <c r="U879" s="1" t="s">
        <v>2102</v>
      </c>
    </row>
    <row r="880" customFormat="false" ht="48" hidden="false" customHeight="true" outlineLevel="0" collapsed="false">
      <c r="A880" s="1" t="s">
        <v>45</v>
      </c>
      <c r="B880" s="1" t="s">
        <v>2097</v>
      </c>
      <c r="C880" s="1" t="s">
        <v>111</v>
      </c>
      <c r="D880" s="1" t="s">
        <v>1425</v>
      </c>
      <c r="E880" s="1" t="n">
        <v>5</v>
      </c>
      <c r="F880" s="1" t="s">
        <v>3150</v>
      </c>
      <c r="G880" s="1" t="s">
        <v>236</v>
      </c>
      <c r="H880" s="1" t="s">
        <v>3151</v>
      </c>
      <c r="I880" s="1" t="s">
        <v>2333</v>
      </c>
      <c r="J880" s="1" t="s">
        <v>310</v>
      </c>
      <c r="L880" s="1" t="n">
        <v>4.6</v>
      </c>
      <c r="M880" s="1" t="n">
        <v>646</v>
      </c>
      <c r="N880" s="4" t="b">
        <f aca="false">FALSE()</f>
        <v>0</v>
      </c>
      <c r="P880" s="4" t="b">
        <f aca="false">TRUE()</f>
        <v>1</v>
      </c>
      <c r="Q880" s="1" t="s">
        <v>435</v>
      </c>
      <c r="R880" s="1" t="s">
        <v>3139</v>
      </c>
      <c r="S880" s="1" t="s">
        <v>3152</v>
      </c>
      <c r="T880" s="1" t="s">
        <v>222</v>
      </c>
      <c r="U880" s="1" t="s">
        <v>2102</v>
      </c>
    </row>
    <row r="881" customFormat="false" ht="48" hidden="false" customHeight="true" outlineLevel="0" collapsed="false">
      <c r="A881" s="1" t="s">
        <v>45</v>
      </c>
      <c r="B881" s="1" t="s">
        <v>2097</v>
      </c>
      <c r="C881" s="1" t="s">
        <v>111</v>
      </c>
      <c r="D881" s="1" t="s">
        <v>1425</v>
      </c>
      <c r="E881" s="1" t="n">
        <v>6</v>
      </c>
      <c r="F881" s="1" t="s">
        <v>3153</v>
      </c>
      <c r="G881" s="1" t="s">
        <v>236</v>
      </c>
      <c r="H881" s="1" t="s">
        <v>3154</v>
      </c>
      <c r="I881" s="1" t="s">
        <v>231</v>
      </c>
      <c r="J881" s="1" t="s">
        <v>597</v>
      </c>
      <c r="L881" s="1" t="n">
        <v>4.5</v>
      </c>
      <c r="M881" s="1" t="n">
        <v>1800</v>
      </c>
      <c r="N881" s="4" t="b">
        <f aca="false">FALSE()</f>
        <v>0</v>
      </c>
      <c r="P881" s="4" t="b">
        <f aca="false">TRUE()</f>
        <v>1</v>
      </c>
      <c r="Q881" s="1" t="s">
        <v>618</v>
      </c>
      <c r="R881" s="1" t="s">
        <v>3139</v>
      </c>
      <c r="S881" s="1" t="s">
        <v>3155</v>
      </c>
      <c r="T881" s="1" t="s">
        <v>222</v>
      </c>
      <c r="U881" s="1" t="s">
        <v>2102</v>
      </c>
    </row>
    <row r="882" customFormat="false" ht="48" hidden="false" customHeight="true" outlineLevel="0" collapsed="false">
      <c r="A882" s="1" t="s">
        <v>45</v>
      </c>
      <c r="B882" s="1" t="s">
        <v>2097</v>
      </c>
      <c r="C882" s="1" t="s">
        <v>111</v>
      </c>
      <c r="D882" s="1" t="s">
        <v>1425</v>
      </c>
      <c r="E882" s="1" t="n">
        <v>7</v>
      </c>
      <c r="F882" s="1" t="s">
        <v>3156</v>
      </c>
      <c r="G882" s="1" t="s">
        <v>2481</v>
      </c>
      <c r="H882" s="1" t="s">
        <v>3157</v>
      </c>
      <c r="I882" s="1" t="s">
        <v>2323</v>
      </c>
      <c r="J882" s="1" t="s">
        <v>310</v>
      </c>
      <c r="K882" s="1" t="n">
        <v>12</v>
      </c>
      <c r="L882" s="1" t="n">
        <v>4.6</v>
      </c>
      <c r="M882" s="1" t="n">
        <v>8500</v>
      </c>
      <c r="N882" s="4" t="b">
        <f aca="false">FALSE()</f>
        <v>0</v>
      </c>
      <c r="P882" s="4" t="b">
        <f aca="false">TRUE()</f>
        <v>1</v>
      </c>
      <c r="Q882" s="1" t="s">
        <v>711</v>
      </c>
      <c r="R882" s="1" t="s">
        <v>3139</v>
      </c>
      <c r="S882" s="1" t="s">
        <v>3158</v>
      </c>
      <c r="T882" s="1" t="s">
        <v>222</v>
      </c>
      <c r="U882" s="1" t="s">
        <v>2102</v>
      </c>
    </row>
    <row r="883" customFormat="false" ht="48" hidden="false" customHeight="true" outlineLevel="0" collapsed="false">
      <c r="A883" s="1" t="s">
        <v>45</v>
      </c>
      <c r="B883" s="1" t="s">
        <v>2097</v>
      </c>
      <c r="C883" s="1" t="s">
        <v>111</v>
      </c>
      <c r="D883" s="1" t="s">
        <v>1425</v>
      </c>
      <c r="E883" s="1" t="n">
        <v>8</v>
      </c>
      <c r="F883" s="1" t="s">
        <v>3159</v>
      </c>
      <c r="G883" s="1" t="s">
        <v>567</v>
      </c>
      <c r="H883" s="1" t="s">
        <v>3160</v>
      </c>
      <c r="I883" s="1" t="s">
        <v>402</v>
      </c>
      <c r="J883" s="1" t="s">
        <v>310</v>
      </c>
      <c r="K883" s="1" t="n">
        <v>9.89</v>
      </c>
      <c r="L883" s="1" t="n">
        <v>4.6</v>
      </c>
      <c r="M883" s="1" t="n">
        <v>156</v>
      </c>
      <c r="N883" s="4" t="b">
        <f aca="false">FALSE()</f>
        <v>0</v>
      </c>
      <c r="P883" s="4" t="b">
        <f aca="false">TRUE()</f>
        <v>1</v>
      </c>
      <c r="Q883" s="1" t="s">
        <v>251</v>
      </c>
      <c r="R883" s="1" t="s">
        <v>3139</v>
      </c>
      <c r="S883" s="1" t="s">
        <v>3161</v>
      </c>
      <c r="T883" s="1" t="s">
        <v>222</v>
      </c>
      <c r="U883" s="1" t="s">
        <v>2102</v>
      </c>
    </row>
    <row r="884" customFormat="false" ht="48" hidden="false" customHeight="true" outlineLevel="0" collapsed="false">
      <c r="A884" s="1" t="s">
        <v>45</v>
      </c>
      <c r="B884" s="1" t="s">
        <v>2097</v>
      </c>
      <c r="C884" s="1" t="s">
        <v>111</v>
      </c>
      <c r="D884" s="1" t="s">
        <v>1425</v>
      </c>
      <c r="E884" s="1" t="n">
        <v>9</v>
      </c>
      <c r="F884" s="1" t="s">
        <v>3162</v>
      </c>
      <c r="G884" s="1" t="s">
        <v>2481</v>
      </c>
      <c r="H884" s="1" t="s">
        <v>3163</v>
      </c>
      <c r="I884" s="1" t="s">
        <v>306</v>
      </c>
      <c r="J884" s="1" t="s">
        <v>310</v>
      </c>
      <c r="K884" s="1" t="n">
        <v>9</v>
      </c>
      <c r="L884" s="1" t="n">
        <v>4.6</v>
      </c>
      <c r="M884" s="1" t="n">
        <v>3100</v>
      </c>
      <c r="N884" s="4" t="b">
        <f aca="false">FALSE()</f>
        <v>0</v>
      </c>
      <c r="O884" s="1" t="s">
        <v>3164</v>
      </c>
      <c r="P884" s="4" t="b">
        <f aca="false">TRUE()</f>
        <v>1</v>
      </c>
      <c r="Q884" s="1" t="s">
        <v>711</v>
      </c>
      <c r="R884" s="1" t="s">
        <v>3139</v>
      </c>
      <c r="S884" s="1" t="s">
        <v>3165</v>
      </c>
      <c r="T884" s="1" t="s">
        <v>222</v>
      </c>
      <c r="U884" s="1" t="s">
        <v>2102</v>
      </c>
    </row>
    <row r="885" customFormat="false" ht="48" hidden="false" customHeight="true" outlineLevel="0" collapsed="false">
      <c r="A885" s="1" t="s">
        <v>45</v>
      </c>
      <c r="B885" s="1" t="s">
        <v>2097</v>
      </c>
      <c r="C885" s="1" t="s">
        <v>111</v>
      </c>
      <c r="D885" s="1" t="s">
        <v>1425</v>
      </c>
      <c r="E885" s="1" t="n">
        <v>10</v>
      </c>
      <c r="F885" s="1" t="s">
        <v>3166</v>
      </c>
      <c r="G885" s="1" t="s">
        <v>236</v>
      </c>
      <c r="H885" s="1" t="s">
        <v>3167</v>
      </c>
      <c r="I885" s="1" t="s">
        <v>402</v>
      </c>
      <c r="J885" s="1" t="s">
        <v>310</v>
      </c>
      <c r="L885" s="1" t="n">
        <v>4.4</v>
      </c>
      <c r="M885" s="1" t="n">
        <v>115</v>
      </c>
      <c r="N885" s="4" t="b">
        <f aca="false">FALSE()</f>
        <v>0</v>
      </c>
      <c r="P885" s="4" t="b">
        <f aca="false">TRUE()</f>
        <v>1</v>
      </c>
      <c r="Q885" s="1" t="s">
        <v>233</v>
      </c>
      <c r="R885" s="1" t="s">
        <v>3139</v>
      </c>
      <c r="S885" s="1" t="s">
        <v>3168</v>
      </c>
      <c r="T885" s="1" t="s">
        <v>222</v>
      </c>
      <c r="U885" s="1" t="s">
        <v>2102</v>
      </c>
    </row>
    <row r="886" customFormat="false" ht="48" hidden="false" customHeight="true" outlineLevel="0" collapsed="false">
      <c r="A886" s="1" t="s">
        <v>45</v>
      </c>
      <c r="B886" s="1" t="s">
        <v>2097</v>
      </c>
      <c r="C886" s="1" t="s">
        <v>111</v>
      </c>
      <c r="D886" s="1" t="s">
        <v>1425</v>
      </c>
      <c r="E886" s="1" t="n">
        <v>11</v>
      </c>
      <c r="F886" s="1" t="s">
        <v>3169</v>
      </c>
      <c r="G886" s="1" t="s">
        <v>236</v>
      </c>
      <c r="H886" s="1" t="s">
        <v>3170</v>
      </c>
      <c r="I886" s="1" t="s">
        <v>402</v>
      </c>
      <c r="J886" s="1" t="s">
        <v>597</v>
      </c>
      <c r="K886" s="1" t="n">
        <v>9.99</v>
      </c>
      <c r="L886" s="1" t="n">
        <v>4.6</v>
      </c>
      <c r="M886" s="1" t="n">
        <v>7100</v>
      </c>
      <c r="N886" s="4" t="b">
        <f aca="false">FALSE()</f>
        <v>0</v>
      </c>
      <c r="O886" s="1" t="s">
        <v>3171</v>
      </c>
      <c r="P886" s="4" t="b">
        <f aca="false">TRUE()</f>
        <v>1</v>
      </c>
      <c r="Q886" s="1" t="s">
        <v>251</v>
      </c>
      <c r="R886" s="1" t="s">
        <v>3139</v>
      </c>
      <c r="S886" s="1" t="s">
        <v>3172</v>
      </c>
      <c r="T886" s="1" t="s">
        <v>222</v>
      </c>
      <c r="U886" s="1" t="s">
        <v>2102</v>
      </c>
    </row>
    <row r="887" customFormat="false" ht="48" hidden="false" customHeight="true" outlineLevel="0" collapsed="false">
      <c r="A887" s="1" t="s">
        <v>45</v>
      </c>
      <c r="B887" s="1" t="s">
        <v>2097</v>
      </c>
      <c r="C887" s="1" t="s">
        <v>111</v>
      </c>
      <c r="D887" s="1" t="s">
        <v>1425</v>
      </c>
      <c r="E887" s="1" t="n">
        <v>12</v>
      </c>
      <c r="F887" s="1" t="s">
        <v>3173</v>
      </c>
      <c r="G887" s="1" t="s">
        <v>236</v>
      </c>
      <c r="H887" s="1" t="s">
        <v>3174</v>
      </c>
      <c r="I887" s="1" t="s">
        <v>402</v>
      </c>
      <c r="J887" s="1" t="s">
        <v>310</v>
      </c>
      <c r="L887" s="1" t="n">
        <v>4.6</v>
      </c>
      <c r="M887" s="1" t="n">
        <v>790</v>
      </c>
      <c r="N887" s="4" t="b">
        <f aca="false">FALSE()</f>
        <v>0</v>
      </c>
      <c r="P887" s="4" t="b">
        <f aca="false">TRUE()</f>
        <v>1</v>
      </c>
      <c r="R887" s="1" t="s">
        <v>3139</v>
      </c>
      <c r="S887" s="1" t="s">
        <v>3175</v>
      </c>
      <c r="T887" s="1" t="s">
        <v>222</v>
      </c>
      <c r="U887" s="1" t="s">
        <v>2102</v>
      </c>
    </row>
    <row r="888" customFormat="false" ht="48" hidden="false" customHeight="true" outlineLevel="0" collapsed="false">
      <c r="A888" s="1" t="s">
        <v>45</v>
      </c>
      <c r="B888" s="1" t="s">
        <v>2097</v>
      </c>
      <c r="C888" s="1" t="s">
        <v>111</v>
      </c>
      <c r="D888" s="1" t="s">
        <v>1425</v>
      </c>
      <c r="E888" s="1" t="n">
        <v>13</v>
      </c>
      <c r="F888" s="1" t="s">
        <v>3176</v>
      </c>
      <c r="G888" s="1" t="s">
        <v>236</v>
      </c>
      <c r="H888" s="1" t="s">
        <v>3177</v>
      </c>
      <c r="I888" s="1" t="s">
        <v>402</v>
      </c>
      <c r="J888" s="1" t="s">
        <v>310</v>
      </c>
      <c r="L888" s="1" t="n">
        <v>4.5</v>
      </c>
      <c r="M888" s="1" t="n">
        <v>224</v>
      </c>
      <c r="N888" s="4" t="b">
        <f aca="false">FALSE()</f>
        <v>0</v>
      </c>
      <c r="P888" s="4" t="b">
        <f aca="false">TRUE()</f>
        <v>1</v>
      </c>
      <c r="Q888" s="1" t="s">
        <v>233</v>
      </c>
      <c r="R888" s="1" t="s">
        <v>3139</v>
      </c>
      <c r="S888" s="1" t="s">
        <v>3178</v>
      </c>
      <c r="T888" s="1" t="s">
        <v>222</v>
      </c>
      <c r="U888" s="1" t="s">
        <v>2102</v>
      </c>
    </row>
    <row r="889" customFormat="false" ht="48" hidden="false" customHeight="true" outlineLevel="0" collapsed="false">
      <c r="A889" s="1" t="s">
        <v>45</v>
      </c>
      <c r="B889" s="1" t="s">
        <v>2097</v>
      </c>
      <c r="C889" s="1" t="s">
        <v>111</v>
      </c>
      <c r="D889" s="1" t="s">
        <v>1425</v>
      </c>
      <c r="E889" s="1" t="n">
        <v>14</v>
      </c>
      <c r="F889" s="1" t="s">
        <v>3179</v>
      </c>
      <c r="G889" s="1" t="s">
        <v>236</v>
      </c>
      <c r="H889" s="1" t="s">
        <v>3180</v>
      </c>
      <c r="I889" s="1" t="s">
        <v>231</v>
      </c>
      <c r="J889" s="1" t="s">
        <v>371</v>
      </c>
      <c r="L889" s="1" t="n">
        <v>4.8</v>
      </c>
      <c r="M889" s="1" t="n">
        <v>59</v>
      </c>
      <c r="N889" s="4" t="b">
        <f aca="false">FALSE()</f>
        <v>0</v>
      </c>
      <c r="P889" s="4" t="b">
        <f aca="false">TRUE()</f>
        <v>1</v>
      </c>
      <c r="R889" s="1" t="s">
        <v>3139</v>
      </c>
      <c r="S889" s="1" t="s">
        <v>3181</v>
      </c>
      <c r="T889" s="1" t="s">
        <v>222</v>
      </c>
      <c r="U889" s="1" t="s">
        <v>2102</v>
      </c>
    </row>
    <row r="890" customFormat="false" ht="48" hidden="false" customHeight="true" outlineLevel="0" collapsed="false">
      <c r="A890" s="1" t="s">
        <v>45</v>
      </c>
      <c r="B890" s="1" t="s">
        <v>2097</v>
      </c>
      <c r="C890" s="1" t="s">
        <v>111</v>
      </c>
      <c r="D890" s="1" t="s">
        <v>1425</v>
      </c>
      <c r="E890" s="1" t="n">
        <v>15</v>
      </c>
      <c r="F890" s="1" t="s">
        <v>3182</v>
      </c>
      <c r="G890" s="1" t="s">
        <v>236</v>
      </c>
      <c r="H890" s="1" t="s">
        <v>3183</v>
      </c>
      <c r="I890" s="1" t="s">
        <v>2333</v>
      </c>
      <c r="J890" s="1" t="s">
        <v>310</v>
      </c>
      <c r="K890" s="1" t="n">
        <v>14.36</v>
      </c>
      <c r="L890" s="1" t="n">
        <v>4.4</v>
      </c>
      <c r="M890" s="1" t="n">
        <v>60</v>
      </c>
      <c r="N890" s="4" t="b">
        <f aca="false">FALSE()</f>
        <v>0</v>
      </c>
      <c r="O890" s="1" t="s">
        <v>2257</v>
      </c>
      <c r="P890" s="4" t="b">
        <f aca="false">TRUE()</f>
        <v>1</v>
      </c>
      <c r="R890" s="1" t="s">
        <v>3139</v>
      </c>
      <c r="S890" s="1" t="s">
        <v>3184</v>
      </c>
      <c r="T890" s="1" t="s">
        <v>222</v>
      </c>
      <c r="U890" s="1" t="s">
        <v>2102</v>
      </c>
    </row>
    <row r="891" customFormat="false" ht="48" hidden="false" customHeight="true" outlineLevel="0" collapsed="false">
      <c r="A891" s="1" t="s">
        <v>45</v>
      </c>
      <c r="B891" s="1" t="s">
        <v>2097</v>
      </c>
      <c r="C891" s="1" t="s">
        <v>111</v>
      </c>
      <c r="D891" s="1" t="s">
        <v>1425</v>
      </c>
      <c r="E891" s="1" t="n">
        <v>16</v>
      </c>
      <c r="F891" s="1" t="s">
        <v>3185</v>
      </c>
      <c r="G891" s="1" t="s">
        <v>236</v>
      </c>
      <c r="H891" s="1" t="s">
        <v>3186</v>
      </c>
      <c r="I891" s="1" t="s">
        <v>2323</v>
      </c>
      <c r="J891" s="1" t="s">
        <v>597</v>
      </c>
      <c r="K891" s="1" t="n">
        <v>10.99</v>
      </c>
      <c r="L891" s="1" t="n">
        <v>4.5</v>
      </c>
      <c r="M891" s="1" t="n">
        <v>6100</v>
      </c>
      <c r="N891" s="4" t="b">
        <f aca="false">FALSE()</f>
        <v>0</v>
      </c>
      <c r="P891" s="4" t="b">
        <f aca="false">TRUE()</f>
        <v>1</v>
      </c>
      <c r="Q891" s="1" t="s">
        <v>233</v>
      </c>
      <c r="R891" s="1" t="s">
        <v>3139</v>
      </c>
      <c r="S891" s="1" t="s">
        <v>3187</v>
      </c>
      <c r="T891" s="1" t="s">
        <v>222</v>
      </c>
      <c r="U891" s="1" t="s">
        <v>2102</v>
      </c>
    </row>
    <row r="892" customFormat="false" ht="48" hidden="false" customHeight="true" outlineLevel="0" collapsed="false">
      <c r="A892" s="1" t="s">
        <v>45</v>
      </c>
      <c r="B892" s="1" t="s">
        <v>2097</v>
      </c>
      <c r="C892" s="1" t="s">
        <v>111</v>
      </c>
      <c r="D892" s="1" t="s">
        <v>1425</v>
      </c>
      <c r="E892" s="1" t="n">
        <v>17</v>
      </c>
      <c r="F892" s="1" t="s">
        <v>3188</v>
      </c>
      <c r="G892" s="1" t="s">
        <v>236</v>
      </c>
      <c r="H892" s="1" t="s">
        <v>3189</v>
      </c>
      <c r="I892" s="1" t="s">
        <v>402</v>
      </c>
      <c r="J892" s="1" t="s">
        <v>310</v>
      </c>
      <c r="L892" s="1" t="n">
        <v>4.2</v>
      </c>
      <c r="M892" s="1" t="n">
        <v>48</v>
      </c>
      <c r="N892" s="4" t="b">
        <f aca="false">FALSE()</f>
        <v>0</v>
      </c>
      <c r="P892" s="4" t="b">
        <f aca="false">TRUE()</f>
        <v>1</v>
      </c>
      <c r="R892" s="1" t="s">
        <v>3139</v>
      </c>
      <c r="S892" s="1" t="s">
        <v>3190</v>
      </c>
      <c r="T892" s="1" t="s">
        <v>222</v>
      </c>
      <c r="U892" s="1" t="s">
        <v>2102</v>
      </c>
    </row>
    <row r="893" customFormat="false" ht="48" hidden="false" customHeight="true" outlineLevel="0" collapsed="false">
      <c r="A893" s="1" t="s">
        <v>45</v>
      </c>
      <c r="B893" s="1" t="s">
        <v>2097</v>
      </c>
      <c r="C893" s="1" t="s">
        <v>111</v>
      </c>
      <c r="D893" s="1" t="s">
        <v>1425</v>
      </c>
      <c r="E893" s="1" t="n">
        <v>18</v>
      </c>
      <c r="F893" s="1" t="s">
        <v>3191</v>
      </c>
      <c r="G893" s="1" t="s">
        <v>2481</v>
      </c>
      <c r="H893" s="1" t="s">
        <v>3192</v>
      </c>
      <c r="I893" s="1" t="s">
        <v>2323</v>
      </c>
      <c r="J893" s="1" t="s">
        <v>597</v>
      </c>
      <c r="K893" s="1" t="n">
        <v>16</v>
      </c>
      <c r="L893" s="1" t="n">
        <v>4.5</v>
      </c>
      <c r="M893" s="1" t="n">
        <v>41</v>
      </c>
      <c r="N893" s="4" t="b">
        <f aca="false">FALSE()</f>
        <v>0</v>
      </c>
      <c r="O893" s="1" t="s">
        <v>2257</v>
      </c>
      <c r="P893" s="4" t="b">
        <f aca="false">TRUE()</f>
        <v>1</v>
      </c>
      <c r="Q893" s="1" t="s">
        <v>233</v>
      </c>
      <c r="R893" s="1" t="s">
        <v>3139</v>
      </c>
      <c r="S893" s="1" t="s">
        <v>3193</v>
      </c>
      <c r="T893" s="1" t="s">
        <v>222</v>
      </c>
      <c r="U893" s="1" t="s">
        <v>2102</v>
      </c>
    </row>
    <row r="894" customFormat="false" ht="48" hidden="false" customHeight="true" outlineLevel="0" collapsed="false">
      <c r="A894" s="1" t="s">
        <v>45</v>
      </c>
      <c r="B894" s="1" t="s">
        <v>2097</v>
      </c>
      <c r="C894" s="1" t="s">
        <v>111</v>
      </c>
      <c r="D894" s="1" t="s">
        <v>1425</v>
      </c>
      <c r="E894" s="1" t="n">
        <v>19</v>
      </c>
      <c r="F894" s="1" t="s">
        <v>3194</v>
      </c>
      <c r="G894" s="1" t="s">
        <v>236</v>
      </c>
      <c r="H894" s="1" t="s">
        <v>3195</v>
      </c>
      <c r="I894" s="1" t="s">
        <v>306</v>
      </c>
      <c r="J894" s="1" t="s">
        <v>310</v>
      </c>
      <c r="K894" s="1" t="n">
        <v>11.5</v>
      </c>
      <c r="L894" s="1" t="n">
        <v>4.5</v>
      </c>
      <c r="M894" s="1" t="n">
        <v>9600</v>
      </c>
      <c r="N894" s="4" t="b">
        <f aca="false">FALSE()</f>
        <v>0</v>
      </c>
      <c r="P894" s="4" t="b">
        <f aca="false">TRUE()</f>
        <v>1</v>
      </c>
      <c r="Q894" s="1" t="s">
        <v>233</v>
      </c>
      <c r="R894" s="1" t="s">
        <v>3139</v>
      </c>
      <c r="S894" s="1" t="s">
        <v>3196</v>
      </c>
      <c r="T894" s="1" t="s">
        <v>222</v>
      </c>
      <c r="U894" s="1" t="s">
        <v>2102</v>
      </c>
    </row>
    <row r="895" customFormat="false" ht="48" hidden="false" customHeight="true" outlineLevel="0" collapsed="false">
      <c r="A895" s="1" t="s">
        <v>45</v>
      </c>
      <c r="B895" s="1" t="s">
        <v>2097</v>
      </c>
      <c r="C895" s="1" t="s">
        <v>111</v>
      </c>
      <c r="D895" s="1" t="s">
        <v>1425</v>
      </c>
      <c r="E895" s="1" t="n">
        <v>20</v>
      </c>
      <c r="F895" s="1" t="s">
        <v>3197</v>
      </c>
      <c r="G895" s="1" t="s">
        <v>236</v>
      </c>
      <c r="H895" s="1" t="s">
        <v>3198</v>
      </c>
      <c r="I895" s="1" t="s">
        <v>231</v>
      </c>
      <c r="J895" s="1" t="s">
        <v>310</v>
      </c>
      <c r="L895" s="1" t="n">
        <v>4.3</v>
      </c>
      <c r="M895" s="1" t="n">
        <v>261</v>
      </c>
      <c r="N895" s="4" t="b">
        <f aca="false">FALSE()</f>
        <v>0</v>
      </c>
      <c r="P895" s="4" t="b">
        <f aca="false">TRUE()</f>
        <v>1</v>
      </c>
      <c r="R895" s="1" t="s">
        <v>3139</v>
      </c>
      <c r="S895" s="1" t="s">
        <v>3199</v>
      </c>
      <c r="T895" s="1" t="s">
        <v>222</v>
      </c>
      <c r="U895" s="1" t="s">
        <v>2102</v>
      </c>
    </row>
    <row r="896" customFormat="false" ht="48" hidden="false" customHeight="true" outlineLevel="0" collapsed="false">
      <c r="A896" s="1" t="s">
        <v>45</v>
      </c>
      <c r="B896" s="1" t="s">
        <v>2097</v>
      </c>
      <c r="C896" s="1" t="s">
        <v>111</v>
      </c>
      <c r="D896" s="1" t="s">
        <v>1425</v>
      </c>
      <c r="E896" s="1" t="n">
        <v>21</v>
      </c>
      <c r="F896" s="1" t="s">
        <v>3200</v>
      </c>
      <c r="G896" s="1" t="s">
        <v>236</v>
      </c>
      <c r="H896" s="1" t="s">
        <v>3201</v>
      </c>
      <c r="I896" s="1" t="s">
        <v>2323</v>
      </c>
      <c r="J896" s="1" t="s">
        <v>310</v>
      </c>
      <c r="L896" s="1" t="n">
        <v>4.5</v>
      </c>
      <c r="M896" s="1" t="n">
        <v>2500</v>
      </c>
      <c r="N896" s="4" t="b">
        <f aca="false">FALSE()</f>
        <v>0</v>
      </c>
      <c r="P896" s="4" t="b">
        <f aca="false">TRUE()</f>
        <v>1</v>
      </c>
      <c r="R896" s="1" t="s">
        <v>3139</v>
      </c>
      <c r="S896" s="1" t="s">
        <v>3202</v>
      </c>
      <c r="T896" s="1" t="s">
        <v>222</v>
      </c>
      <c r="U896" s="1" t="s">
        <v>2102</v>
      </c>
    </row>
    <row r="897" customFormat="false" ht="48" hidden="false" customHeight="true" outlineLevel="0" collapsed="false">
      <c r="A897" s="1" t="s">
        <v>45</v>
      </c>
      <c r="B897" s="1" t="s">
        <v>2097</v>
      </c>
      <c r="C897" s="1" t="s">
        <v>111</v>
      </c>
      <c r="D897" s="1" t="s">
        <v>1425</v>
      </c>
      <c r="E897" s="1" t="n">
        <v>22</v>
      </c>
      <c r="F897" s="1" t="s">
        <v>3203</v>
      </c>
      <c r="G897" s="1" t="s">
        <v>567</v>
      </c>
      <c r="H897" s="1" t="s">
        <v>3204</v>
      </c>
      <c r="I897" s="1" t="s">
        <v>2323</v>
      </c>
      <c r="J897" s="1" t="s">
        <v>310</v>
      </c>
      <c r="K897" s="1" t="n">
        <v>8.79</v>
      </c>
      <c r="L897" s="1" t="n">
        <v>4.6</v>
      </c>
      <c r="M897" s="1" t="n">
        <v>219</v>
      </c>
      <c r="N897" s="4" t="b">
        <f aca="false">FALSE()</f>
        <v>0</v>
      </c>
      <c r="P897" s="4" t="b">
        <f aca="false">TRUE()</f>
        <v>1</v>
      </c>
      <c r="Q897" s="1" t="s">
        <v>439</v>
      </c>
      <c r="R897" s="1" t="s">
        <v>3139</v>
      </c>
      <c r="S897" s="1" t="s">
        <v>3205</v>
      </c>
      <c r="T897" s="1" t="s">
        <v>222</v>
      </c>
      <c r="U897" s="1" t="s">
        <v>2102</v>
      </c>
    </row>
    <row r="898" customFormat="false" ht="48" hidden="false" customHeight="true" outlineLevel="0" collapsed="false">
      <c r="A898" s="1" t="s">
        <v>45</v>
      </c>
      <c r="B898" s="1" t="s">
        <v>2097</v>
      </c>
      <c r="C898" s="1" t="s">
        <v>111</v>
      </c>
      <c r="D898" s="1" t="s">
        <v>1425</v>
      </c>
      <c r="E898" s="1" t="n">
        <v>23</v>
      </c>
      <c r="F898" s="1" t="s">
        <v>3206</v>
      </c>
      <c r="G898" s="1" t="s">
        <v>236</v>
      </c>
      <c r="H898" s="1" t="s">
        <v>3207</v>
      </c>
      <c r="I898" s="1" t="s">
        <v>306</v>
      </c>
      <c r="J898" s="1" t="s">
        <v>310</v>
      </c>
      <c r="K898" s="1" t="n">
        <v>7.93</v>
      </c>
      <c r="L898" s="1" t="n">
        <v>4.6</v>
      </c>
      <c r="M898" s="1" t="n">
        <v>3900</v>
      </c>
      <c r="N898" s="4" t="b">
        <f aca="false">FALSE()</f>
        <v>0</v>
      </c>
      <c r="P898" s="4" t="b">
        <f aca="false">TRUE()</f>
        <v>1</v>
      </c>
      <c r="Q898" s="1" t="s">
        <v>251</v>
      </c>
      <c r="R898" s="1" t="s">
        <v>3139</v>
      </c>
      <c r="S898" s="1" t="s">
        <v>3208</v>
      </c>
      <c r="T898" s="1" t="s">
        <v>222</v>
      </c>
      <c r="U898" s="1" t="s">
        <v>2102</v>
      </c>
    </row>
    <row r="899" customFormat="false" ht="48" hidden="false" customHeight="true" outlineLevel="0" collapsed="false">
      <c r="A899" s="1" t="s">
        <v>45</v>
      </c>
      <c r="B899" s="1" t="s">
        <v>2097</v>
      </c>
      <c r="C899" s="1" t="s">
        <v>111</v>
      </c>
      <c r="D899" s="1" t="s">
        <v>1425</v>
      </c>
      <c r="E899" s="1" t="n">
        <v>24</v>
      </c>
      <c r="F899" s="1" t="s">
        <v>3209</v>
      </c>
      <c r="G899" s="1" t="s">
        <v>236</v>
      </c>
      <c r="H899" s="1" t="s">
        <v>3210</v>
      </c>
      <c r="I899" s="1" t="s">
        <v>231</v>
      </c>
      <c r="J899" s="1" t="s">
        <v>310</v>
      </c>
      <c r="K899" s="1" t="n">
        <v>11.27</v>
      </c>
      <c r="L899" s="1" t="n">
        <v>4.4</v>
      </c>
      <c r="M899" s="1" t="n">
        <v>45</v>
      </c>
      <c r="N899" s="4" t="b">
        <f aca="false">FALSE()</f>
        <v>0</v>
      </c>
      <c r="O899" s="1" t="s">
        <v>2257</v>
      </c>
      <c r="P899" s="4" t="b">
        <f aca="false">TRUE()</f>
        <v>1</v>
      </c>
      <c r="R899" s="1" t="s">
        <v>3139</v>
      </c>
      <c r="S899" s="1" t="s">
        <v>3211</v>
      </c>
      <c r="T899" s="1" t="s">
        <v>222</v>
      </c>
      <c r="U899" s="1" t="s">
        <v>2102</v>
      </c>
    </row>
    <row r="900" customFormat="false" ht="48" hidden="false" customHeight="true" outlineLevel="0" collapsed="false">
      <c r="A900" s="1" t="s">
        <v>45</v>
      </c>
      <c r="B900" s="1" t="s">
        <v>2097</v>
      </c>
      <c r="C900" s="1" t="s">
        <v>111</v>
      </c>
      <c r="D900" s="1" t="s">
        <v>1425</v>
      </c>
      <c r="E900" s="1" t="n">
        <v>25</v>
      </c>
      <c r="F900" s="1" t="s">
        <v>3212</v>
      </c>
      <c r="G900" s="1" t="s">
        <v>236</v>
      </c>
      <c r="H900" s="1" t="s">
        <v>3213</v>
      </c>
      <c r="I900" s="1" t="s">
        <v>2333</v>
      </c>
      <c r="J900" s="1" t="s">
        <v>310</v>
      </c>
      <c r="L900" s="1" t="n">
        <v>4.5</v>
      </c>
      <c r="M900" s="1" t="n">
        <v>87</v>
      </c>
      <c r="N900" s="4" t="b">
        <f aca="false">FALSE()</f>
        <v>0</v>
      </c>
      <c r="P900" s="4" t="b">
        <f aca="false">TRUE()</f>
        <v>1</v>
      </c>
      <c r="R900" s="1" t="s">
        <v>3139</v>
      </c>
      <c r="S900" s="1" t="s">
        <v>3214</v>
      </c>
      <c r="T900" s="1" t="s">
        <v>222</v>
      </c>
      <c r="U900" s="1" t="s">
        <v>2102</v>
      </c>
    </row>
    <row r="901" customFormat="false" ht="48" hidden="false" customHeight="true" outlineLevel="0" collapsed="false">
      <c r="A901" s="1" t="s">
        <v>45</v>
      </c>
      <c r="B901" s="1" t="s">
        <v>2097</v>
      </c>
      <c r="C901" s="1" t="s">
        <v>111</v>
      </c>
      <c r="D901" s="1" t="s">
        <v>1425</v>
      </c>
      <c r="E901" s="1" t="n">
        <v>26</v>
      </c>
      <c r="F901" s="1" t="s">
        <v>3215</v>
      </c>
      <c r="G901" s="1" t="s">
        <v>236</v>
      </c>
      <c r="H901" s="1" t="s">
        <v>3216</v>
      </c>
      <c r="I901" s="1" t="s">
        <v>306</v>
      </c>
      <c r="J901" s="1" t="s">
        <v>310</v>
      </c>
      <c r="L901" s="1" t="n">
        <v>4.7</v>
      </c>
      <c r="M901" s="1" t="n">
        <v>8900</v>
      </c>
      <c r="N901" s="4" t="b">
        <f aca="false">FALSE()</f>
        <v>0</v>
      </c>
      <c r="P901" s="4" t="b">
        <f aca="false">TRUE()</f>
        <v>1</v>
      </c>
      <c r="Q901" s="1" t="s">
        <v>711</v>
      </c>
      <c r="R901" s="1" t="s">
        <v>3139</v>
      </c>
      <c r="S901" s="1" t="s">
        <v>3217</v>
      </c>
      <c r="T901" s="1" t="s">
        <v>222</v>
      </c>
      <c r="U901" s="1" t="s">
        <v>2102</v>
      </c>
    </row>
    <row r="902" customFormat="false" ht="48" hidden="false" customHeight="true" outlineLevel="0" collapsed="false">
      <c r="A902" s="1" t="s">
        <v>45</v>
      </c>
      <c r="B902" s="1" t="s">
        <v>2097</v>
      </c>
      <c r="C902" s="1" t="s">
        <v>111</v>
      </c>
      <c r="D902" s="1" t="s">
        <v>1425</v>
      </c>
      <c r="E902" s="1" t="n">
        <v>27</v>
      </c>
      <c r="F902" s="1" t="s">
        <v>3218</v>
      </c>
      <c r="G902" s="1" t="s">
        <v>236</v>
      </c>
      <c r="H902" s="1" t="s">
        <v>3219</v>
      </c>
      <c r="I902" s="1" t="s">
        <v>242</v>
      </c>
      <c r="J902" s="1" t="s">
        <v>371</v>
      </c>
      <c r="L902" s="1" t="n">
        <v>4.4</v>
      </c>
      <c r="M902" s="1" t="n">
        <v>231</v>
      </c>
      <c r="N902" s="4" t="b">
        <f aca="false">FALSE()</f>
        <v>0</v>
      </c>
      <c r="P902" s="4" t="b">
        <f aca="false">TRUE()</f>
        <v>1</v>
      </c>
      <c r="Q902" s="1" t="s">
        <v>251</v>
      </c>
      <c r="R902" s="1" t="s">
        <v>3139</v>
      </c>
      <c r="S902" s="1" t="s">
        <v>3220</v>
      </c>
      <c r="T902" s="1" t="s">
        <v>222</v>
      </c>
      <c r="U902" s="1" t="s">
        <v>2102</v>
      </c>
    </row>
    <row r="903" customFormat="false" ht="48" hidden="false" customHeight="true" outlineLevel="0" collapsed="false">
      <c r="A903" s="1" t="s">
        <v>45</v>
      </c>
      <c r="B903" s="1" t="s">
        <v>2097</v>
      </c>
      <c r="C903" s="1" t="s">
        <v>111</v>
      </c>
      <c r="D903" s="1" t="s">
        <v>1425</v>
      </c>
      <c r="E903" s="1" t="n">
        <v>28</v>
      </c>
      <c r="F903" s="1" t="s">
        <v>3221</v>
      </c>
      <c r="G903" s="1" t="s">
        <v>236</v>
      </c>
      <c r="H903" s="1" t="s">
        <v>3222</v>
      </c>
      <c r="I903" s="1" t="s">
        <v>402</v>
      </c>
      <c r="J903" s="1" t="s">
        <v>310</v>
      </c>
      <c r="L903" s="1" t="n">
        <v>4.3</v>
      </c>
      <c r="M903" s="1" t="n">
        <v>160</v>
      </c>
      <c r="N903" s="4" t="b">
        <f aca="false">FALSE()</f>
        <v>0</v>
      </c>
      <c r="P903" s="4" t="b">
        <f aca="false">TRUE()</f>
        <v>1</v>
      </c>
      <c r="R903" s="1" t="s">
        <v>3139</v>
      </c>
      <c r="S903" s="1" t="s">
        <v>3223</v>
      </c>
      <c r="T903" s="1" t="s">
        <v>222</v>
      </c>
      <c r="U903" s="1" t="s">
        <v>2102</v>
      </c>
    </row>
    <row r="904" customFormat="false" ht="48" hidden="false" customHeight="true" outlineLevel="0" collapsed="false">
      <c r="A904" s="1" t="s">
        <v>45</v>
      </c>
      <c r="B904" s="1" t="s">
        <v>2097</v>
      </c>
      <c r="C904" s="1" t="s">
        <v>111</v>
      </c>
      <c r="D904" s="1" t="s">
        <v>1425</v>
      </c>
      <c r="E904" s="1" t="n">
        <v>29</v>
      </c>
      <c r="F904" s="1" t="s">
        <v>3224</v>
      </c>
      <c r="G904" s="1" t="s">
        <v>2481</v>
      </c>
      <c r="H904" s="1" t="s">
        <v>3225</v>
      </c>
      <c r="I904" s="1" t="s">
        <v>2323</v>
      </c>
      <c r="J904" s="1" t="s">
        <v>310</v>
      </c>
      <c r="K904" s="1" t="n">
        <v>14.99</v>
      </c>
      <c r="L904" s="1" t="n">
        <v>3.9</v>
      </c>
      <c r="M904" s="1" t="n">
        <v>36</v>
      </c>
      <c r="N904" s="4" t="b">
        <f aca="false">FALSE()</f>
        <v>0</v>
      </c>
      <c r="O904" s="1" t="s">
        <v>2257</v>
      </c>
      <c r="P904" s="4" t="b">
        <f aca="false">TRUE()</f>
        <v>1</v>
      </c>
      <c r="Q904" s="1" t="s">
        <v>251</v>
      </c>
      <c r="R904" s="1" t="s">
        <v>3139</v>
      </c>
      <c r="S904" s="1" t="s">
        <v>3226</v>
      </c>
      <c r="T904" s="1" t="s">
        <v>222</v>
      </c>
      <c r="U904" s="1" t="s">
        <v>2102</v>
      </c>
    </row>
    <row r="905" customFormat="false" ht="48" hidden="false" customHeight="true" outlineLevel="0" collapsed="false">
      <c r="A905" s="1" t="s">
        <v>45</v>
      </c>
      <c r="B905" s="1" t="s">
        <v>2097</v>
      </c>
      <c r="C905" s="1" t="s">
        <v>111</v>
      </c>
      <c r="D905" s="1" t="s">
        <v>1425</v>
      </c>
      <c r="E905" s="1" t="n">
        <v>30</v>
      </c>
      <c r="F905" s="1" t="s">
        <v>3227</v>
      </c>
      <c r="G905" s="1" t="s">
        <v>774</v>
      </c>
      <c r="H905" s="1" t="s">
        <v>3228</v>
      </c>
      <c r="I905" s="1" t="s">
        <v>289</v>
      </c>
      <c r="J905" s="1" t="s">
        <v>310</v>
      </c>
      <c r="K905" s="1" t="n">
        <v>10.36</v>
      </c>
      <c r="L905" s="1" t="n">
        <v>4.5</v>
      </c>
      <c r="M905" s="1" t="n">
        <v>101400</v>
      </c>
      <c r="N905" s="4" t="b">
        <f aca="false">FALSE()</f>
        <v>0</v>
      </c>
      <c r="O905" s="1" t="s">
        <v>2257</v>
      </c>
      <c r="P905" s="4" t="b">
        <f aca="false">TRUE()</f>
        <v>1</v>
      </c>
      <c r="R905" s="1" t="s">
        <v>3139</v>
      </c>
      <c r="S905" s="1" t="s">
        <v>3229</v>
      </c>
      <c r="T905" s="1" t="s">
        <v>222</v>
      </c>
      <c r="U905" s="1" t="s">
        <v>2102</v>
      </c>
    </row>
    <row r="906" customFormat="false" ht="48" hidden="false" customHeight="true" outlineLevel="0" collapsed="false">
      <c r="A906" s="1" t="s">
        <v>45</v>
      </c>
      <c r="B906" s="1" t="s">
        <v>2097</v>
      </c>
      <c r="C906" s="1" t="s">
        <v>111</v>
      </c>
      <c r="D906" s="1" t="s">
        <v>1425</v>
      </c>
      <c r="E906" s="1" t="n">
        <v>31</v>
      </c>
      <c r="F906" s="1" t="s">
        <v>3230</v>
      </c>
      <c r="G906" s="1" t="s">
        <v>2481</v>
      </c>
      <c r="H906" s="1" t="s">
        <v>3231</v>
      </c>
      <c r="I906" s="1" t="s">
        <v>2323</v>
      </c>
      <c r="J906" s="1" t="s">
        <v>310</v>
      </c>
      <c r="K906" s="1" t="n">
        <v>22</v>
      </c>
      <c r="L906" s="1" t="n">
        <v>3.8</v>
      </c>
      <c r="M906" s="1" t="n">
        <v>1600</v>
      </c>
      <c r="N906" s="4" t="b">
        <f aca="false">FALSE()</f>
        <v>0</v>
      </c>
      <c r="P906" s="4" t="b">
        <f aca="false">TRUE()</f>
        <v>1</v>
      </c>
      <c r="R906" s="1" t="s">
        <v>3139</v>
      </c>
      <c r="S906" s="1" t="s">
        <v>3232</v>
      </c>
      <c r="T906" s="1" t="s">
        <v>222</v>
      </c>
      <c r="U906" s="1" t="s">
        <v>2102</v>
      </c>
    </row>
    <row r="907" customFormat="false" ht="48" hidden="false" customHeight="true" outlineLevel="0" collapsed="false">
      <c r="A907" s="1" t="s">
        <v>45</v>
      </c>
      <c r="B907" s="1" t="s">
        <v>2097</v>
      </c>
      <c r="C907" s="1" t="s">
        <v>111</v>
      </c>
      <c r="D907" s="1" t="s">
        <v>1425</v>
      </c>
      <c r="E907" s="1" t="n">
        <v>32</v>
      </c>
      <c r="F907" s="1" t="s">
        <v>3233</v>
      </c>
      <c r="G907" s="1" t="s">
        <v>236</v>
      </c>
      <c r="H907" s="1" t="s">
        <v>3234</v>
      </c>
      <c r="I907" s="1" t="s">
        <v>306</v>
      </c>
      <c r="J907" s="1" t="s">
        <v>371</v>
      </c>
      <c r="L907" s="1" t="n">
        <v>4.6</v>
      </c>
      <c r="M907" s="1" t="n">
        <v>4</v>
      </c>
      <c r="N907" s="4" t="b">
        <f aca="false">FALSE()</f>
        <v>0</v>
      </c>
      <c r="P907" s="4" t="b">
        <f aca="false">TRUE()</f>
        <v>1</v>
      </c>
      <c r="R907" s="1" t="s">
        <v>3139</v>
      </c>
      <c r="S907" s="1" t="s">
        <v>3235</v>
      </c>
      <c r="T907" s="1" t="s">
        <v>222</v>
      </c>
      <c r="U907" s="1" t="s">
        <v>2102</v>
      </c>
    </row>
    <row r="908" customFormat="false" ht="48" hidden="false" customHeight="true" outlineLevel="0" collapsed="false">
      <c r="A908" s="1" t="s">
        <v>45</v>
      </c>
      <c r="B908" s="1" t="s">
        <v>2097</v>
      </c>
      <c r="C908" s="1" t="s">
        <v>111</v>
      </c>
      <c r="D908" s="1" t="s">
        <v>1425</v>
      </c>
      <c r="E908" s="1" t="n">
        <v>33</v>
      </c>
      <c r="F908" s="1" t="s">
        <v>3236</v>
      </c>
      <c r="G908" s="1" t="s">
        <v>236</v>
      </c>
      <c r="H908" s="1" t="s">
        <v>3237</v>
      </c>
      <c r="I908" s="1" t="s">
        <v>306</v>
      </c>
      <c r="J908" s="1" t="s">
        <v>310</v>
      </c>
      <c r="K908" s="1" t="n">
        <v>8.99</v>
      </c>
      <c r="L908" s="1" t="n">
        <v>4.7</v>
      </c>
      <c r="M908" s="1" t="n">
        <v>1400</v>
      </c>
      <c r="N908" s="4" t="b">
        <f aca="false">FALSE()</f>
        <v>0</v>
      </c>
      <c r="O908" s="1" t="s">
        <v>3238</v>
      </c>
      <c r="P908" s="4" t="b">
        <f aca="false">TRUE()</f>
        <v>1</v>
      </c>
      <c r="Q908" s="1" t="s">
        <v>233</v>
      </c>
      <c r="R908" s="1" t="s">
        <v>3139</v>
      </c>
      <c r="S908" s="1" t="s">
        <v>3239</v>
      </c>
      <c r="T908" s="1" t="s">
        <v>222</v>
      </c>
      <c r="U908" s="1" t="s">
        <v>2102</v>
      </c>
    </row>
    <row r="909" customFormat="false" ht="48" hidden="false" customHeight="true" outlineLevel="0" collapsed="false">
      <c r="A909" s="1" t="s">
        <v>45</v>
      </c>
      <c r="B909" s="1" t="s">
        <v>2097</v>
      </c>
      <c r="C909" s="1" t="s">
        <v>111</v>
      </c>
      <c r="D909" s="1" t="s">
        <v>1425</v>
      </c>
      <c r="E909" s="1" t="n">
        <v>34</v>
      </c>
      <c r="F909" s="1" t="s">
        <v>3240</v>
      </c>
      <c r="G909" s="1" t="s">
        <v>2252</v>
      </c>
      <c r="H909" s="1" t="s">
        <v>3241</v>
      </c>
      <c r="I909" s="1" t="s">
        <v>2323</v>
      </c>
      <c r="J909" s="1" t="s">
        <v>310</v>
      </c>
      <c r="L909" s="1" t="n">
        <v>4.4</v>
      </c>
      <c r="M909" s="1" t="n">
        <v>9</v>
      </c>
      <c r="N909" s="4" t="b">
        <f aca="false">FALSE()</f>
        <v>0</v>
      </c>
      <c r="P909" s="4" t="b">
        <f aca="false">TRUE()</f>
        <v>1</v>
      </c>
      <c r="R909" s="1" t="s">
        <v>3139</v>
      </c>
      <c r="S909" s="1" t="s">
        <v>3242</v>
      </c>
      <c r="T909" s="1" t="s">
        <v>222</v>
      </c>
      <c r="U909" s="1" t="s">
        <v>2102</v>
      </c>
    </row>
    <row r="910" customFormat="false" ht="48" hidden="false" customHeight="true" outlineLevel="0" collapsed="false">
      <c r="A910" s="1" t="s">
        <v>45</v>
      </c>
      <c r="B910" s="1" t="s">
        <v>2097</v>
      </c>
      <c r="C910" s="1" t="s">
        <v>111</v>
      </c>
      <c r="D910" s="1" t="s">
        <v>1425</v>
      </c>
      <c r="E910" s="1" t="n">
        <v>35</v>
      </c>
      <c r="F910" s="1" t="s">
        <v>3243</v>
      </c>
      <c r="G910" s="1" t="s">
        <v>2023</v>
      </c>
      <c r="H910" s="1" t="s">
        <v>3244</v>
      </c>
      <c r="I910" s="1" t="s">
        <v>218</v>
      </c>
      <c r="J910" s="1" t="s">
        <v>371</v>
      </c>
      <c r="K910" s="1" t="n">
        <v>17.57</v>
      </c>
      <c r="L910" s="1" t="n">
        <v>4.6</v>
      </c>
      <c r="M910" s="1" t="n">
        <v>44900</v>
      </c>
      <c r="N910" s="4" t="b">
        <f aca="false">FALSE()</f>
        <v>0</v>
      </c>
      <c r="O910" s="1" t="s">
        <v>2257</v>
      </c>
      <c r="P910" s="4" t="b">
        <f aca="false">TRUE()</f>
        <v>1</v>
      </c>
      <c r="Q910" s="1" t="s">
        <v>251</v>
      </c>
      <c r="R910" s="1" t="s">
        <v>3139</v>
      </c>
      <c r="S910" s="1" t="s">
        <v>3245</v>
      </c>
      <c r="T910" s="1" t="s">
        <v>222</v>
      </c>
      <c r="U910" s="1" t="s">
        <v>2102</v>
      </c>
    </row>
    <row r="911" customFormat="false" ht="48" hidden="false" customHeight="true" outlineLevel="0" collapsed="false">
      <c r="A911" s="1" t="s">
        <v>45</v>
      </c>
      <c r="B911" s="1" t="s">
        <v>2097</v>
      </c>
      <c r="C911" s="1" t="s">
        <v>111</v>
      </c>
      <c r="D911" s="1" t="s">
        <v>1425</v>
      </c>
      <c r="E911" s="1" t="n">
        <v>36</v>
      </c>
      <c r="F911" s="1" t="s">
        <v>3246</v>
      </c>
      <c r="G911" s="1" t="s">
        <v>236</v>
      </c>
      <c r="H911" s="1" t="s">
        <v>3247</v>
      </c>
      <c r="I911" s="1" t="s">
        <v>402</v>
      </c>
      <c r="J911" s="1" t="s">
        <v>310</v>
      </c>
      <c r="L911" s="1" t="n">
        <v>4</v>
      </c>
      <c r="M911" s="1" t="n">
        <v>57</v>
      </c>
      <c r="N911" s="4" t="b">
        <f aca="false">FALSE()</f>
        <v>0</v>
      </c>
      <c r="P911" s="4" t="b">
        <f aca="false">TRUE()</f>
        <v>1</v>
      </c>
      <c r="R911" s="1" t="s">
        <v>3139</v>
      </c>
      <c r="S911" s="1" t="s">
        <v>3248</v>
      </c>
      <c r="T911" s="1" t="s">
        <v>222</v>
      </c>
      <c r="U911" s="1" t="s">
        <v>2102</v>
      </c>
    </row>
    <row r="912" customFormat="false" ht="48" hidden="false" customHeight="true" outlineLevel="0" collapsed="false">
      <c r="A912" s="1" t="s">
        <v>45</v>
      </c>
      <c r="B912" s="1" t="s">
        <v>2097</v>
      </c>
      <c r="C912" s="1" t="s">
        <v>111</v>
      </c>
      <c r="D912" s="1" t="s">
        <v>1425</v>
      </c>
      <c r="E912" s="1" t="n">
        <v>37</v>
      </c>
      <c r="F912" s="1" t="s">
        <v>3249</v>
      </c>
      <c r="G912" s="1" t="s">
        <v>236</v>
      </c>
      <c r="H912" s="1" t="s">
        <v>3250</v>
      </c>
      <c r="I912" s="1" t="s">
        <v>231</v>
      </c>
      <c r="J912" s="1" t="s">
        <v>219</v>
      </c>
      <c r="L912" s="1" t="n">
        <v>4.5</v>
      </c>
      <c r="M912" s="1" t="n">
        <v>216</v>
      </c>
      <c r="N912" s="4" t="b">
        <f aca="false">FALSE()</f>
        <v>0</v>
      </c>
      <c r="P912" s="4" t="b">
        <f aca="false">TRUE()</f>
        <v>1</v>
      </c>
      <c r="R912" s="1" t="s">
        <v>3139</v>
      </c>
      <c r="S912" s="1" t="s">
        <v>3251</v>
      </c>
      <c r="T912" s="1" t="s">
        <v>222</v>
      </c>
      <c r="U912" s="1" t="s">
        <v>2102</v>
      </c>
    </row>
    <row r="913" customFormat="false" ht="48" hidden="false" customHeight="true" outlineLevel="0" collapsed="false">
      <c r="A913" s="1" t="s">
        <v>45</v>
      </c>
      <c r="B913" s="1" t="s">
        <v>2097</v>
      </c>
      <c r="C913" s="1" t="s">
        <v>111</v>
      </c>
      <c r="D913" s="1" t="s">
        <v>1425</v>
      </c>
      <c r="E913" s="1" t="n">
        <v>38</v>
      </c>
      <c r="F913" s="1" t="s">
        <v>3252</v>
      </c>
      <c r="G913" s="1" t="s">
        <v>236</v>
      </c>
      <c r="H913" s="1" t="s">
        <v>3253</v>
      </c>
      <c r="I913" s="1" t="s">
        <v>402</v>
      </c>
      <c r="J913" s="1" t="s">
        <v>310</v>
      </c>
      <c r="L913" s="1" t="n">
        <v>4.5</v>
      </c>
      <c r="M913" s="1" t="n">
        <v>435</v>
      </c>
      <c r="N913" s="4" t="b">
        <f aca="false">FALSE()</f>
        <v>0</v>
      </c>
      <c r="P913" s="4" t="b">
        <f aca="false">TRUE()</f>
        <v>1</v>
      </c>
      <c r="R913" s="1" t="s">
        <v>3139</v>
      </c>
      <c r="S913" s="1" t="s">
        <v>3254</v>
      </c>
      <c r="T913" s="1" t="s">
        <v>222</v>
      </c>
      <c r="U913" s="1" t="s">
        <v>2102</v>
      </c>
    </row>
    <row r="914" customFormat="false" ht="48" hidden="false" customHeight="true" outlineLevel="0" collapsed="false">
      <c r="A914" s="1" t="s">
        <v>45</v>
      </c>
      <c r="B914" s="1" t="s">
        <v>2097</v>
      </c>
      <c r="C914" s="1" t="s">
        <v>111</v>
      </c>
      <c r="D914" s="1" t="s">
        <v>1425</v>
      </c>
      <c r="E914" s="1" t="n">
        <v>39</v>
      </c>
      <c r="F914" s="1" t="s">
        <v>3255</v>
      </c>
      <c r="G914" s="1" t="s">
        <v>236</v>
      </c>
      <c r="H914" s="1" t="s">
        <v>3256</v>
      </c>
      <c r="I914" s="1" t="s">
        <v>306</v>
      </c>
      <c r="J914" s="1" t="s">
        <v>597</v>
      </c>
      <c r="K914" s="1" t="n">
        <v>6.99</v>
      </c>
      <c r="L914" s="1" t="n">
        <v>4.6</v>
      </c>
      <c r="M914" s="1" t="n">
        <v>2200</v>
      </c>
      <c r="N914" s="4" t="b">
        <f aca="false">FALSE()</f>
        <v>0</v>
      </c>
      <c r="P914" s="4" t="b">
        <f aca="false">TRUE()</f>
        <v>1</v>
      </c>
      <c r="Q914" s="1" t="s">
        <v>435</v>
      </c>
      <c r="R914" s="1" t="s">
        <v>3139</v>
      </c>
      <c r="S914" s="1" t="s">
        <v>3257</v>
      </c>
      <c r="T914" s="1" t="s">
        <v>222</v>
      </c>
      <c r="U914" s="1" t="s">
        <v>2102</v>
      </c>
    </row>
    <row r="915" customFormat="false" ht="48" hidden="false" customHeight="true" outlineLevel="0" collapsed="false">
      <c r="A915" s="1" t="s">
        <v>45</v>
      </c>
      <c r="B915" s="1" t="s">
        <v>2097</v>
      </c>
      <c r="C915" s="1" t="s">
        <v>111</v>
      </c>
      <c r="D915" s="1" t="s">
        <v>1425</v>
      </c>
      <c r="E915" s="1" t="n">
        <v>40</v>
      </c>
      <c r="F915" s="1" t="s">
        <v>3258</v>
      </c>
      <c r="G915" s="1" t="s">
        <v>236</v>
      </c>
      <c r="H915" s="1" t="s">
        <v>3259</v>
      </c>
      <c r="I915" s="1" t="s">
        <v>306</v>
      </c>
      <c r="J915" s="1" t="s">
        <v>310</v>
      </c>
      <c r="K915" s="1" t="n">
        <v>12.51</v>
      </c>
      <c r="L915" s="1" t="n">
        <v>4.4</v>
      </c>
      <c r="M915" s="1" t="n">
        <v>36500</v>
      </c>
      <c r="N915" s="4" t="b">
        <f aca="false">FALSE()</f>
        <v>0</v>
      </c>
      <c r="O915" s="1" t="s">
        <v>2257</v>
      </c>
      <c r="P915" s="4" t="b">
        <f aca="false">TRUE()</f>
        <v>1</v>
      </c>
      <c r="R915" s="1" t="s">
        <v>3139</v>
      </c>
      <c r="S915" s="1" t="s">
        <v>3260</v>
      </c>
      <c r="T915" s="1" t="s">
        <v>222</v>
      </c>
      <c r="U915" s="1" t="s">
        <v>2102</v>
      </c>
    </row>
    <row r="916" customFormat="false" ht="48" hidden="false" customHeight="true" outlineLevel="0" collapsed="false">
      <c r="A916" s="1" t="s">
        <v>45</v>
      </c>
      <c r="B916" s="1" t="s">
        <v>2097</v>
      </c>
      <c r="C916" s="1" t="s">
        <v>111</v>
      </c>
      <c r="D916" s="1" t="s">
        <v>1425</v>
      </c>
      <c r="E916" s="1" t="n">
        <v>41</v>
      </c>
      <c r="F916" s="1" t="s">
        <v>3261</v>
      </c>
      <c r="G916" s="1" t="s">
        <v>236</v>
      </c>
      <c r="H916" s="1" t="s">
        <v>3262</v>
      </c>
      <c r="I916" s="1" t="s">
        <v>306</v>
      </c>
      <c r="J916" s="1" t="s">
        <v>310</v>
      </c>
      <c r="K916" s="1" t="n">
        <v>8.99</v>
      </c>
      <c r="L916" s="1" t="n">
        <v>4.6</v>
      </c>
      <c r="M916" s="1" t="n">
        <v>658</v>
      </c>
      <c r="N916" s="4" t="b">
        <f aca="false">FALSE()</f>
        <v>0</v>
      </c>
      <c r="P916" s="4" t="b">
        <f aca="false">TRUE()</f>
        <v>1</v>
      </c>
      <c r="R916" s="1" t="s">
        <v>3139</v>
      </c>
      <c r="S916" s="1" t="s">
        <v>3263</v>
      </c>
      <c r="T916" s="1" t="s">
        <v>222</v>
      </c>
      <c r="U916" s="1" t="s">
        <v>2102</v>
      </c>
    </row>
    <row r="917" customFormat="false" ht="48" hidden="false" customHeight="true" outlineLevel="0" collapsed="false">
      <c r="A917" s="1" t="s">
        <v>45</v>
      </c>
      <c r="B917" s="1" t="s">
        <v>2097</v>
      </c>
      <c r="C917" s="1" t="s">
        <v>111</v>
      </c>
      <c r="D917" s="1" t="s">
        <v>1425</v>
      </c>
      <c r="E917" s="1" t="n">
        <v>42</v>
      </c>
      <c r="F917" s="1" t="s">
        <v>3264</v>
      </c>
      <c r="G917" s="1" t="s">
        <v>236</v>
      </c>
      <c r="H917" s="1" t="s">
        <v>3265</v>
      </c>
      <c r="I917" s="1" t="s">
        <v>242</v>
      </c>
      <c r="J917" s="1" t="s">
        <v>310</v>
      </c>
      <c r="K917" s="1" t="n">
        <v>8.99</v>
      </c>
      <c r="L917" s="1" t="n">
        <v>4.6</v>
      </c>
      <c r="M917" s="1" t="n">
        <v>3500</v>
      </c>
      <c r="N917" s="4" t="b">
        <f aca="false">FALSE()</f>
        <v>0</v>
      </c>
      <c r="P917" s="4" t="b">
        <f aca="false">TRUE()</f>
        <v>1</v>
      </c>
      <c r="Q917" s="1" t="s">
        <v>233</v>
      </c>
      <c r="R917" s="1" t="s">
        <v>3139</v>
      </c>
      <c r="S917" s="1" t="s">
        <v>3266</v>
      </c>
      <c r="T917" s="1" t="s">
        <v>222</v>
      </c>
      <c r="U917" s="1" t="s">
        <v>2102</v>
      </c>
    </row>
    <row r="918" customFormat="false" ht="48" hidden="false" customHeight="true" outlineLevel="0" collapsed="false">
      <c r="A918" s="1" t="s">
        <v>45</v>
      </c>
      <c r="B918" s="1" t="s">
        <v>2097</v>
      </c>
      <c r="C918" s="1" t="s">
        <v>111</v>
      </c>
      <c r="D918" s="1" t="s">
        <v>1425</v>
      </c>
      <c r="E918" s="1" t="n">
        <v>43</v>
      </c>
      <c r="F918" s="1" t="s">
        <v>3267</v>
      </c>
      <c r="G918" s="1" t="s">
        <v>236</v>
      </c>
      <c r="H918" s="1" t="s">
        <v>3268</v>
      </c>
      <c r="I918" s="1" t="s">
        <v>402</v>
      </c>
      <c r="J918" s="1" t="s">
        <v>310</v>
      </c>
      <c r="K918" s="1" t="n">
        <v>16.99</v>
      </c>
      <c r="L918" s="1" t="n">
        <v>4.5</v>
      </c>
      <c r="M918" s="1" t="n">
        <v>99</v>
      </c>
      <c r="N918" s="4" t="b">
        <f aca="false">FALSE()</f>
        <v>0</v>
      </c>
      <c r="O918" s="1" t="s">
        <v>2257</v>
      </c>
      <c r="P918" s="4" t="b">
        <f aca="false">TRUE()</f>
        <v>1</v>
      </c>
      <c r="R918" s="1" t="s">
        <v>3139</v>
      </c>
      <c r="S918" s="1" t="s">
        <v>3269</v>
      </c>
      <c r="T918" s="1" t="s">
        <v>222</v>
      </c>
      <c r="U918" s="1" t="s">
        <v>2102</v>
      </c>
    </row>
    <row r="919" customFormat="false" ht="48" hidden="false" customHeight="true" outlineLevel="0" collapsed="false">
      <c r="A919" s="1" t="s">
        <v>45</v>
      </c>
      <c r="B919" s="1" t="s">
        <v>2097</v>
      </c>
      <c r="C919" s="1" t="s">
        <v>111</v>
      </c>
      <c r="D919" s="1" t="s">
        <v>1425</v>
      </c>
      <c r="E919" s="1" t="n">
        <v>44</v>
      </c>
      <c r="F919" s="1" t="s">
        <v>3270</v>
      </c>
      <c r="G919" s="1" t="s">
        <v>236</v>
      </c>
      <c r="H919" s="1" t="s">
        <v>3271</v>
      </c>
      <c r="I919" s="1" t="s">
        <v>402</v>
      </c>
      <c r="J919" s="1" t="s">
        <v>371</v>
      </c>
      <c r="L919" s="1" t="n">
        <v>4.5</v>
      </c>
      <c r="M919" s="1" t="n">
        <v>5100</v>
      </c>
      <c r="N919" s="4" t="b">
        <f aca="false">FALSE()</f>
        <v>0</v>
      </c>
      <c r="P919" s="4" t="b">
        <f aca="false">TRUE()</f>
        <v>1</v>
      </c>
      <c r="R919" s="1" t="s">
        <v>3139</v>
      </c>
      <c r="S919" s="1" t="s">
        <v>3272</v>
      </c>
      <c r="T919" s="1" t="s">
        <v>222</v>
      </c>
      <c r="U919" s="1" t="s">
        <v>2102</v>
      </c>
    </row>
    <row r="920" customFormat="false" ht="48" hidden="false" customHeight="true" outlineLevel="0" collapsed="false">
      <c r="A920" s="1" t="s">
        <v>45</v>
      </c>
      <c r="B920" s="1" t="s">
        <v>2097</v>
      </c>
      <c r="C920" s="1" t="s">
        <v>111</v>
      </c>
      <c r="D920" s="1" t="s">
        <v>1425</v>
      </c>
      <c r="E920" s="1" t="n">
        <v>45</v>
      </c>
      <c r="F920" s="1" t="s">
        <v>3273</v>
      </c>
      <c r="G920" s="1" t="s">
        <v>236</v>
      </c>
      <c r="H920" s="1" t="s">
        <v>3274</v>
      </c>
      <c r="I920" s="1" t="s">
        <v>402</v>
      </c>
      <c r="J920" s="1" t="s">
        <v>219</v>
      </c>
      <c r="L920" s="1" t="n">
        <v>4.5</v>
      </c>
      <c r="M920" s="1" t="n">
        <v>91</v>
      </c>
      <c r="N920" s="4" t="b">
        <f aca="false">FALSE()</f>
        <v>0</v>
      </c>
      <c r="P920" s="4" t="b">
        <f aca="false">TRUE()</f>
        <v>1</v>
      </c>
      <c r="Q920" s="1" t="s">
        <v>251</v>
      </c>
      <c r="R920" s="1" t="s">
        <v>3139</v>
      </c>
      <c r="S920" s="1" t="s">
        <v>3275</v>
      </c>
      <c r="T920" s="1" t="s">
        <v>222</v>
      </c>
      <c r="U920" s="1" t="s">
        <v>2102</v>
      </c>
    </row>
    <row r="921" customFormat="false" ht="48" hidden="false" customHeight="true" outlineLevel="0" collapsed="false">
      <c r="A921" s="1" t="s">
        <v>45</v>
      </c>
      <c r="B921" s="1" t="s">
        <v>2097</v>
      </c>
      <c r="C921" s="1" t="s">
        <v>111</v>
      </c>
      <c r="D921" s="1" t="s">
        <v>1425</v>
      </c>
      <c r="E921" s="1" t="n">
        <v>46</v>
      </c>
      <c r="F921" s="1" t="s">
        <v>3276</v>
      </c>
      <c r="G921" s="1" t="s">
        <v>236</v>
      </c>
      <c r="H921" s="1" t="s">
        <v>3277</v>
      </c>
      <c r="I921" s="1" t="s">
        <v>402</v>
      </c>
      <c r="J921" s="1" t="s">
        <v>310</v>
      </c>
      <c r="L921" s="1" t="n">
        <v>4.5</v>
      </c>
      <c r="M921" s="1" t="n">
        <v>309</v>
      </c>
      <c r="N921" s="4" t="b">
        <f aca="false">FALSE()</f>
        <v>0</v>
      </c>
      <c r="P921" s="4" t="b">
        <f aca="false">TRUE()</f>
        <v>1</v>
      </c>
      <c r="Q921" s="1" t="s">
        <v>233</v>
      </c>
      <c r="R921" s="1" t="s">
        <v>3139</v>
      </c>
      <c r="S921" s="1" t="s">
        <v>3278</v>
      </c>
      <c r="T921" s="1" t="s">
        <v>222</v>
      </c>
      <c r="U921" s="1" t="s">
        <v>2102</v>
      </c>
    </row>
    <row r="922" customFormat="false" ht="48" hidden="false" customHeight="true" outlineLevel="0" collapsed="false">
      <c r="A922" s="1" t="s">
        <v>45</v>
      </c>
      <c r="B922" s="1" t="s">
        <v>2097</v>
      </c>
      <c r="C922" s="1" t="s">
        <v>111</v>
      </c>
      <c r="D922" s="1" t="s">
        <v>1425</v>
      </c>
      <c r="E922" s="1" t="n">
        <v>47</v>
      </c>
      <c r="F922" s="1" t="s">
        <v>3279</v>
      </c>
      <c r="G922" s="1" t="s">
        <v>236</v>
      </c>
      <c r="H922" s="1" t="s">
        <v>3280</v>
      </c>
      <c r="I922" s="1" t="s">
        <v>402</v>
      </c>
      <c r="J922" s="1" t="s">
        <v>310</v>
      </c>
      <c r="L922" s="1" t="n">
        <v>3.1</v>
      </c>
      <c r="M922" s="1" t="n">
        <v>15</v>
      </c>
      <c r="N922" s="4" t="b">
        <f aca="false">FALSE()</f>
        <v>0</v>
      </c>
      <c r="P922" s="4" t="b">
        <f aca="false">TRUE()</f>
        <v>1</v>
      </c>
      <c r="R922" s="1" t="s">
        <v>3139</v>
      </c>
      <c r="S922" s="1" t="s">
        <v>3281</v>
      </c>
      <c r="T922" s="1" t="s">
        <v>222</v>
      </c>
      <c r="U922" s="1" t="s">
        <v>2102</v>
      </c>
    </row>
    <row r="923" customFormat="false" ht="48" hidden="false" customHeight="true" outlineLevel="0" collapsed="false">
      <c r="A923" s="1" t="s">
        <v>45</v>
      </c>
      <c r="B923" s="1" t="s">
        <v>2097</v>
      </c>
      <c r="C923" s="1" t="s">
        <v>111</v>
      </c>
      <c r="D923" s="1" t="s">
        <v>1425</v>
      </c>
      <c r="E923" s="1" t="n">
        <v>48</v>
      </c>
      <c r="F923" s="1" t="s">
        <v>3282</v>
      </c>
      <c r="G923" s="1" t="s">
        <v>2481</v>
      </c>
      <c r="H923" s="1" t="s">
        <v>3283</v>
      </c>
      <c r="I923" s="1" t="s">
        <v>402</v>
      </c>
      <c r="J923" s="1" t="s">
        <v>310</v>
      </c>
      <c r="K923" s="1" t="n">
        <v>26</v>
      </c>
      <c r="L923" s="1" t="n">
        <v>3.9</v>
      </c>
      <c r="M923" s="1" t="n">
        <v>99</v>
      </c>
      <c r="N923" s="4" t="b">
        <f aca="false">FALSE()</f>
        <v>0</v>
      </c>
      <c r="P923" s="4" t="b">
        <f aca="false">TRUE()</f>
        <v>1</v>
      </c>
      <c r="Q923" s="1" t="s">
        <v>233</v>
      </c>
      <c r="R923" s="1" t="s">
        <v>3139</v>
      </c>
      <c r="S923" s="1" t="s">
        <v>3284</v>
      </c>
      <c r="T923" s="1" t="s">
        <v>222</v>
      </c>
      <c r="U923" s="1" t="s">
        <v>2102</v>
      </c>
    </row>
    <row r="924" customFormat="false" ht="48" hidden="false" customHeight="true" outlineLevel="0" collapsed="false">
      <c r="A924" s="1" t="s">
        <v>45</v>
      </c>
      <c r="B924" s="1" t="s">
        <v>2097</v>
      </c>
      <c r="C924" s="1" t="s">
        <v>102</v>
      </c>
      <c r="D924" s="1" t="s">
        <v>1586</v>
      </c>
      <c r="E924" s="1" t="n">
        <v>1</v>
      </c>
      <c r="F924" s="1" t="s">
        <v>3285</v>
      </c>
      <c r="G924" s="1" t="s">
        <v>3286</v>
      </c>
      <c r="H924" s="1" t="s">
        <v>3287</v>
      </c>
      <c r="I924" s="1" t="s">
        <v>402</v>
      </c>
      <c r="J924" s="1" t="s">
        <v>597</v>
      </c>
      <c r="L924" s="1" t="n">
        <v>4.2</v>
      </c>
      <c r="M924" s="1" t="n">
        <v>163</v>
      </c>
      <c r="N924" s="4" t="b">
        <f aca="false">FALSE()</f>
        <v>0</v>
      </c>
      <c r="P924" s="4" t="b">
        <f aca="false">FALSE()</f>
        <v>0</v>
      </c>
      <c r="R924" s="1" t="s">
        <v>3288</v>
      </c>
      <c r="S924" s="1" t="s">
        <v>3289</v>
      </c>
      <c r="T924" s="1" t="s">
        <v>222</v>
      </c>
      <c r="U924" s="1" t="s">
        <v>2102</v>
      </c>
    </row>
    <row r="925" customFormat="false" ht="48" hidden="false" customHeight="true" outlineLevel="0" collapsed="false">
      <c r="A925" s="1" t="s">
        <v>45</v>
      </c>
      <c r="B925" s="1" t="s">
        <v>2097</v>
      </c>
      <c r="C925" s="1" t="s">
        <v>102</v>
      </c>
      <c r="D925" s="1" t="s">
        <v>1586</v>
      </c>
      <c r="E925" s="1" t="n">
        <v>2</v>
      </c>
      <c r="F925" s="1" t="s">
        <v>3290</v>
      </c>
      <c r="G925" s="1" t="s">
        <v>2481</v>
      </c>
      <c r="H925" s="1" t="s">
        <v>3291</v>
      </c>
      <c r="I925" s="1" t="s">
        <v>402</v>
      </c>
      <c r="J925" s="1" t="s">
        <v>310</v>
      </c>
      <c r="K925" s="1" t="n">
        <v>24.99</v>
      </c>
      <c r="L925" s="1" t="n">
        <v>4.8</v>
      </c>
      <c r="M925" s="1" t="n">
        <v>90</v>
      </c>
      <c r="N925" s="4" t="b">
        <f aca="false">FALSE()</f>
        <v>0</v>
      </c>
      <c r="P925" s="4" t="b">
        <f aca="false">FALSE()</f>
        <v>0</v>
      </c>
      <c r="Q925" s="1" t="s">
        <v>711</v>
      </c>
      <c r="R925" s="1" t="s">
        <v>3288</v>
      </c>
      <c r="S925" s="1" t="s">
        <v>3292</v>
      </c>
      <c r="T925" s="1" t="s">
        <v>222</v>
      </c>
      <c r="U925" s="1" t="s">
        <v>2102</v>
      </c>
    </row>
    <row r="926" customFormat="false" ht="48" hidden="false" customHeight="true" outlineLevel="0" collapsed="false">
      <c r="A926" s="1" t="s">
        <v>45</v>
      </c>
      <c r="B926" s="1" t="s">
        <v>2097</v>
      </c>
      <c r="C926" s="1" t="s">
        <v>102</v>
      </c>
      <c r="D926" s="1" t="s">
        <v>1586</v>
      </c>
      <c r="E926" s="1" t="n">
        <v>3</v>
      </c>
      <c r="F926" s="1" t="s">
        <v>3293</v>
      </c>
      <c r="G926" s="1" t="s">
        <v>236</v>
      </c>
      <c r="H926" s="1" t="s">
        <v>3294</v>
      </c>
      <c r="I926" s="1" t="s">
        <v>402</v>
      </c>
      <c r="J926" s="1" t="s">
        <v>310</v>
      </c>
      <c r="L926" s="1" t="n">
        <v>4.2</v>
      </c>
      <c r="M926" s="1" t="n">
        <v>4200</v>
      </c>
      <c r="N926" s="4" t="b">
        <f aca="false">FALSE()</f>
        <v>0</v>
      </c>
      <c r="P926" s="4" t="b">
        <f aca="false">FALSE()</f>
        <v>0</v>
      </c>
      <c r="Q926" s="1" t="s">
        <v>312</v>
      </c>
      <c r="R926" s="1" t="s">
        <v>3288</v>
      </c>
      <c r="S926" s="1" t="s">
        <v>3295</v>
      </c>
      <c r="T926" s="1" t="s">
        <v>222</v>
      </c>
      <c r="U926" s="1" t="s">
        <v>2102</v>
      </c>
    </row>
    <row r="927" customFormat="false" ht="48" hidden="false" customHeight="true" outlineLevel="0" collapsed="false">
      <c r="A927" s="1" t="s">
        <v>45</v>
      </c>
      <c r="B927" s="1" t="s">
        <v>2097</v>
      </c>
      <c r="C927" s="1" t="s">
        <v>102</v>
      </c>
      <c r="D927" s="1" t="s">
        <v>1586</v>
      </c>
      <c r="E927" s="1" t="n">
        <v>4</v>
      </c>
      <c r="F927" s="1" t="s">
        <v>3296</v>
      </c>
      <c r="G927" s="1" t="s">
        <v>236</v>
      </c>
      <c r="H927" s="1" t="s">
        <v>3297</v>
      </c>
      <c r="I927" s="1" t="s">
        <v>402</v>
      </c>
      <c r="J927" s="1" t="s">
        <v>597</v>
      </c>
      <c r="L927" s="1" t="n">
        <v>4.6</v>
      </c>
      <c r="M927" s="1" t="n">
        <v>785</v>
      </c>
      <c r="N927" s="4" t="b">
        <f aca="false">FALSE()</f>
        <v>0</v>
      </c>
      <c r="P927" s="4" t="b">
        <f aca="false">FALSE()</f>
        <v>0</v>
      </c>
      <c r="R927" s="1" t="s">
        <v>3288</v>
      </c>
      <c r="S927" s="1" t="s">
        <v>3298</v>
      </c>
      <c r="T927" s="1" t="s">
        <v>222</v>
      </c>
      <c r="U927" s="1" t="s">
        <v>2102</v>
      </c>
    </row>
    <row r="928" customFormat="false" ht="48" hidden="false" customHeight="true" outlineLevel="0" collapsed="false">
      <c r="A928" s="1" t="s">
        <v>45</v>
      </c>
      <c r="B928" s="1" t="s">
        <v>2097</v>
      </c>
      <c r="C928" s="1" t="s">
        <v>102</v>
      </c>
      <c r="D928" s="1" t="s">
        <v>1586</v>
      </c>
      <c r="E928" s="1" t="n">
        <v>5</v>
      </c>
      <c r="F928" s="1" t="s">
        <v>3299</v>
      </c>
      <c r="G928" s="1" t="s">
        <v>236</v>
      </c>
      <c r="H928" s="1" t="s">
        <v>3300</v>
      </c>
      <c r="I928" s="1" t="s">
        <v>402</v>
      </c>
      <c r="J928" s="1" t="s">
        <v>597</v>
      </c>
      <c r="L928" s="1" t="n">
        <v>4.4</v>
      </c>
      <c r="M928" s="1" t="n">
        <v>245</v>
      </c>
      <c r="N928" s="4" t="b">
        <f aca="false">FALSE()</f>
        <v>0</v>
      </c>
      <c r="P928" s="4" t="b">
        <f aca="false">FALSE()</f>
        <v>0</v>
      </c>
      <c r="R928" s="1" t="s">
        <v>3288</v>
      </c>
      <c r="S928" s="1" t="s">
        <v>3301</v>
      </c>
      <c r="T928" s="1" t="s">
        <v>222</v>
      </c>
      <c r="U928" s="1" t="s">
        <v>2102</v>
      </c>
    </row>
    <row r="929" customFormat="false" ht="48" hidden="false" customHeight="true" outlineLevel="0" collapsed="false">
      <c r="A929" s="1" t="s">
        <v>45</v>
      </c>
      <c r="B929" s="1" t="s">
        <v>2097</v>
      </c>
      <c r="C929" s="1" t="s">
        <v>102</v>
      </c>
      <c r="D929" s="1" t="s">
        <v>1586</v>
      </c>
      <c r="E929" s="1" t="n">
        <v>6</v>
      </c>
      <c r="F929" s="1" t="s">
        <v>3302</v>
      </c>
      <c r="G929" s="1" t="s">
        <v>3286</v>
      </c>
      <c r="H929" s="1" t="s">
        <v>3303</v>
      </c>
      <c r="I929" s="1" t="s">
        <v>2323</v>
      </c>
      <c r="J929" s="1" t="s">
        <v>597</v>
      </c>
      <c r="L929" s="1" t="n">
        <v>4.2</v>
      </c>
      <c r="M929" s="1" t="n">
        <v>163</v>
      </c>
      <c r="N929" s="4" t="b">
        <f aca="false">FALSE()</f>
        <v>0</v>
      </c>
      <c r="P929" s="4" t="b">
        <f aca="false">FALSE()</f>
        <v>0</v>
      </c>
      <c r="R929" s="1" t="s">
        <v>3288</v>
      </c>
      <c r="S929" s="1" t="s">
        <v>3304</v>
      </c>
      <c r="T929" s="1" t="s">
        <v>222</v>
      </c>
      <c r="U929" s="1" t="s">
        <v>2102</v>
      </c>
    </row>
    <row r="930" customFormat="false" ht="48" hidden="false" customHeight="true" outlineLevel="0" collapsed="false">
      <c r="A930" s="1" t="s">
        <v>45</v>
      </c>
      <c r="B930" s="1" t="s">
        <v>2097</v>
      </c>
      <c r="C930" s="1" t="s">
        <v>102</v>
      </c>
      <c r="D930" s="1" t="s">
        <v>1586</v>
      </c>
      <c r="E930" s="1" t="n">
        <v>7</v>
      </c>
      <c r="F930" s="1" t="s">
        <v>3305</v>
      </c>
      <c r="G930" s="1" t="s">
        <v>236</v>
      </c>
      <c r="H930" s="1" t="s">
        <v>3306</v>
      </c>
      <c r="I930" s="1" t="s">
        <v>2323</v>
      </c>
      <c r="J930" s="1" t="s">
        <v>310</v>
      </c>
      <c r="L930" s="1" t="n">
        <v>4.6</v>
      </c>
      <c r="M930" s="1" t="n">
        <v>857</v>
      </c>
      <c r="N930" s="4" t="b">
        <f aca="false">FALSE()</f>
        <v>0</v>
      </c>
      <c r="P930" s="4" t="b">
        <f aca="false">FALSE()</f>
        <v>0</v>
      </c>
      <c r="Q930" s="1" t="s">
        <v>439</v>
      </c>
      <c r="R930" s="1" t="s">
        <v>3288</v>
      </c>
      <c r="S930" s="1" t="s">
        <v>3307</v>
      </c>
      <c r="T930" s="1" t="s">
        <v>222</v>
      </c>
      <c r="U930" s="1" t="s">
        <v>2102</v>
      </c>
    </row>
    <row r="931" customFormat="false" ht="48" hidden="false" customHeight="true" outlineLevel="0" collapsed="false">
      <c r="A931" s="1" t="s">
        <v>45</v>
      </c>
      <c r="B931" s="1" t="s">
        <v>2097</v>
      </c>
      <c r="C931" s="1" t="s">
        <v>102</v>
      </c>
      <c r="D931" s="1" t="s">
        <v>1586</v>
      </c>
      <c r="E931" s="1" t="n">
        <v>8</v>
      </c>
      <c r="F931" s="1" t="s">
        <v>3308</v>
      </c>
      <c r="G931" s="1" t="s">
        <v>236</v>
      </c>
      <c r="H931" s="1" t="s">
        <v>3309</v>
      </c>
      <c r="I931" s="1" t="s">
        <v>402</v>
      </c>
      <c r="J931" s="1" t="s">
        <v>597</v>
      </c>
      <c r="L931" s="1" t="n">
        <v>4.4</v>
      </c>
      <c r="M931" s="1" t="n">
        <v>446</v>
      </c>
      <c r="N931" s="4" t="b">
        <f aca="false">FALSE()</f>
        <v>0</v>
      </c>
      <c r="P931" s="4" t="b">
        <f aca="false">FALSE()</f>
        <v>0</v>
      </c>
      <c r="R931" s="1" t="s">
        <v>3288</v>
      </c>
      <c r="S931" s="1" t="s">
        <v>3310</v>
      </c>
      <c r="T931" s="1" t="s">
        <v>222</v>
      </c>
      <c r="U931" s="1" t="s">
        <v>2102</v>
      </c>
    </row>
    <row r="932" customFormat="false" ht="48" hidden="false" customHeight="true" outlineLevel="0" collapsed="false">
      <c r="A932" s="1" t="s">
        <v>45</v>
      </c>
      <c r="B932" s="1" t="s">
        <v>2097</v>
      </c>
      <c r="C932" s="1" t="s">
        <v>102</v>
      </c>
      <c r="D932" s="1" t="s">
        <v>1586</v>
      </c>
      <c r="E932" s="1" t="n">
        <v>9</v>
      </c>
      <c r="F932" s="1" t="s">
        <v>3311</v>
      </c>
      <c r="G932" s="1" t="s">
        <v>567</v>
      </c>
      <c r="H932" s="1" t="s">
        <v>3312</v>
      </c>
      <c r="I932" s="1" t="s">
        <v>2323</v>
      </c>
      <c r="J932" s="1" t="s">
        <v>371</v>
      </c>
      <c r="K932" s="1" t="n">
        <v>13.59</v>
      </c>
      <c r="L932" s="1" t="n">
        <v>4.3</v>
      </c>
      <c r="M932" s="1" t="n">
        <v>12400</v>
      </c>
      <c r="N932" s="4" t="b">
        <f aca="false">FALSE()</f>
        <v>0</v>
      </c>
      <c r="P932" s="4" t="b">
        <f aca="false">FALSE()</f>
        <v>0</v>
      </c>
      <c r="Q932" s="1" t="s">
        <v>418</v>
      </c>
      <c r="R932" s="1" t="s">
        <v>3288</v>
      </c>
      <c r="S932" s="1" t="s">
        <v>3313</v>
      </c>
      <c r="T932" s="1" t="s">
        <v>222</v>
      </c>
      <c r="U932" s="1" t="s">
        <v>2102</v>
      </c>
    </row>
    <row r="933" customFormat="false" ht="48" hidden="false" customHeight="true" outlineLevel="0" collapsed="false">
      <c r="A933" s="1" t="s">
        <v>45</v>
      </c>
      <c r="B933" s="1" t="s">
        <v>2097</v>
      </c>
      <c r="C933" s="1" t="s">
        <v>102</v>
      </c>
      <c r="D933" s="1" t="s">
        <v>1586</v>
      </c>
      <c r="E933" s="1" t="n">
        <v>10</v>
      </c>
      <c r="F933" s="1" t="s">
        <v>3314</v>
      </c>
      <c r="G933" s="1" t="s">
        <v>3286</v>
      </c>
      <c r="H933" s="1" t="s">
        <v>3315</v>
      </c>
      <c r="I933" s="1" t="s">
        <v>402</v>
      </c>
      <c r="J933" s="1" t="s">
        <v>597</v>
      </c>
      <c r="L933" s="1" t="n">
        <v>4.1</v>
      </c>
      <c r="M933" s="1" t="n">
        <v>6</v>
      </c>
      <c r="N933" s="4" t="b">
        <f aca="false">FALSE()</f>
        <v>0</v>
      </c>
      <c r="P933" s="4" t="b">
        <f aca="false">FALSE()</f>
        <v>0</v>
      </c>
      <c r="R933" s="1" t="s">
        <v>3288</v>
      </c>
      <c r="S933" s="1" t="s">
        <v>3316</v>
      </c>
      <c r="T933" s="1" t="s">
        <v>222</v>
      </c>
      <c r="U933" s="1" t="s">
        <v>2102</v>
      </c>
    </row>
    <row r="934" customFormat="false" ht="48" hidden="false" customHeight="true" outlineLevel="0" collapsed="false">
      <c r="A934" s="1" t="s">
        <v>45</v>
      </c>
      <c r="B934" s="1" t="s">
        <v>2097</v>
      </c>
      <c r="C934" s="1" t="s">
        <v>102</v>
      </c>
      <c r="D934" s="1" t="s">
        <v>1586</v>
      </c>
      <c r="E934" s="1" t="n">
        <v>11</v>
      </c>
      <c r="F934" s="1" t="s">
        <v>3317</v>
      </c>
      <c r="G934" s="1" t="s">
        <v>236</v>
      </c>
      <c r="H934" s="1" t="s">
        <v>3318</v>
      </c>
      <c r="I934" s="1" t="s">
        <v>306</v>
      </c>
      <c r="J934" s="1" t="s">
        <v>689</v>
      </c>
      <c r="K934" s="1" t="n">
        <v>20.47</v>
      </c>
      <c r="L934" s="1" t="n">
        <v>4.4</v>
      </c>
      <c r="M934" s="1" t="n">
        <v>1800</v>
      </c>
      <c r="N934" s="4" t="b">
        <f aca="false">FALSE()</f>
        <v>0</v>
      </c>
      <c r="P934" s="4" t="b">
        <f aca="false">FALSE()</f>
        <v>0</v>
      </c>
      <c r="R934" s="1" t="s">
        <v>3288</v>
      </c>
      <c r="S934" s="1" t="s">
        <v>3319</v>
      </c>
      <c r="T934" s="1" t="s">
        <v>222</v>
      </c>
      <c r="U934" s="1" t="s">
        <v>2102</v>
      </c>
    </row>
    <row r="935" customFormat="false" ht="48" hidden="false" customHeight="true" outlineLevel="0" collapsed="false">
      <c r="A935" s="1" t="s">
        <v>45</v>
      </c>
      <c r="B935" s="1" t="s">
        <v>2097</v>
      </c>
      <c r="C935" s="1" t="s">
        <v>102</v>
      </c>
      <c r="D935" s="1" t="s">
        <v>1586</v>
      </c>
      <c r="E935" s="1" t="n">
        <v>12</v>
      </c>
      <c r="F935" s="1" t="s">
        <v>3320</v>
      </c>
      <c r="G935" s="1" t="s">
        <v>236</v>
      </c>
      <c r="H935" s="1" t="s">
        <v>3321</v>
      </c>
      <c r="I935" s="1" t="s">
        <v>306</v>
      </c>
      <c r="J935" s="1" t="s">
        <v>310</v>
      </c>
      <c r="K935" s="1" t="n">
        <v>33.81</v>
      </c>
      <c r="L935" s="1" t="n">
        <v>4.6</v>
      </c>
      <c r="M935" s="1" t="n">
        <v>2400</v>
      </c>
      <c r="N935" s="4" t="b">
        <f aca="false">FALSE()</f>
        <v>0</v>
      </c>
      <c r="P935" s="4" t="b">
        <f aca="false">FALSE()</f>
        <v>0</v>
      </c>
      <c r="R935" s="1" t="s">
        <v>3288</v>
      </c>
      <c r="S935" s="1" t="s">
        <v>3322</v>
      </c>
      <c r="T935" s="1" t="s">
        <v>222</v>
      </c>
      <c r="U935" s="1" t="s">
        <v>2102</v>
      </c>
    </row>
    <row r="936" customFormat="false" ht="48" hidden="false" customHeight="true" outlineLevel="0" collapsed="false">
      <c r="A936" s="1" t="s">
        <v>45</v>
      </c>
      <c r="B936" s="1" t="s">
        <v>2097</v>
      </c>
      <c r="C936" s="1" t="s">
        <v>102</v>
      </c>
      <c r="D936" s="1" t="s">
        <v>1586</v>
      </c>
      <c r="E936" s="1" t="n">
        <v>13</v>
      </c>
      <c r="F936" s="1" t="s">
        <v>3323</v>
      </c>
      <c r="G936" s="1" t="s">
        <v>236</v>
      </c>
      <c r="H936" s="1" t="s">
        <v>3324</v>
      </c>
      <c r="I936" s="1" t="s">
        <v>306</v>
      </c>
      <c r="J936" s="1" t="s">
        <v>597</v>
      </c>
      <c r="L936" s="1" t="n">
        <v>4</v>
      </c>
      <c r="M936" s="1" t="n">
        <v>93</v>
      </c>
      <c r="N936" s="4" t="b">
        <f aca="false">FALSE()</f>
        <v>0</v>
      </c>
      <c r="P936" s="4" t="b">
        <f aca="false">FALSE()</f>
        <v>0</v>
      </c>
      <c r="R936" s="1" t="s">
        <v>3288</v>
      </c>
      <c r="S936" s="1" t="s">
        <v>3325</v>
      </c>
      <c r="T936" s="1" t="s">
        <v>222</v>
      </c>
      <c r="U936" s="1" t="s">
        <v>2102</v>
      </c>
    </row>
    <row r="937" customFormat="false" ht="48" hidden="false" customHeight="true" outlineLevel="0" collapsed="false">
      <c r="A937" s="1" t="s">
        <v>45</v>
      </c>
      <c r="B937" s="1" t="s">
        <v>2097</v>
      </c>
      <c r="C937" s="1" t="s">
        <v>102</v>
      </c>
      <c r="D937" s="1" t="s">
        <v>1586</v>
      </c>
      <c r="E937" s="1" t="n">
        <v>14</v>
      </c>
      <c r="F937" s="1" t="s">
        <v>3326</v>
      </c>
      <c r="G937" s="1" t="s">
        <v>236</v>
      </c>
      <c r="H937" s="1" t="s">
        <v>3327</v>
      </c>
      <c r="I937" s="1" t="s">
        <v>306</v>
      </c>
      <c r="J937" s="1" t="s">
        <v>310</v>
      </c>
      <c r="K937" s="1" t="n">
        <v>19.93</v>
      </c>
      <c r="L937" s="1" t="n">
        <v>4.4</v>
      </c>
      <c r="M937" s="1" t="n">
        <v>485</v>
      </c>
      <c r="N937" s="4" t="b">
        <f aca="false">FALSE()</f>
        <v>0</v>
      </c>
      <c r="O937" s="1" t="s">
        <v>2257</v>
      </c>
      <c r="P937" s="4" t="b">
        <f aca="false">FALSE()</f>
        <v>0</v>
      </c>
      <c r="R937" s="1" t="s">
        <v>3288</v>
      </c>
      <c r="S937" s="1" t="s">
        <v>3328</v>
      </c>
      <c r="T937" s="1" t="s">
        <v>222</v>
      </c>
      <c r="U937" s="1" t="s">
        <v>2102</v>
      </c>
    </row>
    <row r="938" customFormat="false" ht="48" hidden="false" customHeight="true" outlineLevel="0" collapsed="false">
      <c r="A938" s="1" t="s">
        <v>45</v>
      </c>
      <c r="B938" s="1" t="s">
        <v>2097</v>
      </c>
      <c r="C938" s="1" t="s">
        <v>102</v>
      </c>
      <c r="D938" s="1" t="s">
        <v>1586</v>
      </c>
      <c r="E938" s="1" t="n">
        <v>15</v>
      </c>
      <c r="F938" s="1" t="s">
        <v>3329</v>
      </c>
      <c r="G938" s="1" t="s">
        <v>236</v>
      </c>
      <c r="H938" s="1" t="s">
        <v>3330</v>
      </c>
      <c r="I938" s="1" t="s">
        <v>306</v>
      </c>
      <c r="J938" s="1" t="s">
        <v>597</v>
      </c>
      <c r="L938" s="1" t="n">
        <v>4.4</v>
      </c>
      <c r="M938" s="1" t="n">
        <v>280</v>
      </c>
      <c r="N938" s="4" t="b">
        <f aca="false">FALSE()</f>
        <v>0</v>
      </c>
      <c r="P938" s="4" t="b">
        <f aca="false">FALSE()</f>
        <v>0</v>
      </c>
      <c r="R938" s="1" t="s">
        <v>3288</v>
      </c>
      <c r="S938" s="1" t="s">
        <v>3331</v>
      </c>
      <c r="T938" s="1" t="s">
        <v>222</v>
      </c>
      <c r="U938" s="1" t="s">
        <v>2102</v>
      </c>
    </row>
    <row r="939" customFormat="false" ht="48" hidden="false" customHeight="true" outlineLevel="0" collapsed="false">
      <c r="A939" s="1" t="s">
        <v>45</v>
      </c>
      <c r="B939" s="1" t="s">
        <v>2097</v>
      </c>
      <c r="C939" s="1" t="s">
        <v>102</v>
      </c>
      <c r="D939" s="1" t="s">
        <v>1586</v>
      </c>
      <c r="E939" s="1" t="n">
        <v>16</v>
      </c>
      <c r="F939" s="1" t="s">
        <v>3332</v>
      </c>
      <c r="G939" s="1" t="s">
        <v>236</v>
      </c>
      <c r="H939" s="1" t="s">
        <v>3333</v>
      </c>
      <c r="I939" s="1" t="s">
        <v>306</v>
      </c>
      <c r="J939" s="1" t="s">
        <v>310</v>
      </c>
      <c r="K939" s="1" t="n">
        <v>35.81</v>
      </c>
      <c r="L939" s="1" t="n">
        <v>4.6</v>
      </c>
      <c r="M939" s="1" t="n">
        <v>1600</v>
      </c>
      <c r="N939" s="4" t="b">
        <f aca="false">FALSE()</f>
        <v>0</v>
      </c>
      <c r="O939" s="1" t="s">
        <v>3334</v>
      </c>
      <c r="P939" s="4" t="b">
        <f aca="false">FALSE()</f>
        <v>0</v>
      </c>
      <c r="R939" s="1" t="s">
        <v>3288</v>
      </c>
      <c r="S939" s="1" t="s">
        <v>3335</v>
      </c>
      <c r="T939" s="1" t="s">
        <v>222</v>
      </c>
      <c r="U939" s="1" t="s">
        <v>2102</v>
      </c>
    </row>
    <row r="940" customFormat="false" ht="48" hidden="false" customHeight="true" outlineLevel="0" collapsed="false">
      <c r="A940" s="1" t="s">
        <v>45</v>
      </c>
      <c r="B940" s="1" t="s">
        <v>2097</v>
      </c>
      <c r="C940" s="1" t="s">
        <v>102</v>
      </c>
      <c r="D940" s="1" t="s">
        <v>1586</v>
      </c>
      <c r="E940" s="1" t="n">
        <v>17</v>
      </c>
      <c r="F940" s="1" t="s">
        <v>3336</v>
      </c>
      <c r="G940" s="1" t="s">
        <v>2405</v>
      </c>
      <c r="H940" s="1" t="s">
        <v>3337</v>
      </c>
      <c r="I940" s="1" t="s">
        <v>402</v>
      </c>
      <c r="J940" s="1" t="s">
        <v>597</v>
      </c>
      <c r="L940" s="1" t="n">
        <v>4.3</v>
      </c>
      <c r="M940" s="1" t="n">
        <v>4800</v>
      </c>
      <c r="N940" s="4" t="b">
        <f aca="false">FALSE()</f>
        <v>0</v>
      </c>
      <c r="P940" s="4" t="b">
        <f aca="false">FALSE()</f>
        <v>0</v>
      </c>
      <c r="Q940" s="1" t="s">
        <v>435</v>
      </c>
      <c r="R940" s="1" t="s">
        <v>3288</v>
      </c>
      <c r="S940" s="1" t="s">
        <v>3338</v>
      </c>
      <c r="T940" s="1" t="s">
        <v>222</v>
      </c>
      <c r="U940" s="1" t="s">
        <v>2102</v>
      </c>
    </row>
    <row r="941" customFormat="false" ht="48" hidden="false" customHeight="true" outlineLevel="0" collapsed="false">
      <c r="A941" s="1" t="s">
        <v>45</v>
      </c>
      <c r="B941" s="1" t="s">
        <v>2097</v>
      </c>
      <c r="C941" s="1" t="s">
        <v>102</v>
      </c>
      <c r="D941" s="1" t="s">
        <v>1586</v>
      </c>
      <c r="E941" s="1" t="n">
        <v>18</v>
      </c>
      <c r="F941" s="1" t="s">
        <v>3339</v>
      </c>
      <c r="G941" s="1" t="s">
        <v>236</v>
      </c>
      <c r="H941" s="1" t="s">
        <v>3340</v>
      </c>
      <c r="I941" s="1" t="s">
        <v>402</v>
      </c>
      <c r="J941" s="1" t="s">
        <v>597</v>
      </c>
      <c r="L941" s="1" t="n">
        <v>4.2</v>
      </c>
      <c r="M941" s="1" t="n">
        <v>918</v>
      </c>
      <c r="N941" s="4" t="b">
        <f aca="false">FALSE()</f>
        <v>0</v>
      </c>
      <c r="P941" s="4" t="b">
        <f aca="false">FALSE()</f>
        <v>0</v>
      </c>
      <c r="Q941" s="1" t="s">
        <v>233</v>
      </c>
      <c r="R941" s="1" t="s">
        <v>3288</v>
      </c>
      <c r="S941" s="1" t="s">
        <v>3341</v>
      </c>
      <c r="T941" s="1" t="s">
        <v>222</v>
      </c>
      <c r="U941" s="1" t="s">
        <v>2102</v>
      </c>
    </row>
    <row r="942" customFormat="false" ht="48" hidden="false" customHeight="true" outlineLevel="0" collapsed="false">
      <c r="A942" s="1" t="s">
        <v>45</v>
      </c>
      <c r="B942" s="1" t="s">
        <v>2097</v>
      </c>
      <c r="C942" s="1" t="s">
        <v>102</v>
      </c>
      <c r="D942" s="1" t="s">
        <v>1586</v>
      </c>
      <c r="E942" s="1" t="n">
        <v>19</v>
      </c>
      <c r="F942" s="1" t="s">
        <v>3342</v>
      </c>
      <c r="G942" s="1" t="s">
        <v>2410</v>
      </c>
      <c r="H942" s="1" t="s">
        <v>3343</v>
      </c>
      <c r="I942" s="1" t="s">
        <v>402</v>
      </c>
      <c r="J942" s="1" t="s">
        <v>597</v>
      </c>
      <c r="K942" s="1" t="n">
        <v>24</v>
      </c>
      <c r="L942" s="1" t="n">
        <v>4.5</v>
      </c>
      <c r="M942" s="1" t="n">
        <v>980</v>
      </c>
      <c r="N942" s="4" t="b">
        <f aca="false">FALSE()</f>
        <v>0</v>
      </c>
      <c r="O942" s="1" t="s">
        <v>2412</v>
      </c>
      <c r="P942" s="4" t="b">
        <f aca="false">FALSE()</f>
        <v>0</v>
      </c>
      <c r="R942" s="1" t="s">
        <v>3288</v>
      </c>
      <c r="S942" s="1" t="s">
        <v>3344</v>
      </c>
      <c r="T942" s="1" t="s">
        <v>222</v>
      </c>
      <c r="U942" s="1" t="s">
        <v>2102</v>
      </c>
    </row>
    <row r="943" customFormat="false" ht="48" hidden="false" customHeight="true" outlineLevel="0" collapsed="false">
      <c r="A943" s="1" t="s">
        <v>45</v>
      </c>
      <c r="B943" s="1" t="s">
        <v>2097</v>
      </c>
      <c r="C943" s="1" t="s">
        <v>102</v>
      </c>
      <c r="D943" s="1" t="s">
        <v>1586</v>
      </c>
      <c r="E943" s="1" t="n">
        <v>20</v>
      </c>
      <c r="F943" s="1" t="s">
        <v>3345</v>
      </c>
      <c r="G943" s="1" t="s">
        <v>236</v>
      </c>
      <c r="H943" s="1" t="s">
        <v>3346</v>
      </c>
      <c r="I943" s="1" t="s">
        <v>306</v>
      </c>
      <c r="J943" s="1" t="s">
        <v>597</v>
      </c>
      <c r="K943" s="1" t="n">
        <v>27.47</v>
      </c>
      <c r="L943" s="1" t="n">
        <v>4.8</v>
      </c>
      <c r="M943" s="1" t="n">
        <v>40</v>
      </c>
      <c r="N943" s="4" t="b">
        <f aca="false">FALSE()</f>
        <v>0</v>
      </c>
      <c r="P943" s="4" t="b">
        <f aca="false">FALSE()</f>
        <v>0</v>
      </c>
      <c r="R943" s="1" t="s">
        <v>3288</v>
      </c>
      <c r="S943" s="1" t="s">
        <v>3347</v>
      </c>
      <c r="T943" s="1" t="s">
        <v>222</v>
      </c>
      <c r="U943" s="1" t="s">
        <v>2102</v>
      </c>
    </row>
    <row r="944" customFormat="false" ht="48" hidden="false" customHeight="true" outlineLevel="0" collapsed="false">
      <c r="A944" s="1" t="s">
        <v>45</v>
      </c>
      <c r="B944" s="1" t="s">
        <v>2097</v>
      </c>
      <c r="C944" s="1" t="s">
        <v>102</v>
      </c>
      <c r="D944" s="1" t="s">
        <v>1586</v>
      </c>
      <c r="E944" s="1" t="n">
        <v>21</v>
      </c>
      <c r="F944" s="1" t="s">
        <v>3348</v>
      </c>
      <c r="G944" s="1" t="s">
        <v>236</v>
      </c>
      <c r="H944" s="1" t="s">
        <v>3349</v>
      </c>
      <c r="I944" s="1" t="s">
        <v>306</v>
      </c>
      <c r="J944" s="1" t="s">
        <v>597</v>
      </c>
      <c r="K944" s="1" t="n">
        <v>37.19</v>
      </c>
      <c r="L944" s="1" t="n">
        <v>4.7</v>
      </c>
      <c r="M944" s="1" t="n">
        <v>577</v>
      </c>
      <c r="N944" s="4" t="b">
        <f aca="false">FALSE()</f>
        <v>0</v>
      </c>
      <c r="O944" s="1" t="s">
        <v>3350</v>
      </c>
      <c r="P944" s="4" t="b">
        <f aca="false">FALSE()</f>
        <v>0</v>
      </c>
      <c r="R944" s="1" t="s">
        <v>3288</v>
      </c>
      <c r="S944" s="1" t="s">
        <v>3351</v>
      </c>
      <c r="T944" s="1" t="s">
        <v>222</v>
      </c>
      <c r="U944" s="1" t="s">
        <v>2102</v>
      </c>
    </row>
    <row r="945" customFormat="false" ht="48" hidden="false" customHeight="true" outlineLevel="0" collapsed="false">
      <c r="A945" s="1" t="s">
        <v>45</v>
      </c>
      <c r="B945" s="1" t="s">
        <v>2097</v>
      </c>
      <c r="C945" s="1" t="s">
        <v>102</v>
      </c>
      <c r="D945" s="1" t="s">
        <v>1586</v>
      </c>
      <c r="E945" s="1" t="n">
        <v>22</v>
      </c>
      <c r="F945" s="1" t="s">
        <v>3352</v>
      </c>
      <c r="G945" s="1" t="s">
        <v>236</v>
      </c>
      <c r="H945" s="1" t="s">
        <v>3353</v>
      </c>
      <c r="I945" s="1" t="s">
        <v>306</v>
      </c>
      <c r="J945" s="1" t="s">
        <v>597</v>
      </c>
      <c r="K945" s="1" t="n">
        <v>40.35</v>
      </c>
      <c r="L945" s="1" t="n">
        <v>4.7</v>
      </c>
      <c r="M945" s="1" t="n">
        <v>2300</v>
      </c>
      <c r="N945" s="4" t="b">
        <f aca="false">FALSE()</f>
        <v>0</v>
      </c>
      <c r="P945" s="4" t="b">
        <f aca="false">FALSE()</f>
        <v>0</v>
      </c>
      <c r="R945" s="1" t="s">
        <v>3288</v>
      </c>
      <c r="S945" s="1" t="s">
        <v>3354</v>
      </c>
      <c r="T945" s="1" t="s">
        <v>222</v>
      </c>
      <c r="U945" s="1" t="s">
        <v>2102</v>
      </c>
    </row>
    <row r="946" customFormat="false" ht="48" hidden="false" customHeight="true" outlineLevel="0" collapsed="false">
      <c r="A946" s="1" t="s">
        <v>45</v>
      </c>
      <c r="B946" s="1" t="s">
        <v>2097</v>
      </c>
      <c r="C946" s="1" t="s">
        <v>102</v>
      </c>
      <c r="D946" s="1" t="s">
        <v>1586</v>
      </c>
      <c r="E946" s="1" t="n">
        <v>23</v>
      </c>
      <c r="F946" s="1" t="s">
        <v>2283</v>
      </c>
      <c r="G946" s="1" t="s">
        <v>236</v>
      </c>
      <c r="H946" s="1" t="s">
        <v>2284</v>
      </c>
      <c r="I946" s="1" t="s">
        <v>402</v>
      </c>
      <c r="J946" s="1" t="s">
        <v>371</v>
      </c>
      <c r="K946" s="1" t="n">
        <v>11.67</v>
      </c>
      <c r="L946" s="1" t="n">
        <v>4.3</v>
      </c>
      <c r="M946" s="1" t="n">
        <v>5100</v>
      </c>
      <c r="N946" s="4" t="b">
        <f aca="false">FALSE()</f>
        <v>0</v>
      </c>
      <c r="O946" s="1" t="s">
        <v>2285</v>
      </c>
      <c r="P946" s="4" t="b">
        <f aca="false">FALSE()</f>
        <v>0</v>
      </c>
      <c r="Q946" s="1" t="s">
        <v>233</v>
      </c>
      <c r="R946" s="1" t="s">
        <v>3288</v>
      </c>
      <c r="S946" s="1" t="s">
        <v>2286</v>
      </c>
      <c r="T946" s="1" t="s">
        <v>222</v>
      </c>
      <c r="U946" s="1" t="s">
        <v>2102</v>
      </c>
    </row>
    <row r="947" customFormat="false" ht="48" hidden="false" customHeight="true" outlineLevel="0" collapsed="false">
      <c r="A947" s="1" t="s">
        <v>45</v>
      </c>
      <c r="B947" s="1" t="s">
        <v>2097</v>
      </c>
      <c r="C947" s="1" t="s">
        <v>102</v>
      </c>
      <c r="D947" s="1" t="s">
        <v>1586</v>
      </c>
      <c r="E947" s="1" t="n">
        <v>24</v>
      </c>
      <c r="F947" s="1" t="s">
        <v>3355</v>
      </c>
      <c r="G947" s="1" t="s">
        <v>2405</v>
      </c>
      <c r="H947" s="1" t="s">
        <v>3356</v>
      </c>
      <c r="I947" s="1" t="s">
        <v>231</v>
      </c>
      <c r="J947" s="1" t="s">
        <v>597</v>
      </c>
      <c r="L947" s="1" t="n">
        <v>4.3</v>
      </c>
      <c r="M947" s="1" t="n">
        <v>4800</v>
      </c>
      <c r="N947" s="4" t="b">
        <f aca="false">FALSE()</f>
        <v>0</v>
      </c>
      <c r="P947" s="4" t="b">
        <f aca="false">FALSE()</f>
        <v>0</v>
      </c>
      <c r="Q947" s="1" t="s">
        <v>251</v>
      </c>
      <c r="R947" s="1" t="s">
        <v>3288</v>
      </c>
      <c r="S947" s="1" t="s">
        <v>3357</v>
      </c>
      <c r="T947" s="1" t="s">
        <v>222</v>
      </c>
      <c r="U947" s="1" t="s">
        <v>2102</v>
      </c>
    </row>
    <row r="948" customFormat="false" ht="48" hidden="false" customHeight="true" outlineLevel="0" collapsed="false">
      <c r="A948" s="1" t="s">
        <v>45</v>
      </c>
      <c r="B948" s="1" t="s">
        <v>2097</v>
      </c>
      <c r="C948" s="1" t="s">
        <v>102</v>
      </c>
      <c r="D948" s="1" t="s">
        <v>1586</v>
      </c>
      <c r="E948" s="1" t="n">
        <v>25</v>
      </c>
      <c r="F948" s="1" t="s">
        <v>2489</v>
      </c>
      <c r="G948" s="1" t="s">
        <v>236</v>
      </c>
      <c r="H948" s="1" t="s">
        <v>2490</v>
      </c>
      <c r="I948" s="1" t="s">
        <v>402</v>
      </c>
      <c r="J948" s="1" t="s">
        <v>597</v>
      </c>
      <c r="K948" s="1" t="n">
        <v>12.2</v>
      </c>
      <c r="L948" s="1" t="n">
        <v>4.5</v>
      </c>
      <c r="M948" s="1" t="n">
        <v>49</v>
      </c>
      <c r="N948" s="4" t="b">
        <f aca="false">FALSE()</f>
        <v>0</v>
      </c>
      <c r="O948" s="1" t="s">
        <v>2257</v>
      </c>
      <c r="P948" s="4" t="b">
        <f aca="false">FALSE()</f>
        <v>0</v>
      </c>
      <c r="Q948" s="1" t="s">
        <v>423</v>
      </c>
      <c r="R948" s="1" t="s">
        <v>3288</v>
      </c>
      <c r="S948" s="1" t="s">
        <v>2491</v>
      </c>
      <c r="T948" s="1" t="s">
        <v>222</v>
      </c>
      <c r="U948" s="1" t="s">
        <v>2102</v>
      </c>
    </row>
    <row r="949" customFormat="false" ht="48" hidden="false" customHeight="true" outlineLevel="0" collapsed="false">
      <c r="A949" s="1" t="s">
        <v>45</v>
      </c>
      <c r="B949" s="1" t="s">
        <v>2097</v>
      </c>
      <c r="C949" s="1" t="s">
        <v>102</v>
      </c>
      <c r="D949" s="1" t="s">
        <v>1586</v>
      </c>
      <c r="E949" s="1" t="n">
        <v>26</v>
      </c>
      <c r="F949" s="1" t="s">
        <v>2516</v>
      </c>
      <c r="G949" s="1" t="s">
        <v>236</v>
      </c>
      <c r="H949" s="1" t="s">
        <v>2517</v>
      </c>
      <c r="I949" s="1" t="s">
        <v>231</v>
      </c>
      <c r="J949" s="1" t="s">
        <v>310</v>
      </c>
      <c r="K949" s="1" t="n">
        <v>20.31</v>
      </c>
      <c r="L949" s="1" t="n">
        <v>4.4</v>
      </c>
      <c r="M949" s="1" t="n">
        <v>118</v>
      </c>
      <c r="N949" s="4" t="b">
        <f aca="false">FALSE()</f>
        <v>0</v>
      </c>
      <c r="O949" s="1" t="s">
        <v>2390</v>
      </c>
      <c r="P949" s="4" t="b">
        <f aca="false">FALSE()</f>
        <v>0</v>
      </c>
      <c r="Q949" s="1" t="s">
        <v>435</v>
      </c>
      <c r="R949" s="1" t="s">
        <v>3288</v>
      </c>
      <c r="S949" s="1" t="s">
        <v>2518</v>
      </c>
      <c r="T949" s="1" t="s">
        <v>222</v>
      </c>
      <c r="U949" s="1" t="s">
        <v>2102</v>
      </c>
    </row>
    <row r="950" customFormat="false" ht="48" hidden="false" customHeight="true" outlineLevel="0" collapsed="false">
      <c r="A950" s="1" t="s">
        <v>45</v>
      </c>
      <c r="B950" s="1" t="s">
        <v>2097</v>
      </c>
      <c r="C950" s="1" t="s">
        <v>102</v>
      </c>
      <c r="D950" s="1" t="s">
        <v>1586</v>
      </c>
      <c r="E950" s="1" t="n">
        <v>27</v>
      </c>
      <c r="F950" s="1" t="s">
        <v>2434</v>
      </c>
      <c r="G950" s="1" t="s">
        <v>236</v>
      </c>
      <c r="H950" s="1" t="s">
        <v>2435</v>
      </c>
      <c r="I950" s="1" t="s">
        <v>231</v>
      </c>
      <c r="J950" s="1" t="s">
        <v>310</v>
      </c>
      <c r="K950" s="1" t="n">
        <v>22.04</v>
      </c>
      <c r="L950" s="1" t="n">
        <v>4.5</v>
      </c>
      <c r="M950" s="1" t="n">
        <v>5800</v>
      </c>
      <c r="N950" s="4" t="b">
        <f aca="false">FALSE()</f>
        <v>0</v>
      </c>
      <c r="O950" s="1" t="s">
        <v>2436</v>
      </c>
      <c r="P950" s="4" t="b">
        <f aca="false">FALSE()</f>
        <v>0</v>
      </c>
      <c r="Q950" s="1" t="s">
        <v>439</v>
      </c>
      <c r="R950" s="1" t="s">
        <v>3288</v>
      </c>
      <c r="S950" s="1" t="s">
        <v>2437</v>
      </c>
      <c r="T950" s="1" t="s">
        <v>222</v>
      </c>
      <c r="U950" s="1" t="s">
        <v>2102</v>
      </c>
    </row>
    <row r="951" customFormat="false" ht="48" hidden="false" customHeight="true" outlineLevel="0" collapsed="false">
      <c r="A951" s="1" t="s">
        <v>45</v>
      </c>
      <c r="B951" s="1" t="s">
        <v>2097</v>
      </c>
      <c r="C951" s="1" t="s">
        <v>102</v>
      </c>
      <c r="D951" s="1" t="s">
        <v>1586</v>
      </c>
      <c r="E951" s="1" t="n">
        <v>28</v>
      </c>
      <c r="F951" s="1" t="s">
        <v>3358</v>
      </c>
      <c r="G951" s="1" t="s">
        <v>2481</v>
      </c>
      <c r="H951" s="1" t="s">
        <v>3359</v>
      </c>
      <c r="I951" s="1" t="s">
        <v>402</v>
      </c>
      <c r="J951" s="1" t="s">
        <v>310</v>
      </c>
      <c r="K951" s="1" t="n">
        <v>34.99</v>
      </c>
      <c r="L951" s="1" t="n">
        <v>4.7</v>
      </c>
      <c r="M951" s="1" t="n">
        <v>6700</v>
      </c>
      <c r="N951" s="4" t="b">
        <f aca="false">FALSE()</f>
        <v>0</v>
      </c>
      <c r="O951" s="1" t="s">
        <v>3359</v>
      </c>
      <c r="P951" s="4" t="b">
        <f aca="false">FALSE()</f>
        <v>0</v>
      </c>
      <c r="Q951" s="1" t="s">
        <v>711</v>
      </c>
      <c r="R951" s="1" t="s">
        <v>3288</v>
      </c>
      <c r="S951" s="1" t="s">
        <v>3360</v>
      </c>
      <c r="T951" s="1" t="s">
        <v>222</v>
      </c>
      <c r="U951" s="1" t="s">
        <v>2102</v>
      </c>
    </row>
    <row r="952" customFormat="false" ht="48" hidden="false" customHeight="true" outlineLevel="0" collapsed="false">
      <c r="A952" s="1" t="s">
        <v>45</v>
      </c>
      <c r="B952" s="1" t="s">
        <v>2097</v>
      </c>
      <c r="C952" s="1" t="s">
        <v>102</v>
      </c>
      <c r="D952" s="1" t="s">
        <v>1586</v>
      </c>
      <c r="E952" s="1" t="n">
        <v>29</v>
      </c>
      <c r="F952" s="1" t="s">
        <v>3361</v>
      </c>
      <c r="G952" s="1" t="s">
        <v>2481</v>
      </c>
      <c r="H952" s="1" t="s">
        <v>3362</v>
      </c>
      <c r="I952" s="1" t="s">
        <v>402</v>
      </c>
      <c r="J952" s="1" t="s">
        <v>310</v>
      </c>
      <c r="K952" s="1" t="n">
        <v>65.18</v>
      </c>
      <c r="L952" s="1" t="n">
        <v>4.6</v>
      </c>
      <c r="M952" s="1" t="n">
        <v>122</v>
      </c>
      <c r="N952" s="4" t="b">
        <f aca="false">FALSE()</f>
        <v>0</v>
      </c>
      <c r="O952" s="1" t="s">
        <v>3363</v>
      </c>
      <c r="P952" s="4" t="b">
        <f aca="false">FALSE()</f>
        <v>0</v>
      </c>
      <c r="Q952" s="1" t="s">
        <v>251</v>
      </c>
      <c r="R952" s="1" t="s">
        <v>3288</v>
      </c>
      <c r="S952" s="1" t="s">
        <v>3364</v>
      </c>
      <c r="T952" s="1" t="s">
        <v>222</v>
      </c>
      <c r="U952" s="1" t="s">
        <v>2102</v>
      </c>
    </row>
    <row r="953" customFormat="false" ht="48" hidden="false" customHeight="true" outlineLevel="0" collapsed="false">
      <c r="A953" s="1" t="s">
        <v>45</v>
      </c>
      <c r="B953" s="1" t="s">
        <v>2097</v>
      </c>
      <c r="C953" s="1" t="s">
        <v>102</v>
      </c>
      <c r="D953" s="1" t="s">
        <v>1586</v>
      </c>
      <c r="E953" s="1" t="n">
        <v>30</v>
      </c>
      <c r="F953" s="1" t="s">
        <v>3365</v>
      </c>
      <c r="G953" s="1" t="s">
        <v>2481</v>
      </c>
      <c r="H953" s="1" t="s">
        <v>3366</v>
      </c>
      <c r="I953" s="1" t="s">
        <v>231</v>
      </c>
      <c r="J953" s="1" t="s">
        <v>597</v>
      </c>
      <c r="K953" s="1" t="n">
        <v>55.99</v>
      </c>
      <c r="L953" s="1" t="n">
        <v>4.5</v>
      </c>
      <c r="M953" s="1" t="n">
        <v>345</v>
      </c>
      <c r="N953" s="4" t="b">
        <f aca="false">FALSE()</f>
        <v>0</v>
      </c>
      <c r="O953" s="1" t="s">
        <v>3367</v>
      </c>
      <c r="P953" s="4" t="b">
        <f aca="false">FALSE()</f>
        <v>0</v>
      </c>
      <c r="Q953" s="1" t="s">
        <v>435</v>
      </c>
      <c r="R953" s="1" t="s">
        <v>3288</v>
      </c>
      <c r="S953" s="1" t="s">
        <v>3368</v>
      </c>
      <c r="T953" s="1" t="s">
        <v>222</v>
      </c>
      <c r="U953" s="1" t="s">
        <v>2102</v>
      </c>
    </row>
    <row r="954" customFormat="false" ht="48" hidden="false" customHeight="true" outlineLevel="0" collapsed="false">
      <c r="A954" s="1" t="s">
        <v>45</v>
      </c>
      <c r="B954" s="1" t="s">
        <v>2097</v>
      </c>
      <c r="C954" s="1" t="s">
        <v>102</v>
      </c>
      <c r="D954" s="1" t="s">
        <v>1586</v>
      </c>
      <c r="E954" s="1" t="n">
        <v>31</v>
      </c>
      <c r="F954" s="1" t="s">
        <v>3369</v>
      </c>
      <c r="G954" s="1" t="s">
        <v>236</v>
      </c>
      <c r="H954" s="1" t="s">
        <v>3370</v>
      </c>
      <c r="I954" s="1" t="s">
        <v>402</v>
      </c>
      <c r="J954" s="1" t="s">
        <v>310</v>
      </c>
      <c r="L954" s="1" t="n">
        <v>4.4</v>
      </c>
      <c r="M954" s="1" t="n">
        <v>2800</v>
      </c>
      <c r="N954" s="4" t="b">
        <f aca="false">FALSE()</f>
        <v>0</v>
      </c>
      <c r="P954" s="4" t="b">
        <f aca="false">FALSE()</f>
        <v>0</v>
      </c>
      <c r="Q954" s="1" t="s">
        <v>451</v>
      </c>
      <c r="R954" s="1" t="s">
        <v>3288</v>
      </c>
      <c r="S954" s="1" t="s">
        <v>3371</v>
      </c>
      <c r="T954" s="1" t="s">
        <v>222</v>
      </c>
      <c r="U954" s="1" t="s">
        <v>2102</v>
      </c>
    </row>
    <row r="955" customFormat="false" ht="48" hidden="false" customHeight="true" outlineLevel="0" collapsed="false">
      <c r="A955" s="1" t="s">
        <v>45</v>
      </c>
      <c r="B955" s="1" t="s">
        <v>2097</v>
      </c>
      <c r="C955" s="1" t="s">
        <v>102</v>
      </c>
      <c r="D955" s="1" t="s">
        <v>1586</v>
      </c>
      <c r="E955" s="1" t="n">
        <v>32</v>
      </c>
      <c r="F955" s="1" t="s">
        <v>2551</v>
      </c>
      <c r="G955" s="1" t="s">
        <v>2246</v>
      </c>
      <c r="H955" s="1" t="s">
        <v>2552</v>
      </c>
      <c r="I955" s="1" t="s">
        <v>231</v>
      </c>
      <c r="J955" s="1" t="s">
        <v>597</v>
      </c>
      <c r="K955" s="1" t="n">
        <v>12.99</v>
      </c>
      <c r="L955" s="1" t="n">
        <v>4.3</v>
      </c>
      <c r="M955" s="1" t="n">
        <v>1200</v>
      </c>
      <c r="N955" s="4" t="b">
        <f aca="false">FALSE()</f>
        <v>0</v>
      </c>
      <c r="O955" s="1" t="s">
        <v>2553</v>
      </c>
      <c r="P955" s="4" t="b">
        <f aca="false">FALSE()</f>
        <v>0</v>
      </c>
      <c r="Q955" s="1" t="s">
        <v>233</v>
      </c>
      <c r="R955" s="1" t="s">
        <v>3288</v>
      </c>
      <c r="S955" s="1" t="s">
        <v>2554</v>
      </c>
      <c r="T955" s="1" t="s">
        <v>222</v>
      </c>
      <c r="U955" s="1" t="s">
        <v>2102</v>
      </c>
    </row>
    <row r="956" customFormat="false" ht="48" hidden="false" customHeight="true" outlineLevel="0" collapsed="false">
      <c r="A956" s="1" t="s">
        <v>45</v>
      </c>
      <c r="B956" s="1" t="s">
        <v>2097</v>
      </c>
      <c r="C956" s="1" t="s">
        <v>102</v>
      </c>
      <c r="D956" s="1" t="s">
        <v>1586</v>
      </c>
      <c r="E956" s="1" t="n">
        <v>33</v>
      </c>
      <c r="F956" s="1" t="s">
        <v>3372</v>
      </c>
      <c r="G956" s="1" t="s">
        <v>2405</v>
      </c>
      <c r="H956" s="1" t="s">
        <v>3373</v>
      </c>
      <c r="I956" s="1" t="s">
        <v>231</v>
      </c>
      <c r="J956" s="1" t="s">
        <v>597</v>
      </c>
      <c r="L956" s="1" t="n">
        <v>4.4</v>
      </c>
      <c r="M956" s="1" t="n">
        <v>7200</v>
      </c>
      <c r="N956" s="4" t="b">
        <f aca="false">FALSE()</f>
        <v>0</v>
      </c>
      <c r="P956" s="4" t="b">
        <f aca="false">FALSE()</f>
        <v>0</v>
      </c>
      <c r="Q956" s="1" t="s">
        <v>251</v>
      </c>
      <c r="R956" s="1" t="s">
        <v>3288</v>
      </c>
      <c r="S956" s="1" t="s">
        <v>3374</v>
      </c>
      <c r="T956" s="1" t="s">
        <v>222</v>
      </c>
      <c r="U956" s="1" t="s">
        <v>2102</v>
      </c>
    </row>
    <row r="957" customFormat="false" ht="48" hidden="false" customHeight="true" outlineLevel="0" collapsed="false">
      <c r="A957" s="1" t="s">
        <v>45</v>
      </c>
      <c r="B957" s="1" t="s">
        <v>2097</v>
      </c>
      <c r="C957" s="1" t="s">
        <v>102</v>
      </c>
      <c r="D957" s="1" t="s">
        <v>1586</v>
      </c>
      <c r="E957" s="1" t="n">
        <v>34</v>
      </c>
      <c r="F957" s="1" t="s">
        <v>3375</v>
      </c>
      <c r="G957" s="1" t="s">
        <v>236</v>
      </c>
      <c r="H957" s="1" t="s">
        <v>3376</v>
      </c>
      <c r="I957" s="1" t="s">
        <v>2323</v>
      </c>
      <c r="J957" s="1" t="s">
        <v>310</v>
      </c>
      <c r="K957" s="1" t="n">
        <v>11.99</v>
      </c>
      <c r="L957" s="1" t="n">
        <v>4.4</v>
      </c>
      <c r="M957" s="1" t="n">
        <v>5900</v>
      </c>
      <c r="N957" s="4" t="b">
        <f aca="false">FALSE()</f>
        <v>0</v>
      </c>
      <c r="O957" s="1" t="s">
        <v>2553</v>
      </c>
      <c r="P957" s="4" t="b">
        <f aca="false">FALSE()</f>
        <v>0</v>
      </c>
      <c r="Q957" s="1" t="s">
        <v>439</v>
      </c>
      <c r="R957" s="1" t="s">
        <v>3288</v>
      </c>
      <c r="S957" s="1" t="s">
        <v>3377</v>
      </c>
      <c r="T957" s="1" t="s">
        <v>222</v>
      </c>
      <c r="U957" s="1" t="s">
        <v>2102</v>
      </c>
    </row>
    <row r="958" customFormat="false" ht="48" hidden="false" customHeight="true" outlineLevel="0" collapsed="false">
      <c r="A958" s="1" t="s">
        <v>45</v>
      </c>
      <c r="B958" s="1" t="s">
        <v>2097</v>
      </c>
      <c r="C958" s="1" t="s">
        <v>102</v>
      </c>
      <c r="D958" s="1" t="s">
        <v>1586</v>
      </c>
      <c r="E958" s="1" t="n">
        <v>35</v>
      </c>
      <c r="F958" s="1" t="s">
        <v>3378</v>
      </c>
      <c r="G958" s="1" t="s">
        <v>567</v>
      </c>
      <c r="H958" s="1" t="s">
        <v>3379</v>
      </c>
      <c r="I958" s="1" t="s">
        <v>2323</v>
      </c>
      <c r="J958" s="1" t="s">
        <v>310</v>
      </c>
      <c r="K958" s="1" t="n">
        <v>13.74</v>
      </c>
      <c r="L958" s="1" t="n">
        <v>4.5</v>
      </c>
      <c r="M958" s="1" t="n">
        <v>515</v>
      </c>
      <c r="N958" s="4" t="b">
        <f aca="false">FALSE()</f>
        <v>0</v>
      </c>
      <c r="P958" s="4" t="b">
        <f aca="false">FALSE()</f>
        <v>0</v>
      </c>
      <c r="Q958" s="1" t="s">
        <v>409</v>
      </c>
      <c r="R958" s="1" t="s">
        <v>3288</v>
      </c>
      <c r="S958" s="1" t="s">
        <v>3380</v>
      </c>
      <c r="T958" s="1" t="s">
        <v>222</v>
      </c>
      <c r="U958" s="1" t="s">
        <v>2102</v>
      </c>
    </row>
    <row r="959" customFormat="false" ht="48" hidden="false" customHeight="true" outlineLevel="0" collapsed="false">
      <c r="A959" s="1" t="s">
        <v>45</v>
      </c>
      <c r="B959" s="1" t="s">
        <v>2097</v>
      </c>
      <c r="C959" s="1" t="s">
        <v>102</v>
      </c>
      <c r="D959" s="1" t="s">
        <v>1586</v>
      </c>
      <c r="E959" s="1" t="n">
        <v>36</v>
      </c>
      <c r="F959" s="1" t="s">
        <v>3381</v>
      </c>
      <c r="G959" s="1" t="s">
        <v>2252</v>
      </c>
      <c r="H959" s="1" t="s">
        <v>3382</v>
      </c>
      <c r="I959" s="1" t="s">
        <v>231</v>
      </c>
      <c r="J959" s="1" t="s">
        <v>689</v>
      </c>
      <c r="L959" s="1" t="n">
        <v>4.3</v>
      </c>
      <c r="M959" s="1" t="n">
        <v>48</v>
      </c>
      <c r="N959" s="4" t="b">
        <f aca="false">FALSE()</f>
        <v>0</v>
      </c>
      <c r="P959" s="4" t="b">
        <f aca="false">FALSE()</f>
        <v>0</v>
      </c>
      <c r="R959" s="1" t="s">
        <v>3288</v>
      </c>
      <c r="S959" s="1" t="s">
        <v>3383</v>
      </c>
      <c r="T959" s="1" t="s">
        <v>222</v>
      </c>
      <c r="U959" s="1" t="s">
        <v>2102</v>
      </c>
    </row>
    <row r="960" customFormat="false" ht="48" hidden="false" customHeight="true" outlineLevel="0" collapsed="false">
      <c r="A960" s="1" t="s">
        <v>45</v>
      </c>
      <c r="B960" s="1" t="s">
        <v>2097</v>
      </c>
      <c r="C960" s="1" t="s">
        <v>102</v>
      </c>
      <c r="D960" s="1" t="s">
        <v>1586</v>
      </c>
      <c r="E960" s="1" t="n">
        <v>37</v>
      </c>
      <c r="F960" s="1" t="s">
        <v>3384</v>
      </c>
      <c r="G960" s="1" t="s">
        <v>2425</v>
      </c>
      <c r="H960" s="1" t="s">
        <v>3385</v>
      </c>
      <c r="I960" s="1" t="s">
        <v>402</v>
      </c>
      <c r="J960" s="1" t="s">
        <v>597</v>
      </c>
      <c r="K960" s="1" t="n">
        <v>18.99</v>
      </c>
      <c r="L960" s="1" t="n">
        <v>4.6</v>
      </c>
      <c r="M960" s="1" t="n">
        <v>46</v>
      </c>
      <c r="N960" s="4" t="b">
        <f aca="false">FALSE()</f>
        <v>0</v>
      </c>
      <c r="O960" s="1" t="s">
        <v>2257</v>
      </c>
      <c r="P960" s="4" t="b">
        <f aca="false">FALSE()</f>
        <v>0</v>
      </c>
      <c r="R960" s="1" t="s">
        <v>3288</v>
      </c>
      <c r="S960" s="1" t="s">
        <v>3386</v>
      </c>
      <c r="T960" s="1" t="s">
        <v>222</v>
      </c>
      <c r="U960" s="1" t="s">
        <v>2102</v>
      </c>
    </row>
    <row r="961" customFormat="false" ht="48" hidden="false" customHeight="true" outlineLevel="0" collapsed="false">
      <c r="A961" s="1" t="s">
        <v>45</v>
      </c>
      <c r="B961" s="1" t="s">
        <v>2097</v>
      </c>
      <c r="C961" s="1" t="s">
        <v>102</v>
      </c>
      <c r="D961" s="1" t="s">
        <v>1586</v>
      </c>
      <c r="E961" s="1" t="n">
        <v>38</v>
      </c>
      <c r="F961" s="1" t="s">
        <v>3387</v>
      </c>
      <c r="G961" s="1" t="s">
        <v>236</v>
      </c>
      <c r="H961" s="1" t="s">
        <v>3388</v>
      </c>
      <c r="I961" s="1" t="s">
        <v>231</v>
      </c>
      <c r="J961" s="1" t="s">
        <v>310</v>
      </c>
      <c r="L961" s="1" t="n">
        <v>4.3</v>
      </c>
      <c r="M961" s="1" t="n">
        <v>5400</v>
      </c>
      <c r="N961" s="4" t="b">
        <f aca="false">FALSE()</f>
        <v>0</v>
      </c>
      <c r="P961" s="4" t="b">
        <f aca="false">FALSE()</f>
        <v>0</v>
      </c>
      <c r="R961" s="1" t="s">
        <v>3288</v>
      </c>
      <c r="S961" s="1" t="s">
        <v>3389</v>
      </c>
      <c r="T961" s="1" t="s">
        <v>222</v>
      </c>
      <c r="U961" s="1" t="s">
        <v>2102</v>
      </c>
    </row>
    <row r="962" customFormat="false" ht="48" hidden="false" customHeight="true" outlineLevel="0" collapsed="false">
      <c r="A962" s="1" t="s">
        <v>45</v>
      </c>
      <c r="B962" s="1" t="s">
        <v>2097</v>
      </c>
      <c r="C962" s="1" t="s">
        <v>102</v>
      </c>
      <c r="D962" s="1" t="s">
        <v>1586</v>
      </c>
      <c r="E962" s="1" t="n">
        <v>39</v>
      </c>
      <c r="F962" s="1" t="s">
        <v>3390</v>
      </c>
      <c r="G962" s="1" t="s">
        <v>2481</v>
      </c>
      <c r="H962" s="1" t="s">
        <v>3391</v>
      </c>
      <c r="I962" s="1" t="s">
        <v>402</v>
      </c>
      <c r="J962" s="1" t="s">
        <v>597</v>
      </c>
      <c r="K962" s="1" t="n">
        <v>31.47</v>
      </c>
      <c r="L962" s="1" t="n">
        <v>4.2</v>
      </c>
      <c r="M962" s="1" t="n">
        <v>170</v>
      </c>
      <c r="N962" s="4" t="b">
        <f aca="false">FALSE()</f>
        <v>0</v>
      </c>
      <c r="P962" s="4" t="b">
        <f aca="false">FALSE()</f>
        <v>0</v>
      </c>
      <c r="R962" s="1" t="s">
        <v>3288</v>
      </c>
      <c r="S962" s="1" t="s">
        <v>3392</v>
      </c>
      <c r="T962" s="1" t="s">
        <v>222</v>
      </c>
      <c r="U962" s="1" t="s">
        <v>2102</v>
      </c>
    </row>
    <row r="963" customFormat="false" ht="48" hidden="false" customHeight="true" outlineLevel="0" collapsed="false">
      <c r="A963" s="1" t="s">
        <v>45</v>
      </c>
      <c r="B963" s="1" t="s">
        <v>2097</v>
      </c>
      <c r="C963" s="1" t="s">
        <v>102</v>
      </c>
      <c r="D963" s="1" t="s">
        <v>1586</v>
      </c>
      <c r="E963" s="1" t="n">
        <v>40</v>
      </c>
      <c r="F963" s="1" t="s">
        <v>3393</v>
      </c>
      <c r="G963" s="1" t="s">
        <v>3286</v>
      </c>
      <c r="H963" s="1" t="s">
        <v>3394</v>
      </c>
      <c r="I963" s="1" t="s">
        <v>402</v>
      </c>
      <c r="J963" s="1" t="s">
        <v>597</v>
      </c>
      <c r="L963" s="1" t="n">
        <v>4.4</v>
      </c>
      <c r="M963" s="1" t="n">
        <v>52</v>
      </c>
      <c r="N963" s="4" t="b">
        <f aca="false">FALSE()</f>
        <v>0</v>
      </c>
      <c r="P963" s="4" t="b">
        <f aca="false">FALSE()</f>
        <v>0</v>
      </c>
      <c r="R963" s="1" t="s">
        <v>3288</v>
      </c>
      <c r="S963" s="1" t="s">
        <v>3395</v>
      </c>
      <c r="T963" s="1" t="s">
        <v>222</v>
      </c>
      <c r="U963" s="1" t="s">
        <v>2102</v>
      </c>
    </row>
    <row r="964" customFormat="false" ht="48" hidden="false" customHeight="true" outlineLevel="0" collapsed="false">
      <c r="A964" s="1" t="s">
        <v>45</v>
      </c>
      <c r="B964" s="1" t="s">
        <v>2097</v>
      </c>
      <c r="C964" s="1" t="s">
        <v>102</v>
      </c>
      <c r="D964" s="1" t="s">
        <v>1586</v>
      </c>
      <c r="E964" s="1" t="n">
        <v>41</v>
      </c>
      <c r="F964" s="1" t="s">
        <v>2559</v>
      </c>
      <c r="G964" s="1" t="s">
        <v>2246</v>
      </c>
      <c r="H964" s="1" t="s">
        <v>2560</v>
      </c>
      <c r="I964" s="1" t="s">
        <v>402</v>
      </c>
      <c r="J964" s="1" t="s">
        <v>310</v>
      </c>
      <c r="K964" s="1" t="n">
        <v>14.09</v>
      </c>
      <c r="L964" s="1" t="n">
        <v>4.4</v>
      </c>
      <c r="M964" s="1" t="n">
        <v>1100</v>
      </c>
      <c r="N964" s="4" t="b">
        <f aca="false">FALSE()</f>
        <v>0</v>
      </c>
      <c r="O964" s="1" t="s">
        <v>2257</v>
      </c>
      <c r="P964" s="4" t="b">
        <f aca="false">FALSE()</f>
        <v>0</v>
      </c>
      <c r="R964" s="1" t="s">
        <v>3288</v>
      </c>
      <c r="S964" s="1" t="s">
        <v>2561</v>
      </c>
      <c r="T964" s="1" t="s">
        <v>222</v>
      </c>
      <c r="U964" s="1" t="s">
        <v>2102</v>
      </c>
    </row>
    <row r="965" customFormat="false" ht="48" hidden="false" customHeight="true" outlineLevel="0" collapsed="false">
      <c r="A965" s="1" t="s">
        <v>45</v>
      </c>
      <c r="B965" s="1" t="s">
        <v>2097</v>
      </c>
      <c r="C965" s="1" t="s">
        <v>102</v>
      </c>
      <c r="D965" s="1" t="s">
        <v>1586</v>
      </c>
      <c r="E965" s="1" t="n">
        <v>42</v>
      </c>
      <c r="F965" s="1" t="s">
        <v>3396</v>
      </c>
      <c r="G965" s="1" t="s">
        <v>2246</v>
      </c>
      <c r="H965" s="1" t="s">
        <v>3397</v>
      </c>
      <c r="I965" s="1" t="s">
        <v>402</v>
      </c>
      <c r="J965" s="1" t="s">
        <v>597</v>
      </c>
      <c r="K965" s="1" t="n">
        <v>13.98</v>
      </c>
      <c r="L965" s="1" t="n">
        <v>4.3</v>
      </c>
      <c r="M965" s="1" t="n">
        <v>5</v>
      </c>
      <c r="N965" s="4" t="b">
        <f aca="false">FALSE()</f>
        <v>0</v>
      </c>
      <c r="P965" s="4" t="b">
        <f aca="false">FALSE()</f>
        <v>0</v>
      </c>
      <c r="R965" s="1" t="s">
        <v>3288</v>
      </c>
      <c r="S965" s="1" t="s">
        <v>3398</v>
      </c>
      <c r="T965" s="1" t="s">
        <v>222</v>
      </c>
      <c r="U965" s="1" t="s">
        <v>2102</v>
      </c>
    </row>
    <row r="966" customFormat="false" ht="48" hidden="false" customHeight="true" outlineLevel="0" collapsed="false">
      <c r="A966" s="1" t="s">
        <v>45</v>
      </c>
      <c r="B966" s="1" t="s">
        <v>2097</v>
      </c>
      <c r="C966" s="1" t="s">
        <v>102</v>
      </c>
      <c r="D966" s="1" t="s">
        <v>1586</v>
      </c>
      <c r="E966" s="1" t="n">
        <v>43</v>
      </c>
      <c r="F966" s="1" t="s">
        <v>3399</v>
      </c>
      <c r="G966" s="1" t="s">
        <v>236</v>
      </c>
      <c r="H966" s="1" t="s">
        <v>3400</v>
      </c>
      <c r="I966" s="1" t="s">
        <v>402</v>
      </c>
      <c r="J966" s="1" t="s">
        <v>597</v>
      </c>
      <c r="K966" s="1" t="n">
        <v>30.69</v>
      </c>
      <c r="L966" s="1" t="n">
        <v>4.5</v>
      </c>
      <c r="M966" s="1" t="n">
        <v>679</v>
      </c>
      <c r="N966" s="4" t="b">
        <f aca="false">FALSE()</f>
        <v>0</v>
      </c>
      <c r="O966" s="1" t="s">
        <v>2487</v>
      </c>
      <c r="P966" s="4" t="b">
        <f aca="false">FALSE()</f>
        <v>0</v>
      </c>
      <c r="Q966" s="1" t="s">
        <v>233</v>
      </c>
      <c r="R966" s="1" t="s">
        <v>3288</v>
      </c>
      <c r="S966" s="1" t="s">
        <v>3401</v>
      </c>
      <c r="T966" s="1" t="s">
        <v>222</v>
      </c>
      <c r="U966" s="1" t="s">
        <v>2102</v>
      </c>
    </row>
    <row r="967" customFormat="false" ht="48" hidden="false" customHeight="true" outlineLevel="0" collapsed="false">
      <c r="A967" s="1" t="s">
        <v>45</v>
      </c>
      <c r="B967" s="1" t="s">
        <v>2097</v>
      </c>
      <c r="C967" s="1" t="s">
        <v>102</v>
      </c>
      <c r="D967" s="1" t="s">
        <v>1586</v>
      </c>
      <c r="E967" s="1" t="n">
        <v>44</v>
      </c>
      <c r="F967" s="1" t="s">
        <v>3402</v>
      </c>
      <c r="G967" s="1" t="s">
        <v>2425</v>
      </c>
      <c r="H967" s="1" t="s">
        <v>3403</v>
      </c>
      <c r="I967" s="1" t="s">
        <v>231</v>
      </c>
      <c r="J967" s="1" t="s">
        <v>597</v>
      </c>
      <c r="K967" s="1" t="n">
        <v>30.5</v>
      </c>
      <c r="L967" s="1" t="n">
        <v>4.3</v>
      </c>
      <c r="M967" s="1" t="n">
        <v>2000</v>
      </c>
      <c r="N967" s="4" t="b">
        <f aca="false">FALSE()</f>
        <v>0</v>
      </c>
      <c r="P967" s="4" t="b">
        <f aca="false">FALSE()</f>
        <v>0</v>
      </c>
      <c r="R967" s="1" t="s">
        <v>3288</v>
      </c>
      <c r="S967" s="1" t="s">
        <v>3404</v>
      </c>
      <c r="T967" s="1" t="s">
        <v>222</v>
      </c>
      <c r="U967" s="1" t="s">
        <v>2102</v>
      </c>
    </row>
    <row r="968" customFormat="false" ht="48" hidden="false" customHeight="true" outlineLevel="0" collapsed="false">
      <c r="A968" s="1" t="s">
        <v>45</v>
      </c>
      <c r="B968" s="1" t="s">
        <v>2097</v>
      </c>
      <c r="C968" s="1" t="s">
        <v>102</v>
      </c>
      <c r="D968" s="1" t="s">
        <v>1586</v>
      </c>
      <c r="E968" s="1" t="n">
        <v>45</v>
      </c>
      <c r="F968" s="1" t="s">
        <v>3405</v>
      </c>
      <c r="G968" s="1" t="s">
        <v>2481</v>
      </c>
      <c r="H968" s="1" t="s">
        <v>3406</v>
      </c>
      <c r="I968" s="1" t="s">
        <v>2323</v>
      </c>
      <c r="J968" s="1" t="s">
        <v>597</v>
      </c>
      <c r="K968" s="1" t="n">
        <v>64.99</v>
      </c>
      <c r="L968" s="1" t="n">
        <v>4.8</v>
      </c>
      <c r="M968" s="1" t="n">
        <v>14</v>
      </c>
      <c r="N968" s="4" t="b">
        <f aca="false">FALSE()</f>
        <v>0</v>
      </c>
      <c r="P968" s="4" t="b">
        <f aca="false">FALSE()</f>
        <v>0</v>
      </c>
      <c r="R968" s="1" t="s">
        <v>3288</v>
      </c>
      <c r="S968" s="1" t="s">
        <v>3407</v>
      </c>
      <c r="T968" s="1" t="s">
        <v>222</v>
      </c>
      <c r="U968" s="1" t="s">
        <v>2102</v>
      </c>
    </row>
    <row r="969" customFormat="false" ht="48" hidden="false" customHeight="true" outlineLevel="0" collapsed="false">
      <c r="A969" s="1" t="s">
        <v>45</v>
      </c>
      <c r="B969" s="1" t="s">
        <v>2097</v>
      </c>
      <c r="C969" s="1" t="s">
        <v>102</v>
      </c>
      <c r="D969" s="1" t="s">
        <v>1586</v>
      </c>
      <c r="E969" s="1" t="n">
        <v>46</v>
      </c>
      <c r="F969" s="1" t="s">
        <v>2555</v>
      </c>
      <c r="G969" s="1" t="s">
        <v>236</v>
      </c>
      <c r="H969" s="1" t="s">
        <v>2556</v>
      </c>
      <c r="I969" s="1" t="s">
        <v>402</v>
      </c>
      <c r="J969" s="1" t="s">
        <v>310</v>
      </c>
      <c r="K969" s="1" t="n">
        <v>18.96</v>
      </c>
      <c r="L969" s="1" t="n">
        <v>4.6</v>
      </c>
      <c r="M969" s="1" t="n">
        <v>2100</v>
      </c>
      <c r="N969" s="4" t="b">
        <f aca="false">FALSE()</f>
        <v>0</v>
      </c>
      <c r="O969" s="1" t="s">
        <v>2557</v>
      </c>
      <c r="P969" s="4" t="b">
        <f aca="false">FALSE()</f>
        <v>0</v>
      </c>
      <c r="Q969" s="1" t="s">
        <v>711</v>
      </c>
      <c r="R969" s="1" t="s">
        <v>3288</v>
      </c>
      <c r="S969" s="1" t="s">
        <v>2558</v>
      </c>
      <c r="T969" s="1" t="s">
        <v>222</v>
      </c>
      <c r="U969" s="1" t="s">
        <v>2102</v>
      </c>
    </row>
    <row r="970" customFormat="false" ht="48" hidden="false" customHeight="true" outlineLevel="0" collapsed="false">
      <c r="A970" s="1" t="s">
        <v>45</v>
      </c>
      <c r="B970" s="1" t="s">
        <v>2097</v>
      </c>
      <c r="C970" s="1" t="s">
        <v>102</v>
      </c>
      <c r="D970" s="1" t="s">
        <v>1586</v>
      </c>
      <c r="E970" s="1" t="n">
        <v>47</v>
      </c>
      <c r="F970" s="1" t="s">
        <v>2501</v>
      </c>
      <c r="G970" s="1" t="s">
        <v>2246</v>
      </c>
      <c r="H970" s="1" t="s">
        <v>2502</v>
      </c>
      <c r="I970" s="1" t="s">
        <v>402</v>
      </c>
      <c r="J970" s="1" t="s">
        <v>310</v>
      </c>
      <c r="K970" s="1" t="n">
        <v>16.49</v>
      </c>
      <c r="L970" s="1" t="n">
        <v>4.4</v>
      </c>
      <c r="M970" s="1" t="n">
        <v>813</v>
      </c>
      <c r="N970" s="4" t="b">
        <f aca="false">FALSE()</f>
        <v>0</v>
      </c>
      <c r="O970" s="1" t="s">
        <v>2503</v>
      </c>
      <c r="P970" s="4" t="b">
        <f aca="false">FALSE()</f>
        <v>0</v>
      </c>
      <c r="Q970" s="1" t="s">
        <v>233</v>
      </c>
      <c r="R970" s="1" t="s">
        <v>3288</v>
      </c>
      <c r="S970" s="1" t="s">
        <v>2504</v>
      </c>
      <c r="T970" s="1" t="s">
        <v>222</v>
      </c>
      <c r="U970" s="1" t="s">
        <v>2102</v>
      </c>
    </row>
    <row r="971" customFormat="false" ht="48" hidden="false" customHeight="true" outlineLevel="0" collapsed="false">
      <c r="A971" s="1" t="s">
        <v>45</v>
      </c>
      <c r="B971" s="1" t="s">
        <v>2097</v>
      </c>
      <c r="C971" s="1" t="s">
        <v>102</v>
      </c>
      <c r="D971" s="1" t="s">
        <v>1586</v>
      </c>
      <c r="E971" s="1" t="n">
        <v>48</v>
      </c>
      <c r="F971" s="1" t="s">
        <v>3408</v>
      </c>
      <c r="G971" s="1" t="s">
        <v>2481</v>
      </c>
      <c r="H971" s="1" t="s">
        <v>3409</v>
      </c>
      <c r="I971" s="1" t="s">
        <v>402</v>
      </c>
      <c r="J971" s="1" t="s">
        <v>371</v>
      </c>
      <c r="K971" s="1" t="n">
        <v>28.99</v>
      </c>
      <c r="L971" s="1" t="n">
        <v>4.7</v>
      </c>
      <c r="M971" s="1" t="n">
        <v>9100</v>
      </c>
      <c r="N971" s="4" t="b">
        <f aca="false">FALSE()</f>
        <v>0</v>
      </c>
      <c r="O971" s="1" t="s">
        <v>3409</v>
      </c>
      <c r="P971" s="4" t="b">
        <f aca="false">FALSE()</f>
        <v>0</v>
      </c>
      <c r="Q971" s="1" t="s">
        <v>766</v>
      </c>
      <c r="R971" s="1" t="s">
        <v>3288</v>
      </c>
      <c r="S971" s="1" t="s">
        <v>3410</v>
      </c>
      <c r="T971" s="1" t="s">
        <v>222</v>
      </c>
      <c r="U971" s="1" t="s">
        <v>2102</v>
      </c>
    </row>
    <row r="972" customFormat="false" ht="48" hidden="false" customHeight="true" outlineLevel="0" collapsed="false">
      <c r="A972" s="1" t="s">
        <v>45</v>
      </c>
      <c r="B972" s="1" t="s">
        <v>2097</v>
      </c>
      <c r="C972" s="1" t="s">
        <v>57</v>
      </c>
      <c r="D972" s="1" t="s">
        <v>1751</v>
      </c>
      <c r="E972" s="1" t="n">
        <v>1</v>
      </c>
      <c r="F972" s="1" t="s">
        <v>2742</v>
      </c>
      <c r="G972" s="1" t="s">
        <v>774</v>
      </c>
      <c r="H972" s="1" t="s">
        <v>2743</v>
      </c>
      <c r="I972" s="1" t="s">
        <v>218</v>
      </c>
      <c r="J972" s="1" t="s">
        <v>371</v>
      </c>
      <c r="K972" s="1" t="n">
        <v>14.59</v>
      </c>
      <c r="L972" s="1" t="n">
        <v>4.6</v>
      </c>
      <c r="M972" s="1" t="n">
        <v>70100</v>
      </c>
      <c r="N972" s="4" t="b">
        <f aca="false">FALSE()</f>
        <v>0</v>
      </c>
      <c r="O972" s="1" t="s">
        <v>2744</v>
      </c>
      <c r="P972" s="4" t="b">
        <f aca="false">FALSE()</f>
        <v>0</v>
      </c>
      <c r="R972" s="1" t="s">
        <v>3411</v>
      </c>
      <c r="S972" s="1" t="s">
        <v>2745</v>
      </c>
      <c r="T972" s="1" t="s">
        <v>222</v>
      </c>
      <c r="U972" s="1" t="s">
        <v>2102</v>
      </c>
    </row>
    <row r="973" customFormat="false" ht="48" hidden="false" customHeight="true" outlineLevel="0" collapsed="false">
      <c r="A973" s="1" t="s">
        <v>45</v>
      </c>
      <c r="B973" s="1" t="s">
        <v>2097</v>
      </c>
      <c r="C973" s="1" t="s">
        <v>57</v>
      </c>
      <c r="D973" s="1" t="s">
        <v>1751</v>
      </c>
      <c r="E973" s="1" t="n">
        <v>2</v>
      </c>
      <c r="F973" s="1" t="s">
        <v>3412</v>
      </c>
      <c r="G973" s="1" t="s">
        <v>774</v>
      </c>
      <c r="H973" s="1" t="s">
        <v>3413</v>
      </c>
      <c r="I973" s="1" t="s">
        <v>218</v>
      </c>
      <c r="J973" s="1" t="s">
        <v>371</v>
      </c>
      <c r="K973" s="1" t="n">
        <v>16.33</v>
      </c>
      <c r="L973" s="1" t="n">
        <v>4.6</v>
      </c>
      <c r="M973" s="1" t="n">
        <v>213300</v>
      </c>
      <c r="N973" s="4" t="b">
        <f aca="false">FALSE()</f>
        <v>0</v>
      </c>
      <c r="O973" s="1" t="s">
        <v>3414</v>
      </c>
      <c r="P973" s="4" t="b">
        <f aca="false">FALSE()</f>
        <v>0</v>
      </c>
      <c r="R973" s="1" t="s">
        <v>3411</v>
      </c>
      <c r="S973" s="1" t="s">
        <v>3415</v>
      </c>
      <c r="T973" s="1" t="s">
        <v>222</v>
      </c>
      <c r="U973" s="1" t="s">
        <v>2102</v>
      </c>
    </row>
    <row r="974" customFormat="false" ht="48" hidden="false" customHeight="true" outlineLevel="0" collapsed="false">
      <c r="A974" s="1" t="s">
        <v>45</v>
      </c>
      <c r="B974" s="1" t="s">
        <v>2097</v>
      </c>
      <c r="C974" s="1" t="s">
        <v>57</v>
      </c>
      <c r="D974" s="1" t="s">
        <v>1751</v>
      </c>
      <c r="E974" s="1" t="n">
        <v>3</v>
      </c>
      <c r="F974" s="1" t="s">
        <v>2749</v>
      </c>
      <c r="G974" s="1" t="s">
        <v>236</v>
      </c>
      <c r="H974" s="1" t="s">
        <v>2750</v>
      </c>
      <c r="I974" s="1" t="s">
        <v>242</v>
      </c>
      <c r="J974" s="1" t="s">
        <v>310</v>
      </c>
      <c r="K974" s="1" t="n">
        <v>25.92</v>
      </c>
      <c r="L974" s="1" t="n">
        <v>4.6</v>
      </c>
      <c r="M974" s="1" t="n">
        <v>9500</v>
      </c>
      <c r="N974" s="4" t="b">
        <f aca="false">FALSE()</f>
        <v>0</v>
      </c>
      <c r="P974" s="4" t="b">
        <f aca="false">FALSE()</f>
        <v>0</v>
      </c>
      <c r="R974" s="1" t="s">
        <v>3411</v>
      </c>
      <c r="S974" s="1" t="s">
        <v>2751</v>
      </c>
      <c r="T974" s="1" t="s">
        <v>222</v>
      </c>
      <c r="U974" s="1" t="s">
        <v>2102</v>
      </c>
    </row>
    <row r="975" customFormat="false" ht="48" hidden="false" customHeight="true" outlineLevel="0" collapsed="false">
      <c r="A975" s="1" t="s">
        <v>45</v>
      </c>
      <c r="B975" s="1" t="s">
        <v>2097</v>
      </c>
      <c r="C975" s="1" t="s">
        <v>57</v>
      </c>
      <c r="D975" s="1" t="s">
        <v>1751</v>
      </c>
      <c r="E975" s="1" t="n">
        <v>4</v>
      </c>
      <c r="F975" s="1" t="s">
        <v>3416</v>
      </c>
      <c r="G975" s="1" t="s">
        <v>236</v>
      </c>
      <c r="H975" s="1" t="s">
        <v>3417</v>
      </c>
      <c r="I975" s="1" t="s">
        <v>231</v>
      </c>
      <c r="J975" s="1" t="s">
        <v>597</v>
      </c>
      <c r="K975" s="1" t="n">
        <v>33.65</v>
      </c>
      <c r="L975" s="1" t="n">
        <v>4.1</v>
      </c>
      <c r="M975" s="1" t="n">
        <v>14300</v>
      </c>
      <c r="N975" s="4" t="b">
        <f aca="false">FALSE()</f>
        <v>0</v>
      </c>
      <c r="P975" s="4" t="b">
        <f aca="false">TRUE()</f>
        <v>1</v>
      </c>
      <c r="R975" s="1" t="s">
        <v>3411</v>
      </c>
      <c r="S975" s="1" t="s">
        <v>3418</v>
      </c>
      <c r="T975" s="1" t="s">
        <v>222</v>
      </c>
      <c r="U975" s="1" t="s">
        <v>2102</v>
      </c>
    </row>
    <row r="976" customFormat="false" ht="48" hidden="false" customHeight="true" outlineLevel="0" collapsed="false">
      <c r="A976" s="1" t="s">
        <v>45</v>
      </c>
      <c r="B976" s="1" t="s">
        <v>2097</v>
      </c>
      <c r="C976" s="1" t="s">
        <v>57</v>
      </c>
      <c r="D976" s="1" t="s">
        <v>1751</v>
      </c>
      <c r="E976" s="1" t="n">
        <v>5</v>
      </c>
      <c r="F976" s="1" t="s">
        <v>3419</v>
      </c>
      <c r="G976" s="1" t="s">
        <v>236</v>
      </c>
      <c r="H976" s="1" t="s">
        <v>3420</v>
      </c>
      <c r="I976" s="1" t="s">
        <v>402</v>
      </c>
      <c r="J976" s="1" t="s">
        <v>371</v>
      </c>
      <c r="L976" s="1" t="n">
        <v>4.4</v>
      </c>
      <c r="M976" s="1" t="n">
        <v>383</v>
      </c>
      <c r="N976" s="4" t="b">
        <f aca="false">FALSE()</f>
        <v>0</v>
      </c>
      <c r="P976" s="4" t="b">
        <f aca="false">FALSE()</f>
        <v>0</v>
      </c>
      <c r="R976" s="1" t="s">
        <v>3411</v>
      </c>
      <c r="S976" s="1" t="s">
        <v>3421</v>
      </c>
      <c r="T976" s="1" t="s">
        <v>222</v>
      </c>
      <c r="U976" s="1" t="s">
        <v>2102</v>
      </c>
    </row>
    <row r="977" customFormat="false" ht="48" hidden="false" customHeight="true" outlineLevel="0" collapsed="false">
      <c r="A977" s="1" t="s">
        <v>45</v>
      </c>
      <c r="B977" s="1" t="s">
        <v>2097</v>
      </c>
      <c r="C977" s="1" t="s">
        <v>57</v>
      </c>
      <c r="D977" s="1" t="s">
        <v>1751</v>
      </c>
      <c r="E977" s="1" t="n">
        <v>6</v>
      </c>
      <c r="F977" s="1" t="s">
        <v>3422</v>
      </c>
      <c r="G977" s="1" t="s">
        <v>236</v>
      </c>
      <c r="H977" s="1" t="s">
        <v>3423</v>
      </c>
      <c r="I977" s="1" t="s">
        <v>402</v>
      </c>
      <c r="J977" s="1" t="s">
        <v>371</v>
      </c>
      <c r="L977" s="1" t="n">
        <v>4.4</v>
      </c>
      <c r="M977" s="1" t="n">
        <v>354</v>
      </c>
      <c r="N977" s="4" t="b">
        <f aca="false">FALSE()</f>
        <v>0</v>
      </c>
      <c r="P977" s="4" t="b">
        <f aca="false">FALSE()</f>
        <v>0</v>
      </c>
      <c r="R977" s="1" t="s">
        <v>3411</v>
      </c>
      <c r="S977" s="1" t="s">
        <v>3424</v>
      </c>
      <c r="T977" s="1" t="s">
        <v>222</v>
      </c>
      <c r="U977" s="1" t="s">
        <v>2102</v>
      </c>
    </row>
    <row r="978" customFormat="false" ht="48" hidden="false" customHeight="true" outlineLevel="0" collapsed="false">
      <c r="A978" s="1" t="s">
        <v>45</v>
      </c>
      <c r="B978" s="1" t="s">
        <v>2097</v>
      </c>
      <c r="C978" s="1" t="s">
        <v>57</v>
      </c>
      <c r="D978" s="1" t="s">
        <v>1751</v>
      </c>
      <c r="E978" s="1" t="n">
        <v>7</v>
      </c>
      <c r="F978" s="1" t="s">
        <v>2730</v>
      </c>
      <c r="G978" s="1" t="s">
        <v>236</v>
      </c>
      <c r="H978" s="1" t="s">
        <v>2731</v>
      </c>
      <c r="I978" s="1" t="s">
        <v>231</v>
      </c>
      <c r="J978" s="1" t="s">
        <v>689</v>
      </c>
      <c r="L978" s="1" t="n">
        <v>4.4</v>
      </c>
      <c r="M978" s="1" t="n">
        <v>47</v>
      </c>
      <c r="N978" s="4" t="b">
        <f aca="false">FALSE()</f>
        <v>0</v>
      </c>
      <c r="P978" s="4" t="b">
        <f aca="false">TRUE()</f>
        <v>1</v>
      </c>
      <c r="R978" s="1" t="s">
        <v>3411</v>
      </c>
      <c r="S978" s="1" t="s">
        <v>2732</v>
      </c>
      <c r="T978" s="1" t="s">
        <v>222</v>
      </c>
      <c r="U978" s="1" t="s">
        <v>2102</v>
      </c>
    </row>
    <row r="979" customFormat="false" ht="48" hidden="false" customHeight="true" outlineLevel="0" collapsed="false">
      <c r="A979" s="1" t="s">
        <v>45</v>
      </c>
      <c r="B979" s="1" t="s">
        <v>2097</v>
      </c>
      <c r="C979" s="1" t="s">
        <v>57</v>
      </c>
      <c r="D979" s="1" t="s">
        <v>1751</v>
      </c>
      <c r="E979" s="1" t="n">
        <v>8</v>
      </c>
      <c r="F979" s="1" t="s">
        <v>3425</v>
      </c>
      <c r="G979" s="1" t="s">
        <v>236</v>
      </c>
      <c r="H979" s="1" t="s">
        <v>3426</v>
      </c>
      <c r="I979" s="1" t="s">
        <v>402</v>
      </c>
      <c r="J979" s="1" t="s">
        <v>597</v>
      </c>
      <c r="L979" s="1" t="n">
        <v>4.6</v>
      </c>
      <c r="M979" s="1" t="n">
        <v>6</v>
      </c>
      <c r="N979" s="4" t="b">
        <f aca="false">FALSE()</f>
        <v>0</v>
      </c>
      <c r="P979" s="4" t="b">
        <f aca="false">TRUE()</f>
        <v>1</v>
      </c>
      <c r="R979" s="1" t="s">
        <v>3411</v>
      </c>
      <c r="S979" s="1" t="s">
        <v>3427</v>
      </c>
      <c r="T979" s="1" t="s">
        <v>222</v>
      </c>
      <c r="U979" s="1" t="s">
        <v>2102</v>
      </c>
    </row>
    <row r="980" customFormat="false" ht="48" hidden="false" customHeight="true" outlineLevel="0" collapsed="false">
      <c r="A980" s="1" t="s">
        <v>45</v>
      </c>
      <c r="B980" s="1" t="s">
        <v>2097</v>
      </c>
      <c r="C980" s="1" t="s">
        <v>57</v>
      </c>
      <c r="D980" s="1" t="s">
        <v>1751</v>
      </c>
      <c r="E980" s="1" t="n">
        <v>9</v>
      </c>
      <c r="F980" s="1" t="s">
        <v>2768</v>
      </c>
      <c r="G980" s="1" t="s">
        <v>236</v>
      </c>
      <c r="H980" s="1" t="s">
        <v>2769</v>
      </c>
      <c r="I980" s="1" t="s">
        <v>402</v>
      </c>
      <c r="J980" s="1" t="s">
        <v>597</v>
      </c>
      <c r="K980" s="1" t="n">
        <v>26.37</v>
      </c>
      <c r="L980" s="1" t="n">
        <v>4.3</v>
      </c>
      <c r="M980" s="1" t="n">
        <v>325</v>
      </c>
      <c r="N980" s="4" t="b">
        <f aca="false">FALSE()</f>
        <v>0</v>
      </c>
      <c r="P980" s="4" t="b">
        <f aca="false">TRUE()</f>
        <v>1</v>
      </c>
      <c r="Q980" s="1" t="s">
        <v>251</v>
      </c>
      <c r="R980" s="1" t="s">
        <v>3411</v>
      </c>
      <c r="S980" s="1" t="s">
        <v>2770</v>
      </c>
      <c r="T980" s="1" t="s">
        <v>222</v>
      </c>
      <c r="U980" s="1" t="s">
        <v>2102</v>
      </c>
    </row>
    <row r="981" customFormat="false" ht="48" hidden="false" customHeight="true" outlineLevel="0" collapsed="false">
      <c r="A981" s="1" t="s">
        <v>45</v>
      </c>
      <c r="B981" s="1" t="s">
        <v>2097</v>
      </c>
      <c r="C981" s="1" t="s">
        <v>57</v>
      </c>
      <c r="D981" s="1" t="s">
        <v>1751</v>
      </c>
      <c r="E981" s="1" t="n">
        <v>10</v>
      </c>
      <c r="F981" s="1" t="s">
        <v>2809</v>
      </c>
      <c r="G981" s="1" t="s">
        <v>236</v>
      </c>
      <c r="H981" s="1" t="s">
        <v>2810</v>
      </c>
      <c r="I981" s="1" t="s">
        <v>402</v>
      </c>
      <c r="J981" s="1" t="s">
        <v>310</v>
      </c>
      <c r="L981" s="1" t="n">
        <v>4.3</v>
      </c>
      <c r="M981" s="1" t="n">
        <v>1900</v>
      </c>
      <c r="N981" s="4" t="b">
        <f aca="false">FALSE()</f>
        <v>0</v>
      </c>
      <c r="P981" s="4" t="b">
        <f aca="false">FALSE()</f>
        <v>0</v>
      </c>
      <c r="R981" s="1" t="s">
        <v>3411</v>
      </c>
      <c r="S981" s="1" t="s">
        <v>2811</v>
      </c>
      <c r="T981" s="1" t="s">
        <v>222</v>
      </c>
      <c r="U981" s="1" t="s">
        <v>2102</v>
      </c>
    </row>
    <row r="982" customFormat="false" ht="48" hidden="false" customHeight="true" outlineLevel="0" collapsed="false">
      <c r="A982" s="1" t="s">
        <v>45</v>
      </c>
      <c r="B982" s="1" t="s">
        <v>2097</v>
      </c>
      <c r="C982" s="1" t="s">
        <v>57</v>
      </c>
      <c r="D982" s="1" t="s">
        <v>1751</v>
      </c>
      <c r="E982" s="1" t="n">
        <v>11</v>
      </c>
      <c r="F982" s="1" t="s">
        <v>3428</v>
      </c>
      <c r="G982" s="1" t="s">
        <v>774</v>
      </c>
      <c r="H982" s="1" t="s">
        <v>3429</v>
      </c>
      <c r="I982" s="1" t="s">
        <v>218</v>
      </c>
      <c r="J982" s="1" t="s">
        <v>371</v>
      </c>
      <c r="K982" s="1" t="n">
        <v>12.3</v>
      </c>
      <c r="L982" s="1" t="n">
        <v>4.6</v>
      </c>
      <c r="M982" s="1" t="n">
        <v>13100</v>
      </c>
      <c r="N982" s="4" t="b">
        <f aca="false">FALSE()</f>
        <v>0</v>
      </c>
      <c r="O982" s="1" t="s">
        <v>3430</v>
      </c>
      <c r="P982" s="4" t="b">
        <f aca="false">FALSE()</f>
        <v>0</v>
      </c>
      <c r="R982" s="1" t="s">
        <v>3411</v>
      </c>
      <c r="S982" s="1" t="s">
        <v>3431</v>
      </c>
      <c r="T982" s="1" t="s">
        <v>222</v>
      </c>
      <c r="U982" s="1" t="s">
        <v>2102</v>
      </c>
    </row>
    <row r="983" customFormat="false" ht="48" hidden="false" customHeight="true" outlineLevel="0" collapsed="false">
      <c r="A983" s="1" t="s">
        <v>45</v>
      </c>
      <c r="B983" s="1" t="s">
        <v>2097</v>
      </c>
      <c r="C983" s="1" t="s">
        <v>57</v>
      </c>
      <c r="D983" s="1" t="s">
        <v>1751</v>
      </c>
      <c r="E983" s="1" t="n">
        <v>12</v>
      </c>
      <c r="F983" s="1" t="s">
        <v>2806</v>
      </c>
      <c r="G983" s="1" t="s">
        <v>919</v>
      </c>
      <c r="H983" s="1" t="s">
        <v>2807</v>
      </c>
      <c r="I983" s="1" t="s">
        <v>231</v>
      </c>
      <c r="J983" s="1" t="s">
        <v>310</v>
      </c>
      <c r="K983" s="1" t="n">
        <v>47.09</v>
      </c>
      <c r="L983" s="1" t="n">
        <v>4.5</v>
      </c>
      <c r="M983" s="1" t="n">
        <v>3800</v>
      </c>
      <c r="N983" s="4" t="b">
        <f aca="false">FALSE()</f>
        <v>0</v>
      </c>
      <c r="P983" s="4" t="b">
        <f aca="false">FALSE()</f>
        <v>0</v>
      </c>
      <c r="R983" s="1" t="s">
        <v>3411</v>
      </c>
      <c r="S983" s="1" t="s">
        <v>2808</v>
      </c>
      <c r="T983" s="1" t="s">
        <v>222</v>
      </c>
      <c r="U983" s="1" t="s">
        <v>2102</v>
      </c>
    </row>
    <row r="984" customFormat="false" ht="48" hidden="false" customHeight="true" outlineLevel="0" collapsed="false">
      <c r="A984" s="1" t="s">
        <v>45</v>
      </c>
      <c r="B984" s="1" t="s">
        <v>2097</v>
      </c>
      <c r="C984" s="1" t="s">
        <v>57</v>
      </c>
      <c r="D984" s="1" t="s">
        <v>1751</v>
      </c>
      <c r="E984" s="1" t="n">
        <v>13</v>
      </c>
      <c r="F984" s="1" t="s">
        <v>2733</v>
      </c>
      <c r="G984" s="1" t="s">
        <v>1415</v>
      </c>
      <c r="H984" s="1" t="s">
        <v>2734</v>
      </c>
      <c r="I984" s="1" t="s">
        <v>218</v>
      </c>
      <c r="J984" s="1" t="s">
        <v>597</v>
      </c>
      <c r="K984" s="1" t="n">
        <v>55.76</v>
      </c>
      <c r="L984" s="1" t="n">
        <v>4.4</v>
      </c>
      <c r="M984" s="1" t="n">
        <v>1600</v>
      </c>
      <c r="N984" s="4" t="b">
        <f aca="false">FALSE()</f>
        <v>0</v>
      </c>
      <c r="P984" s="4" t="b">
        <f aca="false">TRUE()</f>
        <v>1</v>
      </c>
      <c r="R984" s="1" t="s">
        <v>3411</v>
      </c>
      <c r="S984" s="1" t="s">
        <v>2735</v>
      </c>
      <c r="T984" s="1" t="s">
        <v>222</v>
      </c>
      <c r="U984" s="1" t="s">
        <v>2102</v>
      </c>
    </row>
    <row r="985" customFormat="false" ht="48" hidden="false" customHeight="true" outlineLevel="0" collapsed="false">
      <c r="A985" s="1" t="s">
        <v>45</v>
      </c>
      <c r="B985" s="1" t="s">
        <v>2097</v>
      </c>
      <c r="C985" s="1" t="s">
        <v>57</v>
      </c>
      <c r="D985" s="1" t="s">
        <v>1751</v>
      </c>
      <c r="E985" s="1" t="n">
        <v>14</v>
      </c>
      <c r="F985" s="1" t="s">
        <v>3432</v>
      </c>
      <c r="G985" s="1" t="s">
        <v>236</v>
      </c>
      <c r="H985" s="1" t="s">
        <v>3433</v>
      </c>
      <c r="I985" s="1" t="s">
        <v>402</v>
      </c>
      <c r="J985" s="1" t="s">
        <v>310</v>
      </c>
      <c r="L985" s="1" t="n">
        <v>4.4</v>
      </c>
      <c r="M985" s="1" t="n">
        <v>398</v>
      </c>
      <c r="N985" s="4" t="b">
        <f aca="false">FALSE()</f>
        <v>0</v>
      </c>
      <c r="P985" s="4" t="b">
        <f aca="false">FALSE()</f>
        <v>0</v>
      </c>
      <c r="R985" s="1" t="s">
        <v>3411</v>
      </c>
      <c r="S985" s="1" t="s">
        <v>3434</v>
      </c>
      <c r="T985" s="1" t="s">
        <v>222</v>
      </c>
      <c r="U985" s="1" t="s">
        <v>2102</v>
      </c>
    </row>
    <row r="986" customFormat="false" ht="48" hidden="false" customHeight="true" outlineLevel="0" collapsed="false">
      <c r="A986" s="1" t="s">
        <v>45</v>
      </c>
      <c r="B986" s="1" t="s">
        <v>2097</v>
      </c>
      <c r="C986" s="1" t="s">
        <v>57</v>
      </c>
      <c r="D986" s="1" t="s">
        <v>1751</v>
      </c>
      <c r="E986" s="1" t="n">
        <v>15</v>
      </c>
      <c r="F986" s="1" t="s">
        <v>2790</v>
      </c>
      <c r="G986" s="1" t="s">
        <v>236</v>
      </c>
      <c r="H986" s="1" t="s">
        <v>2791</v>
      </c>
      <c r="I986" s="1" t="s">
        <v>231</v>
      </c>
      <c r="J986" s="1" t="s">
        <v>597</v>
      </c>
      <c r="K986" s="1" t="n">
        <v>35.52</v>
      </c>
      <c r="L986" s="1" t="n">
        <v>4.1</v>
      </c>
      <c r="M986" s="1" t="n">
        <v>16</v>
      </c>
      <c r="N986" s="4" t="b">
        <f aca="false">FALSE()</f>
        <v>0</v>
      </c>
      <c r="P986" s="4" t="b">
        <f aca="false">TRUE()</f>
        <v>1</v>
      </c>
      <c r="R986" s="1" t="s">
        <v>3411</v>
      </c>
      <c r="S986" s="1" t="s">
        <v>2792</v>
      </c>
      <c r="T986" s="1" t="s">
        <v>222</v>
      </c>
      <c r="U986" s="1" t="s">
        <v>2102</v>
      </c>
    </row>
    <row r="987" customFormat="false" ht="48" hidden="false" customHeight="true" outlineLevel="0" collapsed="false">
      <c r="A987" s="1" t="s">
        <v>45</v>
      </c>
      <c r="B987" s="1" t="s">
        <v>2097</v>
      </c>
      <c r="C987" s="1" t="s">
        <v>57</v>
      </c>
      <c r="D987" s="1" t="s">
        <v>1751</v>
      </c>
      <c r="E987" s="1" t="n">
        <v>16</v>
      </c>
      <c r="F987" s="1" t="s">
        <v>3435</v>
      </c>
      <c r="G987" s="1" t="s">
        <v>2156</v>
      </c>
      <c r="H987" s="1" t="s">
        <v>3436</v>
      </c>
      <c r="I987" s="1" t="s">
        <v>218</v>
      </c>
      <c r="J987" s="1" t="s">
        <v>371</v>
      </c>
      <c r="K987" s="1" t="n">
        <v>26.79</v>
      </c>
      <c r="L987" s="1" t="n">
        <v>4.6</v>
      </c>
      <c r="M987" s="1" t="n">
        <v>46700</v>
      </c>
      <c r="N987" s="4" t="b">
        <f aca="false">FALSE()</f>
        <v>0</v>
      </c>
      <c r="O987" s="1" t="s">
        <v>3437</v>
      </c>
      <c r="P987" s="4" t="b">
        <f aca="false">FALSE()</f>
        <v>0</v>
      </c>
      <c r="R987" s="1" t="s">
        <v>3411</v>
      </c>
      <c r="S987" s="1" t="s">
        <v>3438</v>
      </c>
      <c r="T987" s="1" t="s">
        <v>222</v>
      </c>
      <c r="U987" s="1" t="s">
        <v>2102</v>
      </c>
    </row>
    <row r="988" customFormat="false" ht="48" hidden="false" customHeight="true" outlineLevel="0" collapsed="false">
      <c r="A988" s="1" t="s">
        <v>45</v>
      </c>
      <c r="B988" s="1" t="s">
        <v>2097</v>
      </c>
      <c r="C988" s="1" t="s">
        <v>57</v>
      </c>
      <c r="D988" s="1" t="s">
        <v>1751</v>
      </c>
      <c r="E988" s="1" t="n">
        <v>17</v>
      </c>
      <c r="F988" s="1" t="s">
        <v>3439</v>
      </c>
      <c r="G988" s="1" t="s">
        <v>236</v>
      </c>
      <c r="H988" s="1" t="s">
        <v>3440</v>
      </c>
      <c r="I988" s="1" t="s">
        <v>231</v>
      </c>
      <c r="J988" s="1" t="s">
        <v>597</v>
      </c>
      <c r="K988" s="1" t="n">
        <v>28.5</v>
      </c>
      <c r="L988" s="1" t="n">
        <v>4.3</v>
      </c>
      <c r="M988" s="1" t="n">
        <v>325</v>
      </c>
      <c r="N988" s="4" t="b">
        <f aca="false">FALSE()</f>
        <v>0</v>
      </c>
      <c r="P988" s="4" t="b">
        <f aca="false">TRUE()</f>
        <v>1</v>
      </c>
      <c r="Q988" s="1" t="s">
        <v>251</v>
      </c>
      <c r="R988" s="1" t="s">
        <v>3411</v>
      </c>
      <c r="S988" s="1" t="s">
        <v>3441</v>
      </c>
      <c r="T988" s="1" t="s">
        <v>222</v>
      </c>
      <c r="U988" s="1" t="s">
        <v>2102</v>
      </c>
    </row>
    <row r="989" customFormat="false" ht="48" hidden="false" customHeight="true" outlineLevel="0" collapsed="false">
      <c r="A989" s="1" t="s">
        <v>45</v>
      </c>
      <c r="B989" s="1" t="s">
        <v>2097</v>
      </c>
      <c r="C989" s="1" t="s">
        <v>57</v>
      </c>
      <c r="D989" s="1" t="s">
        <v>1751</v>
      </c>
      <c r="E989" s="1" t="n">
        <v>18</v>
      </c>
      <c r="F989" s="1" t="s">
        <v>3442</v>
      </c>
      <c r="G989" s="1" t="s">
        <v>236</v>
      </c>
      <c r="H989" s="1" t="s">
        <v>3443</v>
      </c>
      <c r="I989" s="1" t="s">
        <v>306</v>
      </c>
      <c r="J989" s="1" t="s">
        <v>310</v>
      </c>
      <c r="K989" s="1" t="n">
        <v>26.99</v>
      </c>
      <c r="L989" s="1" t="n">
        <v>4.1</v>
      </c>
      <c r="M989" s="1" t="n">
        <v>16</v>
      </c>
      <c r="N989" s="4" t="b">
        <f aca="false">FALSE()</f>
        <v>0</v>
      </c>
      <c r="O989" s="1" t="s">
        <v>3444</v>
      </c>
      <c r="P989" s="4" t="b">
        <f aca="false">FALSE()</f>
        <v>0</v>
      </c>
      <c r="R989" s="1" t="s">
        <v>3411</v>
      </c>
      <c r="S989" s="1" t="s">
        <v>3445</v>
      </c>
      <c r="T989" s="1" t="s">
        <v>222</v>
      </c>
      <c r="U989" s="1" t="s">
        <v>2102</v>
      </c>
    </row>
    <row r="990" customFormat="false" ht="48" hidden="false" customHeight="true" outlineLevel="0" collapsed="false">
      <c r="A990" s="1" t="s">
        <v>45</v>
      </c>
      <c r="B990" s="1" t="s">
        <v>2097</v>
      </c>
      <c r="C990" s="1" t="s">
        <v>57</v>
      </c>
      <c r="D990" s="1" t="s">
        <v>1751</v>
      </c>
      <c r="E990" s="1" t="n">
        <v>19</v>
      </c>
      <c r="F990" s="1" t="s">
        <v>3446</v>
      </c>
      <c r="G990" s="1" t="s">
        <v>236</v>
      </c>
      <c r="H990" s="1" t="s">
        <v>3447</v>
      </c>
      <c r="I990" s="1" t="s">
        <v>2323</v>
      </c>
      <c r="J990" s="1" t="s">
        <v>689</v>
      </c>
      <c r="L990" s="1" t="n">
        <v>4</v>
      </c>
      <c r="M990" s="1" t="n">
        <v>33</v>
      </c>
      <c r="N990" s="4" t="b">
        <f aca="false">FALSE()</f>
        <v>0</v>
      </c>
      <c r="P990" s="4" t="b">
        <f aca="false">TRUE()</f>
        <v>1</v>
      </c>
      <c r="R990" s="1" t="s">
        <v>3411</v>
      </c>
      <c r="S990" s="1" t="s">
        <v>3448</v>
      </c>
      <c r="T990" s="1" t="s">
        <v>222</v>
      </c>
      <c r="U990" s="1" t="s">
        <v>2102</v>
      </c>
    </row>
    <row r="991" customFormat="false" ht="48" hidden="false" customHeight="true" outlineLevel="0" collapsed="false">
      <c r="A991" s="1" t="s">
        <v>45</v>
      </c>
      <c r="B991" s="1" t="s">
        <v>2097</v>
      </c>
      <c r="C991" s="1" t="s">
        <v>57</v>
      </c>
      <c r="D991" s="1" t="s">
        <v>1751</v>
      </c>
      <c r="E991" s="1" t="n">
        <v>20</v>
      </c>
      <c r="F991" s="1" t="s">
        <v>3449</v>
      </c>
      <c r="G991" s="1" t="s">
        <v>236</v>
      </c>
      <c r="H991" s="1" t="s">
        <v>3450</v>
      </c>
      <c r="I991" s="1" t="s">
        <v>231</v>
      </c>
      <c r="J991" s="1" t="s">
        <v>597</v>
      </c>
      <c r="K991" s="1" t="n">
        <v>67</v>
      </c>
      <c r="L991" s="1" t="n">
        <v>4.4</v>
      </c>
      <c r="M991" s="1" t="n">
        <v>3700</v>
      </c>
      <c r="N991" s="4" t="b">
        <f aca="false">FALSE()</f>
        <v>0</v>
      </c>
      <c r="P991" s="4" t="b">
        <f aca="false">TRUE()</f>
        <v>1</v>
      </c>
      <c r="R991" s="1" t="s">
        <v>3411</v>
      </c>
      <c r="S991" s="1" t="s">
        <v>3451</v>
      </c>
      <c r="T991" s="1" t="s">
        <v>222</v>
      </c>
      <c r="U991" s="1" t="s">
        <v>2102</v>
      </c>
    </row>
    <row r="992" customFormat="false" ht="48" hidden="false" customHeight="true" outlineLevel="0" collapsed="false">
      <c r="A992" s="1" t="s">
        <v>45</v>
      </c>
      <c r="B992" s="1" t="s">
        <v>2097</v>
      </c>
      <c r="C992" s="1" t="s">
        <v>57</v>
      </c>
      <c r="D992" s="1" t="s">
        <v>1751</v>
      </c>
      <c r="E992" s="1" t="n">
        <v>21</v>
      </c>
      <c r="F992" s="1" t="s">
        <v>3452</v>
      </c>
      <c r="G992" s="1" t="s">
        <v>351</v>
      </c>
      <c r="H992" s="1" t="s">
        <v>3453</v>
      </c>
      <c r="I992" s="1" t="s">
        <v>218</v>
      </c>
      <c r="J992" s="1" t="s">
        <v>371</v>
      </c>
      <c r="K992" s="1" t="n">
        <v>22.42</v>
      </c>
      <c r="L992" s="1" t="n">
        <v>4.5</v>
      </c>
      <c r="M992" s="1" t="n">
        <v>16200</v>
      </c>
      <c r="N992" s="4" t="b">
        <f aca="false">FALSE()</f>
        <v>0</v>
      </c>
      <c r="P992" s="4" t="b">
        <f aca="false">FALSE()</f>
        <v>0</v>
      </c>
      <c r="R992" s="1" t="s">
        <v>3411</v>
      </c>
      <c r="S992" s="1" t="s">
        <v>3454</v>
      </c>
      <c r="T992" s="1" t="s">
        <v>222</v>
      </c>
      <c r="U992" s="1" t="s">
        <v>2102</v>
      </c>
    </row>
    <row r="993" customFormat="false" ht="48" hidden="false" customHeight="true" outlineLevel="0" collapsed="false">
      <c r="A993" s="1" t="s">
        <v>45</v>
      </c>
      <c r="B993" s="1" t="s">
        <v>2097</v>
      </c>
      <c r="C993" s="1" t="s">
        <v>57</v>
      </c>
      <c r="D993" s="1" t="s">
        <v>1751</v>
      </c>
      <c r="E993" s="1" t="n">
        <v>22</v>
      </c>
      <c r="F993" s="1" t="s">
        <v>3455</v>
      </c>
      <c r="G993" s="1" t="s">
        <v>236</v>
      </c>
      <c r="H993" s="1" t="s">
        <v>3456</v>
      </c>
      <c r="I993" s="1" t="s">
        <v>289</v>
      </c>
      <c r="J993" s="1" t="s">
        <v>597</v>
      </c>
      <c r="K993" s="1" t="n">
        <v>12.05</v>
      </c>
      <c r="L993" s="1" t="n">
        <v>4.5</v>
      </c>
      <c r="M993" s="1" t="n">
        <v>2200</v>
      </c>
      <c r="N993" s="4" t="b">
        <f aca="false">FALSE()</f>
        <v>0</v>
      </c>
      <c r="P993" s="4" t="b">
        <f aca="false">TRUE()</f>
        <v>1</v>
      </c>
      <c r="R993" s="1" t="s">
        <v>3411</v>
      </c>
      <c r="S993" s="1" t="s">
        <v>3457</v>
      </c>
      <c r="T993" s="1" t="s">
        <v>222</v>
      </c>
      <c r="U993" s="1" t="s">
        <v>2102</v>
      </c>
    </row>
    <row r="994" customFormat="false" ht="48" hidden="false" customHeight="true" outlineLevel="0" collapsed="false">
      <c r="A994" s="1" t="s">
        <v>45</v>
      </c>
      <c r="B994" s="1" t="s">
        <v>2097</v>
      </c>
      <c r="C994" s="1" t="s">
        <v>57</v>
      </c>
      <c r="D994" s="1" t="s">
        <v>1751</v>
      </c>
      <c r="E994" s="1" t="n">
        <v>23</v>
      </c>
      <c r="F994" s="1" t="s">
        <v>2784</v>
      </c>
      <c r="G994" s="1" t="s">
        <v>236</v>
      </c>
      <c r="H994" s="1" t="s">
        <v>2785</v>
      </c>
      <c r="I994" s="1" t="s">
        <v>402</v>
      </c>
      <c r="J994" s="1" t="s">
        <v>597</v>
      </c>
      <c r="L994" s="1" t="n">
        <v>4.2</v>
      </c>
      <c r="M994" s="1" t="n">
        <v>918</v>
      </c>
      <c r="N994" s="4" t="b">
        <f aca="false">FALSE()</f>
        <v>0</v>
      </c>
      <c r="P994" s="4" t="b">
        <f aca="false">TRUE()</f>
        <v>1</v>
      </c>
      <c r="Q994" s="1" t="s">
        <v>233</v>
      </c>
      <c r="R994" s="1" t="s">
        <v>3411</v>
      </c>
      <c r="S994" s="1" t="s">
        <v>2786</v>
      </c>
      <c r="T994" s="1" t="s">
        <v>222</v>
      </c>
      <c r="U994" s="1" t="s">
        <v>2102</v>
      </c>
    </row>
    <row r="995" customFormat="false" ht="48" hidden="false" customHeight="true" outlineLevel="0" collapsed="false">
      <c r="A995" s="1" t="s">
        <v>45</v>
      </c>
      <c r="B995" s="1" t="s">
        <v>2097</v>
      </c>
      <c r="C995" s="1" t="s">
        <v>57</v>
      </c>
      <c r="D995" s="1" t="s">
        <v>1751</v>
      </c>
      <c r="E995" s="1" t="n">
        <v>24</v>
      </c>
      <c r="F995" s="1" t="s">
        <v>3458</v>
      </c>
      <c r="G995" s="1" t="s">
        <v>236</v>
      </c>
      <c r="H995" s="1" t="s">
        <v>3459</v>
      </c>
      <c r="I995" s="1" t="s">
        <v>402</v>
      </c>
      <c r="J995" s="1" t="s">
        <v>597</v>
      </c>
      <c r="L995" s="1" t="n">
        <v>3.8</v>
      </c>
      <c r="M995" s="1" t="n">
        <v>67</v>
      </c>
      <c r="N995" s="4" t="b">
        <f aca="false">FALSE()</f>
        <v>0</v>
      </c>
      <c r="P995" s="4" t="b">
        <f aca="false">TRUE()</f>
        <v>1</v>
      </c>
      <c r="R995" s="1" t="s">
        <v>3411</v>
      </c>
      <c r="S995" s="1" t="s">
        <v>3460</v>
      </c>
      <c r="T995" s="1" t="s">
        <v>222</v>
      </c>
      <c r="U995" s="1" t="s">
        <v>2102</v>
      </c>
    </row>
    <row r="996" customFormat="false" ht="48" hidden="false" customHeight="true" outlineLevel="0" collapsed="false">
      <c r="A996" s="1" t="s">
        <v>45</v>
      </c>
      <c r="B996" s="1" t="s">
        <v>2097</v>
      </c>
      <c r="C996" s="1" t="s">
        <v>57</v>
      </c>
      <c r="D996" s="1" t="s">
        <v>1751</v>
      </c>
      <c r="E996" s="1" t="n">
        <v>25</v>
      </c>
      <c r="F996" s="1" t="s">
        <v>2796</v>
      </c>
      <c r="G996" s="1" t="s">
        <v>236</v>
      </c>
      <c r="H996" s="1" t="s">
        <v>2797</v>
      </c>
      <c r="I996" s="1" t="s">
        <v>402</v>
      </c>
      <c r="J996" s="1" t="s">
        <v>689</v>
      </c>
      <c r="L996" s="1" t="n">
        <v>4.6</v>
      </c>
      <c r="M996" s="1" t="n">
        <v>50</v>
      </c>
      <c r="N996" s="4" t="b">
        <f aca="false">FALSE()</f>
        <v>0</v>
      </c>
      <c r="P996" s="4" t="b">
        <f aca="false">TRUE()</f>
        <v>1</v>
      </c>
      <c r="R996" s="1" t="s">
        <v>3411</v>
      </c>
      <c r="S996" s="1" t="s">
        <v>2798</v>
      </c>
      <c r="T996" s="1" t="s">
        <v>222</v>
      </c>
      <c r="U996" s="1" t="s">
        <v>2102</v>
      </c>
    </row>
    <row r="997" customFormat="false" ht="48" hidden="false" customHeight="true" outlineLevel="0" collapsed="false">
      <c r="A997" s="1" t="s">
        <v>45</v>
      </c>
      <c r="B997" s="1" t="s">
        <v>2097</v>
      </c>
      <c r="C997" s="1" t="s">
        <v>57</v>
      </c>
      <c r="D997" s="1" t="s">
        <v>1751</v>
      </c>
      <c r="E997" s="1" t="n">
        <v>26</v>
      </c>
      <c r="F997" s="1" t="s">
        <v>3461</v>
      </c>
      <c r="G997" s="1" t="s">
        <v>2270</v>
      </c>
      <c r="H997" s="1" t="s">
        <v>3462</v>
      </c>
      <c r="I997" s="1" t="s">
        <v>231</v>
      </c>
      <c r="J997" s="1" t="s">
        <v>597</v>
      </c>
      <c r="K997" s="1" t="n">
        <v>36.64</v>
      </c>
      <c r="L997" s="1" t="n">
        <v>4.3</v>
      </c>
      <c r="M997" s="1" t="n">
        <v>5900</v>
      </c>
      <c r="N997" s="4" t="b">
        <f aca="false">FALSE()</f>
        <v>0</v>
      </c>
      <c r="O997" s="1" t="s">
        <v>3463</v>
      </c>
      <c r="P997" s="4" t="b">
        <f aca="false">TRUE()</f>
        <v>1</v>
      </c>
      <c r="R997" s="1" t="s">
        <v>3411</v>
      </c>
      <c r="S997" s="1" t="s">
        <v>3464</v>
      </c>
      <c r="T997" s="1" t="s">
        <v>222</v>
      </c>
      <c r="U997" s="1" t="s">
        <v>2102</v>
      </c>
    </row>
    <row r="998" customFormat="false" ht="48" hidden="false" customHeight="true" outlineLevel="0" collapsed="false">
      <c r="A998" s="1" t="s">
        <v>45</v>
      </c>
      <c r="B998" s="1" t="s">
        <v>2097</v>
      </c>
      <c r="C998" s="1" t="s">
        <v>57</v>
      </c>
      <c r="D998" s="1" t="s">
        <v>1751</v>
      </c>
      <c r="E998" s="1" t="n">
        <v>27</v>
      </c>
      <c r="F998" s="1" t="s">
        <v>3465</v>
      </c>
      <c r="G998" s="1" t="s">
        <v>236</v>
      </c>
      <c r="H998" s="1" t="s">
        <v>3466</v>
      </c>
      <c r="I998" s="1" t="s">
        <v>231</v>
      </c>
      <c r="J998" s="1" t="s">
        <v>597</v>
      </c>
      <c r="L998" s="1" t="n">
        <v>4.3</v>
      </c>
      <c r="M998" s="1" t="n">
        <v>60</v>
      </c>
      <c r="N998" s="4" t="b">
        <f aca="false">FALSE()</f>
        <v>0</v>
      </c>
      <c r="P998" s="4" t="b">
        <f aca="false">TRUE()</f>
        <v>1</v>
      </c>
      <c r="R998" s="1" t="s">
        <v>3411</v>
      </c>
      <c r="S998" s="1" t="s">
        <v>3467</v>
      </c>
      <c r="T998" s="1" t="s">
        <v>222</v>
      </c>
      <c r="U998" s="1" t="s">
        <v>2102</v>
      </c>
    </row>
    <row r="999" customFormat="false" ht="48" hidden="false" customHeight="true" outlineLevel="0" collapsed="false">
      <c r="A999" s="1" t="s">
        <v>45</v>
      </c>
      <c r="B999" s="1" t="s">
        <v>2097</v>
      </c>
      <c r="C999" s="1" t="s">
        <v>57</v>
      </c>
      <c r="D999" s="1" t="s">
        <v>1751</v>
      </c>
      <c r="E999" s="1" t="n">
        <v>28</v>
      </c>
      <c r="F999" s="1" t="s">
        <v>3468</v>
      </c>
      <c r="G999" s="1" t="s">
        <v>236</v>
      </c>
      <c r="H999" s="1" t="s">
        <v>3469</v>
      </c>
      <c r="I999" s="1" t="s">
        <v>306</v>
      </c>
      <c r="J999" s="1" t="s">
        <v>689</v>
      </c>
      <c r="L999" s="1" t="n">
        <v>4.2</v>
      </c>
      <c r="M999" s="1" t="n">
        <v>115</v>
      </c>
      <c r="N999" s="4" t="b">
        <f aca="false">FALSE()</f>
        <v>0</v>
      </c>
      <c r="P999" s="4" t="b">
        <f aca="false">TRUE()</f>
        <v>1</v>
      </c>
      <c r="R999" s="1" t="s">
        <v>3411</v>
      </c>
      <c r="S999" s="1" t="s">
        <v>3470</v>
      </c>
      <c r="T999" s="1" t="s">
        <v>222</v>
      </c>
      <c r="U999" s="1" t="s">
        <v>2102</v>
      </c>
    </row>
    <row r="1000" customFormat="false" ht="48" hidden="false" customHeight="true" outlineLevel="0" collapsed="false">
      <c r="A1000" s="1" t="s">
        <v>45</v>
      </c>
      <c r="B1000" s="1" t="s">
        <v>2097</v>
      </c>
      <c r="C1000" s="1" t="s">
        <v>57</v>
      </c>
      <c r="D1000" s="1" t="s">
        <v>1751</v>
      </c>
      <c r="E1000" s="1" t="n">
        <v>29</v>
      </c>
      <c r="F1000" s="1" t="s">
        <v>3471</v>
      </c>
      <c r="G1000" s="1" t="s">
        <v>236</v>
      </c>
      <c r="H1000" s="1" t="s">
        <v>3472</v>
      </c>
      <c r="I1000" s="1" t="s">
        <v>402</v>
      </c>
      <c r="J1000" s="1" t="s">
        <v>310</v>
      </c>
      <c r="K1000" s="1" t="n">
        <v>15.99</v>
      </c>
      <c r="L1000" s="1" t="n">
        <v>3.9</v>
      </c>
      <c r="M1000" s="1" t="n">
        <v>207</v>
      </c>
      <c r="N1000" s="4" t="b">
        <f aca="false">FALSE()</f>
        <v>0</v>
      </c>
      <c r="O1000" s="1" t="s">
        <v>2465</v>
      </c>
      <c r="P1000" s="4" t="b">
        <f aca="false">FALSE()</f>
        <v>0</v>
      </c>
      <c r="R1000" s="1" t="s">
        <v>3411</v>
      </c>
      <c r="S1000" s="1" t="s">
        <v>3473</v>
      </c>
      <c r="T1000" s="1" t="s">
        <v>222</v>
      </c>
      <c r="U1000" s="1" t="s">
        <v>2102</v>
      </c>
    </row>
    <row r="1001" customFormat="false" ht="48" hidden="false" customHeight="true" outlineLevel="0" collapsed="false">
      <c r="A1001" s="1" t="s">
        <v>45</v>
      </c>
      <c r="B1001" s="1" t="s">
        <v>2097</v>
      </c>
      <c r="C1001" s="1" t="s">
        <v>57</v>
      </c>
      <c r="D1001" s="1" t="s">
        <v>1751</v>
      </c>
      <c r="E1001" s="1" t="n">
        <v>30</v>
      </c>
      <c r="F1001" s="1" t="s">
        <v>3474</v>
      </c>
      <c r="G1001" s="1" t="s">
        <v>236</v>
      </c>
      <c r="H1001" s="1" t="s">
        <v>3475</v>
      </c>
      <c r="I1001" s="1" t="s">
        <v>402</v>
      </c>
      <c r="J1001" s="1" t="s">
        <v>310</v>
      </c>
      <c r="L1001" s="1" t="n">
        <v>4.6</v>
      </c>
      <c r="M1001" s="1" t="n">
        <v>16</v>
      </c>
      <c r="N1001" s="4" t="b">
        <f aca="false">FALSE()</f>
        <v>0</v>
      </c>
      <c r="P1001" s="4" t="b">
        <f aca="false">FALSE()</f>
        <v>0</v>
      </c>
      <c r="R1001" s="1" t="s">
        <v>3411</v>
      </c>
      <c r="S1001" s="1" t="s">
        <v>3476</v>
      </c>
      <c r="T1001" s="1" t="s">
        <v>222</v>
      </c>
      <c r="U1001" s="1" t="s">
        <v>2102</v>
      </c>
    </row>
    <row r="1002" customFormat="false" ht="48" hidden="false" customHeight="true" outlineLevel="0" collapsed="false">
      <c r="A1002" s="1" t="s">
        <v>45</v>
      </c>
      <c r="B1002" s="1" t="s">
        <v>2097</v>
      </c>
      <c r="C1002" s="1" t="s">
        <v>57</v>
      </c>
      <c r="D1002" s="1" t="s">
        <v>1751</v>
      </c>
      <c r="E1002" s="1" t="n">
        <v>31</v>
      </c>
      <c r="F1002" s="1" t="s">
        <v>3477</v>
      </c>
      <c r="G1002" s="1" t="s">
        <v>236</v>
      </c>
      <c r="H1002" s="1" t="s">
        <v>3478</v>
      </c>
      <c r="I1002" s="1" t="s">
        <v>231</v>
      </c>
      <c r="J1002" s="1" t="s">
        <v>597</v>
      </c>
      <c r="L1002" s="1" t="n">
        <v>3.9</v>
      </c>
      <c r="M1002" s="1" t="n">
        <v>430</v>
      </c>
      <c r="N1002" s="4" t="b">
        <f aca="false">FALSE()</f>
        <v>0</v>
      </c>
      <c r="P1002" s="4" t="b">
        <f aca="false">TRUE()</f>
        <v>1</v>
      </c>
      <c r="R1002" s="1" t="s">
        <v>3411</v>
      </c>
      <c r="S1002" s="1" t="s">
        <v>3479</v>
      </c>
      <c r="T1002" s="1" t="s">
        <v>222</v>
      </c>
      <c r="U1002" s="1" t="s">
        <v>2102</v>
      </c>
    </row>
    <row r="1003" customFormat="false" ht="48" hidden="false" customHeight="true" outlineLevel="0" collapsed="false">
      <c r="A1003" s="1" t="s">
        <v>45</v>
      </c>
      <c r="B1003" s="1" t="s">
        <v>2097</v>
      </c>
      <c r="C1003" s="1" t="s">
        <v>57</v>
      </c>
      <c r="D1003" s="1" t="s">
        <v>1751</v>
      </c>
      <c r="E1003" s="1" t="n">
        <v>32</v>
      </c>
      <c r="F1003" s="1" t="s">
        <v>3480</v>
      </c>
      <c r="G1003" s="1" t="s">
        <v>236</v>
      </c>
      <c r="H1003" s="1" t="s">
        <v>3481</v>
      </c>
      <c r="I1003" s="1" t="s">
        <v>402</v>
      </c>
      <c r="J1003" s="1" t="s">
        <v>597</v>
      </c>
      <c r="L1003" s="1" t="n">
        <v>3.9</v>
      </c>
      <c r="M1003" s="1" t="n">
        <v>430</v>
      </c>
      <c r="N1003" s="4" t="b">
        <f aca="false">FALSE()</f>
        <v>0</v>
      </c>
      <c r="P1003" s="4" t="b">
        <f aca="false">TRUE()</f>
        <v>1</v>
      </c>
      <c r="R1003" s="1" t="s">
        <v>3411</v>
      </c>
      <c r="S1003" s="1" t="s">
        <v>3482</v>
      </c>
      <c r="T1003" s="1" t="s">
        <v>222</v>
      </c>
      <c r="U1003" s="1" t="s">
        <v>2102</v>
      </c>
    </row>
    <row r="1004" customFormat="false" ht="48" hidden="false" customHeight="true" outlineLevel="0" collapsed="false">
      <c r="A1004" s="1" t="s">
        <v>45</v>
      </c>
      <c r="B1004" s="1" t="s">
        <v>2097</v>
      </c>
      <c r="C1004" s="1" t="s">
        <v>57</v>
      </c>
      <c r="D1004" s="1" t="s">
        <v>1751</v>
      </c>
      <c r="E1004" s="1" t="n">
        <v>33</v>
      </c>
      <c r="F1004" s="1" t="s">
        <v>3483</v>
      </c>
      <c r="G1004" s="1" t="s">
        <v>236</v>
      </c>
      <c r="H1004" s="1" t="s">
        <v>3484</v>
      </c>
      <c r="I1004" s="1" t="s">
        <v>299</v>
      </c>
      <c r="J1004" s="1" t="s">
        <v>597</v>
      </c>
      <c r="K1004" s="1" t="n">
        <v>49.57</v>
      </c>
      <c r="L1004" s="1" t="n">
        <v>4.5</v>
      </c>
      <c r="M1004" s="1" t="n">
        <v>6100</v>
      </c>
      <c r="N1004" s="4" t="b">
        <f aca="false">FALSE()</f>
        <v>0</v>
      </c>
      <c r="P1004" s="4" t="b">
        <f aca="false">TRUE()</f>
        <v>1</v>
      </c>
      <c r="R1004" s="1" t="s">
        <v>3411</v>
      </c>
      <c r="S1004" s="1" t="s">
        <v>3485</v>
      </c>
      <c r="T1004" s="1" t="s">
        <v>222</v>
      </c>
      <c r="U1004" s="1" t="s">
        <v>2102</v>
      </c>
    </row>
    <row r="1005" customFormat="false" ht="48" hidden="false" customHeight="true" outlineLevel="0" collapsed="false">
      <c r="A1005" s="1" t="s">
        <v>45</v>
      </c>
      <c r="B1005" s="1" t="s">
        <v>2097</v>
      </c>
      <c r="C1005" s="1" t="s">
        <v>57</v>
      </c>
      <c r="D1005" s="1" t="s">
        <v>1751</v>
      </c>
      <c r="E1005" s="1" t="n">
        <v>34</v>
      </c>
      <c r="F1005" s="1" t="s">
        <v>3486</v>
      </c>
      <c r="G1005" s="1" t="s">
        <v>236</v>
      </c>
      <c r="H1005" s="1" t="s">
        <v>3487</v>
      </c>
      <c r="I1005" s="1" t="s">
        <v>2323</v>
      </c>
      <c r="J1005" s="1" t="s">
        <v>597</v>
      </c>
      <c r="L1005" s="1" t="n">
        <v>4.6</v>
      </c>
      <c r="M1005" s="1" t="n">
        <v>418</v>
      </c>
      <c r="N1005" s="4" t="b">
        <f aca="false">FALSE()</f>
        <v>0</v>
      </c>
      <c r="P1005" s="4" t="b">
        <f aca="false">TRUE()</f>
        <v>1</v>
      </c>
      <c r="Q1005" s="1" t="s">
        <v>435</v>
      </c>
      <c r="R1005" s="1" t="s">
        <v>3411</v>
      </c>
      <c r="S1005" s="1" t="s">
        <v>3488</v>
      </c>
      <c r="T1005" s="1" t="s">
        <v>222</v>
      </c>
      <c r="U1005" s="1" t="s">
        <v>2102</v>
      </c>
    </row>
    <row r="1006" customFormat="false" ht="48" hidden="false" customHeight="true" outlineLevel="0" collapsed="false">
      <c r="A1006" s="1" t="s">
        <v>45</v>
      </c>
      <c r="B1006" s="1" t="s">
        <v>2097</v>
      </c>
      <c r="C1006" s="1" t="s">
        <v>57</v>
      </c>
      <c r="D1006" s="1" t="s">
        <v>1751</v>
      </c>
      <c r="E1006" s="1" t="n">
        <v>35</v>
      </c>
      <c r="F1006" s="1" t="s">
        <v>3489</v>
      </c>
      <c r="G1006" s="1" t="s">
        <v>236</v>
      </c>
      <c r="H1006" s="1" t="s">
        <v>3490</v>
      </c>
      <c r="I1006" s="1" t="s">
        <v>2323</v>
      </c>
      <c r="J1006" s="1" t="s">
        <v>597</v>
      </c>
      <c r="L1006" s="1" t="n">
        <v>4.4</v>
      </c>
      <c r="M1006" s="1" t="n">
        <v>17</v>
      </c>
      <c r="N1006" s="4" t="b">
        <f aca="false">FALSE()</f>
        <v>0</v>
      </c>
      <c r="P1006" s="4" t="b">
        <f aca="false">TRUE()</f>
        <v>1</v>
      </c>
      <c r="R1006" s="1" t="s">
        <v>3411</v>
      </c>
      <c r="S1006" s="1" t="s">
        <v>3491</v>
      </c>
      <c r="T1006" s="1" t="s">
        <v>222</v>
      </c>
      <c r="U1006" s="1" t="s">
        <v>2102</v>
      </c>
    </row>
    <row r="1007" customFormat="false" ht="48" hidden="false" customHeight="true" outlineLevel="0" collapsed="false">
      <c r="A1007" s="1" t="s">
        <v>45</v>
      </c>
      <c r="B1007" s="1" t="s">
        <v>2097</v>
      </c>
      <c r="C1007" s="1" t="s">
        <v>57</v>
      </c>
      <c r="D1007" s="1" t="s">
        <v>1751</v>
      </c>
      <c r="E1007" s="1" t="n">
        <v>36</v>
      </c>
      <c r="F1007" s="1" t="s">
        <v>3492</v>
      </c>
      <c r="G1007" s="1" t="s">
        <v>236</v>
      </c>
      <c r="H1007" s="1" t="s">
        <v>3493</v>
      </c>
      <c r="I1007" s="1" t="s">
        <v>242</v>
      </c>
      <c r="J1007" s="1" t="s">
        <v>597</v>
      </c>
      <c r="K1007" s="1" t="n">
        <v>55.93</v>
      </c>
      <c r="L1007" s="1" t="n">
        <v>4.3</v>
      </c>
      <c r="M1007" s="1" t="n">
        <v>189</v>
      </c>
      <c r="N1007" s="4" t="b">
        <f aca="false">FALSE()</f>
        <v>0</v>
      </c>
      <c r="P1007" s="4" t="b">
        <f aca="false">TRUE()</f>
        <v>1</v>
      </c>
      <c r="R1007" s="1" t="s">
        <v>3411</v>
      </c>
      <c r="S1007" s="1" t="s">
        <v>3494</v>
      </c>
      <c r="T1007" s="1" t="s">
        <v>222</v>
      </c>
      <c r="U1007" s="1" t="s">
        <v>2102</v>
      </c>
    </row>
    <row r="1008" customFormat="false" ht="48" hidden="false" customHeight="true" outlineLevel="0" collapsed="false">
      <c r="A1008" s="1" t="s">
        <v>45</v>
      </c>
      <c r="B1008" s="1" t="s">
        <v>2097</v>
      </c>
      <c r="C1008" s="1" t="s">
        <v>57</v>
      </c>
      <c r="D1008" s="1" t="s">
        <v>1751</v>
      </c>
      <c r="E1008" s="1" t="n">
        <v>37</v>
      </c>
      <c r="F1008" s="1" t="s">
        <v>3495</v>
      </c>
      <c r="G1008" s="1" t="s">
        <v>236</v>
      </c>
      <c r="H1008" s="1" t="s">
        <v>3496</v>
      </c>
      <c r="I1008" s="1" t="s">
        <v>231</v>
      </c>
      <c r="J1008" s="1" t="s">
        <v>597</v>
      </c>
      <c r="K1008" s="1" t="n">
        <v>73.76</v>
      </c>
      <c r="L1008" s="1" t="n">
        <v>4.5</v>
      </c>
      <c r="M1008" s="1" t="n">
        <v>7500</v>
      </c>
      <c r="N1008" s="4" t="b">
        <f aca="false">FALSE()</f>
        <v>0</v>
      </c>
      <c r="P1008" s="4" t="b">
        <f aca="false">TRUE()</f>
        <v>1</v>
      </c>
      <c r="R1008" s="1" t="s">
        <v>3411</v>
      </c>
      <c r="S1008" s="1" t="s">
        <v>3497</v>
      </c>
      <c r="T1008" s="1" t="s">
        <v>222</v>
      </c>
      <c r="U1008" s="1" t="s">
        <v>2102</v>
      </c>
    </row>
    <row r="1009" customFormat="false" ht="48" hidden="false" customHeight="true" outlineLevel="0" collapsed="false">
      <c r="A1009" s="1" t="s">
        <v>45</v>
      </c>
      <c r="B1009" s="1" t="s">
        <v>2097</v>
      </c>
      <c r="C1009" s="1" t="s">
        <v>57</v>
      </c>
      <c r="D1009" s="1" t="s">
        <v>1751</v>
      </c>
      <c r="E1009" s="1" t="n">
        <v>38</v>
      </c>
      <c r="F1009" s="1" t="s">
        <v>2146</v>
      </c>
      <c r="G1009" s="1" t="s">
        <v>236</v>
      </c>
      <c r="H1009" s="1" t="s">
        <v>2147</v>
      </c>
      <c r="I1009" s="1" t="s">
        <v>231</v>
      </c>
      <c r="J1009" s="1" t="s">
        <v>371</v>
      </c>
      <c r="K1009" s="1" t="n">
        <v>29.24</v>
      </c>
      <c r="L1009" s="1" t="n">
        <v>4.6</v>
      </c>
      <c r="M1009" s="1" t="n">
        <v>4200</v>
      </c>
      <c r="N1009" s="4" t="b">
        <f aca="false">FALSE()</f>
        <v>0</v>
      </c>
      <c r="P1009" s="4" t="b">
        <f aca="false">FALSE()</f>
        <v>0</v>
      </c>
      <c r="R1009" s="1" t="s">
        <v>3411</v>
      </c>
      <c r="S1009" s="1" t="s">
        <v>2148</v>
      </c>
      <c r="T1009" s="1" t="s">
        <v>222</v>
      </c>
      <c r="U1009" s="1" t="s">
        <v>2102</v>
      </c>
    </row>
    <row r="1010" customFormat="false" ht="48" hidden="false" customHeight="true" outlineLevel="0" collapsed="false">
      <c r="A1010" s="1" t="s">
        <v>45</v>
      </c>
      <c r="B1010" s="1" t="s">
        <v>2097</v>
      </c>
      <c r="C1010" s="1" t="s">
        <v>57</v>
      </c>
      <c r="D1010" s="1" t="s">
        <v>1751</v>
      </c>
      <c r="E1010" s="1" t="n">
        <v>39</v>
      </c>
      <c r="F1010" s="1" t="s">
        <v>3498</v>
      </c>
      <c r="G1010" s="1" t="s">
        <v>774</v>
      </c>
      <c r="H1010" s="1" t="s">
        <v>3499</v>
      </c>
      <c r="I1010" s="1" t="s">
        <v>218</v>
      </c>
      <c r="J1010" s="1" t="s">
        <v>371</v>
      </c>
      <c r="K1010" s="1" t="n">
        <v>17.12</v>
      </c>
      <c r="L1010" s="1" t="n">
        <v>4.6</v>
      </c>
      <c r="M1010" s="1" t="n">
        <v>1400</v>
      </c>
      <c r="N1010" s="4" t="b">
        <f aca="false">FALSE()</f>
        <v>0</v>
      </c>
      <c r="O1010" s="1" t="s">
        <v>2257</v>
      </c>
      <c r="P1010" s="4" t="b">
        <f aca="false">FALSE()</f>
        <v>0</v>
      </c>
      <c r="R1010" s="1" t="s">
        <v>3411</v>
      </c>
      <c r="S1010" s="1" t="s">
        <v>3500</v>
      </c>
      <c r="T1010" s="1" t="s">
        <v>222</v>
      </c>
      <c r="U1010" s="1" t="s">
        <v>2102</v>
      </c>
    </row>
    <row r="1011" customFormat="false" ht="48" hidden="false" customHeight="true" outlineLevel="0" collapsed="false">
      <c r="A1011" s="1" t="s">
        <v>45</v>
      </c>
      <c r="B1011" s="1" t="s">
        <v>2097</v>
      </c>
      <c r="C1011" s="1" t="s">
        <v>57</v>
      </c>
      <c r="D1011" s="1" t="s">
        <v>1751</v>
      </c>
      <c r="E1011" s="1" t="n">
        <v>40</v>
      </c>
      <c r="F1011" s="1" t="s">
        <v>3501</v>
      </c>
      <c r="G1011" s="1" t="s">
        <v>236</v>
      </c>
      <c r="H1011" s="1" t="s">
        <v>3502</v>
      </c>
      <c r="I1011" s="1" t="s">
        <v>402</v>
      </c>
      <c r="J1011" s="1" t="s">
        <v>597</v>
      </c>
      <c r="K1011" s="1" t="n">
        <v>51.38</v>
      </c>
      <c r="L1011" s="1" t="n">
        <v>4.4</v>
      </c>
      <c r="M1011" s="1" t="n">
        <v>1800</v>
      </c>
      <c r="N1011" s="4" t="b">
        <f aca="false">FALSE()</f>
        <v>0</v>
      </c>
      <c r="P1011" s="4" t="b">
        <f aca="false">TRUE()</f>
        <v>1</v>
      </c>
      <c r="R1011" s="1" t="s">
        <v>3411</v>
      </c>
      <c r="S1011" s="1" t="s">
        <v>3503</v>
      </c>
      <c r="T1011" s="1" t="s">
        <v>222</v>
      </c>
      <c r="U1011" s="1" t="s">
        <v>2102</v>
      </c>
    </row>
    <row r="1012" customFormat="false" ht="48" hidden="false" customHeight="true" outlineLevel="0" collapsed="false">
      <c r="A1012" s="1" t="s">
        <v>45</v>
      </c>
      <c r="B1012" s="1" t="s">
        <v>2097</v>
      </c>
      <c r="C1012" s="1" t="s">
        <v>57</v>
      </c>
      <c r="D1012" s="1" t="s">
        <v>1751</v>
      </c>
      <c r="E1012" s="1" t="n">
        <v>41</v>
      </c>
      <c r="F1012" s="1" t="s">
        <v>3504</v>
      </c>
      <c r="G1012" s="1" t="s">
        <v>236</v>
      </c>
      <c r="H1012" s="1" t="s">
        <v>3505</v>
      </c>
      <c r="I1012" s="1" t="s">
        <v>242</v>
      </c>
      <c r="J1012" s="1" t="s">
        <v>597</v>
      </c>
      <c r="K1012" s="1" t="n">
        <v>60.36</v>
      </c>
      <c r="L1012" s="1" t="n">
        <v>4.6</v>
      </c>
      <c r="M1012" s="1" t="n">
        <v>1700</v>
      </c>
      <c r="N1012" s="4" t="b">
        <f aca="false">FALSE()</f>
        <v>0</v>
      </c>
      <c r="P1012" s="4" t="b">
        <f aca="false">TRUE()</f>
        <v>1</v>
      </c>
      <c r="R1012" s="1" t="s">
        <v>3411</v>
      </c>
      <c r="S1012" s="1" t="s">
        <v>3506</v>
      </c>
      <c r="T1012" s="1" t="s">
        <v>222</v>
      </c>
      <c r="U1012" s="1" t="s">
        <v>2102</v>
      </c>
    </row>
    <row r="1013" customFormat="false" ht="48" hidden="false" customHeight="true" outlineLevel="0" collapsed="false">
      <c r="A1013" s="1" t="s">
        <v>45</v>
      </c>
      <c r="B1013" s="1" t="s">
        <v>2097</v>
      </c>
      <c r="C1013" s="1" t="s">
        <v>57</v>
      </c>
      <c r="D1013" s="1" t="s">
        <v>1751</v>
      </c>
      <c r="E1013" s="1" t="n">
        <v>42</v>
      </c>
      <c r="F1013" s="1" t="s">
        <v>3507</v>
      </c>
      <c r="G1013" s="1" t="s">
        <v>236</v>
      </c>
      <c r="H1013" s="1" t="s">
        <v>3508</v>
      </c>
      <c r="I1013" s="1" t="s">
        <v>231</v>
      </c>
      <c r="J1013" s="1" t="s">
        <v>597</v>
      </c>
      <c r="K1013" s="1" t="n">
        <v>77.1</v>
      </c>
      <c r="L1013" s="1" t="n">
        <v>4.4</v>
      </c>
      <c r="M1013" s="1" t="n">
        <v>313</v>
      </c>
      <c r="N1013" s="4" t="b">
        <f aca="false">FALSE()</f>
        <v>0</v>
      </c>
      <c r="P1013" s="4" t="b">
        <f aca="false">TRUE()</f>
        <v>1</v>
      </c>
      <c r="R1013" s="1" t="s">
        <v>3411</v>
      </c>
      <c r="S1013" s="1" t="s">
        <v>3509</v>
      </c>
      <c r="T1013" s="1" t="s">
        <v>222</v>
      </c>
      <c r="U1013" s="1" t="s">
        <v>2102</v>
      </c>
    </row>
    <row r="1014" customFormat="false" ht="48" hidden="false" customHeight="true" outlineLevel="0" collapsed="false">
      <c r="A1014" s="1" t="s">
        <v>45</v>
      </c>
      <c r="B1014" s="1" t="s">
        <v>2097</v>
      </c>
      <c r="C1014" s="1" t="s">
        <v>57</v>
      </c>
      <c r="D1014" s="1" t="s">
        <v>1751</v>
      </c>
      <c r="E1014" s="1" t="n">
        <v>43</v>
      </c>
      <c r="F1014" s="1" t="s">
        <v>3510</v>
      </c>
      <c r="G1014" s="1" t="s">
        <v>1786</v>
      </c>
      <c r="H1014" s="1" t="s">
        <v>3511</v>
      </c>
      <c r="I1014" s="1" t="s">
        <v>218</v>
      </c>
      <c r="J1014" s="1" t="s">
        <v>597</v>
      </c>
      <c r="K1014" s="1" t="n">
        <v>47.22</v>
      </c>
      <c r="L1014" s="1" t="n">
        <v>4.6</v>
      </c>
      <c r="M1014" s="1" t="n">
        <v>2800</v>
      </c>
      <c r="N1014" s="4" t="b">
        <f aca="false">FALSE()</f>
        <v>0</v>
      </c>
      <c r="P1014" s="4" t="b">
        <f aca="false">TRUE()</f>
        <v>1</v>
      </c>
      <c r="R1014" s="1" t="s">
        <v>3411</v>
      </c>
      <c r="S1014" s="1" t="s">
        <v>3512</v>
      </c>
      <c r="T1014" s="1" t="s">
        <v>222</v>
      </c>
      <c r="U1014" s="1" t="s">
        <v>2102</v>
      </c>
    </row>
    <row r="1015" customFormat="false" ht="48" hidden="false" customHeight="true" outlineLevel="0" collapsed="false">
      <c r="A1015" s="1" t="s">
        <v>45</v>
      </c>
      <c r="B1015" s="1" t="s">
        <v>2097</v>
      </c>
      <c r="C1015" s="1" t="s">
        <v>57</v>
      </c>
      <c r="D1015" s="1" t="s">
        <v>1751</v>
      </c>
      <c r="E1015" s="1" t="n">
        <v>44</v>
      </c>
      <c r="F1015" s="1" t="s">
        <v>3513</v>
      </c>
      <c r="G1015" s="1" t="s">
        <v>236</v>
      </c>
      <c r="H1015" s="1" t="s">
        <v>3514</v>
      </c>
      <c r="I1015" s="1" t="s">
        <v>306</v>
      </c>
      <c r="J1015" s="1" t="s">
        <v>597</v>
      </c>
      <c r="N1015" s="4" t="b">
        <f aca="false">FALSE()</f>
        <v>0</v>
      </c>
      <c r="P1015" s="4" t="b">
        <f aca="false">TRUE()</f>
        <v>1</v>
      </c>
      <c r="R1015" s="1" t="s">
        <v>3411</v>
      </c>
      <c r="S1015" s="1" t="s">
        <v>3515</v>
      </c>
      <c r="T1015" s="1" t="s">
        <v>222</v>
      </c>
      <c r="U1015" s="1" t="s">
        <v>2102</v>
      </c>
    </row>
    <row r="1016" customFormat="false" ht="48" hidden="false" customHeight="true" outlineLevel="0" collapsed="false">
      <c r="A1016" s="1" t="s">
        <v>45</v>
      </c>
      <c r="B1016" s="1" t="s">
        <v>2097</v>
      </c>
      <c r="C1016" s="1" t="s">
        <v>57</v>
      </c>
      <c r="D1016" s="1" t="s">
        <v>1751</v>
      </c>
      <c r="E1016" s="1" t="n">
        <v>45</v>
      </c>
      <c r="F1016" s="1" t="s">
        <v>3516</v>
      </c>
      <c r="G1016" s="1" t="s">
        <v>2246</v>
      </c>
      <c r="H1016" s="1" t="s">
        <v>3517</v>
      </c>
      <c r="I1016" s="1" t="s">
        <v>306</v>
      </c>
      <c r="J1016" s="1" t="s">
        <v>597</v>
      </c>
      <c r="K1016" s="1" t="n">
        <v>18.99</v>
      </c>
      <c r="L1016" s="1" t="n">
        <v>4</v>
      </c>
      <c r="M1016" s="1" t="n">
        <v>2600</v>
      </c>
      <c r="N1016" s="4" t="b">
        <f aca="false">FALSE()</f>
        <v>0</v>
      </c>
      <c r="O1016" s="1" t="s">
        <v>3518</v>
      </c>
      <c r="P1016" s="4" t="b">
        <f aca="false">TRUE()</f>
        <v>1</v>
      </c>
      <c r="Q1016" s="1" t="s">
        <v>777</v>
      </c>
      <c r="R1016" s="1" t="s">
        <v>3411</v>
      </c>
      <c r="S1016" s="1" t="s">
        <v>3519</v>
      </c>
      <c r="T1016" s="1" t="s">
        <v>222</v>
      </c>
      <c r="U1016" s="1" t="s">
        <v>2102</v>
      </c>
    </row>
    <row r="1017" customFormat="false" ht="48" hidden="false" customHeight="true" outlineLevel="0" collapsed="false">
      <c r="A1017" s="1" t="s">
        <v>45</v>
      </c>
      <c r="B1017" s="1" t="s">
        <v>2097</v>
      </c>
      <c r="C1017" s="1" t="s">
        <v>57</v>
      </c>
      <c r="D1017" s="1" t="s">
        <v>1751</v>
      </c>
      <c r="E1017" s="1" t="n">
        <v>46</v>
      </c>
      <c r="F1017" s="1" t="s">
        <v>3520</v>
      </c>
      <c r="G1017" s="1" t="s">
        <v>2246</v>
      </c>
      <c r="H1017" s="1" t="s">
        <v>3521</v>
      </c>
      <c r="I1017" s="1" t="s">
        <v>402</v>
      </c>
      <c r="J1017" s="1" t="s">
        <v>310</v>
      </c>
      <c r="K1017" s="1" t="n">
        <v>15.99</v>
      </c>
      <c r="L1017" s="1" t="n">
        <v>3.8</v>
      </c>
      <c r="M1017" s="1" t="n">
        <v>88</v>
      </c>
      <c r="N1017" s="4" t="b">
        <f aca="false">FALSE()</f>
        <v>0</v>
      </c>
      <c r="O1017" s="1" t="s">
        <v>2257</v>
      </c>
      <c r="P1017" s="4" t="b">
        <f aca="false">FALSE()</f>
        <v>0</v>
      </c>
      <c r="R1017" s="1" t="s">
        <v>3411</v>
      </c>
      <c r="S1017" s="1" t="s">
        <v>3522</v>
      </c>
      <c r="T1017" s="1" t="s">
        <v>222</v>
      </c>
      <c r="U1017" s="1" t="s">
        <v>2102</v>
      </c>
    </row>
    <row r="1018" customFormat="false" ht="48" hidden="false" customHeight="true" outlineLevel="0" collapsed="false">
      <c r="A1018" s="1" t="s">
        <v>45</v>
      </c>
      <c r="B1018" s="1" t="s">
        <v>2097</v>
      </c>
      <c r="C1018" s="1" t="s">
        <v>57</v>
      </c>
      <c r="D1018" s="1" t="s">
        <v>1751</v>
      </c>
      <c r="E1018" s="1" t="n">
        <v>47</v>
      </c>
      <c r="F1018" s="1" t="s">
        <v>2421</v>
      </c>
      <c r="G1018" s="1" t="s">
        <v>2410</v>
      </c>
      <c r="H1018" s="1" t="s">
        <v>2422</v>
      </c>
      <c r="I1018" s="1" t="s">
        <v>402</v>
      </c>
      <c r="J1018" s="1" t="s">
        <v>597</v>
      </c>
      <c r="K1018" s="1" t="n">
        <v>34</v>
      </c>
      <c r="L1018" s="1" t="n">
        <v>4.5</v>
      </c>
      <c r="M1018" s="1" t="n">
        <v>980</v>
      </c>
      <c r="N1018" s="4" t="b">
        <f aca="false">FALSE()</f>
        <v>0</v>
      </c>
      <c r="O1018" s="1" t="s">
        <v>2412</v>
      </c>
      <c r="P1018" s="4" t="b">
        <f aca="false">TRUE()</f>
        <v>1</v>
      </c>
      <c r="Q1018" s="1" t="s">
        <v>451</v>
      </c>
      <c r="R1018" s="1" t="s">
        <v>3411</v>
      </c>
      <c r="S1018" s="1" t="s">
        <v>2423</v>
      </c>
      <c r="T1018" s="1" t="s">
        <v>222</v>
      </c>
      <c r="U1018" s="1" t="s">
        <v>2102</v>
      </c>
    </row>
    <row r="1019" customFormat="false" ht="48" hidden="false" customHeight="true" outlineLevel="0" collapsed="false">
      <c r="A1019" s="1" t="s">
        <v>45</v>
      </c>
      <c r="B1019" s="1" t="s">
        <v>2097</v>
      </c>
      <c r="C1019" s="1" t="s">
        <v>57</v>
      </c>
      <c r="D1019" s="1" t="s">
        <v>1751</v>
      </c>
      <c r="E1019" s="1" t="n">
        <v>48</v>
      </c>
      <c r="F1019" s="1" t="s">
        <v>2404</v>
      </c>
      <c r="G1019" s="1" t="s">
        <v>2405</v>
      </c>
      <c r="H1019" s="1" t="s">
        <v>2406</v>
      </c>
      <c r="I1019" s="1" t="s">
        <v>2323</v>
      </c>
      <c r="J1019" s="1" t="s">
        <v>597</v>
      </c>
      <c r="L1019" s="1" t="n">
        <v>4.3</v>
      </c>
      <c r="M1019" s="1" t="n">
        <v>4800</v>
      </c>
      <c r="N1019" s="4" t="b">
        <f aca="false">FALSE()</f>
        <v>0</v>
      </c>
      <c r="P1019" s="4" t="b">
        <f aca="false">TRUE()</f>
        <v>1</v>
      </c>
      <c r="Q1019" s="1" t="s">
        <v>418</v>
      </c>
      <c r="R1019" s="1" t="s">
        <v>3411</v>
      </c>
      <c r="S1019" s="1" t="s">
        <v>2408</v>
      </c>
      <c r="T1019" s="1" t="s">
        <v>222</v>
      </c>
      <c r="U1019" s="1" t="s">
        <v>2102</v>
      </c>
    </row>
    <row r="1020" customFormat="false" ht="48" hidden="false" customHeight="true" outlineLevel="0" collapsed="false">
      <c r="A1020" s="1" t="s">
        <v>45</v>
      </c>
      <c r="B1020" s="1" t="s">
        <v>2097</v>
      </c>
      <c r="C1020" s="1" t="s">
        <v>120</v>
      </c>
      <c r="D1020" s="1" t="s">
        <v>1933</v>
      </c>
      <c r="E1020" s="1" t="n">
        <v>1</v>
      </c>
      <c r="F1020" s="1" t="s">
        <v>3523</v>
      </c>
      <c r="G1020" s="1" t="s">
        <v>2481</v>
      </c>
      <c r="H1020" s="1" t="s">
        <v>3524</v>
      </c>
      <c r="I1020" s="1" t="s">
        <v>231</v>
      </c>
      <c r="J1020" s="1" t="s">
        <v>310</v>
      </c>
      <c r="K1020" s="1" t="n">
        <v>27.99</v>
      </c>
      <c r="L1020" s="1" t="n">
        <v>4</v>
      </c>
      <c r="M1020" s="1" t="n">
        <v>46</v>
      </c>
      <c r="N1020" s="4" t="b">
        <f aca="false">TRUE()</f>
        <v>1</v>
      </c>
      <c r="P1020" s="4" t="b">
        <f aca="false">TRUE()</f>
        <v>1</v>
      </c>
      <c r="Q1020" s="1" t="s">
        <v>251</v>
      </c>
      <c r="R1020" s="1" t="s">
        <v>3525</v>
      </c>
      <c r="S1020" s="1" t="s">
        <v>3526</v>
      </c>
      <c r="T1020" s="1" t="s">
        <v>222</v>
      </c>
      <c r="U1020" s="1" t="s">
        <v>2102</v>
      </c>
    </row>
    <row r="1021" customFormat="false" ht="48" hidden="false" customHeight="true" outlineLevel="0" collapsed="false">
      <c r="A1021" s="1" t="s">
        <v>45</v>
      </c>
      <c r="B1021" s="1" t="s">
        <v>2097</v>
      </c>
      <c r="C1021" s="1" t="s">
        <v>120</v>
      </c>
      <c r="D1021" s="1" t="s">
        <v>1933</v>
      </c>
      <c r="E1021" s="1" t="n">
        <v>2</v>
      </c>
      <c r="F1021" s="1" t="s">
        <v>3527</v>
      </c>
      <c r="G1021" s="1" t="s">
        <v>236</v>
      </c>
      <c r="H1021" s="1" t="s">
        <v>3528</v>
      </c>
      <c r="I1021" s="1" t="s">
        <v>306</v>
      </c>
      <c r="J1021" s="1" t="s">
        <v>597</v>
      </c>
      <c r="K1021" s="1" t="n">
        <v>130.24</v>
      </c>
      <c r="L1021" s="1" t="n">
        <v>4.6</v>
      </c>
      <c r="M1021" s="1" t="n">
        <v>299</v>
      </c>
      <c r="N1021" s="4" t="b">
        <f aca="false">TRUE()</f>
        <v>1</v>
      </c>
      <c r="O1021" s="1" t="s">
        <v>3529</v>
      </c>
      <c r="P1021" s="4" t="b">
        <f aca="false">TRUE()</f>
        <v>1</v>
      </c>
      <c r="Q1021" s="1" t="s">
        <v>251</v>
      </c>
      <c r="R1021" s="1" t="s">
        <v>3525</v>
      </c>
      <c r="S1021" s="1" t="s">
        <v>3530</v>
      </c>
      <c r="T1021" s="1" t="s">
        <v>222</v>
      </c>
      <c r="U1021" s="1" t="s">
        <v>2102</v>
      </c>
    </row>
    <row r="1022" customFormat="false" ht="48" hidden="false" customHeight="true" outlineLevel="0" collapsed="false">
      <c r="A1022" s="1" t="s">
        <v>45</v>
      </c>
      <c r="B1022" s="1" t="s">
        <v>2097</v>
      </c>
      <c r="C1022" s="1" t="s">
        <v>120</v>
      </c>
      <c r="D1022" s="1" t="s">
        <v>1933</v>
      </c>
      <c r="E1022" s="1" t="n">
        <v>3</v>
      </c>
      <c r="F1022" s="1" t="s">
        <v>3531</v>
      </c>
      <c r="G1022" s="1" t="s">
        <v>236</v>
      </c>
      <c r="H1022" s="1" t="s">
        <v>3532</v>
      </c>
      <c r="I1022" s="1" t="s">
        <v>402</v>
      </c>
      <c r="J1022" s="1" t="s">
        <v>310</v>
      </c>
      <c r="K1022" s="1" t="n">
        <v>75</v>
      </c>
      <c r="L1022" s="1" t="n">
        <v>4.3</v>
      </c>
      <c r="M1022" s="1" t="n">
        <v>47</v>
      </c>
      <c r="N1022" s="4" t="b">
        <f aca="false">TRUE()</f>
        <v>1</v>
      </c>
      <c r="P1022" s="4" t="b">
        <f aca="false">TRUE()</f>
        <v>1</v>
      </c>
      <c r="R1022" s="1" t="s">
        <v>3525</v>
      </c>
      <c r="S1022" s="1" t="s">
        <v>3533</v>
      </c>
      <c r="T1022" s="1" t="s">
        <v>222</v>
      </c>
      <c r="U1022" s="1" t="s">
        <v>2102</v>
      </c>
    </row>
    <row r="1023" customFormat="false" ht="48" hidden="false" customHeight="true" outlineLevel="0" collapsed="false">
      <c r="A1023" s="1" t="s">
        <v>45</v>
      </c>
      <c r="B1023" s="1" t="s">
        <v>2097</v>
      </c>
      <c r="C1023" s="1" t="s">
        <v>120</v>
      </c>
      <c r="D1023" s="1" t="s">
        <v>1933</v>
      </c>
      <c r="E1023" s="1" t="n">
        <v>4</v>
      </c>
      <c r="F1023" s="1" t="s">
        <v>3534</v>
      </c>
      <c r="G1023" s="1" t="s">
        <v>236</v>
      </c>
      <c r="H1023" s="1" t="s">
        <v>3535</v>
      </c>
      <c r="I1023" s="1" t="s">
        <v>2323</v>
      </c>
      <c r="J1023" s="1" t="s">
        <v>310</v>
      </c>
      <c r="K1023" s="1" t="n">
        <v>17.99</v>
      </c>
      <c r="L1023" s="1" t="n">
        <v>4.4</v>
      </c>
      <c r="M1023" s="1" t="n">
        <v>226</v>
      </c>
      <c r="N1023" s="4" t="b">
        <f aca="false">TRUE()</f>
        <v>1</v>
      </c>
      <c r="P1023" s="4" t="b">
        <f aca="false">TRUE()</f>
        <v>1</v>
      </c>
      <c r="R1023" s="1" t="s">
        <v>3525</v>
      </c>
      <c r="S1023" s="1" t="s">
        <v>3536</v>
      </c>
      <c r="T1023" s="1" t="s">
        <v>222</v>
      </c>
      <c r="U1023" s="1" t="s">
        <v>2102</v>
      </c>
    </row>
    <row r="1024" customFormat="false" ht="48" hidden="false" customHeight="true" outlineLevel="0" collapsed="false">
      <c r="A1024" s="1" t="s">
        <v>45</v>
      </c>
      <c r="B1024" s="1" t="s">
        <v>2097</v>
      </c>
      <c r="C1024" s="1" t="s">
        <v>120</v>
      </c>
      <c r="D1024" s="1" t="s">
        <v>1933</v>
      </c>
      <c r="E1024" s="1" t="n">
        <v>5</v>
      </c>
      <c r="F1024" s="1" t="s">
        <v>3537</v>
      </c>
      <c r="G1024" s="1" t="s">
        <v>236</v>
      </c>
      <c r="H1024" s="1" t="s">
        <v>3538</v>
      </c>
      <c r="I1024" s="1" t="s">
        <v>2333</v>
      </c>
      <c r="J1024" s="1" t="s">
        <v>310</v>
      </c>
      <c r="K1024" s="1" t="n">
        <v>73</v>
      </c>
      <c r="L1024" s="1" t="n">
        <v>4.4</v>
      </c>
      <c r="M1024" s="1" t="n">
        <v>9</v>
      </c>
      <c r="N1024" s="4" t="b">
        <f aca="false">TRUE()</f>
        <v>1</v>
      </c>
      <c r="P1024" s="4" t="b">
        <f aca="false">TRUE()</f>
        <v>1</v>
      </c>
      <c r="R1024" s="1" t="s">
        <v>3525</v>
      </c>
      <c r="S1024" s="1" t="s">
        <v>3539</v>
      </c>
      <c r="T1024" s="1" t="s">
        <v>222</v>
      </c>
      <c r="U1024" s="1" t="s">
        <v>2102</v>
      </c>
    </row>
    <row r="1025" customFormat="false" ht="48" hidden="false" customHeight="true" outlineLevel="0" collapsed="false">
      <c r="A1025" s="1" t="s">
        <v>45</v>
      </c>
      <c r="B1025" s="1" t="s">
        <v>2097</v>
      </c>
      <c r="C1025" s="1" t="s">
        <v>120</v>
      </c>
      <c r="D1025" s="1" t="s">
        <v>1933</v>
      </c>
      <c r="E1025" s="1" t="n">
        <v>6</v>
      </c>
      <c r="F1025" s="1" t="s">
        <v>3540</v>
      </c>
      <c r="G1025" s="1" t="s">
        <v>3541</v>
      </c>
      <c r="H1025" s="1" t="s">
        <v>3542</v>
      </c>
      <c r="I1025" s="1" t="s">
        <v>402</v>
      </c>
      <c r="J1025" s="1" t="s">
        <v>310</v>
      </c>
      <c r="L1025" s="1" t="n">
        <v>4.4</v>
      </c>
      <c r="M1025" s="1" t="n">
        <v>10500</v>
      </c>
      <c r="N1025" s="4" t="b">
        <f aca="false">FALSE()</f>
        <v>0</v>
      </c>
      <c r="P1025" s="4" t="b">
        <f aca="false">TRUE()</f>
        <v>1</v>
      </c>
      <c r="Q1025" s="1" t="s">
        <v>711</v>
      </c>
      <c r="R1025" s="1" t="s">
        <v>3525</v>
      </c>
      <c r="S1025" s="1" t="s">
        <v>3543</v>
      </c>
      <c r="T1025" s="1" t="s">
        <v>222</v>
      </c>
      <c r="U1025" s="1" t="s">
        <v>2102</v>
      </c>
    </row>
    <row r="1026" customFormat="false" ht="48" hidden="false" customHeight="true" outlineLevel="0" collapsed="false">
      <c r="A1026" s="1" t="s">
        <v>45</v>
      </c>
      <c r="B1026" s="1" t="s">
        <v>2097</v>
      </c>
      <c r="C1026" s="1" t="s">
        <v>120</v>
      </c>
      <c r="D1026" s="1" t="s">
        <v>1933</v>
      </c>
      <c r="E1026" s="1" t="n">
        <v>7</v>
      </c>
      <c r="F1026" s="1" t="s">
        <v>3544</v>
      </c>
      <c r="G1026" s="1" t="s">
        <v>236</v>
      </c>
      <c r="H1026" s="1" t="s">
        <v>3545</v>
      </c>
      <c r="I1026" s="1" t="s">
        <v>402</v>
      </c>
      <c r="J1026" s="1" t="s">
        <v>310</v>
      </c>
      <c r="L1026" s="1" t="n">
        <v>4.6</v>
      </c>
      <c r="M1026" s="1" t="n">
        <v>133</v>
      </c>
      <c r="N1026" s="4" t="b">
        <f aca="false">FALSE()</f>
        <v>0</v>
      </c>
      <c r="P1026" s="4" t="b">
        <f aca="false">TRUE()</f>
        <v>1</v>
      </c>
      <c r="Q1026" s="1" t="s">
        <v>439</v>
      </c>
      <c r="R1026" s="1" t="s">
        <v>3525</v>
      </c>
      <c r="S1026" s="1" t="s">
        <v>3546</v>
      </c>
      <c r="T1026" s="1" t="s">
        <v>222</v>
      </c>
      <c r="U1026" s="1" t="s">
        <v>2102</v>
      </c>
    </row>
    <row r="1027" customFormat="false" ht="48" hidden="false" customHeight="true" outlineLevel="0" collapsed="false">
      <c r="A1027" s="1" t="s">
        <v>45</v>
      </c>
      <c r="B1027" s="1" t="s">
        <v>2097</v>
      </c>
      <c r="C1027" s="1" t="s">
        <v>120</v>
      </c>
      <c r="D1027" s="1" t="s">
        <v>1933</v>
      </c>
      <c r="E1027" s="1" t="n">
        <v>8</v>
      </c>
      <c r="F1027" s="1" t="s">
        <v>3547</v>
      </c>
      <c r="G1027" s="1" t="s">
        <v>236</v>
      </c>
      <c r="H1027" s="1" t="s">
        <v>3548</v>
      </c>
      <c r="I1027" s="1" t="s">
        <v>402</v>
      </c>
      <c r="J1027" s="1" t="s">
        <v>371</v>
      </c>
      <c r="L1027" s="1" t="n">
        <v>4.4</v>
      </c>
      <c r="M1027" s="1" t="n">
        <v>4700</v>
      </c>
      <c r="N1027" s="4" t="b">
        <f aca="false">FALSE()</f>
        <v>0</v>
      </c>
      <c r="P1027" s="4" t="b">
        <f aca="false">TRUE()</f>
        <v>1</v>
      </c>
      <c r="Q1027" s="1" t="s">
        <v>618</v>
      </c>
      <c r="R1027" s="1" t="s">
        <v>3525</v>
      </c>
      <c r="S1027" s="1" t="s">
        <v>3549</v>
      </c>
      <c r="T1027" s="1" t="s">
        <v>222</v>
      </c>
      <c r="U1027" s="1" t="s">
        <v>2102</v>
      </c>
    </row>
    <row r="1028" customFormat="false" ht="48" hidden="false" customHeight="true" outlineLevel="0" collapsed="false">
      <c r="A1028" s="1" t="s">
        <v>45</v>
      </c>
      <c r="B1028" s="1" t="s">
        <v>2097</v>
      </c>
      <c r="C1028" s="1" t="s">
        <v>120</v>
      </c>
      <c r="D1028" s="1" t="s">
        <v>1933</v>
      </c>
      <c r="E1028" s="1" t="n">
        <v>9</v>
      </c>
      <c r="F1028" s="1" t="s">
        <v>3550</v>
      </c>
      <c r="G1028" s="1" t="s">
        <v>236</v>
      </c>
      <c r="H1028" s="1" t="s">
        <v>3551</v>
      </c>
      <c r="I1028" s="1" t="s">
        <v>402</v>
      </c>
      <c r="J1028" s="1" t="s">
        <v>310</v>
      </c>
      <c r="L1028" s="1" t="n">
        <v>4.4</v>
      </c>
      <c r="M1028" s="1" t="n">
        <v>10900</v>
      </c>
      <c r="N1028" s="4" t="b">
        <f aca="false">FALSE()</f>
        <v>0</v>
      </c>
      <c r="P1028" s="4" t="b">
        <f aca="false">TRUE()</f>
        <v>1</v>
      </c>
      <c r="Q1028" s="1" t="s">
        <v>409</v>
      </c>
      <c r="R1028" s="1" t="s">
        <v>3525</v>
      </c>
      <c r="S1028" s="1" t="s">
        <v>3552</v>
      </c>
      <c r="T1028" s="1" t="s">
        <v>222</v>
      </c>
      <c r="U1028" s="1" t="s">
        <v>2102</v>
      </c>
    </row>
    <row r="1029" customFormat="false" ht="48" hidden="false" customHeight="true" outlineLevel="0" collapsed="false">
      <c r="A1029" s="1" t="s">
        <v>45</v>
      </c>
      <c r="B1029" s="1" t="s">
        <v>2097</v>
      </c>
      <c r="C1029" s="1" t="s">
        <v>120</v>
      </c>
      <c r="D1029" s="1" t="s">
        <v>1933</v>
      </c>
      <c r="E1029" s="1" t="n">
        <v>10</v>
      </c>
      <c r="F1029" s="1" t="s">
        <v>3553</v>
      </c>
      <c r="G1029" s="1" t="s">
        <v>236</v>
      </c>
      <c r="H1029" s="1" t="s">
        <v>3554</v>
      </c>
      <c r="I1029" s="1" t="s">
        <v>231</v>
      </c>
      <c r="J1029" s="1" t="s">
        <v>371</v>
      </c>
      <c r="L1029" s="1" t="n">
        <v>4.4</v>
      </c>
      <c r="M1029" s="1" t="n">
        <v>4700</v>
      </c>
      <c r="N1029" s="4" t="b">
        <f aca="false">FALSE()</f>
        <v>0</v>
      </c>
      <c r="P1029" s="4" t="b">
        <f aca="false">TRUE()</f>
        <v>1</v>
      </c>
      <c r="Q1029" s="1" t="s">
        <v>435</v>
      </c>
      <c r="R1029" s="1" t="s">
        <v>3525</v>
      </c>
      <c r="S1029" s="1" t="s">
        <v>3555</v>
      </c>
      <c r="T1029" s="1" t="s">
        <v>222</v>
      </c>
      <c r="U1029" s="1" t="s">
        <v>2102</v>
      </c>
    </row>
    <row r="1030" customFormat="false" ht="48" hidden="false" customHeight="true" outlineLevel="0" collapsed="false">
      <c r="A1030" s="1" t="s">
        <v>45</v>
      </c>
      <c r="B1030" s="1" t="s">
        <v>2097</v>
      </c>
      <c r="C1030" s="1" t="s">
        <v>120</v>
      </c>
      <c r="D1030" s="1" t="s">
        <v>1933</v>
      </c>
      <c r="E1030" s="1" t="n">
        <v>11</v>
      </c>
      <c r="F1030" s="1" t="s">
        <v>3556</v>
      </c>
      <c r="G1030" s="1" t="s">
        <v>2481</v>
      </c>
      <c r="H1030" s="1" t="s">
        <v>3557</v>
      </c>
      <c r="I1030" s="1" t="s">
        <v>402</v>
      </c>
      <c r="J1030" s="1" t="s">
        <v>310</v>
      </c>
      <c r="K1030" s="1" t="n">
        <v>19.99</v>
      </c>
      <c r="L1030" s="1" t="n">
        <v>4.5</v>
      </c>
      <c r="M1030" s="1" t="n">
        <v>1000</v>
      </c>
      <c r="N1030" s="4" t="b">
        <f aca="false">TRUE()</f>
        <v>1</v>
      </c>
      <c r="O1030" s="1" t="s">
        <v>2696</v>
      </c>
      <c r="P1030" s="4" t="b">
        <f aca="false">TRUE()</f>
        <v>1</v>
      </c>
      <c r="R1030" s="1" t="s">
        <v>3525</v>
      </c>
      <c r="S1030" s="1" t="s">
        <v>3558</v>
      </c>
      <c r="T1030" s="1" t="s">
        <v>222</v>
      </c>
      <c r="U1030" s="1" t="s">
        <v>2102</v>
      </c>
    </row>
    <row r="1031" customFormat="false" ht="48" hidden="false" customHeight="true" outlineLevel="0" collapsed="false">
      <c r="A1031" s="1" t="s">
        <v>45</v>
      </c>
      <c r="B1031" s="1" t="s">
        <v>2097</v>
      </c>
      <c r="C1031" s="1" t="s">
        <v>120</v>
      </c>
      <c r="D1031" s="1" t="s">
        <v>1933</v>
      </c>
      <c r="E1031" s="1" t="n">
        <v>12</v>
      </c>
      <c r="F1031" s="1" t="s">
        <v>3559</v>
      </c>
      <c r="G1031" s="1" t="s">
        <v>2481</v>
      </c>
      <c r="H1031" s="1" t="s">
        <v>3560</v>
      </c>
      <c r="I1031" s="1" t="s">
        <v>402</v>
      </c>
      <c r="J1031" s="1" t="s">
        <v>310</v>
      </c>
      <c r="K1031" s="1" t="n">
        <v>22</v>
      </c>
      <c r="L1031" s="1" t="n">
        <v>4.5</v>
      </c>
      <c r="M1031" s="1" t="n">
        <v>1800</v>
      </c>
      <c r="N1031" s="4" t="b">
        <f aca="false">TRUE()</f>
        <v>1</v>
      </c>
      <c r="P1031" s="4" t="b">
        <f aca="false">TRUE()</f>
        <v>1</v>
      </c>
      <c r="Q1031" s="1" t="s">
        <v>233</v>
      </c>
      <c r="R1031" s="1" t="s">
        <v>3525</v>
      </c>
      <c r="S1031" s="1" t="s">
        <v>3561</v>
      </c>
      <c r="T1031" s="1" t="s">
        <v>222</v>
      </c>
      <c r="U1031" s="1" t="s">
        <v>2102</v>
      </c>
    </row>
    <row r="1032" customFormat="false" ht="48" hidden="false" customHeight="true" outlineLevel="0" collapsed="false">
      <c r="A1032" s="1" t="s">
        <v>45</v>
      </c>
      <c r="B1032" s="1" t="s">
        <v>2097</v>
      </c>
      <c r="C1032" s="1" t="s">
        <v>120</v>
      </c>
      <c r="D1032" s="1" t="s">
        <v>1933</v>
      </c>
      <c r="E1032" s="1" t="n">
        <v>13</v>
      </c>
      <c r="F1032" s="1" t="s">
        <v>3562</v>
      </c>
      <c r="G1032" s="1" t="s">
        <v>2481</v>
      </c>
      <c r="H1032" s="1" t="s">
        <v>3563</v>
      </c>
      <c r="I1032" s="1" t="s">
        <v>402</v>
      </c>
      <c r="J1032" s="1" t="s">
        <v>310</v>
      </c>
      <c r="K1032" s="1" t="n">
        <v>14.99</v>
      </c>
      <c r="L1032" s="1" t="n">
        <v>4.5</v>
      </c>
      <c r="M1032" s="1" t="n">
        <v>3500</v>
      </c>
      <c r="N1032" s="4" t="b">
        <f aca="false">TRUE()</f>
        <v>1</v>
      </c>
      <c r="O1032" s="1" t="s">
        <v>3564</v>
      </c>
      <c r="P1032" s="4" t="b">
        <f aca="false">TRUE()</f>
        <v>1</v>
      </c>
      <c r="Q1032" s="1" t="s">
        <v>777</v>
      </c>
      <c r="R1032" s="1" t="s">
        <v>3525</v>
      </c>
      <c r="S1032" s="1" t="s">
        <v>3565</v>
      </c>
      <c r="T1032" s="1" t="s">
        <v>222</v>
      </c>
      <c r="U1032" s="1" t="s">
        <v>2102</v>
      </c>
    </row>
    <row r="1033" customFormat="false" ht="48" hidden="false" customHeight="true" outlineLevel="0" collapsed="false">
      <c r="A1033" s="1" t="s">
        <v>45</v>
      </c>
      <c r="B1033" s="1" t="s">
        <v>2097</v>
      </c>
      <c r="C1033" s="1" t="s">
        <v>120</v>
      </c>
      <c r="D1033" s="1" t="s">
        <v>1933</v>
      </c>
      <c r="E1033" s="1" t="n">
        <v>14</v>
      </c>
      <c r="F1033" s="1" t="s">
        <v>3566</v>
      </c>
      <c r="G1033" s="1" t="s">
        <v>2481</v>
      </c>
      <c r="H1033" s="1" t="s">
        <v>3567</v>
      </c>
      <c r="I1033" s="1" t="s">
        <v>306</v>
      </c>
      <c r="J1033" s="1" t="s">
        <v>597</v>
      </c>
      <c r="K1033" s="1" t="n">
        <v>15</v>
      </c>
      <c r="L1033" s="1" t="n">
        <v>4.5</v>
      </c>
      <c r="M1033" s="1" t="n">
        <v>41</v>
      </c>
      <c r="N1033" s="4" t="b">
        <f aca="false">TRUE()</f>
        <v>1</v>
      </c>
      <c r="O1033" s="1" t="s">
        <v>2257</v>
      </c>
      <c r="P1033" s="4" t="b">
        <f aca="false">TRUE()</f>
        <v>1</v>
      </c>
      <c r="R1033" s="1" t="s">
        <v>3525</v>
      </c>
      <c r="S1033" s="1" t="s">
        <v>3568</v>
      </c>
      <c r="T1033" s="1" t="s">
        <v>222</v>
      </c>
      <c r="U1033" s="1" t="s">
        <v>2102</v>
      </c>
    </row>
    <row r="1034" customFormat="false" ht="48" hidden="false" customHeight="true" outlineLevel="0" collapsed="false">
      <c r="A1034" s="1" t="s">
        <v>45</v>
      </c>
      <c r="B1034" s="1" t="s">
        <v>2097</v>
      </c>
      <c r="C1034" s="1" t="s">
        <v>120</v>
      </c>
      <c r="D1034" s="1" t="s">
        <v>1933</v>
      </c>
      <c r="E1034" s="1" t="n">
        <v>15</v>
      </c>
      <c r="F1034" s="1" t="s">
        <v>3569</v>
      </c>
      <c r="G1034" s="1" t="s">
        <v>2481</v>
      </c>
      <c r="H1034" s="1" t="s">
        <v>3570</v>
      </c>
      <c r="I1034" s="1" t="s">
        <v>402</v>
      </c>
      <c r="J1034" s="1" t="s">
        <v>310</v>
      </c>
      <c r="K1034" s="1" t="n">
        <v>31.99</v>
      </c>
      <c r="L1034" s="1" t="n">
        <v>4.4</v>
      </c>
      <c r="M1034" s="1" t="n">
        <v>18400</v>
      </c>
      <c r="N1034" s="4" t="b">
        <f aca="false">FALSE()</f>
        <v>0</v>
      </c>
      <c r="P1034" s="4" t="b">
        <f aca="false">TRUE()</f>
        <v>1</v>
      </c>
      <c r="Q1034" s="1" t="s">
        <v>439</v>
      </c>
      <c r="R1034" s="1" t="s">
        <v>3525</v>
      </c>
      <c r="S1034" s="1" t="s">
        <v>3571</v>
      </c>
      <c r="T1034" s="1" t="s">
        <v>222</v>
      </c>
      <c r="U1034" s="1" t="s">
        <v>2102</v>
      </c>
    </row>
    <row r="1035" customFormat="false" ht="48" hidden="false" customHeight="true" outlineLevel="0" collapsed="false">
      <c r="A1035" s="1" t="s">
        <v>45</v>
      </c>
      <c r="B1035" s="1" t="s">
        <v>2097</v>
      </c>
      <c r="C1035" s="1" t="s">
        <v>120</v>
      </c>
      <c r="D1035" s="1" t="s">
        <v>1933</v>
      </c>
      <c r="E1035" s="1" t="n">
        <v>16</v>
      </c>
      <c r="F1035" s="1" t="s">
        <v>3572</v>
      </c>
      <c r="G1035" s="1" t="s">
        <v>236</v>
      </c>
      <c r="H1035" s="1" t="s">
        <v>3573</v>
      </c>
      <c r="I1035" s="1" t="s">
        <v>402</v>
      </c>
      <c r="J1035" s="1" t="s">
        <v>371</v>
      </c>
      <c r="L1035" s="1" t="n">
        <v>4.6</v>
      </c>
      <c r="M1035" s="1" t="n">
        <v>291</v>
      </c>
      <c r="N1035" s="4" t="b">
        <f aca="false">FALSE()</f>
        <v>0</v>
      </c>
      <c r="P1035" s="4" t="b">
        <f aca="false">TRUE()</f>
        <v>1</v>
      </c>
      <c r="Q1035" s="1" t="s">
        <v>711</v>
      </c>
      <c r="R1035" s="1" t="s">
        <v>3525</v>
      </c>
      <c r="S1035" s="1" t="s">
        <v>3574</v>
      </c>
      <c r="T1035" s="1" t="s">
        <v>222</v>
      </c>
      <c r="U1035" s="1" t="s">
        <v>2102</v>
      </c>
    </row>
    <row r="1036" customFormat="false" ht="48" hidden="false" customHeight="true" outlineLevel="0" collapsed="false">
      <c r="A1036" s="1" t="s">
        <v>45</v>
      </c>
      <c r="B1036" s="1" t="s">
        <v>2097</v>
      </c>
      <c r="C1036" s="1" t="s">
        <v>120</v>
      </c>
      <c r="D1036" s="1" t="s">
        <v>1933</v>
      </c>
      <c r="E1036" s="1" t="n">
        <v>17</v>
      </c>
      <c r="F1036" s="1" t="s">
        <v>3575</v>
      </c>
      <c r="G1036" s="1" t="s">
        <v>236</v>
      </c>
      <c r="H1036" s="1" t="s">
        <v>3576</v>
      </c>
      <c r="I1036" s="1" t="s">
        <v>402</v>
      </c>
      <c r="J1036" s="1" t="s">
        <v>219</v>
      </c>
      <c r="K1036" s="1" t="n">
        <v>19.99</v>
      </c>
      <c r="L1036" s="1" t="n">
        <v>4.4</v>
      </c>
      <c r="M1036" s="1" t="n">
        <v>324</v>
      </c>
      <c r="N1036" s="4" t="b">
        <f aca="false">FALSE()</f>
        <v>0</v>
      </c>
      <c r="P1036" s="4" t="b">
        <f aca="false">TRUE()</f>
        <v>1</v>
      </c>
      <c r="Q1036" s="1" t="s">
        <v>409</v>
      </c>
      <c r="R1036" s="1" t="s">
        <v>3525</v>
      </c>
      <c r="S1036" s="1" t="s">
        <v>3577</v>
      </c>
      <c r="T1036" s="1" t="s">
        <v>222</v>
      </c>
      <c r="U1036" s="1" t="s">
        <v>2102</v>
      </c>
    </row>
    <row r="1037" customFormat="false" ht="48" hidden="false" customHeight="true" outlineLevel="0" collapsed="false">
      <c r="A1037" s="1" t="s">
        <v>45</v>
      </c>
      <c r="B1037" s="1" t="s">
        <v>2097</v>
      </c>
      <c r="C1037" s="1" t="s">
        <v>120</v>
      </c>
      <c r="D1037" s="1" t="s">
        <v>1933</v>
      </c>
      <c r="E1037" s="1" t="n">
        <v>18</v>
      </c>
      <c r="F1037" s="1" t="s">
        <v>3578</v>
      </c>
      <c r="G1037" s="1" t="s">
        <v>236</v>
      </c>
      <c r="H1037" s="1" t="s">
        <v>3579</v>
      </c>
      <c r="I1037" s="1" t="s">
        <v>2323</v>
      </c>
      <c r="J1037" s="1" t="s">
        <v>371</v>
      </c>
      <c r="L1037" s="1" t="n">
        <v>4.4</v>
      </c>
      <c r="M1037" s="1" t="n">
        <v>10500</v>
      </c>
      <c r="N1037" s="4" t="b">
        <f aca="false">FALSE()</f>
        <v>0</v>
      </c>
      <c r="P1037" s="4" t="b">
        <f aca="false">TRUE()</f>
        <v>1</v>
      </c>
      <c r="Q1037" s="1" t="s">
        <v>409</v>
      </c>
      <c r="R1037" s="1" t="s">
        <v>3525</v>
      </c>
      <c r="S1037" s="1" t="s">
        <v>3580</v>
      </c>
      <c r="T1037" s="1" t="s">
        <v>222</v>
      </c>
      <c r="U1037" s="1" t="s">
        <v>2102</v>
      </c>
    </row>
    <row r="1038" customFormat="false" ht="48" hidden="false" customHeight="true" outlineLevel="0" collapsed="false">
      <c r="A1038" s="1" t="s">
        <v>45</v>
      </c>
      <c r="B1038" s="1" t="s">
        <v>2097</v>
      </c>
      <c r="C1038" s="1" t="s">
        <v>120</v>
      </c>
      <c r="D1038" s="1" t="s">
        <v>1933</v>
      </c>
      <c r="E1038" s="1" t="n">
        <v>19</v>
      </c>
      <c r="F1038" s="1" t="s">
        <v>3581</v>
      </c>
      <c r="G1038" s="1" t="s">
        <v>236</v>
      </c>
      <c r="H1038" s="1" t="s">
        <v>3582</v>
      </c>
      <c r="I1038" s="1" t="s">
        <v>2323</v>
      </c>
      <c r="J1038" s="1" t="s">
        <v>310</v>
      </c>
      <c r="K1038" s="1" t="n">
        <v>39.7</v>
      </c>
      <c r="L1038" s="1" t="n">
        <v>4.3</v>
      </c>
      <c r="M1038" s="1" t="n">
        <v>19</v>
      </c>
      <c r="N1038" s="4" t="b">
        <f aca="false">TRUE()</f>
        <v>1</v>
      </c>
      <c r="P1038" s="4" t="b">
        <f aca="false">TRUE()</f>
        <v>1</v>
      </c>
      <c r="R1038" s="1" t="s">
        <v>3525</v>
      </c>
      <c r="S1038" s="1" t="s">
        <v>3583</v>
      </c>
      <c r="T1038" s="1" t="s">
        <v>222</v>
      </c>
      <c r="U1038" s="1" t="s">
        <v>2102</v>
      </c>
    </row>
    <row r="1039" customFormat="false" ht="48" hidden="false" customHeight="true" outlineLevel="0" collapsed="false">
      <c r="A1039" s="1" t="s">
        <v>45</v>
      </c>
      <c r="B1039" s="1" t="s">
        <v>2097</v>
      </c>
      <c r="C1039" s="1" t="s">
        <v>120</v>
      </c>
      <c r="D1039" s="1" t="s">
        <v>1933</v>
      </c>
      <c r="E1039" s="1" t="n">
        <v>20</v>
      </c>
      <c r="F1039" s="1" t="s">
        <v>3584</v>
      </c>
      <c r="G1039" s="1" t="s">
        <v>2246</v>
      </c>
      <c r="H1039" s="1" t="s">
        <v>3585</v>
      </c>
      <c r="I1039" s="1" t="s">
        <v>402</v>
      </c>
      <c r="J1039" s="1" t="s">
        <v>310</v>
      </c>
      <c r="K1039" s="1" t="n">
        <v>9.94</v>
      </c>
      <c r="L1039" s="1" t="n">
        <v>4.5</v>
      </c>
      <c r="M1039" s="1" t="n">
        <v>725</v>
      </c>
      <c r="N1039" s="4" t="b">
        <f aca="false">TRUE()</f>
        <v>1</v>
      </c>
      <c r="O1039" s="1" t="s">
        <v>3586</v>
      </c>
      <c r="P1039" s="4" t="b">
        <f aca="false">TRUE()</f>
        <v>1</v>
      </c>
      <c r="R1039" s="1" t="s">
        <v>3525</v>
      </c>
      <c r="S1039" s="1" t="s">
        <v>3587</v>
      </c>
      <c r="T1039" s="1" t="s">
        <v>222</v>
      </c>
      <c r="U1039" s="1" t="s">
        <v>2102</v>
      </c>
    </row>
    <row r="1040" customFormat="false" ht="48" hidden="false" customHeight="true" outlineLevel="0" collapsed="false">
      <c r="A1040" s="1" t="s">
        <v>45</v>
      </c>
      <c r="B1040" s="1" t="s">
        <v>2097</v>
      </c>
      <c r="C1040" s="1" t="s">
        <v>120</v>
      </c>
      <c r="D1040" s="1" t="s">
        <v>1933</v>
      </c>
      <c r="E1040" s="1" t="n">
        <v>21</v>
      </c>
      <c r="F1040" s="1" t="s">
        <v>3588</v>
      </c>
      <c r="G1040" s="1" t="s">
        <v>2246</v>
      </c>
      <c r="H1040" s="1" t="s">
        <v>3589</v>
      </c>
      <c r="I1040" s="1" t="s">
        <v>2333</v>
      </c>
      <c r="J1040" s="1" t="s">
        <v>310</v>
      </c>
      <c r="K1040" s="1" t="n">
        <v>36.99</v>
      </c>
      <c r="L1040" s="1" t="n">
        <v>4.5</v>
      </c>
      <c r="M1040" s="1" t="n">
        <v>11</v>
      </c>
      <c r="N1040" s="4" t="b">
        <f aca="false">TRUE()</f>
        <v>1</v>
      </c>
      <c r="P1040" s="4" t="b">
        <f aca="false">TRUE()</f>
        <v>1</v>
      </c>
      <c r="R1040" s="1" t="s">
        <v>3525</v>
      </c>
      <c r="S1040" s="1" t="s">
        <v>3590</v>
      </c>
      <c r="T1040" s="1" t="s">
        <v>222</v>
      </c>
      <c r="U1040" s="1" t="s">
        <v>2102</v>
      </c>
    </row>
    <row r="1041" customFormat="false" ht="48" hidden="false" customHeight="true" outlineLevel="0" collapsed="false">
      <c r="A1041" s="1" t="s">
        <v>45</v>
      </c>
      <c r="B1041" s="1" t="s">
        <v>2097</v>
      </c>
      <c r="C1041" s="1" t="s">
        <v>120</v>
      </c>
      <c r="D1041" s="1" t="s">
        <v>1933</v>
      </c>
      <c r="E1041" s="1" t="n">
        <v>22</v>
      </c>
      <c r="F1041" s="1" t="s">
        <v>3591</v>
      </c>
      <c r="G1041" s="1" t="s">
        <v>236</v>
      </c>
      <c r="H1041" s="1" t="s">
        <v>3592</v>
      </c>
      <c r="I1041" s="1" t="s">
        <v>402</v>
      </c>
      <c r="J1041" s="1" t="s">
        <v>371</v>
      </c>
      <c r="L1041" s="1" t="n">
        <v>4.5</v>
      </c>
      <c r="M1041" s="1" t="n">
        <v>125</v>
      </c>
      <c r="N1041" s="4" t="b">
        <f aca="false">FALSE()</f>
        <v>0</v>
      </c>
      <c r="P1041" s="4" t="b">
        <f aca="false">TRUE()</f>
        <v>1</v>
      </c>
      <c r="R1041" s="1" t="s">
        <v>3525</v>
      </c>
      <c r="S1041" s="1" t="s">
        <v>3593</v>
      </c>
      <c r="T1041" s="1" t="s">
        <v>222</v>
      </c>
      <c r="U1041" s="1" t="s">
        <v>2102</v>
      </c>
    </row>
    <row r="1042" customFormat="false" ht="48" hidden="false" customHeight="true" outlineLevel="0" collapsed="false">
      <c r="A1042" s="1" t="s">
        <v>45</v>
      </c>
      <c r="B1042" s="1" t="s">
        <v>2097</v>
      </c>
      <c r="C1042" s="1" t="s">
        <v>120</v>
      </c>
      <c r="D1042" s="1" t="s">
        <v>1933</v>
      </c>
      <c r="E1042" s="1" t="n">
        <v>23</v>
      </c>
      <c r="F1042" s="1" t="s">
        <v>3594</v>
      </c>
      <c r="G1042" s="1" t="s">
        <v>236</v>
      </c>
      <c r="H1042" s="1" t="s">
        <v>3595</v>
      </c>
      <c r="I1042" s="1" t="s">
        <v>2323</v>
      </c>
      <c r="J1042" s="1" t="s">
        <v>310</v>
      </c>
      <c r="L1042" s="1" t="n">
        <v>4.6</v>
      </c>
      <c r="M1042" s="1" t="n">
        <v>133</v>
      </c>
      <c r="N1042" s="4" t="b">
        <f aca="false">FALSE()</f>
        <v>0</v>
      </c>
      <c r="P1042" s="4" t="b">
        <f aca="false">TRUE()</f>
        <v>1</v>
      </c>
      <c r="Q1042" s="1" t="s">
        <v>618</v>
      </c>
      <c r="R1042" s="1" t="s">
        <v>3525</v>
      </c>
      <c r="S1042" s="1" t="s">
        <v>3596</v>
      </c>
      <c r="T1042" s="1" t="s">
        <v>222</v>
      </c>
      <c r="U1042" s="1" t="s">
        <v>2102</v>
      </c>
    </row>
    <row r="1043" customFormat="false" ht="48" hidden="false" customHeight="true" outlineLevel="0" collapsed="false">
      <c r="A1043" s="1" t="s">
        <v>45</v>
      </c>
      <c r="B1043" s="1" t="s">
        <v>2097</v>
      </c>
      <c r="C1043" s="1" t="s">
        <v>120</v>
      </c>
      <c r="D1043" s="1" t="s">
        <v>1933</v>
      </c>
      <c r="E1043" s="1" t="n">
        <v>24</v>
      </c>
      <c r="F1043" s="1" t="s">
        <v>3597</v>
      </c>
      <c r="G1043" s="1" t="s">
        <v>2481</v>
      </c>
      <c r="H1043" s="1" t="s">
        <v>3598</v>
      </c>
      <c r="I1043" s="1" t="s">
        <v>402</v>
      </c>
      <c r="J1043" s="1" t="s">
        <v>310</v>
      </c>
      <c r="K1043" s="1" t="n">
        <v>39.99</v>
      </c>
      <c r="L1043" s="1" t="n">
        <v>4.4</v>
      </c>
      <c r="M1043" s="1" t="n">
        <v>16400</v>
      </c>
      <c r="N1043" s="4" t="b">
        <f aca="false">FALSE()</f>
        <v>0</v>
      </c>
      <c r="O1043" s="1" t="s">
        <v>3599</v>
      </c>
      <c r="P1043" s="4" t="b">
        <f aca="false">TRUE()</f>
        <v>1</v>
      </c>
      <c r="Q1043" s="1" t="s">
        <v>435</v>
      </c>
      <c r="R1043" s="1" t="s">
        <v>3525</v>
      </c>
      <c r="S1043" s="1" t="s">
        <v>3600</v>
      </c>
      <c r="T1043" s="1" t="s">
        <v>222</v>
      </c>
      <c r="U1043" s="1" t="s">
        <v>2102</v>
      </c>
    </row>
    <row r="1044" customFormat="false" ht="48" hidden="false" customHeight="true" outlineLevel="0" collapsed="false">
      <c r="A1044" s="1" t="s">
        <v>45</v>
      </c>
      <c r="B1044" s="1" t="s">
        <v>2097</v>
      </c>
      <c r="C1044" s="1" t="s">
        <v>120</v>
      </c>
      <c r="D1044" s="1" t="s">
        <v>1933</v>
      </c>
      <c r="E1044" s="1" t="n">
        <v>25</v>
      </c>
      <c r="F1044" s="1" t="s">
        <v>3601</v>
      </c>
      <c r="G1044" s="1" t="s">
        <v>236</v>
      </c>
      <c r="H1044" s="1" t="s">
        <v>3602</v>
      </c>
      <c r="I1044" s="1" t="s">
        <v>402</v>
      </c>
      <c r="J1044" s="1" t="s">
        <v>371</v>
      </c>
      <c r="L1044" s="1" t="n">
        <v>4.3</v>
      </c>
      <c r="M1044" s="1" t="n">
        <v>181</v>
      </c>
      <c r="N1044" s="4" t="b">
        <f aca="false">FALSE()</f>
        <v>0</v>
      </c>
      <c r="P1044" s="4" t="b">
        <f aca="false">TRUE()</f>
        <v>1</v>
      </c>
      <c r="Q1044" s="1" t="s">
        <v>233</v>
      </c>
      <c r="R1044" s="1" t="s">
        <v>3525</v>
      </c>
      <c r="S1044" s="1" t="s">
        <v>3603</v>
      </c>
      <c r="T1044" s="1" t="s">
        <v>222</v>
      </c>
      <c r="U1044" s="1" t="s">
        <v>2102</v>
      </c>
    </row>
    <row r="1045" customFormat="false" ht="48" hidden="false" customHeight="true" outlineLevel="0" collapsed="false">
      <c r="A1045" s="1" t="s">
        <v>45</v>
      </c>
      <c r="B1045" s="1" t="s">
        <v>2097</v>
      </c>
      <c r="C1045" s="1" t="s">
        <v>120</v>
      </c>
      <c r="D1045" s="1" t="s">
        <v>1933</v>
      </c>
      <c r="E1045" s="1" t="n">
        <v>26</v>
      </c>
      <c r="F1045" s="1" t="s">
        <v>3604</v>
      </c>
      <c r="G1045" s="1" t="s">
        <v>236</v>
      </c>
      <c r="H1045" s="1" t="s">
        <v>3605</v>
      </c>
      <c r="I1045" s="1" t="s">
        <v>2323</v>
      </c>
      <c r="J1045" s="1" t="s">
        <v>371</v>
      </c>
      <c r="L1045" s="1" t="n">
        <v>4.4</v>
      </c>
      <c r="M1045" s="1" t="n">
        <v>1200</v>
      </c>
      <c r="N1045" s="4" t="b">
        <f aca="false">FALSE()</f>
        <v>0</v>
      </c>
      <c r="P1045" s="4" t="b">
        <f aca="false">TRUE()</f>
        <v>1</v>
      </c>
      <c r="Q1045" s="1" t="s">
        <v>418</v>
      </c>
      <c r="R1045" s="1" t="s">
        <v>3525</v>
      </c>
      <c r="S1045" s="1" t="s">
        <v>3606</v>
      </c>
      <c r="T1045" s="1" t="s">
        <v>222</v>
      </c>
      <c r="U1045" s="1" t="s">
        <v>2102</v>
      </c>
    </row>
    <row r="1046" customFormat="false" ht="48" hidden="false" customHeight="true" outlineLevel="0" collapsed="false">
      <c r="A1046" s="1" t="s">
        <v>45</v>
      </c>
      <c r="B1046" s="1" t="s">
        <v>2097</v>
      </c>
      <c r="C1046" s="1" t="s">
        <v>120</v>
      </c>
      <c r="D1046" s="1" t="s">
        <v>1933</v>
      </c>
      <c r="E1046" s="1" t="n">
        <v>27</v>
      </c>
      <c r="F1046" s="1" t="s">
        <v>3607</v>
      </c>
      <c r="G1046" s="1" t="s">
        <v>236</v>
      </c>
      <c r="H1046" s="1" t="s">
        <v>3608</v>
      </c>
      <c r="I1046" s="1" t="s">
        <v>402</v>
      </c>
      <c r="J1046" s="1" t="s">
        <v>310</v>
      </c>
      <c r="L1046" s="1" t="n">
        <v>4.4</v>
      </c>
      <c r="M1046" s="1" t="n">
        <v>950</v>
      </c>
      <c r="N1046" s="4" t="b">
        <f aca="false">FALSE()</f>
        <v>0</v>
      </c>
      <c r="P1046" s="4" t="b">
        <f aca="false">TRUE()</f>
        <v>1</v>
      </c>
      <c r="Q1046" s="1" t="s">
        <v>435</v>
      </c>
      <c r="R1046" s="1" t="s">
        <v>3525</v>
      </c>
      <c r="S1046" s="1" t="s">
        <v>3609</v>
      </c>
      <c r="T1046" s="1" t="s">
        <v>222</v>
      </c>
      <c r="U1046" s="1" t="s">
        <v>2102</v>
      </c>
    </row>
    <row r="1047" customFormat="false" ht="48" hidden="false" customHeight="true" outlineLevel="0" collapsed="false">
      <c r="A1047" s="1" t="s">
        <v>45</v>
      </c>
      <c r="B1047" s="1" t="s">
        <v>2097</v>
      </c>
      <c r="C1047" s="1" t="s">
        <v>120</v>
      </c>
      <c r="D1047" s="1" t="s">
        <v>1933</v>
      </c>
      <c r="E1047" s="1" t="n">
        <v>28</v>
      </c>
      <c r="F1047" s="1" t="s">
        <v>3610</v>
      </c>
      <c r="G1047" s="1" t="s">
        <v>2481</v>
      </c>
      <c r="H1047" s="1" t="s">
        <v>3611</v>
      </c>
      <c r="I1047" s="1" t="s">
        <v>402</v>
      </c>
      <c r="J1047" s="1" t="s">
        <v>310</v>
      </c>
      <c r="K1047" s="1" t="n">
        <v>22.99</v>
      </c>
      <c r="L1047" s="1" t="n">
        <v>4</v>
      </c>
      <c r="M1047" s="1" t="n">
        <v>46</v>
      </c>
      <c r="N1047" s="4" t="b">
        <f aca="false">FALSE()</f>
        <v>0</v>
      </c>
      <c r="P1047" s="4" t="b">
        <f aca="false">TRUE()</f>
        <v>1</v>
      </c>
      <c r="Q1047" s="1" t="s">
        <v>435</v>
      </c>
      <c r="R1047" s="1" t="s">
        <v>3525</v>
      </c>
      <c r="S1047" s="1" t="s">
        <v>3612</v>
      </c>
      <c r="T1047" s="1" t="s">
        <v>222</v>
      </c>
      <c r="U1047" s="1" t="s">
        <v>2102</v>
      </c>
    </row>
    <row r="1048" customFormat="false" ht="48" hidden="false" customHeight="true" outlineLevel="0" collapsed="false">
      <c r="A1048" s="1" t="s">
        <v>45</v>
      </c>
      <c r="B1048" s="1" t="s">
        <v>2097</v>
      </c>
      <c r="C1048" s="1" t="s">
        <v>120</v>
      </c>
      <c r="D1048" s="1" t="s">
        <v>1933</v>
      </c>
      <c r="E1048" s="1" t="n">
        <v>29</v>
      </c>
      <c r="F1048" s="1" t="s">
        <v>3613</v>
      </c>
      <c r="G1048" s="1" t="s">
        <v>236</v>
      </c>
      <c r="H1048" s="1" t="s">
        <v>3614</v>
      </c>
      <c r="I1048" s="1" t="s">
        <v>402</v>
      </c>
      <c r="J1048" s="1" t="s">
        <v>310</v>
      </c>
      <c r="L1048" s="1" t="n">
        <v>4.5</v>
      </c>
      <c r="M1048" s="1" t="n">
        <v>131</v>
      </c>
      <c r="N1048" s="4" t="b">
        <f aca="false">FALSE()</f>
        <v>0</v>
      </c>
      <c r="P1048" s="4" t="b">
        <f aca="false">TRUE()</f>
        <v>1</v>
      </c>
      <c r="Q1048" s="1" t="s">
        <v>251</v>
      </c>
      <c r="R1048" s="1" t="s">
        <v>3525</v>
      </c>
      <c r="S1048" s="1" t="s">
        <v>3615</v>
      </c>
      <c r="T1048" s="1" t="s">
        <v>222</v>
      </c>
      <c r="U1048" s="1" t="s">
        <v>2102</v>
      </c>
    </row>
    <row r="1049" customFormat="false" ht="48" hidden="false" customHeight="true" outlineLevel="0" collapsed="false">
      <c r="A1049" s="1" t="s">
        <v>45</v>
      </c>
      <c r="B1049" s="1" t="s">
        <v>2097</v>
      </c>
      <c r="C1049" s="1" t="s">
        <v>120</v>
      </c>
      <c r="D1049" s="1" t="s">
        <v>1933</v>
      </c>
      <c r="E1049" s="1" t="n">
        <v>30</v>
      </c>
      <c r="F1049" s="1" t="s">
        <v>3616</v>
      </c>
      <c r="G1049" s="1" t="s">
        <v>236</v>
      </c>
      <c r="H1049" s="1" t="s">
        <v>3617</v>
      </c>
      <c r="I1049" s="1" t="s">
        <v>402</v>
      </c>
      <c r="J1049" s="1" t="s">
        <v>310</v>
      </c>
      <c r="L1049" s="1" t="n">
        <v>4.5</v>
      </c>
      <c r="M1049" s="1" t="n">
        <v>3100</v>
      </c>
      <c r="N1049" s="4" t="b">
        <f aca="false">FALSE()</f>
        <v>0</v>
      </c>
      <c r="P1049" s="4" t="b">
        <f aca="false">TRUE()</f>
        <v>1</v>
      </c>
      <c r="Q1049" s="1" t="s">
        <v>451</v>
      </c>
      <c r="R1049" s="1" t="s">
        <v>3525</v>
      </c>
      <c r="S1049" s="1" t="s">
        <v>3618</v>
      </c>
      <c r="T1049" s="1" t="s">
        <v>222</v>
      </c>
      <c r="U1049" s="1" t="s">
        <v>2102</v>
      </c>
    </row>
    <row r="1050" customFormat="false" ht="48" hidden="false" customHeight="true" outlineLevel="0" collapsed="false">
      <c r="A1050" s="1" t="s">
        <v>45</v>
      </c>
      <c r="B1050" s="1" t="s">
        <v>2097</v>
      </c>
      <c r="C1050" s="1" t="s">
        <v>120</v>
      </c>
      <c r="D1050" s="1" t="s">
        <v>1933</v>
      </c>
      <c r="E1050" s="1" t="n">
        <v>31</v>
      </c>
      <c r="F1050" s="1" t="s">
        <v>3619</v>
      </c>
      <c r="G1050" s="1" t="s">
        <v>236</v>
      </c>
      <c r="H1050" s="1" t="s">
        <v>3620</v>
      </c>
      <c r="I1050" s="1" t="s">
        <v>402</v>
      </c>
      <c r="J1050" s="1" t="s">
        <v>371</v>
      </c>
      <c r="L1050" s="1" t="n">
        <v>4.4</v>
      </c>
      <c r="M1050" s="1" t="n">
        <v>1200</v>
      </c>
      <c r="N1050" s="4" t="b">
        <f aca="false">FALSE()</f>
        <v>0</v>
      </c>
      <c r="P1050" s="4" t="b">
        <f aca="false">TRUE()</f>
        <v>1</v>
      </c>
      <c r="Q1050" s="1" t="s">
        <v>233</v>
      </c>
      <c r="R1050" s="1" t="s">
        <v>3525</v>
      </c>
      <c r="S1050" s="1" t="s">
        <v>3621</v>
      </c>
      <c r="T1050" s="1" t="s">
        <v>222</v>
      </c>
      <c r="U1050" s="1" t="s">
        <v>2102</v>
      </c>
    </row>
    <row r="1051" customFormat="false" ht="48" hidden="false" customHeight="true" outlineLevel="0" collapsed="false">
      <c r="A1051" s="1" t="s">
        <v>45</v>
      </c>
      <c r="B1051" s="1" t="s">
        <v>2097</v>
      </c>
      <c r="C1051" s="1" t="s">
        <v>120</v>
      </c>
      <c r="D1051" s="1" t="s">
        <v>1933</v>
      </c>
      <c r="E1051" s="1" t="n">
        <v>32</v>
      </c>
      <c r="F1051" s="1" t="s">
        <v>3622</v>
      </c>
      <c r="G1051" s="1" t="s">
        <v>2481</v>
      </c>
      <c r="H1051" s="1" t="s">
        <v>3623</v>
      </c>
      <c r="I1051" s="1" t="s">
        <v>2323</v>
      </c>
      <c r="J1051" s="1" t="s">
        <v>310</v>
      </c>
      <c r="K1051" s="1" t="n">
        <v>24</v>
      </c>
      <c r="L1051" s="1" t="n">
        <v>4.4</v>
      </c>
      <c r="M1051" s="1" t="n">
        <v>18400</v>
      </c>
      <c r="N1051" s="4" t="b">
        <f aca="false">FALSE()</f>
        <v>0</v>
      </c>
      <c r="P1051" s="4" t="b">
        <f aca="false">TRUE()</f>
        <v>1</v>
      </c>
      <c r="Q1051" s="1" t="s">
        <v>439</v>
      </c>
      <c r="R1051" s="1" t="s">
        <v>3525</v>
      </c>
      <c r="S1051" s="1" t="s">
        <v>3624</v>
      </c>
      <c r="T1051" s="1" t="s">
        <v>222</v>
      </c>
      <c r="U1051" s="1" t="s">
        <v>2102</v>
      </c>
    </row>
    <row r="1052" customFormat="false" ht="48" hidden="false" customHeight="true" outlineLevel="0" collapsed="false">
      <c r="A1052" s="1" t="s">
        <v>45</v>
      </c>
      <c r="B1052" s="1" t="s">
        <v>2097</v>
      </c>
      <c r="C1052" s="1" t="s">
        <v>120</v>
      </c>
      <c r="D1052" s="1" t="s">
        <v>1933</v>
      </c>
      <c r="E1052" s="1" t="n">
        <v>33</v>
      </c>
      <c r="F1052" s="1" t="s">
        <v>3625</v>
      </c>
      <c r="G1052" s="1" t="s">
        <v>236</v>
      </c>
      <c r="H1052" s="1" t="s">
        <v>3626</v>
      </c>
      <c r="I1052" s="1" t="s">
        <v>402</v>
      </c>
      <c r="J1052" s="1" t="s">
        <v>310</v>
      </c>
      <c r="L1052" s="1" t="n">
        <v>4.4</v>
      </c>
      <c r="M1052" s="1" t="n">
        <v>469</v>
      </c>
      <c r="N1052" s="4" t="b">
        <f aca="false">FALSE()</f>
        <v>0</v>
      </c>
      <c r="P1052" s="4" t="b">
        <f aca="false">TRUE()</f>
        <v>1</v>
      </c>
      <c r="Q1052" s="1" t="s">
        <v>251</v>
      </c>
      <c r="R1052" s="1" t="s">
        <v>3525</v>
      </c>
      <c r="S1052" s="1" t="s">
        <v>3627</v>
      </c>
      <c r="T1052" s="1" t="s">
        <v>222</v>
      </c>
      <c r="U1052" s="1" t="s">
        <v>2102</v>
      </c>
    </row>
    <row r="1053" customFormat="false" ht="48" hidden="false" customHeight="true" outlineLevel="0" collapsed="false">
      <c r="A1053" s="1" t="s">
        <v>45</v>
      </c>
      <c r="B1053" s="1" t="s">
        <v>2097</v>
      </c>
      <c r="C1053" s="1" t="s">
        <v>120</v>
      </c>
      <c r="D1053" s="1" t="s">
        <v>1933</v>
      </c>
      <c r="E1053" s="1" t="n">
        <v>34</v>
      </c>
      <c r="F1053" s="1" t="s">
        <v>3628</v>
      </c>
      <c r="G1053" s="1" t="s">
        <v>2481</v>
      </c>
      <c r="H1053" s="1" t="s">
        <v>3629</v>
      </c>
      <c r="I1053" s="1" t="s">
        <v>2323</v>
      </c>
      <c r="J1053" s="1" t="s">
        <v>310</v>
      </c>
      <c r="K1053" s="1" t="n">
        <v>20</v>
      </c>
      <c r="L1053" s="1" t="n">
        <v>4.5</v>
      </c>
      <c r="M1053" s="1" t="n">
        <v>1800</v>
      </c>
      <c r="N1053" s="4" t="b">
        <f aca="false">FALSE()</f>
        <v>0</v>
      </c>
      <c r="O1053" s="1" t="s">
        <v>3630</v>
      </c>
      <c r="P1053" s="4" t="b">
        <f aca="false">TRUE()</f>
        <v>1</v>
      </c>
      <c r="Q1053" s="1" t="s">
        <v>418</v>
      </c>
      <c r="R1053" s="1" t="s">
        <v>3525</v>
      </c>
      <c r="S1053" s="1" t="s">
        <v>3631</v>
      </c>
      <c r="T1053" s="1" t="s">
        <v>222</v>
      </c>
      <c r="U1053" s="1" t="s">
        <v>2102</v>
      </c>
    </row>
    <row r="1054" customFormat="false" ht="48" hidden="false" customHeight="true" outlineLevel="0" collapsed="false">
      <c r="A1054" s="1" t="s">
        <v>45</v>
      </c>
      <c r="B1054" s="1" t="s">
        <v>2097</v>
      </c>
      <c r="C1054" s="1" t="s">
        <v>120</v>
      </c>
      <c r="D1054" s="1" t="s">
        <v>1933</v>
      </c>
      <c r="E1054" s="1" t="n">
        <v>35</v>
      </c>
      <c r="F1054" s="1" t="s">
        <v>3632</v>
      </c>
      <c r="G1054" s="1" t="s">
        <v>774</v>
      </c>
      <c r="H1054" s="1" t="s">
        <v>3633</v>
      </c>
      <c r="I1054" s="1" t="s">
        <v>231</v>
      </c>
      <c r="J1054" s="1" t="s">
        <v>310</v>
      </c>
      <c r="K1054" s="1" t="n">
        <v>20.5</v>
      </c>
      <c r="L1054" s="1" t="n">
        <v>4.5</v>
      </c>
      <c r="M1054" s="1" t="n">
        <v>159400</v>
      </c>
      <c r="N1054" s="4" t="b">
        <f aca="false">FALSE()</f>
        <v>0</v>
      </c>
      <c r="P1054" s="4" t="b">
        <f aca="false">TRUE()</f>
        <v>1</v>
      </c>
      <c r="R1054" s="1" t="s">
        <v>3525</v>
      </c>
      <c r="S1054" s="1" t="s">
        <v>3634</v>
      </c>
      <c r="T1054" s="1" t="s">
        <v>222</v>
      </c>
      <c r="U1054" s="1" t="s">
        <v>2102</v>
      </c>
    </row>
    <row r="1055" customFormat="false" ht="48" hidden="false" customHeight="true" outlineLevel="0" collapsed="false">
      <c r="A1055" s="1" t="s">
        <v>45</v>
      </c>
      <c r="B1055" s="1" t="s">
        <v>2097</v>
      </c>
      <c r="C1055" s="1" t="s">
        <v>120</v>
      </c>
      <c r="D1055" s="1" t="s">
        <v>1933</v>
      </c>
      <c r="E1055" s="1" t="n">
        <v>36</v>
      </c>
      <c r="F1055" s="1" t="s">
        <v>3635</v>
      </c>
      <c r="G1055" s="1" t="s">
        <v>236</v>
      </c>
      <c r="H1055" s="1" t="s">
        <v>3636</v>
      </c>
      <c r="I1055" s="1" t="s">
        <v>402</v>
      </c>
      <c r="J1055" s="1" t="s">
        <v>371</v>
      </c>
      <c r="L1055" s="1" t="n">
        <v>4.7</v>
      </c>
      <c r="M1055" s="1" t="n">
        <v>76</v>
      </c>
      <c r="N1055" s="4" t="b">
        <f aca="false">FALSE()</f>
        <v>0</v>
      </c>
      <c r="P1055" s="4" t="b">
        <f aca="false">TRUE()</f>
        <v>1</v>
      </c>
      <c r="R1055" s="1" t="s">
        <v>3525</v>
      </c>
      <c r="S1055" s="1" t="s">
        <v>3637</v>
      </c>
      <c r="T1055" s="1" t="s">
        <v>222</v>
      </c>
      <c r="U1055" s="1" t="s">
        <v>2102</v>
      </c>
    </row>
    <row r="1056" customFormat="false" ht="48" hidden="false" customHeight="true" outlineLevel="0" collapsed="false">
      <c r="A1056" s="1" t="s">
        <v>45</v>
      </c>
      <c r="B1056" s="1" t="s">
        <v>2097</v>
      </c>
      <c r="C1056" s="1" t="s">
        <v>120</v>
      </c>
      <c r="D1056" s="1" t="s">
        <v>1933</v>
      </c>
      <c r="E1056" s="1" t="n">
        <v>37</v>
      </c>
      <c r="F1056" s="1" t="s">
        <v>3638</v>
      </c>
      <c r="G1056" s="1" t="s">
        <v>236</v>
      </c>
      <c r="H1056" s="1" t="s">
        <v>3639</v>
      </c>
      <c r="I1056" s="1" t="s">
        <v>402</v>
      </c>
      <c r="J1056" s="1" t="s">
        <v>310</v>
      </c>
      <c r="L1056" s="1" t="n">
        <v>4.6</v>
      </c>
      <c r="M1056" s="1" t="n">
        <v>202</v>
      </c>
      <c r="N1056" s="4" t="b">
        <f aca="false">FALSE()</f>
        <v>0</v>
      </c>
      <c r="P1056" s="4" t="b">
        <f aca="false">TRUE()</f>
        <v>1</v>
      </c>
      <c r="R1056" s="1" t="s">
        <v>3525</v>
      </c>
      <c r="S1056" s="1" t="s">
        <v>3640</v>
      </c>
      <c r="T1056" s="1" t="s">
        <v>222</v>
      </c>
      <c r="U1056" s="1" t="s">
        <v>2102</v>
      </c>
    </row>
    <row r="1057" customFormat="false" ht="48" hidden="false" customHeight="true" outlineLevel="0" collapsed="false">
      <c r="A1057" s="1" t="s">
        <v>45</v>
      </c>
      <c r="B1057" s="1" t="s">
        <v>2097</v>
      </c>
      <c r="C1057" s="1" t="s">
        <v>120</v>
      </c>
      <c r="D1057" s="1" t="s">
        <v>1933</v>
      </c>
      <c r="E1057" s="1" t="n">
        <v>38</v>
      </c>
      <c r="F1057" s="1" t="s">
        <v>3641</v>
      </c>
      <c r="G1057" s="1" t="s">
        <v>236</v>
      </c>
      <c r="H1057" s="1" t="s">
        <v>3642</v>
      </c>
      <c r="I1057" s="1" t="s">
        <v>2323</v>
      </c>
      <c r="J1057" s="1" t="s">
        <v>371</v>
      </c>
      <c r="L1057" s="1" t="n">
        <v>4.4</v>
      </c>
      <c r="M1057" s="1" t="n">
        <v>275</v>
      </c>
      <c r="N1057" s="4" t="b">
        <f aca="false">FALSE()</f>
        <v>0</v>
      </c>
      <c r="P1057" s="4" t="b">
        <f aca="false">TRUE()</f>
        <v>1</v>
      </c>
      <c r="Q1057" s="1" t="s">
        <v>233</v>
      </c>
      <c r="R1057" s="1" t="s">
        <v>3525</v>
      </c>
      <c r="S1057" s="1" t="s">
        <v>3643</v>
      </c>
      <c r="T1057" s="1" t="s">
        <v>222</v>
      </c>
      <c r="U1057" s="1" t="s">
        <v>2102</v>
      </c>
    </row>
    <row r="1058" customFormat="false" ht="48" hidden="false" customHeight="true" outlineLevel="0" collapsed="false">
      <c r="A1058" s="1" t="s">
        <v>45</v>
      </c>
      <c r="B1058" s="1" t="s">
        <v>2097</v>
      </c>
      <c r="C1058" s="1" t="s">
        <v>120</v>
      </c>
      <c r="D1058" s="1" t="s">
        <v>1933</v>
      </c>
      <c r="E1058" s="1" t="n">
        <v>39</v>
      </c>
      <c r="F1058" s="1" t="s">
        <v>3644</v>
      </c>
      <c r="G1058" s="1" t="s">
        <v>236</v>
      </c>
      <c r="H1058" s="1" t="s">
        <v>3645</v>
      </c>
      <c r="I1058" s="1" t="s">
        <v>402</v>
      </c>
      <c r="J1058" s="1" t="s">
        <v>310</v>
      </c>
      <c r="K1058" s="1" t="n">
        <v>31.99</v>
      </c>
      <c r="L1058" s="1" t="n">
        <v>4.4</v>
      </c>
      <c r="M1058" s="1" t="n">
        <v>90</v>
      </c>
      <c r="N1058" s="4" t="b">
        <f aca="false">FALSE()</f>
        <v>0</v>
      </c>
      <c r="P1058" s="4" t="b">
        <f aca="false">TRUE()</f>
        <v>1</v>
      </c>
      <c r="R1058" s="1" t="s">
        <v>3525</v>
      </c>
      <c r="S1058" s="1" t="s">
        <v>3646</v>
      </c>
      <c r="T1058" s="1" t="s">
        <v>222</v>
      </c>
      <c r="U1058" s="1" t="s">
        <v>2102</v>
      </c>
    </row>
    <row r="1059" customFormat="false" ht="48" hidden="false" customHeight="true" outlineLevel="0" collapsed="false">
      <c r="A1059" s="1" t="s">
        <v>45</v>
      </c>
      <c r="B1059" s="1" t="s">
        <v>2097</v>
      </c>
      <c r="C1059" s="1" t="s">
        <v>120</v>
      </c>
      <c r="D1059" s="1" t="s">
        <v>1933</v>
      </c>
      <c r="E1059" s="1" t="n">
        <v>40</v>
      </c>
      <c r="F1059" s="1" t="s">
        <v>3647</v>
      </c>
      <c r="G1059" s="1" t="s">
        <v>236</v>
      </c>
      <c r="H1059" s="1" t="s">
        <v>3648</v>
      </c>
      <c r="I1059" s="1" t="s">
        <v>402</v>
      </c>
      <c r="J1059" s="1" t="s">
        <v>310</v>
      </c>
      <c r="K1059" s="1" t="n">
        <v>130</v>
      </c>
      <c r="L1059" s="1" t="n">
        <v>5</v>
      </c>
      <c r="M1059" s="1" t="n">
        <v>3</v>
      </c>
      <c r="N1059" s="4" t="b">
        <f aca="false">FALSE()</f>
        <v>0</v>
      </c>
      <c r="P1059" s="4" t="b">
        <f aca="false">TRUE()</f>
        <v>1</v>
      </c>
      <c r="R1059" s="1" t="s">
        <v>3525</v>
      </c>
      <c r="S1059" s="1" t="s">
        <v>3649</v>
      </c>
      <c r="T1059" s="1" t="s">
        <v>222</v>
      </c>
      <c r="U1059" s="1" t="s">
        <v>2102</v>
      </c>
    </row>
    <row r="1060" customFormat="false" ht="48" hidden="false" customHeight="true" outlineLevel="0" collapsed="false">
      <c r="A1060" s="1" t="s">
        <v>45</v>
      </c>
      <c r="B1060" s="1" t="s">
        <v>2097</v>
      </c>
      <c r="C1060" s="1" t="s">
        <v>120</v>
      </c>
      <c r="D1060" s="1" t="s">
        <v>1933</v>
      </c>
      <c r="E1060" s="1" t="n">
        <v>41</v>
      </c>
      <c r="F1060" s="1" t="s">
        <v>3650</v>
      </c>
      <c r="G1060" s="1" t="s">
        <v>236</v>
      </c>
      <c r="H1060" s="1" t="s">
        <v>3651</v>
      </c>
      <c r="I1060" s="1" t="s">
        <v>402</v>
      </c>
      <c r="J1060" s="1" t="s">
        <v>371</v>
      </c>
      <c r="L1060" s="1" t="n">
        <v>4.6</v>
      </c>
      <c r="M1060" s="1" t="n">
        <v>62</v>
      </c>
      <c r="N1060" s="4" t="b">
        <f aca="false">FALSE()</f>
        <v>0</v>
      </c>
      <c r="P1060" s="4" t="b">
        <f aca="false">TRUE()</f>
        <v>1</v>
      </c>
      <c r="R1060" s="1" t="s">
        <v>3525</v>
      </c>
      <c r="S1060" s="1" t="s">
        <v>3652</v>
      </c>
      <c r="T1060" s="1" t="s">
        <v>222</v>
      </c>
      <c r="U1060" s="1" t="s">
        <v>2102</v>
      </c>
    </row>
    <row r="1061" customFormat="false" ht="48" hidden="false" customHeight="true" outlineLevel="0" collapsed="false">
      <c r="A1061" s="1" t="s">
        <v>45</v>
      </c>
      <c r="B1061" s="1" t="s">
        <v>2097</v>
      </c>
      <c r="C1061" s="1" t="s">
        <v>120</v>
      </c>
      <c r="D1061" s="1" t="s">
        <v>1933</v>
      </c>
      <c r="E1061" s="1" t="n">
        <v>42</v>
      </c>
      <c r="F1061" s="1" t="s">
        <v>3653</v>
      </c>
      <c r="G1061" s="1" t="s">
        <v>236</v>
      </c>
      <c r="H1061" s="1" t="s">
        <v>3654</v>
      </c>
      <c r="I1061" s="1" t="s">
        <v>231</v>
      </c>
      <c r="J1061" s="1" t="s">
        <v>597</v>
      </c>
      <c r="K1061" s="1" t="n">
        <v>47.99</v>
      </c>
      <c r="L1061" s="1" t="n">
        <v>4.2</v>
      </c>
      <c r="M1061" s="1" t="n">
        <v>72</v>
      </c>
      <c r="N1061" s="4" t="b">
        <f aca="false">FALSE()</f>
        <v>0</v>
      </c>
      <c r="P1061" s="4" t="b">
        <f aca="false">TRUE()</f>
        <v>1</v>
      </c>
      <c r="R1061" s="1" t="s">
        <v>3525</v>
      </c>
      <c r="S1061" s="1" t="s">
        <v>3655</v>
      </c>
      <c r="T1061" s="1" t="s">
        <v>222</v>
      </c>
      <c r="U1061" s="1" t="s">
        <v>2102</v>
      </c>
    </row>
    <row r="1062" customFormat="false" ht="48" hidden="false" customHeight="true" outlineLevel="0" collapsed="false">
      <c r="A1062" s="1" t="s">
        <v>45</v>
      </c>
      <c r="B1062" s="1" t="s">
        <v>2097</v>
      </c>
      <c r="C1062" s="1" t="s">
        <v>120</v>
      </c>
      <c r="D1062" s="1" t="s">
        <v>1933</v>
      </c>
      <c r="E1062" s="1" t="n">
        <v>43</v>
      </c>
      <c r="F1062" s="1" t="s">
        <v>3656</v>
      </c>
      <c r="G1062" s="1" t="s">
        <v>236</v>
      </c>
      <c r="H1062" s="1" t="s">
        <v>3657</v>
      </c>
      <c r="I1062" s="1" t="s">
        <v>306</v>
      </c>
      <c r="J1062" s="1" t="s">
        <v>310</v>
      </c>
      <c r="K1062" s="1" t="n">
        <v>43.99</v>
      </c>
      <c r="L1062" s="1" t="n">
        <v>4.3</v>
      </c>
      <c r="M1062" s="1" t="n">
        <v>94</v>
      </c>
      <c r="N1062" s="4" t="b">
        <f aca="false">FALSE()</f>
        <v>0</v>
      </c>
      <c r="P1062" s="4" t="b">
        <f aca="false">TRUE()</f>
        <v>1</v>
      </c>
      <c r="R1062" s="1" t="s">
        <v>3525</v>
      </c>
      <c r="S1062" s="1" t="s">
        <v>3658</v>
      </c>
      <c r="T1062" s="1" t="s">
        <v>222</v>
      </c>
      <c r="U1062" s="1" t="s">
        <v>2102</v>
      </c>
    </row>
    <row r="1063" customFormat="false" ht="48" hidden="false" customHeight="true" outlineLevel="0" collapsed="false">
      <c r="A1063" s="1" t="s">
        <v>45</v>
      </c>
      <c r="B1063" s="1" t="s">
        <v>2097</v>
      </c>
      <c r="C1063" s="1" t="s">
        <v>120</v>
      </c>
      <c r="D1063" s="1" t="s">
        <v>1933</v>
      </c>
      <c r="E1063" s="1" t="n">
        <v>44</v>
      </c>
      <c r="F1063" s="1" t="s">
        <v>3659</v>
      </c>
      <c r="G1063" s="1" t="s">
        <v>236</v>
      </c>
      <c r="H1063" s="1" t="s">
        <v>3660</v>
      </c>
      <c r="I1063" s="1" t="s">
        <v>402</v>
      </c>
      <c r="J1063" s="1" t="s">
        <v>310</v>
      </c>
      <c r="L1063" s="1" t="n">
        <v>4.5</v>
      </c>
      <c r="M1063" s="1" t="n">
        <v>8100</v>
      </c>
      <c r="N1063" s="4" t="b">
        <f aca="false">FALSE()</f>
        <v>0</v>
      </c>
      <c r="P1063" s="4" t="b">
        <f aca="false">TRUE()</f>
        <v>1</v>
      </c>
      <c r="Q1063" s="1" t="s">
        <v>233</v>
      </c>
      <c r="R1063" s="1" t="s">
        <v>3525</v>
      </c>
      <c r="S1063" s="1" t="s">
        <v>3661</v>
      </c>
      <c r="T1063" s="1" t="s">
        <v>222</v>
      </c>
      <c r="U1063" s="1" t="s">
        <v>2102</v>
      </c>
    </row>
    <row r="1064" customFormat="false" ht="48" hidden="false" customHeight="true" outlineLevel="0" collapsed="false">
      <c r="A1064" s="1" t="s">
        <v>45</v>
      </c>
      <c r="B1064" s="1" t="s">
        <v>2097</v>
      </c>
      <c r="C1064" s="1" t="s">
        <v>120</v>
      </c>
      <c r="D1064" s="1" t="s">
        <v>1933</v>
      </c>
      <c r="E1064" s="1" t="n">
        <v>45</v>
      </c>
      <c r="F1064" s="1" t="s">
        <v>3662</v>
      </c>
      <c r="G1064" s="1" t="s">
        <v>236</v>
      </c>
      <c r="H1064" s="1" t="s">
        <v>3663</v>
      </c>
      <c r="I1064" s="1" t="s">
        <v>402</v>
      </c>
      <c r="J1064" s="1" t="s">
        <v>371</v>
      </c>
      <c r="L1064" s="1" t="n">
        <v>3.7</v>
      </c>
      <c r="M1064" s="1" t="n">
        <v>3</v>
      </c>
      <c r="N1064" s="4" t="b">
        <f aca="false">FALSE()</f>
        <v>0</v>
      </c>
      <c r="P1064" s="4" t="b">
        <f aca="false">TRUE()</f>
        <v>1</v>
      </c>
      <c r="R1064" s="1" t="s">
        <v>3525</v>
      </c>
      <c r="S1064" s="1" t="s">
        <v>3664</v>
      </c>
      <c r="T1064" s="1" t="s">
        <v>222</v>
      </c>
      <c r="U1064" s="1" t="s">
        <v>2102</v>
      </c>
    </row>
    <row r="1065" customFormat="false" ht="48" hidden="false" customHeight="true" outlineLevel="0" collapsed="false">
      <c r="A1065" s="1" t="s">
        <v>45</v>
      </c>
      <c r="B1065" s="1" t="s">
        <v>2097</v>
      </c>
      <c r="C1065" s="1" t="s">
        <v>120</v>
      </c>
      <c r="D1065" s="1" t="s">
        <v>1933</v>
      </c>
      <c r="E1065" s="1" t="n">
        <v>46</v>
      </c>
      <c r="F1065" s="1" t="s">
        <v>3665</v>
      </c>
      <c r="G1065" s="1" t="s">
        <v>236</v>
      </c>
      <c r="H1065" s="1" t="s">
        <v>3666</v>
      </c>
      <c r="I1065" s="1" t="s">
        <v>2323</v>
      </c>
      <c r="J1065" s="1" t="s">
        <v>371</v>
      </c>
      <c r="L1065" s="1" t="n">
        <v>4.1</v>
      </c>
      <c r="M1065" s="1" t="n">
        <v>105</v>
      </c>
      <c r="N1065" s="4" t="b">
        <f aca="false">FALSE()</f>
        <v>0</v>
      </c>
      <c r="P1065" s="4" t="b">
        <f aca="false">TRUE()</f>
        <v>1</v>
      </c>
      <c r="R1065" s="1" t="s">
        <v>3525</v>
      </c>
      <c r="S1065" s="1" t="s">
        <v>3667</v>
      </c>
      <c r="T1065" s="1" t="s">
        <v>222</v>
      </c>
      <c r="U1065" s="1" t="s">
        <v>2102</v>
      </c>
    </row>
    <row r="1066" customFormat="false" ht="48" hidden="false" customHeight="true" outlineLevel="0" collapsed="false">
      <c r="A1066" s="1" t="s">
        <v>45</v>
      </c>
      <c r="B1066" s="1" t="s">
        <v>2097</v>
      </c>
      <c r="C1066" s="1" t="s">
        <v>120</v>
      </c>
      <c r="D1066" s="1" t="s">
        <v>1933</v>
      </c>
      <c r="E1066" s="1" t="n">
        <v>47</v>
      </c>
      <c r="F1066" s="1" t="s">
        <v>3668</v>
      </c>
      <c r="G1066" s="1" t="s">
        <v>236</v>
      </c>
      <c r="H1066" s="1" t="s">
        <v>3669</v>
      </c>
      <c r="I1066" s="1" t="s">
        <v>231</v>
      </c>
      <c r="J1066" s="1" t="s">
        <v>310</v>
      </c>
      <c r="K1066" s="1" t="n">
        <v>45.36</v>
      </c>
      <c r="L1066" s="1" t="n">
        <v>4.3</v>
      </c>
      <c r="M1066" s="1" t="n">
        <v>26000</v>
      </c>
      <c r="N1066" s="4" t="b">
        <f aca="false">FALSE()</f>
        <v>0</v>
      </c>
      <c r="O1066" s="1" t="s">
        <v>3670</v>
      </c>
      <c r="P1066" s="4" t="b">
        <f aca="false">TRUE()</f>
        <v>1</v>
      </c>
      <c r="R1066" s="1" t="s">
        <v>3525</v>
      </c>
      <c r="S1066" s="1" t="s">
        <v>3671</v>
      </c>
      <c r="T1066" s="1" t="s">
        <v>222</v>
      </c>
      <c r="U1066" s="1" t="s">
        <v>2102</v>
      </c>
    </row>
    <row r="1067" customFormat="false" ht="48" hidden="false" customHeight="true" outlineLevel="0" collapsed="false">
      <c r="A1067" s="1" t="s">
        <v>45</v>
      </c>
      <c r="B1067" s="1" t="s">
        <v>2097</v>
      </c>
      <c r="C1067" s="1" t="s">
        <v>120</v>
      </c>
      <c r="D1067" s="1" t="s">
        <v>1933</v>
      </c>
      <c r="E1067" s="1" t="n">
        <v>48</v>
      </c>
      <c r="F1067" s="1" t="s">
        <v>3672</v>
      </c>
      <c r="G1067" s="1" t="s">
        <v>567</v>
      </c>
      <c r="H1067" s="1" t="s">
        <v>3673</v>
      </c>
      <c r="I1067" s="1" t="s">
        <v>402</v>
      </c>
      <c r="J1067" s="1" t="s">
        <v>310</v>
      </c>
      <c r="K1067" s="1" t="n">
        <v>69.29</v>
      </c>
      <c r="L1067" s="1" t="n">
        <v>4.2</v>
      </c>
      <c r="M1067" s="1" t="n">
        <v>266</v>
      </c>
      <c r="N1067" s="4" t="b">
        <f aca="false">FALSE()</f>
        <v>0</v>
      </c>
      <c r="O1067" s="1" t="s">
        <v>3674</v>
      </c>
      <c r="P1067" s="4" t="b">
        <f aca="false">TRUE()</f>
        <v>1</v>
      </c>
      <c r="Q1067" s="1" t="s">
        <v>251</v>
      </c>
      <c r="R1067" s="1" t="s">
        <v>3525</v>
      </c>
      <c r="S1067" s="1" t="s">
        <v>3675</v>
      </c>
      <c r="T1067" s="1" t="s">
        <v>222</v>
      </c>
      <c r="U1067" s="1" t="s">
        <v>2102</v>
      </c>
    </row>
    <row r="1068" customFormat="false" ht="48" hidden="false" customHeight="true" outlineLevel="0" collapsed="false">
      <c r="A1068" s="1" t="s">
        <v>45</v>
      </c>
      <c r="B1068" s="1" t="s">
        <v>2097</v>
      </c>
      <c r="C1068" s="1" t="s">
        <v>120</v>
      </c>
      <c r="D1068" s="1" t="s">
        <v>1933</v>
      </c>
      <c r="E1068" s="1" t="n">
        <v>49</v>
      </c>
      <c r="F1068" s="1" t="s">
        <v>3676</v>
      </c>
      <c r="G1068" s="1" t="s">
        <v>2481</v>
      </c>
      <c r="H1068" s="1" t="s">
        <v>3677</v>
      </c>
      <c r="I1068" s="1" t="s">
        <v>402</v>
      </c>
      <c r="J1068" s="1" t="s">
        <v>310</v>
      </c>
      <c r="K1068" s="1" t="n">
        <v>15.99</v>
      </c>
      <c r="L1068" s="1" t="n">
        <v>4.5</v>
      </c>
      <c r="M1068" s="1" t="n">
        <v>4400</v>
      </c>
      <c r="N1068" s="4" t="b">
        <f aca="false">FALSE()</f>
        <v>0</v>
      </c>
      <c r="O1068" s="1" t="s">
        <v>2503</v>
      </c>
      <c r="P1068" s="4" t="b">
        <f aca="false">TRUE()</f>
        <v>1</v>
      </c>
      <c r="Q1068" s="1" t="s">
        <v>451</v>
      </c>
      <c r="R1068" s="1" t="s">
        <v>3525</v>
      </c>
      <c r="S1068" s="1" t="s">
        <v>3678</v>
      </c>
      <c r="T1068" s="1" t="s">
        <v>222</v>
      </c>
      <c r="U1068" s="1" t="s">
        <v>2102</v>
      </c>
    </row>
    <row r="1069" customFormat="false" ht="48" hidden="false" customHeight="true" outlineLevel="0" collapsed="false">
      <c r="A1069" s="1" t="s">
        <v>45</v>
      </c>
      <c r="B1069" s="1" t="s">
        <v>2097</v>
      </c>
      <c r="C1069" s="1" t="s">
        <v>120</v>
      </c>
      <c r="D1069" s="1" t="s">
        <v>1933</v>
      </c>
      <c r="E1069" s="1" t="n">
        <v>50</v>
      </c>
      <c r="F1069" s="1" t="s">
        <v>3679</v>
      </c>
      <c r="G1069" s="1" t="s">
        <v>236</v>
      </c>
      <c r="H1069" s="1" t="s">
        <v>3680</v>
      </c>
      <c r="I1069" s="1" t="s">
        <v>2323</v>
      </c>
      <c r="J1069" s="1" t="s">
        <v>310</v>
      </c>
      <c r="L1069" s="1" t="n">
        <v>4</v>
      </c>
      <c r="M1069" s="1" t="n">
        <v>29</v>
      </c>
      <c r="N1069" s="4" t="b">
        <f aca="false">FALSE()</f>
        <v>0</v>
      </c>
      <c r="P1069" s="4" t="b">
        <f aca="false">TRUE()</f>
        <v>1</v>
      </c>
      <c r="R1069" s="1" t="s">
        <v>3525</v>
      </c>
      <c r="S1069" s="1" t="s">
        <v>3681</v>
      </c>
      <c r="T1069" s="1" t="s">
        <v>222</v>
      </c>
      <c r="U1069" s="1" t="s">
        <v>2102</v>
      </c>
    </row>
    <row r="1070" customFormat="false" ht="48" hidden="false" customHeight="true" outlineLevel="0" collapsed="false">
      <c r="A1070" s="1" t="s">
        <v>45</v>
      </c>
      <c r="B1070" s="1" t="s">
        <v>2097</v>
      </c>
      <c r="C1070" s="1" t="s">
        <v>120</v>
      </c>
      <c r="D1070" s="1" t="s">
        <v>1933</v>
      </c>
      <c r="E1070" s="1" t="n">
        <v>51</v>
      </c>
      <c r="F1070" s="1" t="s">
        <v>3682</v>
      </c>
      <c r="G1070" s="1" t="s">
        <v>236</v>
      </c>
      <c r="H1070" s="1" t="s">
        <v>3683</v>
      </c>
      <c r="I1070" s="1" t="s">
        <v>2323</v>
      </c>
      <c r="J1070" s="1" t="s">
        <v>371</v>
      </c>
      <c r="L1070" s="1" t="n">
        <v>4.4</v>
      </c>
      <c r="M1070" s="1" t="n">
        <v>111</v>
      </c>
      <c r="N1070" s="4" t="b">
        <f aca="false">FALSE()</f>
        <v>0</v>
      </c>
      <c r="P1070" s="4" t="b">
        <f aca="false">TRUE()</f>
        <v>1</v>
      </c>
      <c r="Q1070" s="1" t="s">
        <v>251</v>
      </c>
      <c r="R1070" s="1" t="s">
        <v>3525</v>
      </c>
      <c r="S1070" s="1" t="s">
        <v>3684</v>
      </c>
      <c r="T1070" s="1" t="s">
        <v>222</v>
      </c>
      <c r="U1070" s="1" t="s">
        <v>2102</v>
      </c>
    </row>
    <row r="1071" customFormat="false" ht="48" hidden="false" customHeight="true" outlineLevel="0" collapsed="false">
      <c r="A1071" s="1" t="s">
        <v>45</v>
      </c>
      <c r="B1071" s="1" t="s">
        <v>2097</v>
      </c>
      <c r="C1071" s="1" t="s">
        <v>120</v>
      </c>
      <c r="D1071" s="1" t="s">
        <v>1933</v>
      </c>
      <c r="E1071" s="1" t="n">
        <v>52</v>
      </c>
      <c r="F1071" s="1" t="s">
        <v>3685</v>
      </c>
      <c r="G1071" s="1" t="s">
        <v>236</v>
      </c>
      <c r="H1071" s="1" t="s">
        <v>3686</v>
      </c>
      <c r="I1071" s="1" t="s">
        <v>402</v>
      </c>
      <c r="J1071" s="1" t="s">
        <v>310</v>
      </c>
      <c r="L1071" s="1" t="n">
        <v>4.4</v>
      </c>
      <c r="M1071" s="1" t="n">
        <v>1300</v>
      </c>
      <c r="N1071" s="4" t="b">
        <f aca="false">FALSE()</f>
        <v>0</v>
      </c>
      <c r="P1071" s="4" t="b">
        <f aca="false">TRUE()</f>
        <v>1</v>
      </c>
      <c r="R1071" s="1" t="s">
        <v>3525</v>
      </c>
      <c r="S1071" s="1" t="s">
        <v>3687</v>
      </c>
      <c r="T1071" s="1" t="s">
        <v>222</v>
      </c>
      <c r="U1071" s="1" t="s">
        <v>2102</v>
      </c>
    </row>
    <row r="1072" customFormat="false" ht="48" hidden="false" customHeight="true" outlineLevel="0" collapsed="false">
      <c r="A1072" s="1" t="s">
        <v>45</v>
      </c>
      <c r="B1072" s="1" t="s">
        <v>2097</v>
      </c>
      <c r="C1072" s="1" t="s">
        <v>120</v>
      </c>
      <c r="D1072" s="1" t="s">
        <v>1933</v>
      </c>
      <c r="E1072" s="1" t="n">
        <v>53</v>
      </c>
      <c r="F1072" s="1" t="s">
        <v>3688</v>
      </c>
      <c r="G1072" s="1" t="s">
        <v>2481</v>
      </c>
      <c r="H1072" s="1" t="s">
        <v>3689</v>
      </c>
      <c r="I1072" s="1" t="s">
        <v>2333</v>
      </c>
      <c r="J1072" s="1" t="s">
        <v>310</v>
      </c>
      <c r="K1072" s="1" t="n">
        <v>46.55</v>
      </c>
      <c r="L1072" s="1" t="n">
        <v>4.4</v>
      </c>
      <c r="M1072" s="1" t="n">
        <v>394</v>
      </c>
      <c r="N1072" s="4" t="b">
        <f aca="false">FALSE()</f>
        <v>0</v>
      </c>
      <c r="O1072" s="1" t="s">
        <v>2540</v>
      </c>
      <c r="P1072" s="4" t="b">
        <f aca="false">TRUE()</f>
        <v>1</v>
      </c>
      <c r="R1072" s="1" t="s">
        <v>3525</v>
      </c>
      <c r="S1072" s="1" t="s">
        <v>3690</v>
      </c>
      <c r="T1072" s="1" t="s">
        <v>222</v>
      </c>
      <c r="U1072" s="1" t="s">
        <v>2102</v>
      </c>
    </row>
    <row r="1073" customFormat="false" ht="48" hidden="false" customHeight="true" outlineLevel="0" collapsed="false">
      <c r="A1073" s="1" t="s">
        <v>45</v>
      </c>
      <c r="B1073" s="1" t="s">
        <v>2097</v>
      </c>
      <c r="C1073" s="1" t="s">
        <v>120</v>
      </c>
      <c r="D1073" s="1" t="s">
        <v>1933</v>
      </c>
      <c r="E1073" s="1" t="n">
        <v>54</v>
      </c>
      <c r="F1073" s="1" t="s">
        <v>3691</v>
      </c>
      <c r="G1073" s="1" t="s">
        <v>236</v>
      </c>
      <c r="H1073" s="1" t="s">
        <v>3692</v>
      </c>
      <c r="I1073" s="1" t="s">
        <v>231</v>
      </c>
      <c r="J1073" s="1" t="s">
        <v>310</v>
      </c>
      <c r="K1073" s="1" t="n">
        <v>14.78</v>
      </c>
      <c r="L1073" s="1" t="n">
        <v>4.5</v>
      </c>
      <c r="M1073" s="1" t="n">
        <v>15700</v>
      </c>
      <c r="N1073" s="4" t="b">
        <f aca="false">FALSE()</f>
        <v>0</v>
      </c>
      <c r="P1073" s="4" t="b">
        <f aca="false">TRUE()</f>
        <v>1</v>
      </c>
      <c r="Q1073" s="1" t="s">
        <v>423</v>
      </c>
      <c r="R1073" s="1" t="s">
        <v>3525</v>
      </c>
      <c r="S1073" s="1" t="s">
        <v>3693</v>
      </c>
      <c r="T1073" s="1" t="s">
        <v>222</v>
      </c>
      <c r="U1073" s="1" t="s">
        <v>2102</v>
      </c>
    </row>
    <row r="1074" customFormat="false" ht="48" hidden="false" customHeight="true" outlineLevel="0" collapsed="false">
      <c r="A1074" s="1" t="s">
        <v>45</v>
      </c>
      <c r="B1074" s="1" t="s">
        <v>2097</v>
      </c>
      <c r="C1074" s="1" t="s">
        <v>120</v>
      </c>
      <c r="D1074" s="1" t="s">
        <v>1933</v>
      </c>
      <c r="E1074" s="1" t="n">
        <v>55</v>
      </c>
      <c r="F1074" s="1" t="s">
        <v>3694</v>
      </c>
      <c r="G1074" s="1" t="s">
        <v>236</v>
      </c>
      <c r="H1074" s="1" t="s">
        <v>3695</v>
      </c>
      <c r="I1074" s="1" t="s">
        <v>2323</v>
      </c>
      <c r="J1074" s="1" t="s">
        <v>219</v>
      </c>
      <c r="L1074" s="1" t="n">
        <v>4.6</v>
      </c>
      <c r="M1074" s="1" t="n">
        <v>513</v>
      </c>
      <c r="N1074" s="4" t="b">
        <f aca="false">FALSE()</f>
        <v>0</v>
      </c>
      <c r="P1074" s="4" t="b">
        <f aca="false">TRUE()</f>
        <v>1</v>
      </c>
      <c r="Q1074" s="1" t="s">
        <v>233</v>
      </c>
      <c r="R1074" s="1" t="s">
        <v>3525</v>
      </c>
      <c r="S1074" s="1" t="s">
        <v>3696</v>
      </c>
      <c r="T1074" s="1" t="s">
        <v>222</v>
      </c>
      <c r="U1074" s="1" t="s">
        <v>2102</v>
      </c>
    </row>
    <row r="1075" customFormat="false" ht="48" hidden="false" customHeight="true" outlineLevel="0" collapsed="false">
      <c r="A1075" s="1" t="s">
        <v>45</v>
      </c>
      <c r="B1075" s="1" t="s">
        <v>2097</v>
      </c>
      <c r="C1075" s="1" t="s">
        <v>120</v>
      </c>
      <c r="D1075" s="1" t="s">
        <v>1933</v>
      </c>
      <c r="E1075" s="1" t="n">
        <v>56</v>
      </c>
      <c r="F1075" s="1" t="s">
        <v>3697</v>
      </c>
      <c r="G1075" s="1" t="s">
        <v>236</v>
      </c>
      <c r="H1075" s="1" t="s">
        <v>3698</v>
      </c>
      <c r="I1075" s="1" t="s">
        <v>402</v>
      </c>
      <c r="J1075" s="1" t="s">
        <v>219</v>
      </c>
      <c r="L1075" s="1" t="n">
        <v>4.6</v>
      </c>
      <c r="M1075" s="1" t="n">
        <v>4500</v>
      </c>
      <c r="N1075" s="4" t="b">
        <f aca="false">FALSE()</f>
        <v>0</v>
      </c>
      <c r="P1075" s="4" t="b">
        <f aca="false">TRUE()</f>
        <v>1</v>
      </c>
      <c r="R1075" s="1" t="s">
        <v>3525</v>
      </c>
      <c r="S1075" s="1" t="s">
        <v>3699</v>
      </c>
      <c r="T1075" s="1" t="s">
        <v>222</v>
      </c>
      <c r="U1075" s="1" t="s">
        <v>2102</v>
      </c>
    </row>
    <row r="1076" customFormat="false" ht="48" hidden="false" customHeight="true" outlineLevel="0" collapsed="false">
      <c r="A1076" s="1" t="s">
        <v>45</v>
      </c>
      <c r="B1076" s="1" t="s">
        <v>2097</v>
      </c>
      <c r="C1076" s="1" t="s">
        <v>120</v>
      </c>
      <c r="D1076" s="1" t="s">
        <v>1933</v>
      </c>
      <c r="E1076" s="1" t="n">
        <v>57</v>
      </c>
      <c r="F1076" s="1" t="s">
        <v>3700</v>
      </c>
      <c r="G1076" s="1" t="s">
        <v>236</v>
      </c>
      <c r="H1076" s="1" t="s">
        <v>3701</v>
      </c>
      <c r="I1076" s="1" t="s">
        <v>402</v>
      </c>
      <c r="J1076" s="1" t="s">
        <v>371</v>
      </c>
      <c r="L1076" s="1" t="n">
        <v>4.6</v>
      </c>
      <c r="M1076" s="1" t="n">
        <v>4</v>
      </c>
      <c r="N1076" s="4" t="b">
        <f aca="false">FALSE()</f>
        <v>0</v>
      </c>
      <c r="P1076" s="4" t="b">
        <f aca="false">TRUE()</f>
        <v>1</v>
      </c>
      <c r="R1076" s="1" t="s">
        <v>3525</v>
      </c>
      <c r="S1076" s="1" t="s">
        <v>3702</v>
      </c>
      <c r="T1076" s="1" t="s">
        <v>222</v>
      </c>
      <c r="U1076" s="1" t="s">
        <v>2102</v>
      </c>
    </row>
    <row r="1077" customFormat="false" ht="48" hidden="false" customHeight="true" outlineLevel="0" collapsed="false">
      <c r="A1077" s="1" t="s">
        <v>45</v>
      </c>
      <c r="B1077" s="1" t="s">
        <v>2097</v>
      </c>
      <c r="C1077" s="1" t="s">
        <v>120</v>
      </c>
      <c r="D1077" s="1" t="s">
        <v>1933</v>
      </c>
      <c r="E1077" s="1" t="n">
        <v>58</v>
      </c>
      <c r="F1077" s="1" t="s">
        <v>3703</v>
      </c>
      <c r="G1077" s="1" t="s">
        <v>236</v>
      </c>
      <c r="H1077" s="1" t="s">
        <v>3704</v>
      </c>
      <c r="I1077" s="1" t="s">
        <v>2333</v>
      </c>
      <c r="J1077" s="1" t="s">
        <v>371</v>
      </c>
      <c r="L1077" s="1" t="n">
        <v>4.4</v>
      </c>
      <c r="M1077" s="1" t="n">
        <v>316</v>
      </c>
      <c r="N1077" s="4" t="b">
        <f aca="false">FALSE()</f>
        <v>0</v>
      </c>
      <c r="P1077" s="4" t="b">
        <f aca="false">TRUE()</f>
        <v>1</v>
      </c>
      <c r="R1077" s="1" t="s">
        <v>3525</v>
      </c>
      <c r="S1077" s="1" t="s">
        <v>3705</v>
      </c>
      <c r="T1077" s="1" t="s">
        <v>222</v>
      </c>
      <c r="U1077" s="1" t="s">
        <v>2102</v>
      </c>
    </row>
    <row r="1078" customFormat="false" ht="48" hidden="false" customHeight="true" outlineLevel="0" collapsed="false">
      <c r="A1078" s="1" t="s">
        <v>45</v>
      </c>
      <c r="B1078" s="1" t="s">
        <v>2097</v>
      </c>
      <c r="C1078" s="1" t="s">
        <v>120</v>
      </c>
      <c r="D1078" s="1" t="s">
        <v>1933</v>
      </c>
      <c r="E1078" s="1" t="n">
        <v>59</v>
      </c>
      <c r="F1078" s="1" t="s">
        <v>3706</v>
      </c>
      <c r="G1078" s="1" t="s">
        <v>2481</v>
      </c>
      <c r="H1078" s="1" t="s">
        <v>3707</v>
      </c>
      <c r="I1078" s="1" t="s">
        <v>2323</v>
      </c>
      <c r="J1078" s="1" t="s">
        <v>310</v>
      </c>
      <c r="K1078" s="1" t="n">
        <v>94.99</v>
      </c>
      <c r="L1078" s="1" t="n">
        <v>4.4</v>
      </c>
      <c r="M1078" s="1" t="n">
        <v>1000</v>
      </c>
      <c r="N1078" s="4" t="b">
        <f aca="false">FALSE()</f>
        <v>0</v>
      </c>
      <c r="P1078" s="4" t="b">
        <f aca="false">TRUE()</f>
        <v>1</v>
      </c>
      <c r="Q1078" s="1" t="s">
        <v>251</v>
      </c>
      <c r="R1078" s="1" t="s">
        <v>3525</v>
      </c>
      <c r="S1078" s="1" t="s">
        <v>3708</v>
      </c>
      <c r="T1078" s="1" t="s">
        <v>222</v>
      </c>
      <c r="U1078" s="1" t="s">
        <v>2102</v>
      </c>
    </row>
    <row r="1079" customFormat="false" ht="48" hidden="false" customHeight="true" outlineLevel="0" collapsed="false">
      <c r="A1079" s="1" t="s">
        <v>45</v>
      </c>
      <c r="B1079" s="1" t="s">
        <v>2097</v>
      </c>
      <c r="C1079" s="1" t="s">
        <v>120</v>
      </c>
      <c r="D1079" s="1" t="s">
        <v>1933</v>
      </c>
      <c r="E1079" s="1" t="n">
        <v>60</v>
      </c>
      <c r="F1079" s="1" t="s">
        <v>3709</v>
      </c>
      <c r="G1079" s="1" t="s">
        <v>236</v>
      </c>
      <c r="H1079" s="1" t="s">
        <v>3710</v>
      </c>
      <c r="I1079" s="1" t="s">
        <v>231</v>
      </c>
      <c r="J1079" s="1" t="s">
        <v>371</v>
      </c>
      <c r="L1079" s="1" t="n">
        <v>4.3</v>
      </c>
      <c r="M1079" s="1" t="n">
        <v>67</v>
      </c>
      <c r="N1079" s="4" t="b">
        <f aca="false">FALSE()</f>
        <v>0</v>
      </c>
      <c r="P1079" s="4" t="b">
        <f aca="false">TRUE()</f>
        <v>1</v>
      </c>
      <c r="R1079" s="1" t="s">
        <v>3525</v>
      </c>
      <c r="S1079" s="1" t="s">
        <v>3711</v>
      </c>
      <c r="T1079" s="1" t="s">
        <v>222</v>
      </c>
      <c r="U1079" s="1" t="s">
        <v>2102</v>
      </c>
    </row>
    <row r="1080" customFormat="false" ht="48" hidden="false" customHeight="true" outlineLevel="0" collapsed="false">
      <c r="A1080" s="1" t="s">
        <v>41</v>
      </c>
      <c r="B1080" s="1" t="s">
        <v>3712</v>
      </c>
      <c r="C1080" s="1" t="s">
        <v>213</v>
      </c>
      <c r="D1080" s="1" t="s">
        <v>214</v>
      </c>
      <c r="E1080" s="1" t="n">
        <v>1</v>
      </c>
      <c r="F1080" s="1" t="s">
        <v>2155</v>
      </c>
      <c r="G1080" s="1" t="s">
        <v>2156</v>
      </c>
      <c r="H1080" s="1" t="s">
        <v>3713</v>
      </c>
      <c r="I1080" s="1" t="s">
        <v>218</v>
      </c>
      <c r="J1080" s="1" t="s">
        <v>219</v>
      </c>
      <c r="K1080" s="1" t="n">
        <v>59.99</v>
      </c>
      <c r="L1080" s="1" t="n">
        <v>4.5</v>
      </c>
      <c r="M1080" s="1" t="n">
        <v>3900</v>
      </c>
      <c r="N1080" s="4" t="b">
        <f aca="false">FALSE()</f>
        <v>0</v>
      </c>
      <c r="O1080" s="1" t="s">
        <v>3714</v>
      </c>
      <c r="P1080" s="4" t="b">
        <f aca="false">TRUE()</f>
        <v>1</v>
      </c>
      <c r="Q1080" s="1" t="s">
        <v>233</v>
      </c>
      <c r="R1080" s="1" t="s">
        <v>3715</v>
      </c>
      <c r="S1080" s="1" t="s">
        <v>3716</v>
      </c>
      <c r="T1080" s="1" t="s">
        <v>222</v>
      </c>
      <c r="U1080" s="1" t="s">
        <v>2102</v>
      </c>
    </row>
    <row r="1081" customFormat="false" ht="48" hidden="false" customHeight="true" outlineLevel="0" collapsed="false">
      <c r="A1081" s="1" t="s">
        <v>41</v>
      </c>
      <c r="B1081" s="1" t="s">
        <v>3712</v>
      </c>
      <c r="C1081" s="1" t="s">
        <v>213</v>
      </c>
      <c r="D1081" s="1" t="s">
        <v>214</v>
      </c>
      <c r="E1081" s="1" t="n">
        <v>2</v>
      </c>
      <c r="F1081" s="1" t="s">
        <v>2119</v>
      </c>
      <c r="G1081" s="1" t="s">
        <v>1707</v>
      </c>
      <c r="H1081" s="1" t="s">
        <v>3717</v>
      </c>
      <c r="I1081" s="1" t="s">
        <v>218</v>
      </c>
      <c r="J1081" s="1" t="s">
        <v>219</v>
      </c>
      <c r="K1081" s="1" t="n">
        <v>37.98</v>
      </c>
      <c r="L1081" s="1" t="n">
        <v>4.4</v>
      </c>
      <c r="M1081" s="1" t="n">
        <v>2000</v>
      </c>
      <c r="N1081" s="4" t="b">
        <f aca="false">FALSE()</f>
        <v>0</v>
      </c>
      <c r="O1081" s="1" t="s">
        <v>3718</v>
      </c>
      <c r="P1081" s="4" t="b">
        <f aca="false">TRUE()</f>
        <v>1</v>
      </c>
      <c r="Q1081" s="1" t="s">
        <v>1840</v>
      </c>
      <c r="R1081" s="1" t="s">
        <v>3715</v>
      </c>
      <c r="S1081" s="1" t="s">
        <v>3719</v>
      </c>
      <c r="T1081" s="1" t="s">
        <v>222</v>
      </c>
      <c r="U1081" s="1" t="s">
        <v>2102</v>
      </c>
    </row>
    <row r="1082" customFormat="false" ht="48" hidden="false" customHeight="true" outlineLevel="0" collapsed="false">
      <c r="A1082" s="1" t="s">
        <v>41</v>
      </c>
      <c r="B1082" s="1" t="s">
        <v>3712</v>
      </c>
      <c r="C1082" s="1" t="s">
        <v>213</v>
      </c>
      <c r="D1082" s="1" t="s">
        <v>214</v>
      </c>
      <c r="E1082" s="1" t="n">
        <v>3</v>
      </c>
      <c r="F1082" s="1" t="s">
        <v>3720</v>
      </c>
      <c r="G1082" s="1" t="s">
        <v>1707</v>
      </c>
      <c r="H1082" s="1" t="s">
        <v>3721</v>
      </c>
      <c r="I1082" s="1" t="s">
        <v>242</v>
      </c>
      <c r="J1082" s="1" t="s">
        <v>219</v>
      </c>
      <c r="K1082" s="1" t="n">
        <v>34.98</v>
      </c>
      <c r="L1082" s="1" t="n">
        <v>4.4</v>
      </c>
      <c r="M1082" s="1" t="n">
        <v>2000</v>
      </c>
      <c r="N1082" s="4" t="b">
        <f aca="false">FALSE()</f>
        <v>0</v>
      </c>
      <c r="O1082" s="1" t="s">
        <v>3722</v>
      </c>
      <c r="P1082" s="4" t="b">
        <f aca="false">TRUE()</f>
        <v>1</v>
      </c>
      <c r="Q1082" s="1" t="s">
        <v>618</v>
      </c>
      <c r="R1082" s="1" t="s">
        <v>3715</v>
      </c>
      <c r="S1082" s="1" t="s">
        <v>3723</v>
      </c>
      <c r="T1082" s="1" t="s">
        <v>222</v>
      </c>
      <c r="U1082" s="1" t="s">
        <v>2102</v>
      </c>
    </row>
    <row r="1083" customFormat="false" ht="48" hidden="false" customHeight="true" outlineLevel="0" collapsed="false">
      <c r="A1083" s="1" t="s">
        <v>41</v>
      </c>
      <c r="B1083" s="1" t="s">
        <v>3712</v>
      </c>
      <c r="C1083" s="1" t="s">
        <v>213</v>
      </c>
      <c r="D1083" s="1" t="s">
        <v>214</v>
      </c>
      <c r="E1083" s="1" t="n">
        <v>4</v>
      </c>
      <c r="F1083" s="1" t="s">
        <v>245</v>
      </c>
      <c r="G1083" s="1" t="s">
        <v>236</v>
      </c>
      <c r="H1083" s="1" t="s">
        <v>3724</v>
      </c>
      <c r="I1083" s="1" t="s">
        <v>218</v>
      </c>
      <c r="J1083" s="1" t="s">
        <v>219</v>
      </c>
      <c r="K1083" s="1" t="n">
        <v>62.99</v>
      </c>
      <c r="L1083" s="1" t="n">
        <v>4.4</v>
      </c>
      <c r="M1083" s="1" t="n">
        <v>311</v>
      </c>
      <c r="N1083" s="4" t="b">
        <f aca="false">FALSE()</f>
        <v>0</v>
      </c>
      <c r="O1083" s="1" t="s">
        <v>3725</v>
      </c>
      <c r="P1083" s="4" t="b">
        <f aca="false">TRUE()</f>
        <v>1</v>
      </c>
      <c r="Q1083" s="1" t="s">
        <v>439</v>
      </c>
      <c r="R1083" s="1" t="s">
        <v>3715</v>
      </c>
      <c r="S1083" s="1" t="s">
        <v>3726</v>
      </c>
      <c r="T1083" s="1" t="s">
        <v>222</v>
      </c>
      <c r="U1083" s="1" t="s">
        <v>2102</v>
      </c>
    </row>
    <row r="1084" customFormat="false" ht="48" hidden="false" customHeight="true" outlineLevel="0" collapsed="false">
      <c r="A1084" s="1" t="s">
        <v>41</v>
      </c>
      <c r="B1084" s="1" t="s">
        <v>3712</v>
      </c>
      <c r="C1084" s="1" t="s">
        <v>213</v>
      </c>
      <c r="D1084" s="1" t="s">
        <v>214</v>
      </c>
      <c r="E1084" s="1" t="n">
        <v>5</v>
      </c>
      <c r="F1084" s="1" t="s">
        <v>3727</v>
      </c>
      <c r="G1084" s="1" t="s">
        <v>337</v>
      </c>
      <c r="H1084" s="1" t="s">
        <v>3728</v>
      </c>
      <c r="I1084" s="1" t="s">
        <v>231</v>
      </c>
      <c r="J1084" s="1" t="s">
        <v>219</v>
      </c>
      <c r="K1084" s="1" t="n">
        <v>109.99</v>
      </c>
      <c r="L1084" s="1" t="n">
        <v>4.5</v>
      </c>
      <c r="M1084" s="1" t="n">
        <v>23500</v>
      </c>
      <c r="N1084" s="4" t="b">
        <f aca="false">FALSE()</f>
        <v>0</v>
      </c>
      <c r="O1084" s="1" t="s">
        <v>3729</v>
      </c>
      <c r="P1084" s="4" t="b">
        <f aca="false">TRUE()</f>
        <v>1</v>
      </c>
      <c r="Q1084" s="1" t="s">
        <v>766</v>
      </c>
      <c r="R1084" s="1" t="s">
        <v>3715</v>
      </c>
      <c r="S1084" s="1" t="s">
        <v>3730</v>
      </c>
      <c r="T1084" s="1" t="s">
        <v>222</v>
      </c>
      <c r="U1084" s="1" t="s">
        <v>2102</v>
      </c>
    </row>
    <row r="1085" customFormat="false" ht="48" hidden="false" customHeight="true" outlineLevel="0" collapsed="false">
      <c r="A1085" s="1" t="s">
        <v>41</v>
      </c>
      <c r="B1085" s="1" t="s">
        <v>3712</v>
      </c>
      <c r="C1085" s="1" t="s">
        <v>213</v>
      </c>
      <c r="D1085" s="1" t="s">
        <v>214</v>
      </c>
      <c r="E1085" s="1" t="n">
        <v>6</v>
      </c>
      <c r="F1085" s="1" t="s">
        <v>3731</v>
      </c>
      <c r="G1085" s="1" t="s">
        <v>236</v>
      </c>
      <c r="H1085" s="1" t="s">
        <v>3732</v>
      </c>
      <c r="I1085" s="1" t="s">
        <v>231</v>
      </c>
      <c r="J1085" s="1" t="s">
        <v>219</v>
      </c>
      <c r="K1085" s="1" t="n">
        <v>68.39</v>
      </c>
      <c r="L1085" s="1" t="n">
        <v>4.5</v>
      </c>
      <c r="M1085" s="1" t="n">
        <v>284</v>
      </c>
      <c r="N1085" s="4" t="b">
        <f aca="false">FALSE()</f>
        <v>0</v>
      </c>
      <c r="O1085" s="1" t="s">
        <v>3725</v>
      </c>
      <c r="P1085" s="4" t="b">
        <f aca="false">TRUE()</f>
        <v>1</v>
      </c>
      <c r="Q1085" s="1" t="s">
        <v>423</v>
      </c>
      <c r="R1085" s="1" t="s">
        <v>3715</v>
      </c>
      <c r="S1085" s="1" t="s">
        <v>3733</v>
      </c>
      <c r="T1085" s="1" t="s">
        <v>222</v>
      </c>
      <c r="U1085" s="1" t="s">
        <v>2102</v>
      </c>
    </row>
    <row r="1086" customFormat="false" ht="48" hidden="false" customHeight="true" outlineLevel="0" collapsed="false">
      <c r="A1086" s="1" t="s">
        <v>41</v>
      </c>
      <c r="B1086" s="1" t="s">
        <v>3712</v>
      </c>
      <c r="C1086" s="1" t="s">
        <v>213</v>
      </c>
      <c r="D1086" s="1" t="s">
        <v>214</v>
      </c>
      <c r="E1086" s="1" t="n">
        <v>7</v>
      </c>
      <c r="F1086" s="1" t="s">
        <v>3734</v>
      </c>
      <c r="G1086" s="1" t="s">
        <v>567</v>
      </c>
      <c r="H1086" s="1" t="s">
        <v>3735</v>
      </c>
      <c r="I1086" s="1" t="s">
        <v>218</v>
      </c>
      <c r="J1086" s="1" t="s">
        <v>219</v>
      </c>
      <c r="K1086" s="1" t="n">
        <v>29.99</v>
      </c>
      <c r="L1086" s="1" t="n">
        <v>3.6</v>
      </c>
      <c r="M1086" s="1" t="n">
        <v>52</v>
      </c>
      <c r="N1086" s="4" t="b">
        <f aca="false">FALSE()</f>
        <v>0</v>
      </c>
      <c r="P1086" s="4" t="b">
        <f aca="false">TRUE()</f>
        <v>1</v>
      </c>
      <c r="Q1086" s="1" t="s">
        <v>451</v>
      </c>
      <c r="R1086" s="1" t="s">
        <v>3715</v>
      </c>
      <c r="S1086" s="1" t="s">
        <v>3736</v>
      </c>
      <c r="T1086" s="1" t="s">
        <v>222</v>
      </c>
      <c r="U1086" s="1" t="s">
        <v>2102</v>
      </c>
    </row>
    <row r="1087" customFormat="false" ht="48" hidden="false" customHeight="true" outlineLevel="0" collapsed="false">
      <c r="A1087" s="1" t="s">
        <v>41</v>
      </c>
      <c r="B1087" s="1" t="s">
        <v>3712</v>
      </c>
      <c r="C1087" s="1" t="s">
        <v>213</v>
      </c>
      <c r="D1087" s="1" t="s">
        <v>214</v>
      </c>
      <c r="E1087" s="1" t="n">
        <v>8</v>
      </c>
      <c r="F1087" s="1" t="s">
        <v>1145</v>
      </c>
      <c r="G1087" s="1" t="s">
        <v>229</v>
      </c>
      <c r="H1087" s="1" t="s">
        <v>3737</v>
      </c>
      <c r="I1087" s="1" t="s">
        <v>218</v>
      </c>
      <c r="J1087" s="1" t="s">
        <v>219</v>
      </c>
      <c r="K1087" s="1" t="n">
        <v>54.99</v>
      </c>
      <c r="L1087" s="1" t="n">
        <v>4.4</v>
      </c>
      <c r="M1087" s="1" t="n">
        <v>65100</v>
      </c>
      <c r="N1087" s="4" t="b">
        <f aca="false">FALSE()</f>
        <v>0</v>
      </c>
      <c r="O1087" s="1" t="s">
        <v>962</v>
      </c>
      <c r="P1087" s="4" t="b">
        <f aca="false">TRUE()</f>
        <v>1</v>
      </c>
      <c r="Q1087" s="1" t="s">
        <v>766</v>
      </c>
      <c r="R1087" s="1" t="s">
        <v>3715</v>
      </c>
      <c r="S1087" s="1" t="s">
        <v>3738</v>
      </c>
      <c r="T1087" s="1" t="s">
        <v>222</v>
      </c>
      <c r="U1087" s="1" t="s">
        <v>2102</v>
      </c>
    </row>
    <row r="1088" customFormat="false" ht="48" hidden="false" customHeight="true" outlineLevel="0" collapsed="false">
      <c r="A1088" s="1" t="s">
        <v>41</v>
      </c>
      <c r="B1088" s="1" t="s">
        <v>3712</v>
      </c>
      <c r="C1088" s="1" t="s">
        <v>213</v>
      </c>
      <c r="D1088" s="1" t="s">
        <v>214</v>
      </c>
      <c r="E1088" s="1" t="n">
        <v>9</v>
      </c>
      <c r="F1088" s="1" t="s">
        <v>3739</v>
      </c>
      <c r="G1088" s="1" t="s">
        <v>236</v>
      </c>
      <c r="H1088" s="1" t="s">
        <v>3740</v>
      </c>
      <c r="I1088" s="1" t="s">
        <v>218</v>
      </c>
      <c r="J1088" s="1" t="s">
        <v>219</v>
      </c>
      <c r="K1088" s="1" t="n">
        <v>72.09</v>
      </c>
      <c r="L1088" s="1" t="n">
        <v>5</v>
      </c>
      <c r="M1088" s="1" t="n">
        <v>113</v>
      </c>
      <c r="N1088" s="4" t="b">
        <f aca="false">FALSE()</f>
        <v>0</v>
      </c>
      <c r="O1088" s="1" t="s">
        <v>3741</v>
      </c>
      <c r="P1088" s="4" t="b">
        <f aca="false">TRUE()</f>
        <v>1</v>
      </c>
      <c r="R1088" s="1" t="s">
        <v>3715</v>
      </c>
      <c r="S1088" s="1" t="s">
        <v>3742</v>
      </c>
      <c r="T1088" s="1" t="s">
        <v>222</v>
      </c>
      <c r="U1088" s="1" t="s">
        <v>2102</v>
      </c>
    </row>
    <row r="1089" customFormat="false" ht="48" hidden="false" customHeight="true" outlineLevel="0" collapsed="false">
      <c r="A1089" s="1" t="s">
        <v>41</v>
      </c>
      <c r="B1089" s="1" t="s">
        <v>3712</v>
      </c>
      <c r="C1089" s="1" t="s">
        <v>213</v>
      </c>
      <c r="D1089" s="1" t="s">
        <v>214</v>
      </c>
      <c r="E1089" s="1" t="n">
        <v>10</v>
      </c>
      <c r="F1089" s="1" t="s">
        <v>3743</v>
      </c>
      <c r="G1089" s="1" t="s">
        <v>236</v>
      </c>
      <c r="H1089" s="1" t="s">
        <v>3724</v>
      </c>
      <c r="I1089" s="1" t="s">
        <v>218</v>
      </c>
      <c r="J1089" s="1" t="s">
        <v>219</v>
      </c>
      <c r="K1089" s="1" t="n">
        <v>62.99</v>
      </c>
      <c r="L1089" s="1" t="n">
        <v>4.4</v>
      </c>
      <c r="M1089" s="1" t="n">
        <v>311</v>
      </c>
      <c r="N1089" s="4" t="b">
        <f aca="false">FALSE()</f>
        <v>0</v>
      </c>
      <c r="O1089" s="1" t="s">
        <v>3725</v>
      </c>
      <c r="P1089" s="4" t="b">
        <f aca="false">TRUE()</f>
        <v>1</v>
      </c>
      <c r="Q1089" s="1" t="s">
        <v>451</v>
      </c>
      <c r="R1089" s="1" t="s">
        <v>3715</v>
      </c>
      <c r="S1089" s="1" t="s">
        <v>3744</v>
      </c>
      <c r="T1089" s="1" t="s">
        <v>222</v>
      </c>
      <c r="U1089" s="1" t="s">
        <v>2102</v>
      </c>
    </row>
    <row r="1090" customFormat="false" ht="48" hidden="false" customHeight="true" outlineLevel="0" collapsed="false">
      <c r="A1090" s="1" t="s">
        <v>41</v>
      </c>
      <c r="B1090" s="1" t="s">
        <v>3712</v>
      </c>
      <c r="C1090" s="1" t="s">
        <v>213</v>
      </c>
      <c r="D1090" s="1" t="s">
        <v>214</v>
      </c>
      <c r="E1090" s="1" t="n">
        <v>11</v>
      </c>
      <c r="F1090" s="1" t="s">
        <v>3745</v>
      </c>
      <c r="G1090" s="1" t="s">
        <v>347</v>
      </c>
      <c r="H1090" s="1" t="s">
        <v>3746</v>
      </c>
      <c r="I1090" s="1" t="s">
        <v>218</v>
      </c>
      <c r="J1090" s="1" t="s">
        <v>219</v>
      </c>
      <c r="K1090" s="1" t="n">
        <v>79.99</v>
      </c>
      <c r="L1090" s="1" t="n">
        <v>4.4</v>
      </c>
      <c r="M1090" s="1" t="n">
        <v>37100</v>
      </c>
      <c r="N1090" s="4" t="b">
        <f aca="false">FALSE()</f>
        <v>0</v>
      </c>
      <c r="P1090" s="4" t="b">
        <f aca="false">TRUE()</f>
        <v>1</v>
      </c>
      <c r="Q1090" s="1" t="s">
        <v>711</v>
      </c>
      <c r="R1090" s="1" t="s">
        <v>3715</v>
      </c>
      <c r="S1090" s="1" t="s">
        <v>3747</v>
      </c>
      <c r="T1090" s="1" t="s">
        <v>222</v>
      </c>
      <c r="U1090" s="1" t="s">
        <v>2102</v>
      </c>
    </row>
    <row r="1091" customFormat="false" ht="48" hidden="false" customHeight="true" outlineLevel="0" collapsed="false">
      <c r="A1091" s="1" t="s">
        <v>41</v>
      </c>
      <c r="B1091" s="1" t="s">
        <v>3712</v>
      </c>
      <c r="C1091" s="1" t="s">
        <v>213</v>
      </c>
      <c r="D1091" s="1" t="s">
        <v>214</v>
      </c>
      <c r="E1091" s="1" t="n">
        <v>12</v>
      </c>
      <c r="F1091" s="1" t="s">
        <v>3748</v>
      </c>
      <c r="G1091" s="1" t="s">
        <v>337</v>
      </c>
      <c r="H1091" s="1" t="s">
        <v>3749</v>
      </c>
      <c r="I1091" s="1" t="s">
        <v>231</v>
      </c>
      <c r="J1091" s="1" t="s">
        <v>219</v>
      </c>
      <c r="K1091" s="1" t="n">
        <v>109.99</v>
      </c>
      <c r="L1091" s="1" t="n">
        <v>4.5</v>
      </c>
      <c r="M1091" s="1" t="n">
        <v>23500</v>
      </c>
      <c r="N1091" s="4" t="b">
        <f aca="false">FALSE()</f>
        <v>0</v>
      </c>
      <c r="O1091" s="1" t="s">
        <v>3729</v>
      </c>
      <c r="P1091" s="4" t="b">
        <f aca="false">TRUE()</f>
        <v>1</v>
      </c>
      <c r="Q1091" s="1" t="s">
        <v>618</v>
      </c>
      <c r="R1091" s="1" t="s">
        <v>3715</v>
      </c>
      <c r="S1091" s="1" t="s">
        <v>3750</v>
      </c>
      <c r="T1091" s="1" t="s">
        <v>222</v>
      </c>
      <c r="U1091" s="1" t="s">
        <v>2102</v>
      </c>
    </row>
    <row r="1092" customFormat="false" ht="48" hidden="false" customHeight="true" outlineLevel="0" collapsed="false">
      <c r="A1092" s="1" t="s">
        <v>41</v>
      </c>
      <c r="B1092" s="1" t="s">
        <v>3712</v>
      </c>
      <c r="C1092" s="1" t="s">
        <v>213</v>
      </c>
      <c r="D1092" s="1" t="s">
        <v>214</v>
      </c>
      <c r="E1092" s="1" t="n">
        <v>13</v>
      </c>
      <c r="F1092" s="1" t="s">
        <v>3751</v>
      </c>
      <c r="G1092" s="1" t="s">
        <v>337</v>
      </c>
      <c r="H1092" s="1" t="s">
        <v>3752</v>
      </c>
      <c r="I1092" s="1" t="s">
        <v>231</v>
      </c>
      <c r="J1092" s="1" t="s">
        <v>219</v>
      </c>
      <c r="K1092" s="1" t="n">
        <v>109.99</v>
      </c>
      <c r="L1092" s="1" t="n">
        <v>4.5</v>
      </c>
      <c r="M1092" s="1" t="n">
        <v>23500</v>
      </c>
      <c r="N1092" s="4" t="b">
        <f aca="false">FALSE()</f>
        <v>0</v>
      </c>
      <c r="O1092" s="1" t="s">
        <v>3729</v>
      </c>
      <c r="P1092" s="4" t="b">
        <f aca="false">TRUE()</f>
        <v>1</v>
      </c>
      <c r="Q1092" s="1" t="s">
        <v>711</v>
      </c>
      <c r="R1092" s="1" t="s">
        <v>3715</v>
      </c>
      <c r="S1092" s="1" t="s">
        <v>3753</v>
      </c>
      <c r="T1092" s="1" t="s">
        <v>222</v>
      </c>
      <c r="U1092" s="1" t="s">
        <v>2102</v>
      </c>
    </row>
    <row r="1093" customFormat="false" ht="48" hidden="false" customHeight="true" outlineLevel="0" collapsed="false">
      <c r="A1093" s="1" t="s">
        <v>41</v>
      </c>
      <c r="B1093" s="1" t="s">
        <v>3712</v>
      </c>
      <c r="C1093" s="1" t="s">
        <v>213</v>
      </c>
      <c r="D1093" s="1" t="s">
        <v>214</v>
      </c>
      <c r="E1093" s="1" t="n">
        <v>14</v>
      </c>
      <c r="F1093" s="1" t="s">
        <v>1236</v>
      </c>
      <c r="G1093" s="1" t="s">
        <v>236</v>
      </c>
      <c r="H1093" s="1" t="s">
        <v>3724</v>
      </c>
      <c r="I1093" s="1" t="s">
        <v>218</v>
      </c>
      <c r="J1093" s="1" t="s">
        <v>219</v>
      </c>
      <c r="K1093" s="1" t="n">
        <v>62.99</v>
      </c>
      <c r="L1093" s="1" t="n">
        <v>4.4</v>
      </c>
      <c r="M1093" s="1" t="n">
        <v>311</v>
      </c>
      <c r="N1093" s="4" t="b">
        <f aca="false">FALSE()</f>
        <v>0</v>
      </c>
      <c r="O1093" s="1" t="s">
        <v>3725</v>
      </c>
      <c r="P1093" s="4" t="b">
        <f aca="false">TRUE()</f>
        <v>1</v>
      </c>
      <c r="Q1093" s="1" t="s">
        <v>233</v>
      </c>
      <c r="R1093" s="1" t="s">
        <v>3715</v>
      </c>
      <c r="S1093" s="1" t="s">
        <v>3754</v>
      </c>
      <c r="T1093" s="1" t="s">
        <v>222</v>
      </c>
      <c r="U1093" s="1" t="s">
        <v>2102</v>
      </c>
    </row>
    <row r="1094" customFormat="false" ht="48" hidden="false" customHeight="true" outlineLevel="0" collapsed="false">
      <c r="A1094" s="1" t="s">
        <v>41</v>
      </c>
      <c r="B1094" s="1" t="s">
        <v>3712</v>
      </c>
      <c r="C1094" s="1" t="s">
        <v>213</v>
      </c>
      <c r="D1094" s="1" t="s">
        <v>214</v>
      </c>
      <c r="E1094" s="1" t="n">
        <v>15</v>
      </c>
      <c r="F1094" s="1" t="s">
        <v>3755</v>
      </c>
      <c r="G1094" s="1" t="s">
        <v>236</v>
      </c>
      <c r="H1094" s="1" t="s">
        <v>3756</v>
      </c>
      <c r="I1094" s="1" t="s">
        <v>231</v>
      </c>
      <c r="J1094" s="1" t="s">
        <v>219</v>
      </c>
      <c r="K1094" s="1" t="n">
        <v>35.99</v>
      </c>
      <c r="L1094" s="1" t="n">
        <v>4.2</v>
      </c>
      <c r="M1094" s="1" t="n">
        <v>41</v>
      </c>
      <c r="N1094" s="4" t="b">
        <f aca="false">FALSE()</f>
        <v>0</v>
      </c>
      <c r="O1094" s="1" t="s">
        <v>864</v>
      </c>
      <c r="P1094" s="4" t="b">
        <f aca="false">TRUE()</f>
        <v>1</v>
      </c>
      <c r="R1094" s="1" t="s">
        <v>3715</v>
      </c>
      <c r="S1094" s="1" t="s">
        <v>3757</v>
      </c>
      <c r="T1094" s="1" t="s">
        <v>222</v>
      </c>
      <c r="U1094" s="1" t="s">
        <v>2102</v>
      </c>
    </row>
    <row r="1095" customFormat="false" ht="48" hidden="false" customHeight="true" outlineLevel="0" collapsed="false">
      <c r="A1095" s="1" t="s">
        <v>41</v>
      </c>
      <c r="B1095" s="1" t="s">
        <v>3712</v>
      </c>
      <c r="C1095" s="1" t="s">
        <v>213</v>
      </c>
      <c r="D1095" s="1" t="s">
        <v>214</v>
      </c>
      <c r="E1095" s="1" t="n">
        <v>16</v>
      </c>
      <c r="F1095" s="1" t="s">
        <v>373</v>
      </c>
      <c r="G1095" s="1" t="s">
        <v>236</v>
      </c>
      <c r="H1095" s="1" t="s">
        <v>374</v>
      </c>
      <c r="I1095" s="1" t="s">
        <v>218</v>
      </c>
      <c r="J1095" s="1" t="s">
        <v>219</v>
      </c>
      <c r="K1095" s="1" t="n">
        <v>55</v>
      </c>
      <c r="L1095" s="1" t="n">
        <v>4.4</v>
      </c>
      <c r="M1095" s="1" t="n">
        <v>1900</v>
      </c>
      <c r="N1095" s="4" t="b">
        <f aca="false">FALSE()</f>
        <v>0</v>
      </c>
      <c r="P1095" s="4" t="b">
        <f aca="false">TRUE()</f>
        <v>1</v>
      </c>
      <c r="Q1095" s="1" t="s">
        <v>435</v>
      </c>
      <c r="R1095" s="1" t="s">
        <v>3715</v>
      </c>
      <c r="S1095" s="1" t="s">
        <v>3758</v>
      </c>
      <c r="T1095" s="1" t="s">
        <v>222</v>
      </c>
      <c r="U1095" s="1" t="s">
        <v>2102</v>
      </c>
    </row>
    <row r="1096" customFormat="false" ht="48" hidden="false" customHeight="true" outlineLevel="0" collapsed="false">
      <c r="A1096" s="1" t="s">
        <v>41</v>
      </c>
      <c r="B1096" s="1" t="s">
        <v>3712</v>
      </c>
      <c r="C1096" s="1" t="s">
        <v>213</v>
      </c>
      <c r="D1096" s="1" t="s">
        <v>214</v>
      </c>
      <c r="E1096" s="1" t="n">
        <v>17</v>
      </c>
      <c r="F1096" s="1" t="s">
        <v>3759</v>
      </c>
      <c r="G1096" s="1" t="s">
        <v>1707</v>
      </c>
      <c r="H1096" s="1" t="s">
        <v>3760</v>
      </c>
      <c r="I1096" s="1" t="s">
        <v>231</v>
      </c>
      <c r="J1096" s="1" t="s">
        <v>219</v>
      </c>
      <c r="K1096" s="1" t="n">
        <v>42.98</v>
      </c>
      <c r="L1096" s="1" t="n">
        <v>4.4</v>
      </c>
      <c r="M1096" s="1" t="n">
        <v>2000</v>
      </c>
      <c r="N1096" s="4" t="b">
        <f aca="false">FALSE()</f>
        <v>0</v>
      </c>
      <c r="O1096" s="1" t="s">
        <v>3761</v>
      </c>
      <c r="P1096" s="4" t="b">
        <f aca="false">TRUE()</f>
        <v>1</v>
      </c>
      <c r="Q1096" s="1" t="s">
        <v>409</v>
      </c>
      <c r="R1096" s="1" t="s">
        <v>3715</v>
      </c>
      <c r="S1096" s="1" t="s">
        <v>3762</v>
      </c>
      <c r="T1096" s="1" t="s">
        <v>222</v>
      </c>
      <c r="U1096" s="1" t="s">
        <v>2102</v>
      </c>
    </row>
    <row r="1097" customFormat="false" ht="48" hidden="false" customHeight="true" outlineLevel="0" collapsed="false">
      <c r="A1097" s="1" t="s">
        <v>41</v>
      </c>
      <c r="B1097" s="1" t="s">
        <v>3712</v>
      </c>
      <c r="C1097" s="1" t="s">
        <v>213</v>
      </c>
      <c r="D1097" s="1" t="s">
        <v>214</v>
      </c>
      <c r="E1097" s="1" t="n">
        <v>18</v>
      </c>
      <c r="F1097" s="1" t="s">
        <v>2103</v>
      </c>
      <c r="G1097" s="1" t="s">
        <v>1707</v>
      </c>
      <c r="H1097" s="1" t="s">
        <v>3763</v>
      </c>
      <c r="I1097" s="1" t="s">
        <v>218</v>
      </c>
      <c r="J1097" s="1" t="s">
        <v>219</v>
      </c>
      <c r="K1097" s="1" t="n">
        <v>39.59</v>
      </c>
      <c r="L1097" s="1" t="n">
        <v>4.4</v>
      </c>
      <c r="M1097" s="1" t="n">
        <v>2000</v>
      </c>
      <c r="N1097" s="4" t="b">
        <f aca="false">FALSE()</f>
        <v>0</v>
      </c>
      <c r="O1097" s="1" t="s">
        <v>548</v>
      </c>
      <c r="P1097" s="4" t="b">
        <f aca="false">TRUE()</f>
        <v>1</v>
      </c>
      <c r="Q1097" s="1" t="s">
        <v>711</v>
      </c>
      <c r="R1097" s="1" t="s">
        <v>3715</v>
      </c>
      <c r="S1097" s="1" t="s">
        <v>3764</v>
      </c>
      <c r="T1097" s="1" t="s">
        <v>222</v>
      </c>
      <c r="U1097" s="1" t="s">
        <v>2102</v>
      </c>
    </row>
    <row r="1098" customFormat="false" ht="48" hidden="false" customHeight="true" outlineLevel="0" collapsed="false">
      <c r="A1098" s="1" t="s">
        <v>41</v>
      </c>
      <c r="B1098" s="1" t="s">
        <v>3712</v>
      </c>
      <c r="C1098" s="1" t="s">
        <v>213</v>
      </c>
      <c r="D1098" s="1" t="s">
        <v>214</v>
      </c>
      <c r="E1098" s="1" t="n">
        <v>19</v>
      </c>
      <c r="F1098" s="1" t="s">
        <v>3765</v>
      </c>
      <c r="G1098" s="1" t="s">
        <v>236</v>
      </c>
      <c r="H1098" s="1" t="s">
        <v>3766</v>
      </c>
      <c r="I1098" s="1" t="s">
        <v>218</v>
      </c>
      <c r="J1098" s="1" t="s">
        <v>1104</v>
      </c>
      <c r="K1098" s="1" t="n">
        <v>71.1</v>
      </c>
      <c r="L1098" s="1" t="n">
        <v>4.8</v>
      </c>
      <c r="M1098" s="1" t="n">
        <v>205</v>
      </c>
      <c r="N1098" s="4" t="b">
        <f aca="false">FALSE()</f>
        <v>0</v>
      </c>
      <c r="P1098" s="4" t="b">
        <f aca="false">TRUE()</f>
        <v>1</v>
      </c>
      <c r="Q1098" s="1" t="s">
        <v>251</v>
      </c>
      <c r="R1098" s="1" t="s">
        <v>3715</v>
      </c>
      <c r="S1098" s="1" t="s">
        <v>3767</v>
      </c>
      <c r="T1098" s="1" t="s">
        <v>222</v>
      </c>
      <c r="U1098" s="1" t="s">
        <v>2102</v>
      </c>
    </row>
    <row r="1099" customFormat="false" ht="48" hidden="false" customHeight="true" outlineLevel="0" collapsed="false">
      <c r="A1099" s="1" t="s">
        <v>41</v>
      </c>
      <c r="B1099" s="1" t="s">
        <v>3712</v>
      </c>
      <c r="C1099" s="1" t="s">
        <v>213</v>
      </c>
      <c r="D1099" s="1" t="s">
        <v>214</v>
      </c>
      <c r="E1099" s="1" t="n">
        <v>20</v>
      </c>
      <c r="F1099" s="1" t="s">
        <v>3768</v>
      </c>
      <c r="G1099" s="1" t="s">
        <v>236</v>
      </c>
      <c r="H1099" s="1" t="s">
        <v>3769</v>
      </c>
      <c r="I1099" s="1" t="s">
        <v>218</v>
      </c>
      <c r="J1099" s="1" t="s">
        <v>1104</v>
      </c>
      <c r="K1099" s="1" t="n">
        <v>78.99</v>
      </c>
      <c r="L1099" s="1" t="n">
        <v>4.9</v>
      </c>
      <c r="M1099" s="1" t="n">
        <v>277</v>
      </c>
      <c r="N1099" s="4" t="b">
        <f aca="false">FALSE()</f>
        <v>0</v>
      </c>
      <c r="O1099" s="1" t="s">
        <v>3770</v>
      </c>
      <c r="P1099" s="4" t="b">
        <f aca="false">TRUE()</f>
        <v>1</v>
      </c>
      <c r="Q1099" s="1" t="s">
        <v>233</v>
      </c>
      <c r="R1099" s="1" t="s">
        <v>3715</v>
      </c>
      <c r="S1099" s="1" t="s">
        <v>3771</v>
      </c>
      <c r="T1099" s="1" t="s">
        <v>222</v>
      </c>
      <c r="U1099" s="1" t="s">
        <v>2102</v>
      </c>
    </row>
    <row r="1100" customFormat="false" ht="48" hidden="false" customHeight="true" outlineLevel="0" collapsed="false">
      <c r="A1100" s="1" t="s">
        <v>41</v>
      </c>
      <c r="B1100" s="1" t="s">
        <v>3712</v>
      </c>
      <c r="C1100" s="1" t="s">
        <v>213</v>
      </c>
      <c r="D1100" s="1" t="s">
        <v>214</v>
      </c>
      <c r="E1100" s="1" t="n">
        <v>21</v>
      </c>
      <c r="F1100" s="1" t="s">
        <v>308</v>
      </c>
      <c r="G1100" s="1" t="s">
        <v>236</v>
      </c>
      <c r="H1100" s="1" t="s">
        <v>309</v>
      </c>
      <c r="I1100" s="1" t="s">
        <v>218</v>
      </c>
      <c r="J1100" s="1" t="s">
        <v>310</v>
      </c>
      <c r="K1100" s="1" t="n">
        <v>24.99</v>
      </c>
      <c r="L1100" s="1" t="n">
        <v>4.5</v>
      </c>
      <c r="M1100" s="1" t="n">
        <v>464600</v>
      </c>
      <c r="N1100" s="4" t="b">
        <f aca="false">FALSE()</f>
        <v>0</v>
      </c>
      <c r="O1100" s="1" t="s">
        <v>311</v>
      </c>
      <c r="P1100" s="4" t="b">
        <f aca="false">TRUE()</f>
        <v>1</v>
      </c>
      <c r="Q1100" s="1" t="s">
        <v>3772</v>
      </c>
      <c r="R1100" s="1" t="s">
        <v>3715</v>
      </c>
      <c r="S1100" s="1" t="s">
        <v>3773</v>
      </c>
      <c r="T1100" s="1" t="s">
        <v>222</v>
      </c>
      <c r="U1100" s="1" t="s">
        <v>2102</v>
      </c>
    </row>
    <row r="1101" customFormat="false" ht="48" hidden="false" customHeight="true" outlineLevel="0" collapsed="false">
      <c r="A1101" s="1" t="s">
        <v>41</v>
      </c>
      <c r="B1101" s="1" t="s">
        <v>3712</v>
      </c>
      <c r="C1101" s="1" t="s">
        <v>213</v>
      </c>
      <c r="D1101" s="1" t="s">
        <v>214</v>
      </c>
      <c r="E1101" s="1" t="n">
        <v>22</v>
      </c>
      <c r="F1101" s="1" t="s">
        <v>3774</v>
      </c>
      <c r="G1101" s="1" t="s">
        <v>236</v>
      </c>
      <c r="H1101" s="1" t="s">
        <v>3775</v>
      </c>
      <c r="I1101" s="1" t="s">
        <v>218</v>
      </c>
      <c r="J1101" s="1" t="s">
        <v>219</v>
      </c>
      <c r="K1101" s="1" t="n">
        <v>84.98</v>
      </c>
      <c r="L1101" s="1" t="n">
        <v>4.5</v>
      </c>
      <c r="M1101" s="1" t="n">
        <v>115</v>
      </c>
      <c r="N1101" s="4" t="b">
        <f aca="false">FALSE()</f>
        <v>0</v>
      </c>
      <c r="O1101" s="1" t="s">
        <v>3776</v>
      </c>
      <c r="P1101" s="4" t="b">
        <f aca="false">TRUE()</f>
        <v>1</v>
      </c>
      <c r="Q1101" s="1" t="s">
        <v>435</v>
      </c>
      <c r="R1101" s="1" t="s">
        <v>3715</v>
      </c>
      <c r="S1101" s="1" t="s">
        <v>3777</v>
      </c>
      <c r="T1101" s="1" t="s">
        <v>222</v>
      </c>
      <c r="U1101" s="1" t="s">
        <v>2102</v>
      </c>
    </row>
    <row r="1102" customFormat="false" ht="48" hidden="false" customHeight="true" outlineLevel="0" collapsed="false">
      <c r="A1102" s="1" t="s">
        <v>41</v>
      </c>
      <c r="B1102" s="1" t="s">
        <v>3712</v>
      </c>
      <c r="C1102" s="1" t="s">
        <v>213</v>
      </c>
      <c r="D1102" s="1" t="s">
        <v>214</v>
      </c>
      <c r="E1102" s="1" t="n">
        <v>23</v>
      </c>
      <c r="F1102" s="1" t="s">
        <v>3778</v>
      </c>
      <c r="G1102" s="1" t="s">
        <v>236</v>
      </c>
      <c r="H1102" s="1" t="s">
        <v>3779</v>
      </c>
      <c r="I1102" s="1" t="s">
        <v>218</v>
      </c>
      <c r="J1102" s="1" t="s">
        <v>219</v>
      </c>
      <c r="K1102" s="1" t="n">
        <v>44.99</v>
      </c>
      <c r="L1102" s="1" t="n">
        <v>4.3</v>
      </c>
      <c r="M1102" s="1" t="n">
        <v>82</v>
      </c>
      <c r="N1102" s="4" t="b">
        <f aca="false">FALSE()</f>
        <v>0</v>
      </c>
      <c r="P1102" s="4" t="b">
        <f aca="false">TRUE()</f>
        <v>1</v>
      </c>
      <c r="R1102" s="1" t="s">
        <v>3715</v>
      </c>
      <c r="S1102" s="1" t="s">
        <v>3780</v>
      </c>
      <c r="T1102" s="1" t="s">
        <v>222</v>
      </c>
      <c r="U1102" s="1" t="s">
        <v>2102</v>
      </c>
    </row>
    <row r="1103" customFormat="false" ht="48" hidden="false" customHeight="true" outlineLevel="0" collapsed="false">
      <c r="A1103" s="1" t="s">
        <v>41</v>
      </c>
      <c r="B1103" s="1" t="s">
        <v>3712</v>
      </c>
      <c r="C1103" s="1" t="s">
        <v>213</v>
      </c>
      <c r="D1103" s="1" t="s">
        <v>214</v>
      </c>
      <c r="E1103" s="1" t="n">
        <v>24</v>
      </c>
      <c r="F1103" s="1" t="s">
        <v>3781</v>
      </c>
      <c r="G1103" s="1" t="s">
        <v>236</v>
      </c>
      <c r="H1103" s="1" t="s">
        <v>3782</v>
      </c>
      <c r="I1103" s="1" t="s">
        <v>306</v>
      </c>
      <c r="J1103" s="1" t="s">
        <v>219</v>
      </c>
      <c r="K1103" s="1" t="n">
        <v>56.24</v>
      </c>
      <c r="L1103" s="1" t="n">
        <v>4.6</v>
      </c>
      <c r="M1103" s="1" t="n">
        <v>128</v>
      </c>
      <c r="N1103" s="4" t="b">
        <f aca="false">FALSE()</f>
        <v>0</v>
      </c>
      <c r="O1103" s="1" t="s">
        <v>1904</v>
      </c>
      <c r="P1103" s="4" t="b">
        <f aca="false">TRUE()</f>
        <v>1</v>
      </c>
      <c r="Q1103" s="1" t="s">
        <v>435</v>
      </c>
      <c r="R1103" s="1" t="s">
        <v>3715</v>
      </c>
      <c r="S1103" s="1" t="s">
        <v>3783</v>
      </c>
      <c r="T1103" s="1" t="s">
        <v>222</v>
      </c>
      <c r="U1103" s="1" t="s">
        <v>2102</v>
      </c>
    </row>
    <row r="1104" customFormat="false" ht="48" hidden="false" customHeight="true" outlineLevel="0" collapsed="false">
      <c r="A1104" s="1" t="s">
        <v>41</v>
      </c>
      <c r="B1104" s="1" t="s">
        <v>3712</v>
      </c>
      <c r="C1104" s="1" t="s">
        <v>213</v>
      </c>
      <c r="D1104" s="1" t="s">
        <v>214</v>
      </c>
      <c r="E1104" s="1" t="n">
        <v>25</v>
      </c>
      <c r="F1104" s="1" t="s">
        <v>3784</v>
      </c>
      <c r="G1104" s="1" t="s">
        <v>236</v>
      </c>
      <c r="H1104" s="1" t="s">
        <v>3785</v>
      </c>
      <c r="I1104" s="1" t="s">
        <v>218</v>
      </c>
      <c r="J1104" s="1" t="s">
        <v>219</v>
      </c>
      <c r="K1104" s="1" t="n">
        <v>34.99</v>
      </c>
      <c r="L1104" s="1" t="n">
        <v>4.4</v>
      </c>
      <c r="M1104" s="1" t="n">
        <v>20</v>
      </c>
      <c r="N1104" s="4" t="b">
        <f aca="false">FALSE()</f>
        <v>0</v>
      </c>
      <c r="O1104" s="1" t="s">
        <v>746</v>
      </c>
      <c r="P1104" s="4" t="b">
        <f aca="false">TRUE()</f>
        <v>1</v>
      </c>
      <c r="R1104" s="1" t="s">
        <v>3715</v>
      </c>
      <c r="S1104" s="1" t="s">
        <v>3786</v>
      </c>
      <c r="T1104" s="1" t="s">
        <v>222</v>
      </c>
      <c r="U1104" s="1" t="s">
        <v>2102</v>
      </c>
    </row>
    <row r="1105" customFormat="false" ht="48" hidden="false" customHeight="true" outlineLevel="0" collapsed="false">
      <c r="A1105" s="1" t="s">
        <v>41</v>
      </c>
      <c r="B1105" s="1" t="s">
        <v>3712</v>
      </c>
      <c r="C1105" s="1" t="s">
        <v>213</v>
      </c>
      <c r="D1105" s="1" t="s">
        <v>214</v>
      </c>
      <c r="E1105" s="1" t="n">
        <v>26</v>
      </c>
      <c r="F1105" s="1" t="s">
        <v>3787</v>
      </c>
      <c r="G1105" s="1" t="s">
        <v>236</v>
      </c>
      <c r="H1105" s="1" t="s">
        <v>3732</v>
      </c>
      <c r="I1105" s="1" t="s">
        <v>231</v>
      </c>
      <c r="J1105" s="1" t="s">
        <v>219</v>
      </c>
      <c r="K1105" s="1" t="n">
        <v>75.99</v>
      </c>
      <c r="L1105" s="1" t="n">
        <v>4.5</v>
      </c>
      <c r="M1105" s="1" t="n">
        <v>284</v>
      </c>
      <c r="N1105" s="4" t="b">
        <f aca="false">FALSE()</f>
        <v>0</v>
      </c>
      <c r="O1105" s="1" t="s">
        <v>3725</v>
      </c>
      <c r="P1105" s="4" t="b">
        <f aca="false">TRUE()</f>
        <v>1</v>
      </c>
      <c r="Q1105" s="1" t="s">
        <v>451</v>
      </c>
      <c r="R1105" s="1" t="s">
        <v>3715</v>
      </c>
      <c r="S1105" s="1" t="s">
        <v>3788</v>
      </c>
      <c r="T1105" s="1" t="s">
        <v>222</v>
      </c>
      <c r="U1105" s="1" t="s">
        <v>2102</v>
      </c>
    </row>
    <row r="1106" customFormat="false" ht="48" hidden="false" customHeight="true" outlineLevel="0" collapsed="false">
      <c r="A1106" s="1" t="s">
        <v>41</v>
      </c>
      <c r="B1106" s="1" t="s">
        <v>3712</v>
      </c>
      <c r="C1106" s="1" t="s">
        <v>213</v>
      </c>
      <c r="D1106" s="1" t="s">
        <v>214</v>
      </c>
      <c r="E1106" s="1" t="n">
        <v>27</v>
      </c>
      <c r="F1106" s="1" t="s">
        <v>3789</v>
      </c>
      <c r="G1106" s="1" t="s">
        <v>229</v>
      </c>
      <c r="H1106" s="1" t="s">
        <v>3790</v>
      </c>
      <c r="I1106" s="1" t="s">
        <v>218</v>
      </c>
      <c r="J1106" s="1" t="s">
        <v>310</v>
      </c>
      <c r="K1106" s="1" t="n">
        <v>89.98</v>
      </c>
      <c r="L1106" s="1" t="n">
        <v>4.5</v>
      </c>
      <c r="M1106" s="1" t="n">
        <v>615</v>
      </c>
      <c r="N1106" s="4" t="b">
        <f aca="false">FALSE()</f>
        <v>0</v>
      </c>
      <c r="O1106" s="1" t="s">
        <v>3791</v>
      </c>
      <c r="P1106" s="4" t="b">
        <f aca="false">TRUE()</f>
        <v>1</v>
      </c>
      <c r="Q1106" s="1" t="s">
        <v>418</v>
      </c>
      <c r="R1106" s="1" t="s">
        <v>3715</v>
      </c>
      <c r="S1106" s="1" t="s">
        <v>3792</v>
      </c>
      <c r="T1106" s="1" t="s">
        <v>222</v>
      </c>
      <c r="U1106" s="1" t="s">
        <v>2102</v>
      </c>
    </row>
    <row r="1107" customFormat="false" ht="48" hidden="false" customHeight="true" outlineLevel="0" collapsed="false">
      <c r="A1107" s="1" t="s">
        <v>41</v>
      </c>
      <c r="B1107" s="1" t="s">
        <v>3712</v>
      </c>
      <c r="C1107" s="1" t="s">
        <v>213</v>
      </c>
      <c r="D1107" s="1" t="s">
        <v>214</v>
      </c>
      <c r="E1107" s="1" t="n">
        <v>28</v>
      </c>
      <c r="F1107" s="1" t="s">
        <v>3793</v>
      </c>
      <c r="G1107" s="1" t="s">
        <v>236</v>
      </c>
      <c r="H1107" s="1" t="s">
        <v>3794</v>
      </c>
      <c r="I1107" s="1" t="s">
        <v>218</v>
      </c>
      <c r="J1107" s="1" t="s">
        <v>219</v>
      </c>
      <c r="K1107" s="1" t="n">
        <v>49.99</v>
      </c>
      <c r="L1107" s="1" t="n">
        <v>4.5</v>
      </c>
      <c r="M1107" s="1" t="n">
        <v>59</v>
      </c>
      <c r="N1107" s="4" t="b">
        <f aca="false">FALSE()</f>
        <v>0</v>
      </c>
      <c r="P1107" s="4" t="b">
        <f aca="false">TRUE()</f>
        <v>1</v>
      </c>
      <c r="Q1107" s="1" t="s">
        <v>251</v>
      </c>
      <c r="R1107" s="1" t="s">
        <v>3715</v>
      </c>
      <c r="S1107" s="1" t="s">
        <v>3795</v>
      </c>
      <c r="T1107" s="1" t="s">
        <v>222</v>
      </c>
      <c r="U1107" s="1" t="s">
        <v>2102</v>
      </c>
    </row>
    <row r="1108" customFormat="false" ht="48" hidden="false" customHeight="true" outlineLevel="0" collapsed="false">
      <c r="A1108" s="1" t="s">
        <v>41</v>
      </c>
      <c r="B1108" s="1" t="s">
        <v>3712</v>
      </c>
      <c r="C1108" s="1" t="s">
        <v>213</v>
      </c>
      <c r="D1108" s="1" t="s">
        <v>214</v>
      </c>
      <c r="E1108" s="1" t="n">
        <v>29</v>
      </c>
      <c r="F1108" s="1" t="s">
        <v>3796</v>
      </c>
      <c r="G1108" s="1" t="s">
        <v>236</v>
      </c>
      <c r="H1108" s="1" t="s">
        <v>3797</v>
      </c>
      <c r="I1108" s="1" t="s">
        <v>218</v>
      </c>
      <c r="J1108" s="1" t="s">
        <v>219</v>
      </c>
      <c r="K1108" s="1" t="n">
        <v>54.9</v>
      </c>
      <c r="L1108" s="1" t="n">
        <v>4.4</v>
      </c>
      <c r="M1108" s="1" t="n">
        <v>6600</v>
      </c>
      <c r="N1108" s="4" t="b">
        <f aca="false">FALSE()</f>
        <v>0</v>
      </c>
      <c r="O1108" s="1" t="s">
        <v>3714</v>
      </c>
      <c r="P1108" s="4" t="b">
        <f aca="false">TRUE()</f>
        <v>1</v>
      </c>
      <c r="Q1108" s="1" t="s">
        <v>435</v>
      </c>
      <c r="R1108" s="1" t="s">
        <v>3715</v>
      </c>
      <c r="S1108" s="1" t="s">
        <v>3798</v>
      </c>
      <c r="T1108" s="1" t="s">
        <v>222</v>
      </c>
      <c r="U1108" s="1" t="s">
        <v>2102</v>
      </c>
    </row>
    <row r="1109" customFormat="false" ht="48" hidden="false" customHeight="true" outlineLevel="0" collapsed="false">
      <c r="A1109" s="1" t="s">
        <v>41</v>
      </c>
      <c r="B1109" s="1" t="s">
        <v>3712</v>
      </c>
      <c r="C1109" s="1" t="s">
        <v>213</v>
      </c>
      <c r="D1109" s="1" t="s">
        <v>214</v>
      </c>
      <c r="E1109" s="1" t="n">
        <v>30</v>
      </c>
      <c r="F1109" s="1" t="s">
        <v>3799</v>
      </c>
      <c r="G1109" s="1" t="s">
        <v>337</v>
      </c>
      <c r="H1109" s="1" t="s">
        <v>3800</v>
      </c>
      <c r="I1109" s="1" t="s">
        <v>231</v>
      </c>
      <c r="J1109" s="1" t="s">
        <v>219</v>
      </c>
      <c r="K1109" s="1" t="n">
        <v>109.99</v>
      </c>
      <c r="L1109" s="1" t="n">
        <v>4.5</v>
      </c>
      <c r="M1109" s="1" t="n">
        <v>23500</v>
      </c>
      <c r="N1109" s="4" t="b">
        <f aca="false">FALSE()</f>
        <v>0</v>
      </c>
      <c r="O1109" s="1" t="s">
        <v>3729</v>
      </c>
      <c r="P1109" s="4" t="b">
        <f aca="false">TRUE()</f>
        <v>1</v>
      </c>
      <c r="Q1109" s="1" t="s">
        <v>711</v>
      </c>
      <c r="R1109" s="1" t="s">
        <v>3715</v>
      </c>
      <c r="S1109" s="1" t="s">
        <v>3801</v>
      </c>
      <c r="T1109" s="1" t="s">
        <v>222</v>
      </c>
      <c r="U1109" s="1" t="s">
        <v>2102</v>
      </c>
    </row>
    <row r="1110" customFormat="false" ht="48" hidden="false" customHeight="true" outlineLevel="0" collapsed="false">
      <c r="A1110" s="1" t="s">
        <v>41</v>
      </c>
      <c r="B1110" s="1" t="s">
        <v>3712</v>
      </c>
      <c r="C1110" s="1" t="s">
        <v>213</v>
      </c>
      <c r="D1110" s="1" t="s">
        <v>214</v>
      </c>
      <c r="E1110" s="1" t="n">
        <v>31</v>
      </c>
      <c r="F1110" s="1" t="s">
        <v>3802</v>
      </c>
      <c r="G1110" s="1" t="s">
        <v>337</v>
      </c>
      <c r="H1110" s="1" t="s">
        <v>3803</v>
      </c>
      <c r="I1110" s="1" t="s">
        <v>218</v>
      </c>
      <c r="J1110" s="1" t="s">
        <v>219</v>
      </c>
      <c r="K1110" s="1" t="n">
        <v>104.99</v>
      </c>
      <c r="L1110" s="1" t="n">
        <v>4.5</v>
      </c>
      <c r="M1110" s="1" t="n">
        <v>23500</v>
      </c>
      <c r="N1110" s="4" t="b">
        <f aca="false">FALSE()</f>
        <v>0</v>
      </c>
      <c r="O1110" s="1" t="s">
        <v>3729</v>
      </c>
      <c r="P1110" s="4" t="b">
        <f aca="false">TRUE()</f>
        <v>1</v>
      </c>
      <c r="Q1110" s="1" t="s">
        <v>409</v>
      </c>
      <c r="R1110" s="1" t="s">
        <v>3715</v>
      </c>
      <c r="S1110" s="1" t="s">
        <v>3804</v>
      </c>
      <c r="T1110" s="1" t="s">
        <v>222</v>
      </c>
      <c r="U1110" s="1" t="s">
        <v>2102</v>
      </c>
    </row>
    <row r="1111" customFormat="false" ht="48" hidden="false" customHeight="true" outlineLevel="0" collapsed="false">
      <c r="A1111" s="1" t="s">
        <v>41</v>
      </c>
      <c r="B1111" s="1" t="s">
        <v>3712</v>
      </c>
      <c r="C1111" s="1" t="s">
        <v>213</v>
      </c>
      <c r="D1111" s="1" t="s">
        <v>214</v>
      </c>
      <c r="E1111" s="1" t="n">
        <v>32</v>
      </c>
      <c r="F1111" s="1" t="s">
        <v>3805</v>
      </c>
      <c r="G1111" s="1" t="s">
        <v>229</v>
      </c>
      <c r="H1111" s="1" t="s">
        <v>3737</v>
      </c>
      <c r="I1111" s="1" t="s">
        <v>218</v>
      </c>
      <c r="J1111" s="1" t="s">
        <v>219</v>
      </c>
      <c r="K1111" s="1" t="n">
        <v>55.99</v>
      </c>
      <c r="L1111" s="1" t="n">
        <v>4.4</v>
      </c>
      <c r="M1111" s="1" t="n">
        <v>65100</v>
      </c>
      <c r="N1111" s="4" t="b">
        <f aca="false">FALSE()</f>
        <v>0</v>
      </c>
      <c r="O1111" s="1" t="s">
        <v>746</v>
      </c>
      <c r="P1111" s="4" t="b">
        <f aca="false">TRUE()</f>
        <v>1</v>
      </c>
      <c r="Q1111" s="1" t="s">
        <v>766</v>
      </c>
      <c r="R1111" s="1" t="s">
        <v>3715</v>
      </c>
      <c r="S1111" s="1" t="s">
        <v>3806</v>
      </c>
      <c r="T1111" s="1" t="s">
        <v>222</v>
      </c>
      <c r="U1111" s="1" t="s">
        <v>2102</v>
      </c>
    </row>
    <row r="1112" customFormat="false" ht="48" hidden="false" customHeight="true" outlineLevel="0" collapsed="false">
      <c r="A1112" s="1" t="s">
        <v>41</v>
      </c>
      <c r="B1112" s="1" t="s">
        <v>3712</v>
      </c>
      <c r="C1112" s="1" t="s">
        <v>213</v>
      </c>
      <c r="D1112" s="1" t="s">
        <v>214</v>
      </c>
      <c r="E1112" s="1" t="n">
        <v>33</v>
      </c>
      <c r="F1112" s="1" t="s">
        <v>3807</v>
      </c>
      <c r="G1112" s="1" t="s">
        <v>236</v>
      </c>
      <c r="H1112" s="1" t="s">
        <v>3808</v>
      </c>
      <c r="I1112" s="1" t="s">
        <v>289</v>
      </c>
      <c r="J1112" s="1" t="s">
        <v>219</v>
      </c>
      <c r="K1112" s="1" t="n">
        <v>39.99</v>
      </c>
      <c r="L1112" s="1" t="n">
        <v>4.3</v>
      </c>
      <c r="M1112" s="1" t="n">
        <v>45</v>
      </c>
      <c r="N1112" s="4" t="b">
        <f aca="false">FALSE()</f>
        <v>0</v>
      </c>
      <c r="O1112" s="1" t="s">
        <v>3725</v>
      </c>
      <c r="P1112" s="4" t="b">
        <f aca="false">TRUE()</f>
        <v>1</v>
      </c>
      <c r="R1112" s="1" t="s">
        <v>3715</v>
      </c>
      <c r="S1112" s="1" t="s">
        <v>3809</v>
      </c>
      <c r="T1112" s="1" t="s">
        <v>222</v>
      </c>
      <c r="U1112" s="1" t="s">
        <v>2102</v>
      </c>
    </row>
    <row r="1113" customFormat="false" ht="48" hidden="false" customHeight="true" outlineLevel="0" collapsed="false">
      <c r="A1113" s="1" t="s">
        <v>41</v>
      </c>
      <c r="B1113" s="1" t="s">
        <v>3712</v>
      </c>
      <c r="C1113" s="1" t="s">
        <v>213</v>
      </c>
      <c r="D1113" s="1" t="s">
        <v>214</v>
      </c>
      <c r="E1113" s="1" t="n">
        <v>34</v>
      </c>
      <c r="F1113" s="1" t="s">
        <v>228</v>
      </c>
      <c r="G1113" s="1" t="s">
        <v>229</v>
      </c>
      <c r="H1113" s="1" t="s">
        <v>3810</v>
      </c>
      <c r="I1113" s="1" t="s">
        <v>231</v>
      </c>
      <c r="J1113" s="1" t="s">
        <v>219</v>
      </c>
      <c r="K1113" s="1" t="n">
        <v>59.99</v>
      </c>
      <c r="L1113" s="1" t="n">
        <v>4.4</v>
      </c>
      <c r="M1113" s="1" t="n">
        <v>65100</v>
      </c>
      <c r="N1113" s="4" t="b">
        <f aca="false">FALSE()</f>
        <v>0</v>
      </c>
      <c r="O1113" s="1" t="s">
        <v>1886</v>
      </c>
      <c r="P1113" s="4" t="b">
        <f aca="false">TRUE()</f>
        <v>1</v>
      </c>
      <c r="Q1113" s="1" t="s">
        <v>711</v>
      </c>
      <c r="R1113" s="1" t="s">
        <v>3715</v>
      </c>
      <c r="S1113" s="1" t="s">
        <v>3811</v>
      </c>
      <c r="T1113" s="1" t="s">
        <v>222</v>
      </c>
      <c r="U1113" s="1" t="s">
        <v>2102</v>
      </c>
    </row>
    <row r="1114" customFormat="false" ht="48" hidden="false" customHeight="true" outlineLevel="0" collapsed="false">
      <c r="A1114" s="1" t="s">
        <v>41</v>
      </c>
      <c r="B1114" s="1" t="s">
        <v>3712</v>
      </c>
      <c r="C1114" s="1" t="s">
        <v>213</v>
      </c>
      <c r="D1114" s="1" t="s">
        <v>214</v>
      </c>
      <c r="E1114" s="1" t="n">
        <v>35</v>
      </c>
      <c r="F1114" s="1" t="s">
        <v>3812</v>
      </c>
      <c r="G1114" s="1" t="s">
        <v>236</v>
      </c>
      <c r="H1114" s="1" t="s">
        <v>3813</v>
      </c>
      <c r="I1114" s="1" t="s">
        <v>231</v>
      </c>
      <c r="J1114" s="1" t="s">
        <v>219</v>
      </c>
      <c r="K1114" s="1" t="n">
        <v>134.99</v>
      </c>
      <c r="L1114" s="1" t="n">
        <v>4.4</v>
      </c>
      <c r="M1114" s="1" t="n">
        <v>5900</v>
      </c>
      <c r="N1114" s="4" t="b">
        <f aca="false">FALSE()</f>
        <v>0</v>
      </c>
      <c r="P1114" s="4" t="b">
        <f aca="false">TRUE()</f>
        <v>1</v>
      </c>
      <c r="Q1114" s="1" t="s">
        <v>435</v>
      </c>
      <c r="R1114" s="1" t="s">
        <v>3715</v>
      </c>
      <c r="S1114" s="1" t="s">
        <v>3814</v>
      </c>
      <c r="T1114" s="1" t="s">
        <v>222</v>
      </c>
      <c r="U1114" s="1" t="s">
        <v>2102</v>
      </c>
    </row>
    <row r="1115" customFormat="false" ht="48" hidden="false" customHeight="true" outlineLevel="0" collapsed="false">
      <c r="A1115" s="1" t="s">
        <v>41</v>
      </c>
      <c r="B1115" s="1" t="s">
        <v>3712</v>
      </c>
      <c r="C1115" s="1" t="s">
        <v>213</v>
      </c>
      <c r="D1115" s="1" t="s">
        <v>214</v>
      </c>
      <c r="E1115" s="1" t="n">
        <v>36</v>
      </c>
      <c r="F1115" s="1" t="s">
        <v>3815</v>
      </c>
      <c r="G1115" s="1" t="s">
        <v>280</v>
      </c>
      <c r="H1115" s="1" t="s">
        <v>3816</v>
      </c>
      <c r="I1115" s="1" t="s">
        <v>218</v>
      </c>
      <c r="J1115" s="1" t="s">
        <v>219</v>
      </c>
      <c r="K1115" s="1" t="n">
        <v>89.99</v>
      </c>
      <c r="L1115" s="1" t="n">
        <v>4.3</v>
      </c>
      <c r="M1115" s="1" t="n">
        <v>2800</v>
      </c>
      <c r="N1115" s="4" t="b">
        <f aca="false">FALSE()</f>
        <v>0</v>
      </c>
      <c r="P1115" s="4" t="b">
        <f aca="false">TRUE()</f>
        <v>1</v>
      </c>
      <c r="Q1115" s="1" t="s">
        <v>251</v>
      </c>
      <c r="R1115" s="1" t="s">
        <v>3715</v>
      </c>
      <c r="S1115" s="1" t="s">
        <v>3817</v>
      </c>
      <c r="T1115" s="1" t="s">
        <v>222</v>
      </c>
      <c r="U1115" s="1" t="s">
        <v>2102</v>
      </c>
    </row>
    <row r="1116" customFormat="false" ht="48" hidden="false" customHeight="true" outlineLevel="0" collapsed="false">
      <c r="A1116" s="1" t="s">
        <v>41</v>
      </c>
      <c r="B1116" s="1" t="s">
        <v>3712</v>
      </c>
      <c r="C1116" s="1" t="s">
        <v>213</v>
      </c>
      <c r="D1116" s="1" t="s">
        <v>214</v>
      </c>
      <c r="E1116" s="1" t="n">
        <v>37</v>
      </c>
      <c r="F1116" s="1" t="s">
        <v>3818</v>
      </c>
      <c r="G1116" s="1" t="s">
        <v>351</v>
      </c>
      <c r="H1116" s="1" t="s">
        <v>3819</v>
      </c>
      <c r="I1116" s="1" t="s">
        <v>218</v>
      </c>
      <c r="J1116" s="1" t="s">
        <v>219</v>
      </c>
      <c r="K1116" s="1" t="n">
        <v>56.99</v>
      </c>
      <c r="L1116" s="1" t="n">
        <v>4.4</v>
      </c>
      <c r="M1116" s="1" t="n">
        <v>287</v>
      </c>
      <c r="N1116" s="4" t="b">
        <f aca="false">FALSE()</f>
        <v>0</v>
      </c>
      <c r="P1116" s="4" t="b">
        <f aca="false">TRUE()</f>
        <v>1</v>
      </c>
      <c r="Q1116" s="1" t="s">
        <v>251</v>
      </c>
      <c r="R1116" s="1" t="s">
        <v>3715</v>
      </c>
      <c r="S1116" s="1" t="s">
        <v>3820</v>
      </c>
      <c r="T1116" s="1" t="s">
        <v>222</v>
      </c>
      <c r="U1116" s="1" t="s">
        <v>2102</v>
      </c>
    </row>
    <row r="1117" customFormat="false" ht="48" hidden="false" customHeight="true" outlineLevel="0" collapsed="false">
      <c r="A1117" s="1" t="s">
        <v>41</v>
      </c>
      <c r="B1117" s="1" t="s">
        <v>3712</v>
      </c>
      <c r="C1117" s="1" t="s">
        <v>213</v>
      </c>
      <c r="D1117" s="1" t="s">
        <v>214</v>
      </c>
      <c r="E1117" s="1" t="n">
        <v>38</v>
      </c>
      <c r="F1117" s="1" t="s">
        <v>3821</v>
      </c>
      <c r="G1117" s="1" t="s">
        <v>236</v>
      </c>
      <c r="H1117" s="1" t="s">
        <v>3822</v>
      </c>
      <c r="I1117" s="1" t="s">
        <v>218</v>
      </c>
      <c r="J1117" s="1" t="s">
        <v>219</v>
      </c>
      <c r="K1117" s="1" t="n">
        <v>69.99</v>
      </c>
      <c r="L1117" s="1" t="n">
        <v>5</v>
      </c>
      <c r="M1117" s="1" t="n">
        <v>27</v>
      </c>
      <c r="N1117" s="4" t="b">
        <f aca="false">FALSE()</f>
        <v>0</v>
      </c>
      <c r="O1117" s="1" t="s">
        <v>3823</v>
      </c>
      <c r="P1117" s="4" t="b">
        <f aca="false">TRUE()</f>
        <v>1</v>
      </c>
      <c r="R1117" s="1" t="s">
        <v>3715</v>
      </c>
      <c r="S1117" s="1" t="s">
        <v>3824</v>
      </c>
      <c r="T1117" s="1" t="s">
        <v>222</v>
      </c>
      <c r="U1117" s="1" t="s">
        <v>2102</v>
      </c>
    </row>
    <row r="1118" customFormat="false" ht="48" hidden="false" customHeight="true" outlineLevel="0" collapsed="false">
      <c r="A1118" s="1" t="s">
        <v>41</v>
      </c>
      <c r="B1118" s="1" t="s">
        <v>3712</v>
      </c>
      <c r="C1118" s="1" t="s">
        <v>213</v>
      </c>
      <c r="D1118" s="1" t="s">
        <v>214</v>
      </c>
      <c r="E1118" s="1" t="n">
        <v>39</v>
      </c>
      <c r="F1118" s="1" t="s">
        <v>3825</v>
      </c>
      <c r="G1118" s="1" t="s">
        <v>2156</v>
      </c>
      <c r="H1118" s="1" t="s">
        <v>3826</v>
      </c>
      <c r="I1118" s="1" t="s">
        <v>231</v>
      </c>
      <c r="J1118" s="1" t="s">
        <v>219</v>
      </c>
      <c r="K1118" s="1" t="n">
        <v>69.99</v>
      </c>
      <c r="L1118" s="1" t="n">
        <v>4.5</v>
      </c>
      <c r="M1118" s="1" t="n">
        <v>3900</v>
      </c>
      <c r="N1118" s="4" t="b">
        <f aca="false">FALSE()</f>
        <v>0</v>
      </c>
      <c r="O1118" s="1" t="s">
        <v>3714</v>
      </c>
      <c r="P1118" s="4" t="b">
        <f aca="false">TRUE()</f>
        <v>1</v>
      </c>
      <c r="Q1118" s="1" t="s">
        <v>233</v>
      </c>
      <c r="R1118" s="1" t="s">
        <v>3715</v>
      </c>
      <c r="S1118" s="1" t="s">
        <v>3827</v>
      </c>
      <c r="T1118" s="1" t="s">
        <v>222</v>
      </c>
      <c r="U1118" s="1" t="s">
        <v>2102</v>
      </c>
    </row>
    <row r="1119" customFormat="false" ht="48" hidden="false" customHeight="true" outlineLevel="0" collapsed="false">
      <c r="A1119" s="1" t="s">
        <v>41</v>
      </c>
      <c r="B1119" s="1" t="s">
        <v>3712</v>
      </c>
      <c r="C1119" s="1" t="s">
        <v>213</v>
      </c>
      <c r="D1119" s="1" t="s">
        <v>214</v>
      </c>
      <c r="E1119" s="1" t="n">
        <v>40</v>
      </c>
      <c r="F1119" s="1" t="s">
        <v>3828</v>
      </c>
      <c r="G1119" s="1" t="s">
        <v>236</v>
      </c>
      <c r="H1119" s="1" t="s">
        <v>3829</v>
      </c>
      <c r="I1119" s="1" t="s">
        <v>218</v>
      </c>
      <c r="J1119" s="1" t="s">
        <v>219</v>
      </c>
      <c r="K1119" s="1" t="n">
        <v>33.99</v>
      </c>
      <c r="L1119" s="1" t="n">
        <v>4.2</v>
      </c>
      <c r="M1119" s="1" t="n">
        <v>172</v>
      </c>
      <c r="N1119" s="4" t="b">
        <f aca="false">FALSE()</f>
        <v>0</v>
      </c>
      <c r="P1119" s="4" t="b">
        <f aca="false">TRUE()</f>
        <v>1</v>
      </c>
      <c r="R1119" s="1" t="s">
        <v>3715</v>
      </c>
      <c r="S1119" s="1" t="s">
        <v>3830</v>
      </c>
      <c r="T1119" s="1" t="s">
        <v>222</v>
      </c>
      <c r="U1119" s="1" t="s">
        <v>2102</v>
      </c>
    </row>
    <row r="1120" customFormat="false" ht="48" hidden="false" customHeight="true" outlineLevel="0" collapsed="false">
      <c r="A1120" s="1" t="s">
        <v>41</v>
      </c>
      <c r="B1120" s="1" t="s">
        <v>3712</v>
      </c>
      <c r="C1120" s="1" t="s">
        <v>213</v>
      </c>
      <c r="D1120" s="1" t="s">
        <v>214</v>
      </c>
      <c r="E1120" s="1" t="n">
        <v>41</v>
      </c>
      <c r="F1120" s="1" t="s">
        <v>3831</v>
      </c>
      <c r="G1120" s="1" t="s">
        <v>236</v>
      </c>
      <c r="H1120" s="1" t="s">
        <v>3832</v>
      </c>
      <c r="I1120" s="1" t="s">
        <v>218</v>
      </c>
      <c r="J1120" s="1" t="s">
        <v>219</v>
      </c>
      <c r="K1120" s="1" t="n">
        <v>65</v>
      </c>
      <c r="L1120" s="1" t="n">
        <v>4.8</v>
      </c>
      <c r="M1120" s="1" t="n">
        <v>123</v>
      </c>
      <c r="N1120" s="4" t="b">
        <f aca="false">FALSE()</f>
        <v>0</v>
      </c>
      <c r="P1120" s="4" t="b">
        <f aca="false">TRUE()</f>
        <v>1</v>
      </c>
      <c r="R1120" s="1" t="s">
        <v>3715</v>
      </c>
      <c r="S1120" s="1" t="s">
        <v>3833</v>
      </c>
      <c r="T1120" s="1" t="s">
        <v>222</v>
      </c>
      <c r="U1120" s="1" t="s">
        <v>2102</v>
      </c>
    </row>
    <row r="1121" customFormat="false" ht="48" hidden="false" customHeight="true" outlineLevel="0" collapsed="false">
      <c r="A1121" s="1" t="s">
        <v>41</v>
      </c>
      <c r="B1121" s="1" t="s">
        <v>3712</v>
      </c>
      <c r="C1121" s="1" t="s">
        <v>213</v>
      </c>
      <c r="D1121" s="1" t="s">
        <v>214</v>
      </c>
      <c r="E1121" s="1" t="n">
        <v>42</v>
      </c>
      <c r="F1121" s="1" t="s">
        <v>3834</v>
      </c>
      <c r="G1121" s="1" t="s">
        <v>229</v>
      </c>
      <c r="H1121" s="1" t="s">
        <v>3810</v>
      </c>
      <c r="I1121" s="1" t="s">
        <v>231</v>
      </c>
      <c r="J1121" s="1" t="s">
        <v>219</v>
      </c>
      <c r="K1121" s="1" t="n">
        <v>59.99</v>
      </c>
      <c r="L1121" s="1" t="n">
        <v>4.4</v>
      </c>
      <c r="M1121" s="1" t="n">
        <v>65100</v>
      </c>
      <c r="N1121" s="4" t="b">
        <f aca="false">FALSE()</f>
        <v>0</v>
      </c>
      <c r="O1121" s="1" t="s">
        <v>3835</v>
      </c>
      <c r="P1121" s="4" t="b">
        <f aca="false">TRUE()</f>
        <v>1</v>
      </c>
      <c r="Q1121" s="1" t="s">
        <v>766</v>
      </c>
      <c r="R1121" s="1" t="s">
        <v>3715</v>
      </c>
      <c r="S1121" s="1" t="s">
        <v>3836</v>
      </c>
      <c r="T1121" s="1" t="s">
        <v>222</v>
      </c>
      <c r="U1121" s="1" t="s">
        <v>2102</v>
      </c>
    </row>
    <row r="1122" customFormat="false" ht="48" hidden="false" customHeight="true" outlineLevel="0" collapsed="false">
      <c r="A1122" s="1" t="s">
        <v>41</v>
      </c>
      <c r="B1122" s="1" t="s">
        <v>3712</v>
      </c>
      <c r="C1122" s="1" t="s">
        <v>213</v>
      </c>
      <c r="D1122" s="1" t="s">
        <v>214</v>
      </c>
      <c r="E1122" s="1" t="n">
        <v>43</v>
      </c>
      <c r="F1122" s="1" t="s">
        <v>3837</v>
      </c>
      <c r="G1122" s="1" t="s">
        <v>2156</v>
      </c>
      <c r="H1122" s="1" t="s">
        <v>3838</v>
      </c>
      <c r="I1122" s="1" t="s">
        <v>306</v>
      </c>
      <c r="J1122" s="1" t="s">
        <v>219</v>
      </c>
      <c r="K1122" s="1" t="n">
        <v>89.99</v>
      </c>
      <c r="L1122" s="1" t="n">
        <v>4.5</v>
      </c>
      <c r="M1122" s="1" t="n">
        <v>3700</v>
      </c>
      <c r="N1122" s="4" t="b">
        <f aca="false">FALSE()</f>
        <v>0</v>
      </c>
      <c r="O1122" s="1" t="s">
        <v>3839</v>
      </c>
      <c r="P1122" s="4" t="b">
        <f aca="false">TRUE()</f>
        <v>1</v>
      </c>
      <c r="Q1122" s="1" t="s">
        <v>435</v>
      </c>
      <c r="R1122" s="1" t="s">
        <v>3715</v>
      </c>
      <c r="S1122" s="1" t="s">
        <v>3840</v>
      </c>
      <c r="T1122" s="1" t="s">
        <v>222</v>
      </c>
      <c r="U1122" s="1" t="s">
        <v>2102</v>
      </c>
    </row>
    <row r="1123" customFormat="false" ht="48" hidden="false" customHeight="true" outlineLevel="0" collapsed="false">
      <c r="A1123" s="1" t="s">
        <v>41</v>
      </c>
      <c r="B1123" s="1" t="s">
        <v>3712</v>
      </c>
      <c r="C1123" s="1" t="s">
        <v>213</v>
      </c>
      <c r="D1123" s="1" t="s">
        <v>214</v>
      </c>
      <c r="E1123" s="1" t="n">
        <v>44</v>
      </c>
      <c r="F1123" s="1" t="s">
        <v>3841</v>
      </c>
      <c r="G1123" s="1" t="s">
        <v>236</v>
      </c>
      <c r="H1123" s="1" t="s">
        <v>3842</v>
      </c>
      <c r="I1123" s="1" t="s">
        <v>231</v>
      </c>
      <c r="J1123" s="1" t="s">
        <v>219</v>
      </c>
      <c r="K1123" s="1" t="n">
        <v>35.14</v>
      </c>
      <c r="L1123" s="1" t="n">
        <v>4.1</v>
      </c>
      <c r="M1123" s="1" t="n">
        <v>257</v>
      </c>
      <c r="N1123" s="4" t="b">
        <f aca="false">FALSE()</f>
        <v>0</v>
      </c>
      <c r="O1123" s="1" t="s">
        <v>3725</v>
      </c>
      <c r="P1123" s="4" t="b">
        <f aca="false">TRUE()</f>
        <v>1</v>
      </c>
      <c r="R1123" s="1" t="s">
        <v>3715</v>
      </c>
      <c r="S1123" s="1" t="s">
        <v>3843</v>
      </c>
      <c r="T1123" s="1" t="s">
        <v>222</v>
      </c>
      <c r="U1123" s="1" t="s">
        <v>2102</v>
      </c>
    </row>
    <row r="1124" customFormat="false" ht="48" hidden="false" customHeight="true" outlineLevel="0" collapsed="false">
      <c r="A1124" s="1" t="s">
        <v>41</v>
      </c>
      <c r="B1124" s="1" t="s">
        <v>3712</v>
      </c>
      <c r="C1124" s="1" t="s">
        <v>213</v>
      </c>
      <c r="D1124" s="1" t="s">
        <v>214</v>
      </c>
      <c r="E1124" s="1" t="n">
        <v>45</v>
      </c>
      <c r="F1124" s="1" t="s">
        <v>3844</v>
      </c>
      <c r="G1124" s="1" t="s">
        <v>236</v>
      </c>
      <c r="H1124" s="1" t="s">
        <v>3845</v>
      </c>
      <c r="I1124" s="1" t="s">
        <v>231</v>
      </c>
      <c r="J1124" s="1" t="s">
        <v>219</v>
      </c>
      <c r="K1124" s="1" t="n">
        <v>59.99</v>
      </c>
      <c r="L1124" s="1" t="n">
        <v>5</v>
      </c>
      <c r="M1124" s="1" t="n">
        <v>12</v>
      </c>
      <c r="N1124" s="4" t="b">
        <f aca="false">FALSE()</f>
        <v>0</v>
      </c>
      <c r="P1124" s="4" t="b">
        <f aca="false">TRUE()</f>
        <v>1</v>
      </c>
      <c r="R1124" s="1" t="s">
        <v>3715</v>
      </c>
      <c r="S1124" s="1" t="s">
        <v>3846</v>
      </c>
      <c r="T1124" s="1" t="s">
        <v>222</v>
      </c>
      <c r="U1124" s="1" t="s">
        <v>2102</v>
      </c>
    </row>
    <row r="1125" customFormat="false" ht="48" hidden="false" customHeight="true" outlineLevel="0" collapsed="false">
      <c r="A1125" s="1" t="s">
        <v>41</v>
      </c>
      <c r="B1125" s="1" t="s">
        <v>3712</v>
      </c>
      <c r="C1125" s="1" t="s">
        <v>213</v>
      </c>
      <c r="D1125" s="1" t="s">
        <v>214</v>
      </c>
      <c r="E1125" s="1" t="n">
        <v>46</v>
      </c>
      <c r="F1125" s="1" t="s">
        <v>249</v>
      </c>
      <c r="G1125" s="1" t="s">
        <v>225</v>
      </c>
      <c r="H1125" s="1" t="s">
        <v>3847</v>
      </c>
      <c r="I1125" s="1" t="s">
        <v>231</v>
      </c>
      <c r="J1125" s="1" t="s">
        <v>219</v>
      </c>
      <c r="K1125" s="1" t="n">
        <v>94.99</v>
      </c>
      <c r="L1125" s="1" t="n">
        <v>4.4</v>
      </c>
      <c r="M1125" s="1" t="n">
        <v>3100</v>
      </c>
      <c r="N1125" s="4" t="b">
        <f aca="false">FALSE()</f>
        <v>0</v>
      </c>
      <c r="O1125" s="1" t="s">
        <v>3848</v>
      </c>
      <c r="P1125" s="4" t="b">
        <f aca="false">TRUE()</f>
        <v>1</v>
      </c>
      <c r="Q1125" s="1" t="s">
        <v>435</v>
      </c>
      <c r="R1125" s="1" t="s">
        <v>3715</v>
      </c>
      <c r="S1125" s="1" t="s">
        <v>3849</v>
      </c>
      <c r="T1125" s="1" t="s">
        <v>222</v>
      </c>
      <c r="U1125" s="1" t="s">
        <v>2102</v>
      </c>
    </row>
    <row r="1126" customFormat="false" ht="48" hidden="false" customHeight="true" outlineLevel="0" collapsed="false">
      <c r="A1126" s="1" t="s">
        <v>41</v>
      </c>
      <c r="B1126" s="1" t="s">
        <v>3712</v>
      </c>
      <c r="C1126" s="1" t="s">
        <v>213</v>
      </c>
      <c r="D1126" s="1" t="s">
        <v>214</v>
      </c>
      <c r="E1126" s="1" t="n">
        <v>47</v>
      </c>
      <c r="F1126" s="1" t="s">
        <v>215</v>
      </c>
      <c r="G1126" s="1" t="s">
        <v>216</v>
      </c>
      <c r="H1126" s="1" t="s">
        <v>3850</v>
      </c>
      <c r="I1126" s="1" t="s">
        <v>218</v>
      </c>
      <c r="J1126" s="1" t="s">
        <v>219</v>
      </c>
      <c r="K1126" s="1" t="n">
        <v>29.98</v>
      </c>
      <c r="L1126" s="1" t="n">
        <v>4.6</v>
      </c>
      <c r="M1126" s="1" t="n">
        <v>47</v>
      </c>
      <c r="N1126" s="4" t="b">
        <f aca="false">FALSE()</f>
        <v>0</v>
      </c>
      <c r="O1126" s="1" t="s">
        <v>3718</v>
      </c>
      <c r="P1126" s="4" t="b">
        <f aca="false">TRUE()</f>
        <v>1</v>
      </c>
      <c r="Q1126" s="1" t="s">
        <v>251</v>
      </c>
      <c r="R1126" s="1" t="s">
        <v>3715</v>
      </c>
      <c r="S1126" s="1" t="s">
        <v>3851</v>
      </c>
      <c r="T1126" s="1" t="s">
        <v>222</v>
      </c>
      <c r="U1126" s="1" t="s">
        <v>2102</v>
      </c>
    </row>
    <row r="1127" customFormat="false" ht="48" hidden="false" customHeight="true" outlineLevel="0" collapsed="false">
      <c r="A1127" s="1" t="s">
        <v>41</v>
      </c>
      <c r="B1127" s="1" t="s">
        <v>3712</v>
      </c>
      <c r="C1127" s="1" t="s">
        <v>213</v>
      </c>
      <c r="D1127" s="1" t="s">
        <v>214</v>
      </c>
      <c r="E1127" s="1" t="n">
        <v>48</v>
      </c>
      <c r="F1127" s="1" t="s">
        <v>3852</v>
      </c>
      <c r="G1127" s="1" t="s">
        <v>236</v>
      </c>
      <c r="H1127" s="1" t="s">
        <v>3853</v>
      </c>
      <c r="I1127" s="1" t="s">
        <v>218</v>
      </c>
      <c r="J1127" s="1" t="s">
        <v>219</v>
      </c>
      <c r="K1127" s="1" t="n">
        <v>56.64</v>
      </c>
      <c r="L1127" s="1" t="n">
        <v>4.3</v>
      </c>
      <c r="M1127" s="1" t="n">
        <v>37</v>
      </c>
      <c r="N1127" s="4" t="b">
        <f aca="false">FALSE()</f>
        <v>0</v>
      </c>
      <c r="O1127" s="1" t="s">
        <v>3854</v>
      </c>
      <c r="P1127" s="4" t="b">
        <f aca="false">TRUE()</f>
        <v>1</v>
      </c>
      <c r="Q1127" s="1" t="s">
        <v>251</v>
      </c>
      <c r="R1127" s="1" t="s">
        <v>3715</v>
      </c>
      <c r="S1127" s="1" t="s">
        <v>3855</v>
      </c>
      <c r="T1127" s="1" t="s">
        <v>222</v>
      </c>
      <c r="U1127" s="1" t="s">
        <v>2102</v>
      </c>
    </row>
    <row r="1128" customFormat="false" ht="48" hidden="false" customHeight="true" outlineLevel="0" collapsed="false">
      <c r="A1128" s="1" t="s">
        <v>41</v>
      </c>
      <c r="B1128" s="1" t="s">
        <v>3712</v>
      </c>
      <c r="C1128" s="1" t="s">
        <v>93</v>
      </c>
      <c r="D1128" s="1" t="s">
        <v>399</v>
      </c>
      <c r="E1128" s="1" t="n">
        <v>1</v>
      </c>
      <c r="F1128" s="1" t="s">
        <v>3856</v>
      </c>
      <c r="G1128" s="1" t="s">
        <v>236</v>
      </c>
      <c r="H1128" s="1" t="s">
        <v>3857</v>
      </c>
      <c r="I1128" s="1" t="s">
        <v>218</v>
      </c>
      <c r="J1128" s="1" t="s">
        <v>310</v>
      </c>
      <c r="K1128" s="1" t="n">
        <v>29.98</v>
      </c>
      <c r="L1128" s="1" t="n">
        <v>4.5</v>
      </c>
      <c r="M1128" s="1" t="n">
        <v>30200</v>
      </c>
      <c r="N1128" s="4" t="b">
        <f aca="false">FALSE()</f>
        <v>0</v>
      </c>
      <c r="O1128" s="1" t="s">
        <v>311</v>
      </c>
      <c r="P1128" s="4" t="b">
        <f aca="false">TRUE()</f>
        <v>1</v>
      </c>
      <c r="Q1128" s="1" t="s">
        <v>3858</v>
      </c>
      <c r="R1128" s="1" t="s">
        <v>3859</v>
      </c>
      <c r="S1128" s="1" t="s">
        <v>3860</v>
      </c>
      <c r="T1128" s="1" t="s">
        <v>222</v>
      </c>
      <c r="U1128" s="1" t="s">
        <v>2102</v>
      </c>
    </row>
    <row r="1129" customFormat="false" ht="48" hidden="false" customHeight="true" outlineLevel="0" collapsed="false">
      <c r="A1129" s="1" t="s">
        <v>41</v>
      </c>
      <c r="B1129" s="1" t="s">
        <v>3712</v>
      </c>
      <c r="C1129" s="1" t="s">
        <v>93</v>
      </c>
      <c r="D1129" s="1" t="s">
        <v>399</v>
      </c>
      <c r="E1129" s="1" t="n">
        <v>2</v>
      </c>
      <c r="F1129" s="1" t="s">
        <v>3861</v>
      </c>
      <c r="G1129" s="1" t="s">
        <v>236</v>
      </c>
      <c r="H1129" s="1" t="s">
        <v>3862</v>
      </c>
      <c r="I1129" s="1" t="s">
        <v>218</v>
      </c>
      <c r="J1129" s="1" t="s">
        <v>310</v>
      </c>
      <c r="K1129" s="1" t="n">
        <v>28.99</v>
      </c>
      <c r="L1129" s="1" t="n">
        <v>4.6</v>
      </c>
      <c r="M1129" s="1" t="n">
        <v>6400</v>
      </c>
      <c r="N1129" s="4" t="b">
        <f aca="false">FALSE()</f>
        <v>0</v>
      </c>
      <c r="P1129" s="4" t="b">
        <f aca="false">TRUE()</f>
        <v>1</v>
      </c>
      <c r="Q1129" s="1" t="s">
        <v>3863</v>
      </c>
      <c r="R1129" s="1" t="s">
        <v>3859</v>
      </c>
      <c r="S1129" s="1" t="s">
        <v>3864</v>
      </c>
      <c r="T1129" s="1" t="s">
        <v>222</v>
      </c>
      <c r="U1129" s="1" t="s">
        <v>2102</v>
      </c>
    </row>
    <row r="1130" customFormat="false" ht="48" hidden="false" customHeight="true" outlineLevel="0" collapsed="false">
      <c r="A1130" s="1" t="s">
        <v>41</v>
      </c>
      <c r="B1130" s="1" t="s">
        <v>3712</v>
      </c>
      <c r="C1130" s="1" t="s">
        <v>93</v>
      </c>
      <c r="D1130" s="1" t="s">
        <v>399</v>
      </c>
      <c r="E1130" s="1" t="n">
        <v>3</v>
      </c>
      <c r="F1130" s="1" t="s">
        <v>3865</v>
      </c>
      <c r="G1130" s="1" t="s">
        <v>236</v>
      </c>
      <c r="H1130" s="1" t="s">
        <v>3866</v>
      </c>
      <c r="I1130" s="1" t="s">
        <v>231</v>
      </c>
      <c r="J1130" s="1" t="s">
        <v>310</v>
      </c>
      <c r="K1130" s="1" t="n">
        <v>62.99</v>
      </c>
      <c r="L1130" s="1" t="n">
        <v>4.7</v>
      </c>
      <c r="M1130" s="1" t="n">
        <v>16</v>
      </c>
      <c r="N1130" s="4" t="b">
        <f aca="false">FALSE()</f>
        <v>0</v>
      </c>
      <c r="O1130" s="1" t="s">
        <v>3725</v>
      </c>
      <c r="P1130" s="4" t="b">
        <f aca="false">TRUE()</f>
        <v>1</v>
      </c>
      <c r="R1130" s="1" t="s">
        <v>3859</v>
      </c>
      <c r="S1130" s="1" t="s">
        <v>3867</v>
      </c>
      <c r="T1130" s="1" t="s">
        <v>222</v>
      </c>
      <c r="U1130" s="1" t="s">
        <v>2102</v>
      </c>
    </row>
    <row r="1131" customFormat="false" ht="48" hidden="false" customHeight="true" outlineLevel="0" collapsed="false">
      <c r="A1131" s="1" t="s">
        <v>41</v>
      </c>
      <c r="B1131" s="1" t="s">
        <v>3712</v>
      </c>
      <c r="C1131" s="1" t="s">
        <v>93</v>
      </c>
      <c r="D1131" s="1" t="s">
        <v>399</v>
      </c>
      <c r="E1131" s="1" t="n">
        <v>4</v>
      </c>
      <c r="F1131" s="1" t="s">
        <v>3868</v>
      </c>
      <c r="G1131" s="1" t="s">
        <v>236</v>
      </c>
      <c r="H1131" s="1" t="s">
        <v>3869</v>
      </c>
      <c r="I1131" s="1" t="s">
        <v>218</v>
      </c>
      <c r="J1131" s="1" t="s">
        <v>310</v>
      </c>
      <c r="K1131" s="1" t="n">
        <v>31.99</v>
      </c>
      <c r="L1131" s="1" t="n">
        <v>4.4</v>
      </c>
      <c r="M1131" s="1" t="n">
        <v>12500</v>
      </c>
      <c r="N1131" s="4" t="b">
        <f aca="false">FALSE()</f>
        <v>0</v>
      </c>
      <c r="O1131" s="1" t="s">
        <v>311</v>
      </c>
      <c r="P1131" s="4" t="b">
        <f aca="false">TRUE()</f>
        <v>1</v>
      </c>
      <c r="Q1131" s="1" t="s">
        <v>312</v>
      </c>
      <c r="R1131" s="1" t="s">
        <v>3859</v>
      </c>
      <c r="S1131" s="1" t="s">
        <v>3870</v>
      </c>
      <c r="T1131" s="1" t="s">
        <v>222</v>
      </c>
      <c r="U1131" s="1" t="s">
        <v>2102</v>
      </c>
    </row>
    <row r="1132" customFormat="false" ht="48" hidden="false" customHeight="true" outlineLevel="0" collapsed="false">
      <c r="A1132" s="1" t="s">
        <v>41</v>
      </c>
      <c r="B1132" s="1" t="s">
        <v>3712</v>
      </c>
      <c r="C1132" s="1" t="s">
        <v>93</v>
      </c>
      <c r="D1132" s="1" t="s">
        <v>399</v>
      </c>
      <c r="E1132" s="1" t="n">
        <v>5</v>
      </c>
      <c r="F1132" s="1" t="s">
        <v>453</v>
      </c>
      <c r="G1132" s="1" t="s">
        <v>236</v>
      </c>
      <c r="H1132" s="1" t="s">
        <v>454</v>
      </c>
      <c r="I1132" s="1" t="s">
        <v>218</v>
      </c>
      <c r="J1132" s="1" t="s">
        <v>310</v>
      </c>
      <c r="K1132" s="1" t="n">
        <v>39.76</v>
      </c>
      <c r="L1132" s="1" t="n">
        <v>4.4</v>
      </c>
      <c r="M1132" s="1" t="n">
        <v>3500</v>
      </c>
      <c r="N1132" s="4" t="b">
        <f aca="false">FALSE()</f>
        <v>0</v>
      </c>
      <c r="O1132" s="1" t="s">
        <v>3871</v>
      </c>
      <c r="P1132" s="4" t="b">
        <f aca="false">TRUE()</f>
        <v>1</v>
      </c>
      <c r="Q1132" s="1" t="s">
        <v>766</v>
      </c>
      <c r="R1132" s="1" t="s">
        <v>3859</v>
      </c>
      <c r="S1132" s="1" t="s">
        <v>3872</v>
      </c>
      <c r="T1132" s="1" t="s">
        <v>222</v>
      </c>
      <c r="U1132" s="1" t="s">
        <v>2102</v>
      </c>
    </row>
    <row r="1133" customFormat="false" ht="48" hidden="false" customHeight="true" outlineLevel="0" collapsed="false">
      <c r="A1133" s="1" t="s">
        <v>41</v>
      </c>
      <c r="B1133" s="1" t="s">
        <v>3712</v>
      </c>
      <c r="C1133" s="1" t="s">
        <v>93</v>
      </c>
      <c r="D1133" s="1" t="s">
        <v>399</v>
      </c>
      <c r="E1133" s="1" t="n">
        <v>6</v>
      </c>
      <c r="F1133" s="1" t="s">
        <v>3873</v>
      </c>
      <c r="G1133" s="1" t="s">
        <v>236</v>
      </c>
      <c r="H1133" s="1" t="s">
        <v>3874</v>
      </c>
      <c r="I1133" s="1" t="s">
        <v>218</v>
      </c>
      <c r="J1133" s="1" t="s">
        <v>310</v>
      </c>
      <c r="K1133" s="1" t="n">
        <v>32.99</v>
      </c>
      <c r="L1133" s="1" t="n">
        <v>4.6</v>
      </c>
      <c r="M1133" s="1" t="n">
        <v>5500</v>
      </c>
      <c r="N1133" s="4" t="b">
        <f aca="false">FALSE()</f>
        <v>0</v>
      </c>
      <c r="O1133" s="1" t="s">
        <v>311</v>
      </c>
      <c r="P1133" s="4" t="b">
        <f aca="false">TRUE()</f>
        <v>1</v>
      </c>
      <c r="Q1133" s="1" t="s">
        <v>1429</v>
      </c>
      <c r="R1133" s="1" t="s">
        <v>3859</v>
      </c>
      <c r="S1133" s="1" t="s">
        <v>3875</v>
      </c>
      <c r="T1133" s="1" t="s">
        <v>222</v>
      </c>
      <c r="U1133" s="1" t="s">
        <v>2102</v>
      </c>
    </row>
    <row r="1134" customFormat="false" ht="48" hidden="false" customHeight="true" outlineLevel="0" collapsed="false">
      <c r="A1134" s="1" t="s">
        <v>41</v>
      </c>
      <c r="B1134" s="1" t="s">
        <v>3712</v>
      </c>
      <c r="C1134" s="1" t="s">
        <v>93</v>
      </c>
      <c r="D1134" s="1" t="s">
        <v>399</v>
      </c>
      <c r="E1134" s="1" t="n">
        <v>7</v>
      </c>
      <c r="F1134" s="1" t="s">
        <v>562</v>
      </c>
      <c r="G1134" s="1" t="s">
        <v>236</v>
      </c>
      <c r="H1134" s="1" t="s">
        <v>3876</v>
      </c>
      <c r="I1134" s="1" t="s">
        <v>218</v>
      </c>
      <c r="J1134" s="1" t="s">
        <v>310</v>
      </c>
      <c r="K1134" s="1" t="n">
        <v>55.98</v>
      </c>
      <c r="L1134" s="1" t="n">
        <v>4.2</v>
      </c>
      <c r="M1134" s="1" t="n">
        <v>3800</v>
      </c>
      <c r="N1134" s="4" t="b">
        <f aca="false">FALSE()</f>
        <v>0</v>
      </c>
      <c r="O1134" s="1" t="s">
        <v>3877</v>
      </c>
      <c r="P1134" s="4" t="b">
        <f aca="false">TRUE()</f>
        <v>1</v>
      </c>
      <c r="Q1134" s="1" t="s">
        <v>766</v>
      </c>
      <c r="R1134" s="1" t="s">
        <v>3859</v>
      </c>
      <c r="S1134" s="1" t="s">
        <v>3878</v>
      </c>
      <c r="T1134" s="1" t="s">
        <v>222</v>
      </c>
      <c r="U1134" s="1" t="s">
        <v>2102</v>
      </c>
    </row>
    <row r="1135" customFormat="false" ht="48" hidden="false" customHeight="true" outlineLevel="0" collapsed="false">
      <c r="A1135" s="1" t="s">
        <v>41</v>
      </c>
      <c r="B1135" s="1" t="s">
        <v>3712</v>
      </c>
      <c r="C1135" s="1" t="s">
        <v>93</v>
      </c>
      <c r="D1135" s="1" t="s">
        <v>399</v>
      </c>
      <c r="E1135" s="1" t="n">
        <v>8</v>
      </c>
      <c r="F1135" s="1" t="s">
        <v>536</v>
      </c>
      <c r="G1135" s="1" t="s">
        <v>216</v>
      </c>
      <c r="H1135" s="1" t="s">
        <v>537</v>
      </c>
      <c r="I1135" s="1" t="s">
        <v>218</v>
      </c>
      <c r="J1135" s="1" t="s">
        <v>310</v>
      </c>
      <c r="K1135" s="1" t="n">
        <v>33.98</v>
      </c>
      <c r="L1135" s="1" t="n">
        <v>4.4</v>
      </c>
      <c r="M1135" s="1" t="n">
        <v>2800</v>
      </c>
      <c r="N1135" s="4" t="b">
        <f aca="false">FALSE()</f>
        <v>0</v>
      </c>
      <c r="O1135" s="1" t="s">
        <v>311</v>
      </c>
      <c r="P1135" s="4" t="b">
        <f aca="false">TRUE()</f>
        <v>1</v>
      </c>
      <c r="Q1135" s="1" t="s">
        <v>1840</v>
      </c>
      <c r="R1135" s="1" t="s">
        <v>3859</v>
      </c>
      <c r="S1135" s="1" t="s">
        <v>3879</v>
      </c>
      <c r="T1135" s="1" t="s">
        <v>222</v>
      </c>
      <c r="U1135" s="1" t="s">
        <v>2102</v>
      </c>
    </row>
    <row r="1136" customFormat="false" ht="48" hidden="false" customHeight="true" outlineLevel="0" collapsed="false">
      <c r="A1136" s="1" t="s">
        <v>41</v>
      </c>
      <c r="B1136" s="1" t="s">
        <v>3712</v>
      </c>
      <c r="C1136" s="1" t="s">
        <v>93</v>
      </c>
      <c r="D1136" s="1" t="s">
        <v>399</v>
      </c>
      <c r="E1136" s="1" t="n">
        <v>9</v>
      </c>
      <c r="F1136" s="1" t="s">
        <v>3880</v>
      </c>
      <c r="G1136" s="1" t="s">
        <v>236</v>
      </c>
      <c r="H1136" s="1" t="s">
        <v>3881</v>
      </c>
      <c r="I1136" s="1" t="s">
        <v>218</v>
      </c>
      <c r="J1136" s="1" t="s">
        <v>310</v>
      </c>
      <c r="K1136" s="1" t="n">
        <v>36.99</v>
      </c>
      <c r="L1136" s="1" t="n">
        <v>4.4</v>
      </c>
      <c r="M1136" s="1" t="n">
        <v>11100</v>
      </c>
      <c r="N1136" s="4" t="b">
        <f aca="false">FALSE()</f>
        <v>0</v>
      </c>
      <c r="P1136" s="4" t="b">
        <f aca="false">TRUE()</f>
        <v>1</v>
      </c>
      <c r="Q1136" s="1" t="s">
        <v>1840</v>
      </c>
      <c r="R1136" s="1" t="s">
        <v>3859</v>
      </c>
      <c r="S1136" s="1" t="s">
        <v>3882</v>
      </c>
      <c r="T1136" s="1" t="s">
        <v>222</v>
      </c>
      <c r="U1136" s="1" t="s">
        <v>2102</v>
      </c>
    </row>
    <row r="1137" customFormat="false" ht="48" hidden="false" customHeight="true" outlineLevel="0" collapsed="false">
      <c r="A1137" s="1" t="s">
        <v>41</v>
      </c>
      <c r="B1137" s="1" t="s">
        <v>3712</v>
      </c>
      <c r="C1137" s="1" t="s">
        <v>93</v>
      </c>
      <c r="D1137" s="1" t="s">
        <v>399</v>
      </c>
      <c r="E1137" s="1" t="n">
        <v>10</v>
      </c>
      <c r="F1137" s="1" t="s">
        <v>3883</v>
      </c>
      <c r="G1137" s="1" t="s">
        <v>229</v>
      </c>
      <c r="H1137" s="1" t="s">
        <v>3884</v>
      </c>
      <c r="I1137" s="1" t="s">
        <v>218</v>
      </c>
      <c r="J1137" s="1" t="s">
        <v>310</v>
      </c>
      <c r="K1137" s="1" t="n">
        <v>29.98</v>
      </c>
      <c r="L1137" s="1" t="n">
        <v>4.6</v>
      </c>
      <c r="M1137" s="1" t="n">
        <v>22000</v>
      </c>
      <c r="N1137" s="4" t="b">
        <f aca="false">FALSE()</f>
        <v>0</v>
      </c>
      <c r="O1137" s="1" t="s">
        <v>3885</v>
      </c>
      <c r="P1137" s="4" t="b">
        <f aca="false">TRUE()</f>
        <v>1</v>
      </c>
      <c r="Q1137" s="1" t="s">
        <v>1840</v>
      </c>
      <c r="R1137" s="1" t="s">
        <v>3859</v>
      </c>
      <c r="S1137" s="1" t="s">
        <v>3886</v>
      </c>
      <c r="T1137" s="1" t="s">
        <v>222</v>
      </c>
      <c r="U1137" s="1" t="s">
        <v>2102</v>
      </c>
    </row>
    <row r="1138" customFormat="false" ht="48" hidden="false" customHeight="true" outlineLevel="0" collapsed="false">
      <c r="A1138" s="1" t="s">
        <v>41</v>
      </c>
      <c r="B1138" s="1" t="s">
        <v>3712</v>
      </c>
      <c r="C1138" s="1" t="s">
        <v>93</v>
      </c>
      <c r="D1138" s="1" t="s">
        <v>399</v>
      </c>
      <c r="E1138" s="1" t="n">
        <v>11</v>
      </c>
      <c r="F1138" s="1" t="s">
        <v>3887</v>
      </c>
      <c r="G1138" s="1" t="s">
        <v>236</v>
      </c>
      <c r="H1138" s="1" t="s">
        <v>3888</v>
      </c>
      <c r="I1138" s="1" t="s">
        <v>218</v>
      </c>
      <c r="J1138" s="1" t="s">
        <v>310</v>
      </c>
      <c r="K1138" s="1" t="n">
        <v>34.99</v>
      </c>
      <c r="L1138" s="1" t="n">
        <v>4.3</v>
      </c>
      <c r="M1138" s="1" t="n">
        <v>2900</v>
      </c>
      <c r="N1138" s="4" t="b">
        <f aca="false">FALSE()</f>
        <v>0</v>
      </c>
      <c r="O1138" s="1" t="s">
        <v>311</v>
      </c>
      <c r="P1138" s="4" t="b">
        <f aca="false">TRUE()</f>
        <v>1</v>
      </c>
      <c r="Q1138" s="1" t="s">
        <v>711</v>
      </c>
      <c r="R1138" s="1" t="s">
        <v>3859</v>
      </c>
      <c r="S1138" s="1" t="s">
        <v>3889</v>
      </c>
      <c r="T1138" s="1" t="s">
        <v>222</v>
      </c>
      <c r="U1138" s="1" t="s">
        <v>2102</v>
      </c>
    </row>
    <row r="1139" customFormat="false" ht="48" hidden="false" customHeight="true" outlineLevel="0" collapsed="false">
      <c r="A1139" s="1" t="s">
        <v>41</v>
      </c>
      <c r="B1139" s="1" t="s">
        <v>3712</v>
      </c>
      <c r="C1139" s="1" t="s">
        <v>93</v>
      </c>
      <c r="D1139" s="1" t="s">
        <v>399</v>
      </c>
      <c r="E1139" s="1" t="n">
        <v>12</v>
      </c>
      <c r="F1139" s="1" t="s">
        <v>479</v>
      </c>
      <c r="G1139" s="1" t="s">
        <v>236</v>
      </c>
      <c r="H1139" s="1" t="s">
        <v>3890</v>
      </c>
      <c r="I1139" s="1" t="s">
        <v>218</v>
      </c>
      <c r="J1139" s="1" t="s">
        <v>310</v>
      </c>
      <c r="K1139" s="1" t="n">
        <v>39.99</v>
      </c>
      <c r="L1139" s="1" t="n">
        <v>4.5</v>
      </c>
      <c r="M1139" s="1" t="n">
        <v>1500</v>
      </c>
      <c r="N1139" s="4" t="b">
        <f aca="false">FALSE()</f>
        <v>0</v>
      </c>
      <c r="P1139" s="4" t="b">
        <f aca="false">TRUE()</f>
        <v>1</v>
      </c>
      <c r="Q1139" s="1" t="s">
        <v>1840</v>
      </c>
      <c r="R1139" s="1" t="s">
        <v>3859</v>
      </c>
      <c r="S1139" s="1" t="s">
        <v>3891</v>
      </c>
      <c r="T1139" s="1" t="s">
        <v>222</v>
      </c>
      <c r="U1139" s="1" t="s">
        <v>2102</v>
      </c>
    </row>
    <row r="1140" customFormat="false" ht="48" hidden="false" customHeight="true" outlineLevel="0" collapsed="false">
      <c r="A1140" s="1" t="s">
        <v>41</v>
      </c>
      <c r="B1140" s="1" t="s">
        <v>3712</v>
      </c>
      <c r="C1140" s="1" t="s">
        <v>93</v>
      </c>
      <c r="D1140" s="1" t="s">
        <v>399</v>
      </c>
      <c r="E1140" s="1" t="n">
        <v>13</v>
      </c>
      <c r="F1140" s="1" t="s">
        <v>3892</v>
      </c>
      <c r="G1140" s="1" t="s">
        <v>236</v>
      </c>
      <c r="H1140" s="1" t="s">
        <v>3893</v>
      </c>
      <c r="I1140" s="1" t="s">
        <v>218</v>
      </c>
      <c r="J1140" s="1" t="s">
        <v>310</v>
      </c>
      <c r="K1140" s="1" t="n">
        <v>29.98</v>
      </c>
      <c r="L1140" s="1" t="n">
        <v>4.6</v>
      </c>
      <c r="M1140" s="1" t="n">
        <v>9000</v>
      </c>
      <c r="N1140" s="4" t="b">
        <f aca="false">FALSE()</f>
        <v>0</v>
      </c>
      <c r="O1140" s="1" t="s">
        <v>842</v>
      </c>
      <c r="P1140" s="4" t="b">
        <f aca="false">TRUE()</f>
        <v>1</v>
      </c>
      <c r="Q1140" s="1" t="s">
        <v>1840</v>
      </c>
      <c r="R1140" s="1" t="s">
        <v>3859</v>
      </c>
      <c r="S1140" s="1" t="s">
        <v>3894</v>
      </c>
      <c r="T1140" s="1" t="s">
        <v>222</v>
      </c>
      <c r="U1140" s="1" t="s">
        <v>2102</v>
      </c>
    </row>
    <row r="1141" customFormat="false" ht="48" hidden="false" customHeight="true" outlineLevel="0" collapsed="false">
      <c r="A1141" s="1" t="s">
        <v>41</v>
      </c>
      <c r="B1141" s="1" t="s">
        <v>3712</v>
      </c>
      <c r="C1141" s="1" t="s">
        <v>93</v>
      </c>
      <c r="D1141" s="1" t="s">
        <v>399</v>
      </c>
      <c r="E1141" s="1" t="n">
        <v>14</v>
      </c>
      <c r="F1141" s="1" t="s">
        <v>3895</v>
      </c>
      <c r="G1141" s="1" t="s">
        <v>236</v>
      </c>
      <c r="H1141" s="1" t="s">
        <v>3896</v>
      </c>
      <c r="I1141" s="1" t="s">
        <v>218</v>
      </c>
      <c r="J1141" s="1" t="s">
        <v>310</v>
      </c>
      <c r="K1141" s="1" t="n">
        <v>32.99</v>
      </c>
      <c r="L1141" s="1" t="n">
        <v>4.5</v>
      </c>
      <c r="M1141" s="1" t="n">
        <v>10500</v>
      </c>
      <c r="N1141" s="4" t="b">
        <f aca="false">FALSE()</f>
        <v>0</v>
      </c>
      <c r="O1141" s="1" t="s">
        <v>3725</v>
      </c>
      <c r="P1141" s="4" t="b">
        <f aca="false">TRUE()</f>
        <v>1</v>
      </c>
      <c r="Q1141" s="1" t="s">
        <v>1840</v>
      </c>
      <c r="R1141" s="1" t="s">
        <v>3859</v>
      </c>
      <c r="S1141" s="1" t="s">
        <v>3897</v>
      </c>
      <c r="T1141" s="1" t="s">
        <v>222</v>
      </c>
      <c r="U1141" s="1" t="s">
        <v>2102</v>
      </c>
    </row>
    <row r="1142" customFormat="false" ht="48" hidden="false" customHeight="true" outlineLevel="0" collapsed="false">
      <c r="A1142" s="1" t="s">
        <v>41</v>
      </c>
      <c r="B1142" s="1" t="s">
        <v>3712</v>
      </c>
      <c r="C1142" s="1" t="s">
        <v>93</v>
      </c>
      <c r="D1142" s="1" t="s">
        <v>399</v>
      </c>
      <c r="E1142" s="1" t="n">
        <v>15</v>
      </c>
      <c r="F1142" s="1" t="s">
        <v>3898</v>
      </c>
      <c r="G1142" s="1" t="s">
        <v>229</v>
      </c>
      <c r="H1142" s="1" t="s">
        <v>3899</v>
      </c>
      <c r="I1142" s="1" t="s">
        <v>218</v>
      </c>
      <c r="J1142" s="1" t="s">
        <v>310</v>
      </c>
      <c r="K1142" s="1" t="n">
        <v>38.99</v>
      </c>
      <c r="L1142" s="1" t="n">
        <v>4.6</v>
      </c>
      <c r="M1142" s="1" t="n">
        <v>22000</v>
      </c>
      <c r="N1142" s="4" t="b">
        <f aca="false">FALSE()</f>
        <v>0</v>
      </c>
      <c r="O1142" s="1" t="s">
        <v>1754</v>
      </c>
      <c r="P1142" s="4" t="b">
        <f aca="false">TRUE()</f>
        <v>1</v>
      </c>
      <c r="Q1142" s="1" t="s">
        <v>435</v>
      </c>
      <c r="R1142" s="1" t="s">
        <v>3859</v>
      </c>
      <c r="S1142" s="1" t="s">
        <v>3900</v>
      </c>
      <c r="T1142" s="1" t="s">
        <v>222</v>
      </c>
      <c r="U1142" s="1" t="s">
        <v>2102</v>
      </c>
    </row>
    <row r="1143" customFormat="false" ht="48" hidden="false" customHeight="true" outlineLevel="0" collapsed="false">
      <c r="A1143" s="1" t="s">
        <v>41</v>
      </c>
      <c r="B1143" s="1" t="s">
        <v>3712</v>
      </c>
      <c r="C1143" s="1" t="s">
        <v>93</v>
      </c>
      <c r="D1143" s="1" t="s">
        <v>399</v>
      </c>
      <c r="E1143" s="1" t="n">
        <v>16</v>
      </c>
      <c r="F1143" s="1" t="s">
        <v>3901</v>
      </c>
      <c r="G1143" s="1" t="s">
        <v>236</v>
      </c>
      <c r="H1143" s="1" t="s">
        <v>3902</v>
      </c>
      <c r="I1143" s="1" t="s">
        <v>218</v>
      </c>
      <c r="J1143" s="1" t="s">
        <v>310</v>
      </c>
      <c r="K1143" s="1" t="n">
        <v>36.09</v>
      </c>
      <c r="L1143" s="1" t="n">
        <v>4.2</v>
      </c>
      <c r="M1143" s="1" t="n">
        <v>1600</v>
      </c>
      <c r="N1143" s="4" t="b">
        <f aca="false">FALSE()</f>
        <v>0</v>
      </c>
      <c r="P1143" s="4" t="b">
        <f aca="false">TRUE()</f>
        <v>1</v>
      </c>
      <c r="Q1143" s="1" t="s">
        <v>766</v>
      </c>
      <c r="R1143" s="1" t="s">
        <v>3859</v>
      </c>
      <c r="S1143" s="1" t="s">
        <v>3903</v>
      </c>
      <c r="T1143" s="1" t="s">
        <v>222</v>
      </c>
      <c r="U1143" s="1" t="s">
        <v>2102</v>
      </c>
    </row>
    <row r="1144" customFormat="false" ht="48" hidden="false" customHeight="true" outlineLevel="0" collapsed="false">
      <c r="A1144" s="1" t="s">
        <v>41</v>
      </c>
      <c r="B1144" s="1" t="s">
        <v>3712</v>
      </c>
      <c r="C1144" s="1" t="s">
        <v>93</v>
      </c>
      <c r="D1144" s="1" t="s">
        <v>399</v>
      </c>
      <c r="E1144" s="1" t="n">
        <v>17</v>
      </c>
      <c r="F1144" s="1" t="s">
        <v>3904</v>
      </c>
      <c r="G1144" s="1" t="s">
        <v>229</v>
      </c>
      <c r="H1144" s="1" t="s">
        <v>3905</v>
      </c>
      <c r="I1144" s="1" t="s">
        <v>218</v>
      </c>
      <c r="J1144" s="1" t="s">
        <v>310</v>
      </c>
      <c r="K1144" s="1" t="n">
        <v>39.99</v>
      </c>
      <c r="L1144" s="1" t="n">
        <v>4.5</v>
      </c>
      <c r="M1144" s="1" t="n">
        <v>74900</v>
      </c>
      <c r="N1144" s="4" t="b">
        <f aca="false">FALSE()</f>
        <v>0</v>
      </c>
      <c r="O1144" s="1" t="s">
        <v>3725</v>
      </c>
      <c r="P1144" s="4" t="b">
        <f aca="false">TRUE()</f>
        <v>1</v>
      </c>
      <c r="Q1144" s="1" t="s">
        <v>766</v>
      </c>
      <c r="R1144" s="1" t="s">
        <v>3859</v>
      </c>
      <c r="S1144" s="1" t="s">
        <v>3906</v>
      </c>
      <c r="T1144" s="1" t="s">
        <v>222</v>
      </c>
      <c r="U1144" s="1" t="s">
        <v>2102</v>
      </c>
    </row>
    <row r="1145" customFormat="false" ht="48" hidden="false" customHeight="true" outlineLevel="0" collapsed="false">
      <c r="A1145" s="1" t="s">
        <v>41</v>
      </c>
      <c r="B1145" s="1" t="s">
        <v>3712</v>
      </c>
      <c r="C1145" s="1" t="s">
        <v>93</v>
      </c>
      <c r="D1145" s="1" t="s">
        <v>399</v>
      </c>
      <c r="E1145" s="1" t="n">
        <v>18</v>
      </c>
      <c r="F1145" s="1" t="s">
        <v>3907</v>
      </c>
      <c r="G1145" s="1" t="s">
        <v>236</v>
      </c>
      <c r="H1145" s="1" t="s">
        <v>3908</v>
      </c>
      <c r="I1145" s="1" t="s">
        <v>231</v>
      </c>
      <c r="J1145" s="1" t="s">
        <v>310</v>
      </c>
      <c r="K1145" s="1" t="n">
        <v>49.96</v>
      </c>
      <c r="L1145" s="1" t="n">
        <v>4.4</v>
      </c>
      <c r="M1145" s="1" t="n">
        <v>6900</v>
      </c>
      <c r="N1145" s="4" t="b">
        <f aca="false">FALSE()</f>
        <v>0</v>
      </c>
      <c r="O1145" s="1" t="s">
        <v>3877</v>
      </c>
      <c r="P1145" s="4" t="b">
        <f aca="false">TRUE()</f>
        <v>1</v>
      </c>
      <c r="Q1145" s="1" t="s">
        <v>711</v>
      </c>
      <c r="R1145" s="1" t="s">
        <v>3859</v>
      </c>
      <c r="S1145" s="1" t="s">
        <v>3909</v>
      </c>
      <c r="T1145" s="1" t="s">
        <v>222</v>
      </c>
      <c r="U1145" s="1" t="s">
        <v>2102</v>
      </c>
    </row>
    <row r="1146" customFormat="false" ht="48" hidden="false" customHeight="true" outlineLevel="0" collapsed="false">
      <c r="A1146" s="1" t="s">
        <v>41</v>
      </c>
      <c r="B1146" s="1" t="s">
        <v>3712</v>
      </c>
      <c r="C1146" s="1" t="s">
        <v>93</v>
      </c>
      <c r="D1146" s="1" t="s">
        <v>399</v>
      </c>
      <c r="E1146" s="1" t="n">
        <v>19</v>
      </c>
      <c r="F1146" s="1" t="s">
        <v>3910</v>
      </c>
      <c r="G1146" s="1" t="s">
        <v>236</v>
      </c>
      <c r="H1146" s="1" t="s">
        <v>3911</v>
      </c>
      <c r="I1146" s="1" t="s">
        <v>218</v>
      </c>
      <c r="J1146" s="1" t="s">
        <v>310</v>
      </c>
      <c r="K1146" s="1" t="n">
        <v>31.99</v>
      </c>
      <c r="L1146" s="1" t="n">
        <v>4.5</v>
      </c>
      <c r="M1146" s="1" t="n">
        <v>6400</v>
      </c>
      <c r="N1146" s="4" t="b">
        <f aca="false">FALSE()</f>
        <v>0</v>
      </c>
      <c r="P1146" s="4" t="b">
        <f aca="false">TRUE()</f>
        <v>1</v>
      </c>
      <c r="Q1146" s="1" t="s">
        <v>1429</v>
      </c>
      <c r="R1146" s="1" t="s">
        <v>3859</v>
      </c>
      <c r="S1146" s="1" t="s">
        <v>3912</v>
      </c>
      <c r="T1146" s="1" t="s">
        <v>222</v>
      </c>
      <c r="U1146" s="1" t="s">
        <v>2102</v>
      </c>
    </row>
    <row r="1147" customFormat="false" ht="48" hidden="false" customHeight="true" outlineLevel="0" collapsed="false">
      <c r="A1147" s="1" t="s">
        <v>41</v>
      </c>
      <c r="B1147" s="1" t="s">
        <v>3712</v>
      </c>
      <c r="C1147" s="1" t="s">
        <v>93</v>
      </c>
      <c r="D1147" s="1" t="s">
        <v>399</v>
      </c>
      <c r="E1147" s="1" t="n">
        <v>20</v>
      </c>
      <c r="F1147" s="1" t="s">
        <v>3913</v>
      </c>
      <c r="G1147" s="1" t="s">
        <v>236</v>
      </c>
      <c r="H1147" s="1" t="s">
        <v>3914</v>
      </c>
      <c r="I1147" s="1" t="s">
        <v>231</v>
      </c>
      <c r="J1147" s="1" t="s">
        <v>310</v>
      </c>
      <c r="K1147" s="1" t="n">
        <v>91.99</v>
      </c>
      <c r="L1147" s="1" t="n">
        <v>4.7</v>
      </c>
      <c r="M1147" s="1" t="n">
        <v>1700</v>
      </c>
      <c r="N1147" s="4" t="b">
        <f aca="false">FALSE()</f>
        <v>0</v>
      </c>
      <c r="P1147" s="4" t="b">
        <f aca="false">TRUE()</f>
        <v>1</v>
      </c>
      <c r="Q1147" s="1" t="s">
        <v>711</v>
      </c>
      <c r="R1147" s="1" t="s">
        <v>3859</v>
      </c>
      <c r="S1147" s="1" t="s">
        <v>3915</v>
      </c>
      <c r="T1147" s="1" t="s">
        <v>222</v>
      </c>
      <c r="U1147" s="1" t="s">
        <v>2102</v>
      </c>
    </row>
    <row r="1148" customFormat="false" ht="48" hidden="false" customHeight="true" outlineLevel="0" collapsed="false">
      <c r="A1148" s="1" t="s">
        <v>41</v>
      </c>
      <c r="B1148" s="1" t="s">
        <v>3712</v>
      </c>
      <c r="C1148" s="1" t="s">
        <v>93</v>
      </c>
      <c r="D1148" s="1" t="s">
        <v>399</v>
      </c>
      <c r="E1148" s="1" t="n">
        <v>21</v>
      </c>
      <c r="F1148" s="1" t="s">
        <v>3916</v>
      </c>
      <c r="G1148" s="1" t="s">
        <v>236</v>
      </c>
      <c r="H1148" s="1" t="s">
        <v>3917</v>
      </c>
      <c r="I1148" s="1" t="s">
        <v>218</v>
      </c>
      <c r="J1148" s="1" t="s">
        <v>310</v>
      </c>
      <c r="K1148" s="1" t="n">
        <v>28.99</v>
      </c>
      <c r="L1148" s="1" t="n">
        <v>4.5</v>
      </c>
      <c r="M1148" s="1" t="n">
        <v>2700</v>
      </c>
      <c r="N1148" s="4" t="b">
        <f aca="false">FALSE()</f>
        <v>0</v>
      </c>
      <c r="P1148" s="4" t="b">
        <f aca="false">TRUE()</f>
        <v>1</v>
      </c>
      <c r="Q1148" s="1" t="s">
        <v>711</v>
      </c>
      <c r="R1148" s="1" t="s">
        <v>3859</v>
      </c>
      <c r="S1148" s="1" t="s">
        <v>3918</v>
      </c>
      <c r="T1148" s="1" t="s">
        <v>222</v>
      </c>
      <c r="U1148" s="1" t="s">
        <v>2102</v>
      </c>
    </row>
    <row r="1149" customFormat="false" ht="48" hidden="false" customHeight="true" outlineLevel="0" collapsed="false">
      <c r="A1149" s="1" t="s">
        <v>41</v>
      </c>
      <c r="B1149" s="1" t="s">
        <v>3712</v>
      </c>
      <c r="C1149" s="1" t="s">
        <v>93</v>
      </c>
      <c r="D1149" s="1" t="s">
        <v>399</v>
      </c>
      <c r="E1149" s="1" t="n">
        <v>22</v>
      </c>
      <c r="F1149" s="1" t="s">
        <v>3919</v>
      </c>
      <c r="G1149" s="1" t="s">
        <v>236</v>
      </c>
      <c r="H1149" s="1" t="s">
        <v>3920</v>
      </c>
      <c r="I1149" s="1" t="s">
        <v>231</v>
      </c>
      <c r="J1149" s="1" t="s">
        <v>310</v>
      </c>
      <c r="K1149" s="1" t="n">
        <v>47.99</v>
      </c>
      <c r="L1149" s="1" t="n">
        <v>4.5</v>
      </c>
      <c r="M1149" s="1" t="n">
        <v>3800</v>
      </c>
      <c r="N1149" s="4" t="b">
        <f aca="false">FALSE()</f>
        <v>0</v>
      </c>
      <c r="O1149" s="1" t="s">
        <v>3921</v>
      </c>
      <c r="P1149" s="4" t="b">
        <f aca="false">TRUE()</f>
        <v>1</v>
      </c>
      <c r="Q1149" s="1" t="s">
        <v>777</v>
      </c>
      <c r="R1149" s="1" t="s">
        <v>3859</v>
      </c>
      <c r="S1149" s="1" t="s">
        <v>3922</v>
      </c>
      <c r="T1149" s="1" t="s">
        <v>222</v>
      </c>
      <c r="U1149" s="1" t="s">
        <v>2102</v>
      </c>
    </row>
    <row r="1150" customFormat="false" ht="48" hidden="false" customHeight="true" outlineLevel="0" collapsed="false">
      <c r="A1150" s="1" t="s">
        <v>41</v>
      </c>
      <c r="B1150" s="1" t="s">
        <v>3712</v>
      </c>
      <c r="C1150" s="1" t="s">
        <v>93</v>
      </c>
      <c r="D1150" s="1" t="s">
        <v>399</v>
      </c>
      <c r="E1150" s="1" t="n">
        <v>23</v>
      </c>
      <c r="F1150" s="1" t="s">
        <v>3923</v>
      </c>
      <c r="G1150" s="1" t="s">
        <v>236</v>
      </c>
      <c r="H1150" s="1" t="s">
        <v>3924</v>
      </c>
      <c r="I1150" s="1" t="s">
        <v>218</v>
      </c>
      <c r="J1150" s="1" t="s">
        <v>310</v>
      </c>
      <c r="K1150" s="1" t="n">
        <v>31.98</v>
      </c>
      <c r="L1150" s="1" t="n">
        <v>4.3</v>
      </c>
      <c r="M1150" s="1" t="n">
        <v>1600</v>
      </c>
      <c r="N1150" s="4" t="b">
        <f aca="false">FALSE()</f>
        <v>0</v>
      </c>
      <c r="O1150" s="1" t="s">
        <v>311</v>
      </c>
      <c r="P1150" s="4" t="b">
        <f aca="false">TRUE()</f>
        <v>1</v>
      </c>
      <c r="Q1150" s="1" t="s">
        <v>711</v>
      </c>
      <c r="R1150" s="1" t="s">
        <v>3859</v>
      </c>
      <c r="S1150" s="1" t="s">
        <v>3925</v>
      </c>
      <c r="T1150" s="1" t="s">
        <v>222</v>
      </c>
      <c r="U1150" s="1" t="s">
        <v>2102</v>
      </c>
    </row>
    <row r="1151" customFormat="false" ht="48" hidden="false" customHeight="true" outlineLevel="0" collapsed="false">
      <c r="A1151" s="1" t="s">
        <v>41</v>
      </c>
      <c r="B1151" s="1" t="s">
        <v>3712</v>
      </c>
      <c r="C1151" s="1" t="s">
        <v>93</v>
      </c>
      <c r="D1151" s="1" t="s">
        <v>399</v>
      </c>
      <c r="E1151" s="1" t="n">
        <v>24</v>
      </c>
      <c r="F1151" s="1" t="s">
        <v>3926</v>
      </c>
      <c r="G1151" s="1" t="s">
        <v>236</v>
      </c>
      <c r="H1151" s="1" t="s">
        <v>3927</v>
      </c>
      <c r="I1151" s="1" t="s">
        <v>218</v>
      </c>
      <c r="J1151" s="1" t="s">
        <v>310</v>
      </c>
      <c r="K1151" s="1" t="n">
        <v>21.98</v>
      </c>
      <c r="L1151" s="1" t="n">
        <v>4.4</v>
      </c>
      <c r="M1151" s="1" t="n">
        <v>6000</v>
      </c>
      <c r="N1151" s="4" t="b">
        <f aca="false">FALSE()</f>
        <v>0</v>
      </c>
      <c r="P1151" s="4" t="b">
        <f aca="false">TRUE()</f>
        <v>1</v>
      </c>
      <c r="Q1151" s="1" t="s">
        <v>1840</v>
      </c>
      <c r="R1151" s="1" t="s">
        <v>3859</v>
      </c>
      <c r="S1151" s="1" t="s">
        <v>3928</v>
      </c>
      <c r="T1151" s="1" t="s">
        <v>222</v>
      </c>
      <c r="U1151" s="1" t="s">
        <v>2102</v>
      </c>
    </row>
    <row r="1152" customFormat="false" ht="48" hidden="false" customHeight="true" outlineLevel="0" collapsed="false">
      <c r="A1152" s="1" t="s">
        <v>41</v>
      </c>
      <c r="B1152" s="1" t="s">
        <v>3712</v>
      </c>
      <c r="C1152" s="1" t="s">
        <v>93</v>
      </c>
      <c r="D1152" s="1" t="s">
        <v>399</v>
      </c>
      <c r="E1152" s="1" t="n">
        <v>25</v>
      </c>
      <c r="F1152" s="1" t="s">
        <v>577</v>
      </c>
      <c r="G1152" s="1" t="s">
        <v>236</v>
      </c>
      <c r="H1152" s="1" t="s">
        <v>578</v>
      </c>
      <c r="I1152" s="1" t="s">
        <v>218</v>
      </c>
      <c r="J1152" s="1" t="s">
        <v>310</v>
      </c>
      <c r="K1152" s="1" t="n">
        <v>39.96</v>
      </c>
      <c r="L1152" s="1" t="n">
        <v>4.4</v>
      </c>
      <c r="M1152" s="1" t="n">
        <v>6900</v>
      </c>
      <c r="N1152" s="4" t="b">
        <f aca="false">FALSE()</f>
        <v>0</v>
      </c>
      <c r="O1152" s="1" t="s">
        <v>3871</v>
      </c>
      <c r="P1152" s="4" t="b">
        <f aca="false">TRUE()</f>
        <v>1</v>
      </c>
      <c r="Q1152" s="1" t="s">
        <v>711</v>
      </c>
      <c r="R1152" s="1" t="s">
        <v>3859</v>
      </c>
      <c r="S1152" s="1" t="s">
        <v>3929</v>
      </c>
      <c r="T1152" s="1" t="s">
        <v>222</v>
      </c>
      <c r="U1152" s="1" t="s">
        <v>2102</v>
      </c>
    </row>
    <row r="1153" customFormat="false" ht="48" hidden="false" customHeight="true" outlineLevel="0" collapsed="false">
      <c r="A1153" s="1" t="s">
        <v>41</v>
      </c>
      <c r="B1153" s="1" t="s">
        <v>3712</v>
      </c>
      <c r="C1153" s="1" t="s">
        <v>93</v>
      </c>
      <c r="D1153" s="1" t="s">
        <v>399</v>
      </c>
      <c r="E1153" s="1" t="n">
        <v>26</v>
      </c>
      <c r="F1153" s="1" t="s">
        <v>3930</v>
      </c>
      <c r="G1153" s="1" t="s">
        <v>236</v>
      </c>
      <c r="H1153" s="1" t="s">
        <v>3931</v>
      </c>
      <c r="I1153" s="1" t="s">
        <v>218</v>
      </c>
      <c r="J1153" s="1" t="s">
        <v>310</v>
      </c>
      <c r="K1153" s="1" t="n">
        <v>49.99</v>
      </c>
      <c r="L1153" s="1" t="n">
        <v>4.6</v>
      </c>
      <c r="M1153" s="1" t="n">
        <v>41200</v>
      </c>
      <c r="N1153" s="4" t="b">
        <f aca="false">FALSE()</f>
        <v>0</v>
      </c>
      <c r="P1153" s="4" t="b">
        <f aca="false">TRUE()</f>
        <v>1</v>
      </c>
      <c r="Q1153" s="1" t="s">
        <v>711</v>
      </c>
      <c r="R1153" s="1" t="s">
        <v>3859</v>
      </c>
      <c r="S1153" s="1" t="s">
        <v>3932</v>
      </c>
      <c r="T1153" s="1" t="s">
        <v>222</v>
      </c>
      <c r="U1153" s="1" t="s">
        <v>2102</v>
      </c>
    </row>
    <row r="1154" customFormat="false" ht="48" hidden="false" customHeight="true" outlineLevel="0" collapsed="false">
      <c r="A1154" s="1" t="s">
        <v>41</v>
      </c>
      <c r="B1154" s="1" t="s">
        <v>3712</v>
      </c>
      <c r="C1154" s="1" t="s">
        <v>93</v>
      </c>
      <c r="D1154" s="1" t="s">
        <v>399</v>
      </c>
      <c r="E1154" s="1" t="n">
        <v>27</v>
      </c>
      <c r="F1154" s="1" t="s">
        <v>3933</v>
      </c>
      <c r="G1154" s="1" t="s">
        <v>236</v>
      </c>
      <c r="H1154" s="1" t="s">
        <v>3934</v>
      </c>
      <c r="I1154" s="1" t="s">
        <v>218</v>
      </c>
      <c r="J1154" s="1" t="s">
        <v>310</v>
      </c>
      <c r="K1154" s="1" t="n">
        <v>21.99</v>
      </c>
      <c r="L1154" s="1" t="n">
        <v>4.3</v>
      </c>
      <c r="M1154" s="1" t="n">
        <v>1700</v>
      </c>
      <c r="N1154" s="4" t="b">
        <f aca="false">FALSE()</f>
        <v>0</v>
      </c>
      <c r="O1154" s="1" t="s">
        <v>3935</v>
      </c>
      <c r="P1154" s="4" t="b">
        <f aca="false">TRUE()</f>
        <v>1</v>
      </c>
      <c r="Q1154" s="1" t="s">
        <v>1840</v>
      </c>
      <c r="R1154" s="1" t="s">
        <v>3859</v>
      </c>
      <c r="S1154" s="1" t="s">
        <v>3936</v>
      </c>
      <c r="T1154" s="1" t="s">
        <v>222</v>
      </c>
      <c r="U1154" s="1" t="s">
        <v>2102</v>
      </c>
    </row>
    <row r="1155" customFormat="false" ht="48" hidden="false" customHeight="true" outlineLevel="0" collapsed="false">
      <c r="A1155" s="1" t="s">
        <v>41</v>
      </c>
      <c r="B1155" s="1" t="s">
        <v>3712</v>
      </c>
      <c r="C1155" s="1" t="s">
        <v>93</v>
      </c>
      <c r="D1155" s="1" t="s">
        <v>399</v>
      </c>
      <c r="E1155" s="1" t="n">
        <v>28</v>
      </c>
      <c r="F1155" s="1" t="s">
        <v>3937</v>
      </c>
      <c r="G1155" s="1" t="s">
        <v>236</v>
      </c>
      <c r="H1155" s="1" t="s">
        <v>3938</v>
      </c>
      <c r="I1155" s="1" t="s">
        <v>218</v>
      </c>
      <c r="J1155" s="1" t="s">
        <v>310</v>
      </c>
      <c r="K1155" s="1" t="n">
        <v>67.99</v>
      </c>
      <c r="L1155" s="1" t="n">
        <v>4.5</v>
      </c>
      <c r="M1155" s="1" t="n">
        <v>1000</v>
      </c>
      <c r="N1155" s="4" t="b">
        <f aca="false">FALSE()</f>
        <v>0</v>
      </c>
      <c r="O1155" s="1" t="s">
        <v>3939</v>
      </c>
      <c r="P1155" s="4" t="b">
        <f aca="false">TRUE()</f>
        <v>1</v>
      </c>
      <c r="Q1155" s="1" t="s">
        <v>233</v>
      </c>
      <c r="R1155" s="1" t="s">
        <v>3859</v>
      </c>
      <c r="S1155" s="1" t="s">
        <v>3940</v>
      </c>
      <c r="T1155" s="1" t="s">
        <v>222</v>
      </c>
      <c r="U1155" s="1" t="s">
        <v>2102</v>
      </c>
    </row>
    <row r="1156" customFormat="false" ht="48" hidden="false" customHeight="true" outlineLevel="0" collapsed="false">
      <c r="A1156" s="1" t="s">
        <v>41</v>
      </c>
      <c r="B1156" s="1" t="s">
        <v>3712</v>
      </c>
      <c r="C1156" s="1" t="s">
        <v>93</v>
      </c>
      <c r="D1156" s="1" t="s">
        <v>399</v>
      </c>
      <c r="E1156" s="1" t="n">
        <v>29</v>
      </c>
      <c r="F1156" s="1" t="s">
        <v>437</v>
      </c>
      <c r="G1156" s="1" t="s">
        <v>236</v>
      </c>
      <c r="H1156" s="1" t="s">
        <v>3941</v>
      </c>
      <c r="I1156" s="1" t="s">
        <v>218</v>
      </c>
      <c r="J1156" s="1" t="s">
        <v>310</v>
      </c>
      <c r="K1156" s="1" t="n">
        <v>31.99</v>
      </c>
      <c r="L1156" s="1" t="n">
        <v>4.6</v>
      </c>
      <c r="M1156" s="1" t="n">
        <v>12300</v>
      </c>
      <c r="N1156" s="4" t="b">
        <f aca="false">FALSE()</f>
        <v>0</v>
      </c>
      <c r="P1156" s="4" t="b">
        <f aca="false">TRUE()</f>
        <v>1</v>
      </c>
      <c r="Q1156" s="1" t="s">
        <v>766</v>
      </c>
      <c r="R1156" s="1" t="s">
        <v>3859</v>
      </c>
      <c r="S1156" s="1" t="s">
        <v>3942</v>
      </c>
      <c r="T1156" s="1" t="s">
        <v>222</v>
      </c>
      <c r="U1156" s="1" t="s">
        <v>2102</v>
      </c>
    </row>
    <row r="1157" customFormat="false" ht="48" hidden="false" customHeight="true" outlineLevel="0" collapsed="false">
      <c r="A1157" s="1" t="s">
        <v>41</v>
      </c>
      <c r="B1157" s="1" t="s">
        <v>3712</v>
      </c>
      <c r="C1157" s="1" t="s">
        <v>93</v>
      </c>
      <c r="D1157" s="1" t="s">
        <v>399</v>
      </c>
      <c r="E1157" s="1" t="n">
        <v>30</v>
      </c>
      <c r="F1157" s="1" t="s">
        <v>3943</v>
      </c>
      <c r="G1157" s="1" t="s">
        <v>236</v>
      </c>
      <c r="H1157" s="1" t="s">
        <v>3944</v>
      </c>
      <c r="I1157" s="1" t="s">
        <v>242</v>
      </c>
      <c r="J1157" s="1" t="s">
        <v>310</v>
      </c>
      <c r="K1157" s="1" t="n">
        <v>37.99</v>
      </c>
      <c r="L1157" s="1" t="n">
        <v>4.5</v>
      </c>
      <c r="M1157" s="1" t="n">
        <v>6400</v>
      </c>
      <c r="N1157" s="4" t="b">
        <f aca="false">FALSE()</f>
        <v>0</v>
      </c>
      <c r="P1157" s="4" t="b">
        <f aca="false">TRUE()</f>
        <v>1</v>
      </c>
      <c r="Q1157" s="1" t="s">
        <v>766</v>
      </c>
      <c r="R1157" s="1" t="s">
        <v>3859</v>
      </c>
      <c r="S1157" s="1" t="s">
        <v>3945</v>
      </c>
      <c r="T1157" s="1" t="s">
        <v>222</v>
      </c>
      <c r="U1157" s="1" t="s">
        <v>2102</v>
      </c>
    </row>
    <row r="1158" customFormat="false" ht="48" hidden="false" customHeight="true" outlineLevel="0" collapsed="false">
      <c r="A1158" s="1" t="s">
        <v>41</v>
      </c>
      <c r="B1158" s="1" t="s">
        <v>3712</v>
      </c>
      <c r="C1158" s="1" t="s">
        <v>93</v>
      </c>
      <c r="D1158" s="1" t="s">
        <v>399</v>
      </c>
      <c r="E1158" s="1" t="n">
        <v>31</v>
      </c>
      <c r="F1158" s="1" t="s">
        <v>3946</v>
      </c>
      <c r="G1158" s="1" t="s">
        <v>1707</v>
      </c>
      <c r="H1158" s="1" t="s">
        <v>3947</v>
      </c>
      <c r="I1158" s="1" t="s">
        <v>242</v>
      </c>
      <c r="J1158" s="1" t="s">
        <v>310</v>
      </c>
      <c r="K1158" s="1" t="n">
        <v>34.99</v>
      </c>
      <c r="L1158" s="1" t="n">
        <v>4.6</v>
      </c>
      <c r="M1158" s="1" t="n">
        <v>10200</v>
      </c>
      <c r="N1158" s="4" t="b">
        <f aca="false">FALSE()</f>
        <v>0</v>
      </c>
      <c r="O1158" s="1" t="s">
        <v>842</v>
      </c>
      <c r="P1158" s="4" t="b">
        <f aca="false">TRUE()</f>
        <v>1</v>
      </c>
      <c r="Q1158" s="1" t="s">
        <v>1840</v>
      </c>
      <c r="R1158" s="1" t="s">
        <v>3859</v>
      </c>
      <c r="S1158" s="1" t="s">
        <v>3948</v>
      </c>
      <c r="T1158" s="1" t="s">
        <v>222</v>
      </c>
      <c r="U1158" s="1" t="s">
        <v>2102</v>
      </c>
    </row>
    <row r="1159" customFormat="false" ht="48" hidden="false" customHeight="true" outlineLevel="0" collapsed="false">
      <c r="A1159" s="1" t="s">
        <v>41</v>
      </c>
      <c r="B1159" s="1" t="s">
        <v>3712</v>
      </c>
      <c r="C1159" s="1" t="s">
        <v>93</v>
      </c>
      <c r="D1159" s="1" t="s">
        <v>399</v>
      </c>
      <c r="E1159" s="1" t="n">
        <v>32</v>
      </c>
      <c r="F1159" s="1" t="s">
        <v>3949</v>
      </c>
      <c r="G1159" s="1" t="s">
        <v>229</v>
      </c>
      <c r="H1159" s="1" t="s">
        <v>3950</v>
      </c>
      <c r="I1159" s="1" t="s">
        <v>218</v>
      </c>
      <c r="J1159" s="1" t="s">
        <v>310</v>
      </c>
      <c r="K1159" s="1" t="n">
        <v>49.99</v>
      </c>
      <c r="L1159" s="1" t="n">
        <v>4.5</v>
      </c>
      <c r="M1159" s="1" t="n">
        <v>5000</v>
      </c>
      <c r="N1159" s="4" t="b">
        <f aca="false">FALSE()</f>
        <v>0</v>
      </c>
      <c r="O1159" s="1" t="s">
        <v>3877</v>
      </c>
      <c r="P1159" s="4" t="b">
        <f aca="false">TRUE()</f>
        <v>1</v>
      </c>
      <c r="Q1159" s="1" t="s">
        <v>618</v>
      </c>
      <c r="R1159" s="1" t="s">
        <v>3859</v>
      </c>
      <c r="S1159" s="1" t="s">
        <v>3951</v>
      </c>
      <c r="T1159" s="1" t="s">
        <v>222</v>
      </c>
      <c r="U1159" s="1" t="s">
        <v>2102</v>
      </c>
    </row>
    <row r="1160" customFormat="false" ht="48" hidden="false" customHeight="true" outlineLevel="0" collapsed="false">
      <c r="A1160" s="1" t="s">
        <v>41</v>
      </c>
      <c r="B1160" s="1" t="s">
        <v>3712</v>
      </c>
      <c r="C1160" s="1" t="s">
        <v>93</v>
      </c>
      <c r="D1160" s="1" t="s">
        <v>399</v>
      </c>
      <c r="E1160" s="1" t="n">
        <v>33</v>
      </c>
      <c r="F1160" s="1" t="s">
        <v>3952</v>
      </c>
      <c r="G1160" s="1" t="s">
        <v>236</v>
      </c>
      <c r="H1160" s="1" t="s">
        <v>454</v>
      </c>
      <c r="I1160" s="1" t="s">
        <v>218</v>
      </c>
      <c r="J1160" s="1" t="s">
        <v>310</v>
      </c>
      <c r="K1160" s="1" t="n">
        <v>49.97</v>
      </c>
      <c r="L1160" s="1" t="n">
        <v>4.4</v>
      </c>
      <c r="M1160" s="1" t="n">
        <v>3500</v>
      </c>
      <c r="N1160" s="4" t="b">
        <f aca="false">FALSE()</f>
        <v>0</v>
      </c>
      <c r="O1160" s="1" t="s">
        <v>3953</v>
      </c>
      <c r="P1160" s="4" t="b">
        <f aca="false">TRUE()</f>
        <v>1</v>
      </c>
      <c r="Q1160" s="1" t="s">
        <v>409</v>
      </c>
      <c r="R1160" s="1" t="s">
        <v>3859</v>
      </c>
      <c r="S1160" s="1" t="s">
        <v>3954</v>
      </c>
      <c r="T1160" s="1" t="s">
        <v>222</v>
      </c>
      <c r="U1160" s="1" t="s">
        <v>2102</v>
      </c>
    </row>
    <row r="1161" customFormat="false" ht="48" hidden="false" customHeight="true" outlineLevel="0" collapsed="false">
      <c r="A1161" s="1" t="s">
        <v>41</v>
      </c>
      <c r="B1161" s="1" t="s">
        <v>3712</v>
      </c>
      <c r="C1161" s="1" t="s">
        <v>93</v>
      </c>
      <c r="D1161" s="1" t="s">
        <v>399</v>
      </c>
      <c r="E1161" s="1" t="n">
        <v>34</v>
      </c>
      <c r="F1161" s="1" t="s">
        <v>3955</v>
      </c>
      <c r="G1161" s="1" t="s">
        <v>236</v>
      </c>
      <c r="H1161" s="1" t="s">
        <v>3956</v>
      </c>
      <c r="I1161" s="1" t="s">
        <v>242</v>
      </c>
      <c r="J1161" s="1" t="s">
        <v>310</v>
      </c>
      <c r="K1161" s="1" t="n">
        <v>39.77</v>
      </c>
      <c r="L1161" s="1" t="n">
        <v>4.4</v>
      </c>
      <c r="M1161" s="1" t="n">
        <v>3500</v>
      </c>
      <c r="N1161" s="4" t="b">
        <f aca="false">FALSE()</f>
        <v>0</v>
      </c>
      <c r="O1161" s="1" t="s">
        <v>3871</v>
      </c>
      <c r="P1161" s="4" t="b">
        <f aca="false">TRUE()</f>
        <v>1</v>
      </c>
      <c r="Q1161" s="1" t="s">
        <v>711</v>
      </c>
      <c r="R1161" s="1" t="s">
        <v>3859</v>
      </c>
      <c r="S1161" s="1" t="s">
        <v>3957</v>
      </c>
      <c r="T1161" s="1" t="s">
        <v>222</v>
      </c>
      <c r="U1161" s="1" t="s">
        <v>2102</v>
      </c>
    </row>
    <row r="1162" customFormat="false" ht="48" hidden="false" customHeight="true" outlineLevel="0" collapsed="false">
      <c r="A1162" s="1" t="s">
        <v>41</v>
      </c>
      <c r="B1162" s="1" t="s">
        <v>3712</v>
      </c>
      <c r="C1162" s="1" t="s">
        <v>93</v>
      </c>
      <c r="D1162" s="1" t="s">
        <v>399</v>
      </c>
      <c r="E1162" s="1" t="n">
        <v>35</v>
      </c>
      <c r="F1162" s="1" t="s">
        <v>3958</v>
      </c>
      <c r="G1162" s="1" t="s">
        <v>236</v>
      </c>
      <c r="H1162" s="1" t="s">
        <v>3959</v>
      </c>
      <c r="I1162" s="1" t="s">
        <v>218</v>
      </c>
      <c r="J1162" s="1" t="s">
        <v>310</v>
      </c>
      <c r="K1162" s="1" t="n">
        <v>29.99</v>
      </c>
      <c r="L1162" s="1" t="n">
        <v>4.5</v>
      </c>
      <c r="M1162" s="1" t="n">
        <v>1100</v>
      </c>
      <c r="N1162" s="4" t="b">
        <f aca="false">FALSE()</f>
        <v>0</v>
      </c>
      <c r="P1162" s="4" t="b">
        <f aca="false">TRUE()</f>
        <v>1</v>
      </c>
      <c r="Q1162" s="1" t="s">
        <v>766</v>
      </c>
      <c r="R1162" s="1" t="s">
        <v>3859</v>
      </c>
      <c r="S1162" s="1" t="s">
        <v>3960</v>
      </c>
      <c r="T1162" s="1" t="s">
        <v>222</v>
      </c>
      <c r="U1162" s="1" t="s">
        <v>2102</v>
      </c>
    </row>
    <row r="1163" customFormat="false" ht="48" hidden="false" customHeight="true" outlineLevel="0" collapsed="false">
      <c r="A1163" s="1" t="s">
        <v>41</v>
      </c>
      <c r="B1163" s="1" t="s">
        <v>3712</v>
      </c>
      <c r="C1163" s="1" t="s">
        <v>93</v>
      </c>
      <c r="D1163" s="1" t="s">
        <v>399</v>
      </c>
      <c r="E1163" s="1" t="n">
        <v>36</v>
      </c>
      <c r="F1163" s="1" t="s">
        <v>3961</v>
      </c>
      <c r="G1163" s="1" t="s">
        <v>236</v>
      </c>
      <c r="H1163" s="1" t="s">
        <v>3962</v>
      </c>
      <c r="I1163" s="1" t="s">
        <v>218</v>
      </c>
      <c r="J1163" s="1" t="s">
        <v>310</v>
      </c>
      <c r="K1163" s="1" t="n">
        <v>36.99</v>
      </c>
      <c r="L1163" s="1" t="n">
        <v>4.5</v>
      </c>
      <c r="M1163" s="1" t="n">
        <v>1600</v>
      </c>
      <c r="N1163" s="4" t="b">
        <f aca="false">FALSE()</f>
        <v>0</v>
      </c>
      <c r="O1163" s="1" t="s">
        <v>3871</v>
      </c>
      <c r="P1163" s="4" t="b">
        <f aca="false">TRUE()</f>
        <v>1</v>
      </c>
      <c r="Q1163" s="1" t="s">
        <v>711</v>
      </c>
      <c r="R1163" s="1" t="s">
        <v>3859</v>
      </c>
      <c r="S1163" s="1" t="s">
        <v>3963</v>
      </c>
      <c r="T1163" s="1" t="s">
        <v>222</v>
      </c>
      <c r="U1163" s="1" t="s">
        <v>2102</v>
      </c>
    </row>
    <row r="1164" customFormat="false" ht="48" hidden="false" customHeight="true" outlineLevel="0" collapsed="false">
      <c r="A1164" s="1" t="s">
        <v>41</v>
      </c>
      <c r="B1164" s="1" t="s">
        <v>3712</v>
      </c>
      <c r="C1164" s="1" t="s">
        <v>93</v>
      </c>
      <c r="D1164" s="1" t="s">
        <v>399</v>
      </c>
      <c r="E1164" s="1" t="n">
        <v>37</v>
      </c>
      <c r="F1164" s="1" t="s">
        <v>3964</v>
      </c>
      <c r="G1164" s="1" t="s">
        <v>236</v>
      </c>
      <c r="H1164" s="1" t="s">
        <v>3965</v>
      </c>
      <c r="I1164" s="1" t="s">
        <v>231</v>
      </c>
      <c r="J1164" s="1" t="s">
        <v>310</v>
      </c>
      <c r="K1164" s="1" t="n">
        <v>309</v>
      </c>
      <c r="L1164" s="1" t="n">
        <v>5</v>
      </c>
      <c r="M1164" s="1" t="n">
        <v>4</v>
      </c>
      <c r="N1164" s="4" t="b">
        <f aca="false">FALSE()</f>
        <v>0</v>
      </c>
      <c r="P1164" s="4" t="b">
        <f aca="false">TRUE()</f>
        <v>1</v>
      </c>
      <c r="R1164" s="1" t="s">
        <v>3859</v>
      </c>
      <c r="S1164" s="1" t="s">
        <v>3966</v>
      </c>
      <c r="T1164" s="1" t="s">
        <v>222</v>
      </c>
      <c r="U1164" s="1" t="s">
        <v>2102</v>
      </c>
    </row>
    <row r="1165" customFormat="false" ht="48" hidden="false" customHeight="true" outlineLevel="0" collapsed="false">
      <c r="A1165" s="1" t="s">
        <v>41</v>
      </c>
      <c r="B1165" s="1" t="s">
        <v>3712</v>
      </c>
      <c r="C1165" s="1" t="s">
        <v>93</v>
      </c>
      <c r="D1165" s="1" t="s">
        <v>399</v>
      </c>
      <c r="E1165" s="1" t="n">
        <v>38</v>
      </c>
      <c r="F1165" s="1" t="s">
        <v>448</v>
      </c>
      <c r="G1165" s="1" t="s">
        <v>229</v>
      </c>
      <c r="H1165" s="1" t="s">
        <v>3967</v>
      </c>
      <c r="I1165" s="1" t="s">
        <v>231</v>
      </c>
      <c r="J1165" s="1" t="s">
        <v>310</v>
      </c>
      <c r="K1165" s="1" t="n">
        <v>47.99</v>
      </c>
      <c r="L1165" s="1" t="n">
        <v>4.3</v>
      </c>
      <c r="M1165" s="1" t="n">
        <v>1300</v>
      </c>
      <c r="N1165" s="4" t="b">
        <f aca="false">FALSE()</f>
        <v>0</v>
      </c>
      <c r="P1165" s="4" t="b">
        <f aca="false">TRUE()</f>
        <v>1</v>
      </c>
      <c r="Q1165" s="1" t="s">
        <v>3863</v>
      </c>
      <c r="R1165" s="1" t="s">
        <v>3859</v>
      </c>
      <c r="S1165" s="1" t="s">
        <v>3968</v>
      </c>
      <c r="T1165" s="1" t="s">
        <v>222</v>
      </c>
      <c r="U1165" s="1" t="s">
        <v>2102</v>
      </c>
    </row>
    <row r="1166" customFormat="false" ht="48" hidden="false" customHeight="true" outlineLevel="0" collapsed="false">
      <c r="A1166" s="1" t="s">
        <v>41</v>
      </c>
      <c r="B1166" s="1" t="s">
        <v>3712</v>
      </c>
      <c r="C1166" s="1" t="s">
        <v>93</v>
      </c>
      <c r="D1166" s="1" t="s">
        <v>399</v>
      </c>
      <c r="E1166" s="1" t="n">
        <v>39</v>
      </c>
      <c r="F1166" s="1" t="s">
        <v>3969</v>
      </c>
      <c r="G1166" s="1" t="s">
        <v>236</v>
      </c>
      <c r="H1166" s="1" t="s">
        <v>3970</v>
      </c>
      <c r="I1166" s="1" t="s">
        <v>218</v>
      </c>
      <c r="J1166" s="1" t="s">
        <v>310</v>
      </c>
      <c r="K1166" s="1" t="n">
        <v>44.98</v>
      </c>
      <c r="L1166" s="1" t="n">
        <v>4.5</v>
      </c>
      <c r="M1166" s="1" t="n">
        <v>1200</v>
      </c>
      <c r="N1166" s="4" t="b">
        <f aca="false">FALSE()</f>
        <v>0</v>
      </c>
      <c r="O1166" s="1" t="s">
        <v>548</v>
      </c>
      <c r="P1166" s="4" t="b">
        <f aca="false">TRUE()</f>
        <v>1</v>
      </c>
      <c r="Q1166" s="1" t="s">
        <v>439</v>
      </c>
      <c r="R1166" s="1" t="s">
        <v>3859</v>
      </c>
      <c r="S1166" s="1" t="s">
        <v>3971</v>
      </c>
      <c r="T1166" s="1" t="s">
        <v>222</v>
      </c>
      <c r="U1166" s="1" t="s">
        <v>2102</v>
      </c>
    </row>
    <row r="1167" customFormat="false" ht="48" hidden="false" customHeight="true" outlineLevel="0" collapsed="false">
      <c r="A1167" s="1" t="s">
        <v>41</v>
      </c>
      <c r="B1167" s="1" t="s">
        <v>3712</v>
      </c>
      <c r="C1167" s="1" t="s">
        <v>93</v>
      </c>
      <c r="D1167" s="1" t="s">
        <v>399</v>
      </c>
      <c r="E1167" s="1" t="n">
        <v>40</v>
      </c>
      <c r="F1167" s="1" t="s">
        <v>3972</v>
      </c>
      <c r="G1167" s="1" t="s">
        <v>236</v>
      </c>
      <c r="H1167" s="1" t="s">
        <v>3973</v>
      </c>
      <c r="I1167" s="1" t="s">
        <v>218</v>
      </c>
      <c r="J1167" s="1" t="s">
        <v>310</v>
      </c>
      <c r="K1167" s="1" t="n">
        <v>25.68</v>
      </c>
      <c r="L1167" s="1" t="n">
        <v>4.4</v>
      </c>
      <c r="M1167" s="1" t="n">
        <v>19500</v>
      </c>
      <c r="N1167" s="4" t="b">
        <f aca="false">FALSE()</f>
        <v>0</v>
      </c>
      <c r="P1167" s="4" t="b">
        <f aca="false">TRUE()</f>
        <v>1</v>
      </c>
      <c r="Q1167" s="1" t="s">
        <v>711</v>
      </c>
      <c r="R1167" s="1" t="s">
        <v>3859</v>
      </c>
      <c r="S1167" s="1" t="s">
        <v>3974</v>
      </c>
      <c r="T1167" s="1" t="s">
        <v>222</v>
      </c>
      <c r="U1167" s="1" t="s">
        <v>2102</v>
      </c>
    </row>
    <row r="1168" customFormat="false" ht="48" hidden="false" customHeight="true" outlineLevel="0" collapsed="false">
      <c r="A1168" s="1" t="s">
        <v>41</v>
      </c>
      <c r="B1168" s="1" t="s">
        <v>3712</v>
      </c>
      <c r="C1168" s="1" t="s">
        <v>93</v>
      </c>
      <c r="D1168" s="1" t="s">
        <v>399</v>
      </c>
      <c r="E1168" s="1" t="n">
        <v>41</v>
      </c>
      <c r="F1168" s="1" t="s">
        <v>3975</v>
      </c>
      <c r="G1168" s="1" t="s">
        <v>229</v>
      </c>
      <c r="H1168" s="1" t="s">
        <v>3976</v>
      </c>
      <c r="I1168" s="1" t="s">
        <v>218</v>
      </c>
      <c r="J1168" s="1" t="s">
        <v>310</v>
      </c>
      <c r="K1168" s="1" t="n">
        <v>31.98</v>
      </c>
      <c r="L1168" s="1" t="n">
        <v>4.5</v>
      </c>
      <c r="M1168" s="1" t="n">
        <v>30100</v>
      </c>
      <c r="N1168" s="4" t="b">
        <f aca="false">FALSE()</f>
        <v>0</v>
      </c>
      <c r="O1168" s="1" t="s">
        <v>3977</v>
      </c>
      <c r="P1168" s="4" t="b">
        <f aca="false">TRUE()</f>
        <v>1</v>
      </c>
      <c r="Q1168" s="1" t="s">
        <v>711</v>
      </c>
      <c r="R1168" s="1" t="s">
        <v>3859</v>
      </c>
      <c r="S1168" s="1" t="s">
        <v>3978</v>
      </c>
      <c r="T1168" s="1" t="s">
        <v>222</v>
      </c>
      <c r="U1168" s="1" t="s">
        <v>2102</v>
      </c>
    </row>
    <row r="1169" customFormat="false" ht="48" hidden="false" customHeight="true" outlineLevel="0" collapsed="false">
      <c r="A1169" s="1" t="s">
        <v>41</v>
      </c>
      <c r="B1169" s="1" t="s">
        <v>3712</v>
      </c>
      <c r="C1169" s="1" t="s">
        <v>93</v>
      </c>
      <c r="D1169" s="1" t="s">
        <v>399</v>
      </c>
      <c r="E1169" s="1" t="n">
        <v>42</v>
      </c>
      <c r="F1169" s="1" t="s">
        <v>1706</v>
      </c>
      <c r="G1169" s="1" t="s">
        <v>1707</v>
      </c>
      <c r="H1169" s="1" t="s">
        <v>3979</v>
      </c>
      <c r="I1169" s="1" t="s">
        <v>218</v>
      </c>
      <c r="J1169" s="1" t="s">
        <v>310</v>
      </c>
      <c r="K1169" s="1" t="n">
        <v>26.99</v>
      </c>
      <c r="L1169" s="1" t="n">
        <v>4.6</v>
      </c>
      <c r="M1169" s="1" t="n">
        <v>9500</v>
      </c>
      <c r="N1169" s="4" t="b">
        <f aca="false">FALSE()</f>
        <v>0</v>
      </c>
      <c r="O1169" s="1" t="s">
        <v>3980</v>
      </c>
      <c r="P1169" s="4" t="b">
        <f aca="false">TRUE()</f>
        <v>1</v>
      </c>
      <c r="Q1169" s="1" t="s">
        <v>766</v>
      </c>
      <c r="R1169" s="1" t="s">
        <v>3859</v>
      </c>
      <c r="S1169" s="1" t="s">
        <v>3981</v>
      </c>
      <c r="T1169" s="1" t="s">
        <v>222</v>
      </c>
      <c r="U1169" s="1" t="s">
        <v>2102</v>
      </c>
    </row>
    <row r="1170" customFormat="false" ht="48" hidden="false" customHeight="true" outlineLevel="0" collapsed="false">
      <c r="A1170" s="1" t="s">
        <v>41</v>
      </c>
      <c r="B1170" s="1" t="s">
        <v>3712</v>
      </c>
      <c r="C1170" s="1" t="s">
        <v>93</v>
      </c>
      <c r="D1170" s="1" t="s">
        <v>399</v>
      </c>
      <c r="E1170" s="1" t="n">
        <v>43</v>
      </c>
      <c r="F1170" s="1" t="s">
        <v>3982</v>
      </c>
      <c r="G1170" s="1" t="s">
        <v>236</v>
      </c>
      <c r="H1170" s="1" t="s">
        <v>3983</v>
      </c>
      <c r="I1170" s="1" t="s">
        <v>231</v>
      </c>
      <c r="J1170" s="1" t="s">
        <v>219</v>
      </c>
      <c r="K1170" s="1" t="n">
        <v>127.99</v>
      </c>
      <c r="L1170" s="1" t="n">
        <v>4.3</v>
      </c>
      <c r="M1170" s="1" t="n">
        <v>61</v>
      </c>
      <c r="N1170" s="4" t="b">
        <f aca="false">FALSE()</f>
        <v>0</v>
      </c>
      <c r="O1170" s="1" t="s">
        <v>3725</v>
      </c>
      <c r="P1170" s="4" t="b">
        <f aca="false">TRUE()</f>
        <v>1</v>
      </c>
      <c r="Q1170" s="1" t="s">
        <v>251</v>
      </c>
      <c r="R1170" s="1" t="s">
        <v>3859</v>
      </c>
      <c r="S1170" s="1" t="s">
        <v>3984</v>
      </c>
      <c r="T1170" s="1" t="s">
        <v>222</v>
      </c>
      <c r="U1170" s="1" t="s">
        <v>2102</v>
      </c>
    </row>
    <row r="1171" customFormat="false" ht="48" hidden="false" customHeight="true" outlineLevel="0" collapsed="false">
      <c r="A1171" s="1" t="s">
        <v>41</v>
      </c>
      <c r="B1171" s="1" t="s">
        <v>3712</v>
      </c>
      <c r="C1171" s="1" t="s">
        <v>93</v>
      </c>
      <c r="D1171" s="1" t="s">
        <v>399</v>
      </c>
      <c r="E1171" s="1" t="n">
        <v>44</v>
      </c>
      <c r="F1171" s="1" t="s">
        <v>3985</v>
      </c>
      <c r="G1171" s="1" t="s">
        <v>236</v>
      </c>
      <c r="H1171" s="1" t="s">
        <v>3986</v>
      </c>
      <c r="I1171" s="1" t="s">
        <v>218</v>
      </c>
      <c r="J1171" s="1" t="s">
        <v>310</v>
      </c>
      <c r="K1171" s="1" t="n">
        <v>72.25</v>
      </c>
      <c r="L1171" s="1" t="n">
        <v>4</v>
      </c>
      <c r="M1171" s="1" t="n">
        <v>1100</v>
      </c>
      <c r="N1171" s="4" t="b">
        <f aca="false">FALSE()</f>
        <v>0</v>
      </c>
      <c r="P1171" s="4" t="b">
        <f aca="false">TRUE()</f>
        <v>1</v>
      </c>
      <c r="Q1171" s="1" t="s">
        <v>251</v>
      </c>
      <c r="R1171" s="1" t="s">
        <v>3859</v>
      </c>
      <c r="S1171" s="1" t="s">
        <v>3987</v>
      </c>
      <c r="T1171" s="1" t="s">
        <v>222</v>
      </c>
      <c r="U1171" s="1" t="s">
        <v>2102</v>
      </c>
    </row>
    <row r="1172" customFormat="false" ht="48" hidden="false" customHeight="true" outlineLevel="0" collapsed="false">
      <c r="A1172" s="1" t="s">
        <v>41</v>
      </c>
      <c r="B1172" s="1" t="s">
        <v>3712</v>
      </c>
      <c r="C1172" s="1" t="s">
        <v>93</v>
      </c>
      <c r="D1172" s="1" t="s">
        <v>399</v>
      </c>
      <c r="E1172" s="1" t="n">
        <v>45</v>
      </c>
      <c r="F1172" s="1" t="s">
        <v>3988</v>
      </c>
      <c r="G1172" s="1" t="s">
        <v>236</v>
      </c>
      <c r="H1172" s="1" t="s">
        <v>3989</v>
      </c>
      <c r="I1172" s="1" t="s">
        <v>218</v>
      </c>
      <c r="J1172" s="1" t="s">
        <v>310</v>
      </c>
      <c r="K1172" s="1" t="n">
        <v>25.63</v>
      </c>
      <c r="L1172" s="1" t="n">
        <v>4.6</v>
      </c>
      <c r="M1172" s="1" t="n">
        <v>3000</v>
      </c>
      <c r="N1172" s="4" t="b">
        <f aca="false">FALSE()</f>
        <v>0</v>
      </c>
      <c r="O1172" s="1" t="s">
        <v>3990</v>
      </c>
      <c r="P1172" s="4" t="b">
        <f aca="false">TRUE()</f>
        <v>1</v>
      </c>
      <c r="Q1172" s="1" t="s">
        <v>711</v>
      </c>
      <c r="R1172" s="1" t="s">
        <v>3859</v>
      </c>
      <c r="S1172" s="1" t="s">
        <v>3991</v>
      </c>
      <c r="T1172" s="1" t="s">
        <v>222</v>
      </c>
      <c r="U1172" s="1" t="s">
        <v>2102</v>
      </c>
    </row>
    <row r="1173" customFormat="false" ht="48" hidden="false" customHeight="true" outlineLevel="0" collapsed="false">
      <c r="A1173" s="1" t="s">
        <v>41</v>
      </c>
      <c r="B1173" s="1" t="s">
        <v>3712</v>
      </c>
      <c r="C1173" s="1" t="s">
        <v>93</v>
      </c>
      <c r="D1173" s="1" t="s">
        <v>399</v>
      </c>
      <c r="E1173" s="1" t="n">
        <v>46</v>
      </c>
      <c r="F1173" s="1" t="s">
        <v>3992</v>
      </c>
      <c r="G1173" s="1" t="s">
        <v>236</v>
      </c>
      <c r="H1173" s="1" t="s">
        <v>3993</v>
      </c>
      <c r="I1173" s="1" t="s">
        <v>218</v>
      </c>
      <c r="J1173" s="1" t="s">
        <v>310</v>
      </c>
      <c r="K1173" s="1" t="n">
        <v>52.99</v>
      </c>
      <c r="L1173" s="1" t="n">
        <v>4.4</v>
      </c>
      <c r="M1173" s="1" t="n">
        <v>11100</v>
      </c>
      <c r="N1173" s="4" t="b">
        <f aca="false">FALSE()</f>
        <v>0</v>
      </c>
      <c r="P1173" s="4" t="b">
        <f aca="false">TRUE()</f>
        <v>1</v>
      </c>
      <c r="Q1173" s="1" t="s">
        <v>451</v>
      </c>
      <c r="R1173" s="1" t="s">
        <v>3859</v>
      </c>
      <c r="S1173" s="1" t="s">
        <v>3994</v>
      </c>
      <c r="T1173" s="1" t="s">
        <v>222</v>
      </c>
      <c r="U1173" s="1" t="s">
        <v>2102</v>
      </c>
    </row>
    <row r="1174" customFormat="false" ht="48" hidden="false" customHeight="true" outlineLevel="0" collapsed="false">
      <c r="A1174" s="1" t="s">
        <v>41</v>
      </c>
      <c r="B1174" s="1" t="s">
        <v>3712</v>
      </c>
      <c r="C1174" s="1" t="s">
        <v>93</v>
      </c>
      <c r="D1174" s="1" t="s">
        <v>399</v>
      </c>
      <c r="E1174" s="1" t="n">
        <v>47</v>
      </c>
      <c r="F1174" s="1" t="s">
        <v>3995</v>
      </c>
      <c r="G1174" s="1" t="s">
        <v>236</v>
      </c>
      <c r="H1174" s="1" t="s">
        <v>3996</v>
      </c>
      <c r="I1174" s="1" t="s">
        <v>231</v>
      </c>
      <c r="J1174" s="1" t="s">
        <v>310</v>
      </c>
      <c r="K1174" s="1" t="n">
        <v>92.99</v>
      </c>
      <c r="L1174" s="1" t="n">
        <v>4.7</v>
      </c>
      <c r="M1174" s="1" t="n">
        <v>6300</v>
      </c>
      <c r="N1174" s="4" t="b">
        <f aca="false">FALSE()</f>
        <v>0</v>
      </c>
      <c r="P1174" s="4" t="b">
        <f aca="false">TRUE()</f>
        <v>1</v>
      </c>
      <c r="Q1174" s="1" t="s">
        <v>777</v>
      </c>
      <c r="R1174" s="1" t="s">
        <v>3859</v>
      </c>
      <c r="S1174" s="1" t="s">
        <v>3997</v>
      </c>
      <c r="T1174" s="1" t="s">
        <v>222</v>
      </c>
      <c r="U1174" s="1" t="s">
        <v>2102</v>
      </c>
    </row>
    <row r="1175" customFormat="false" ht="48" hidden="false" customHeight="true" outlineLevel="0" collapsed="false">
      <c r="A1175" s="1" t="s">
        <v>41</v>
      </c>
      <c r="B1175" s="1" t="s">
        <v>3712</v>
      </c>
      <c r="C1175" s="1" t="s">
        <v>93</v>
      </c>
      <c r="D1175" s="1" t="s">
        <v>399</v>
      </c>
      <c r="E1175" s="1" t="n">
        <v>48</v>
      </c>
      <c r="F1175" s="1" t="s">
        <v>3998</v>
      </c>
      <c r="G1175" s="1" t="s">
        <v>236</v>
      </c>
      <c r="H1175" s="1" t="s">
        <v>3999</v>
      </c>
      <c r="I1175" s="1" t="s">
        <v>218</v>
      </c>
      <c r="J1175" s="1" t="s">
        <v>310</v>
      </c>
      <c r="K1175" s="1" t="n">
        <v>26.99</v>
      </c>
      <c r="L1175" s="1" t="n">
        <v>4.5</v>
      </c>
      <c r="M1175" s="1" t="n">
        <v>2200</v>
      </c>
      <c r="N1175" s="4" t="b">
        <f aca="false">FALSE()</f>
        <v>0</v>
      </c>
      <c r="P1175" s="4" t="b">
        <f aca="false">TRUE()</f>
        <v>1</v>
      </c>
      <c r="Q1175" s="1" t="s">
        <v>711</v>
      </c>
      <c r="R1175" s="1" t="s">
        <v>3859</v>
      </c>
      <c r="S1175" s="1" t="s">
        <v>4000</v>
      </c>
      <c r="T1175" s="1" t="s">
        <v>222</v>
      </c>
      <c r="U1175" s="1" t="s">
        <v>2102</v>
      </c>
    </row>
    <row r="1176" customFormat="false" ht="48" hidden="false" customHeight="true" outlineLevel="0" collapsed="false">
      <c r="A1176" s="1" t="s">
        <v>41</v>
      </c>
      <c r="B1176" s="1" t="s">
        <v>3712</v>
      </c>
      <c r="C1176" s="1" t="s">
        <v>84</v>
      </c>
      <c r="D1176" s="1" t="s">
        <v>580</v>
      </c>
      <c r="E1176" s="1" t="n">
        <v>1</v>
      </c>
      <c r="F1176" s="1" t="s">
        <v>4001</v>
      </c>
      <c r="G1176" s="1" t="s">
        <v>229</v>
      </c>
      <c r="H1176" s="1" t="s">
        <v>4002</v>
      </c>
      <c r="I1176" s="1" t="s">
        <v>218</v>
      </c>
      <c r="J1176" s="1" t="s">
        <v>597</v>
      </c>
      <c r="K1176" s="1" t="n">
        <v>49.78</v>
      </c>
      <c r="L1176" s="1" t="n">
        <v>4.2</v>
      </c>
      <c r="M1176" s="1" t="n">
        <v>1200</v>
      </c>
      <c r="N1176" s="4" t="b">
        <f aca="false">FALSE()</f>
        <v>0</v>
      </c>
      <c r="O1176" s="1" t="s">
        <v>4003</v>
      </c>
      <c r="P1176" s="4" t="b">
        <f aca="false">TRUE()</f>
        <v>1</v>
      </c>
      <c r="Q1176" s="1" t="s">
        <v>423</v>
      </c>
      <c r="R1176" s="1" t="s">
        <v>4004</v>
      </c>
      <c r="S1176" s="1" t="s">
        <v>4005</v>
      </c>
      <c r="T1176" s="1" t="s">
        <v>222</v>
      </c>
      <c r="U1176" s="1" t="s">
        <v>2102</v>
      </c>
    </row>
    <row r="1177" customFormat="false" ht="48" hidden="false" customHeight="true" outlineLevel="0" collapsed="false">
      <c r="A1177" s="1" t="s">
        <v>41</v>
      </c>
      <c r="B1177" s="1" t="s">
        <v>3712</v>
      </c>
      <c r="C1177" s="1" t="s">
        <v>84</v>
      </c>
      <c r="D1177" s="1" t="s">
        <v>580</v>
      </c>
      <c r="E1177" s="1" t="n">
        <v>2</v>
      </c>
      <c r="F1177" s="1" t="s">
        <v>4006</v>
      </c>
      <c r="G1177" s="1" t="s">
        <v>4007</v>
      </c>
      <c r="H1177" s="1" t="s">
        <v>4008</v>
      </c>
      <c r="I1177" s="1" t="s">
        <v>218</v>
      </c>
      <c r="J1177" s="1" t="s">
        <v>597</v>
      </c>
      <c r="K1177" s="1" t="n">
        <v>41.99</v>
      </c>
      <c r="L1177" s="1" t="n">
        <v>4.6</v>
      </c>
      <c r="M1177" s="1" t="n">
        <v>6300</v>
      </c>
      <c r="N1177" s="4" t="b">
        <f aca="false">FALSE()</f>
        <v>0</v>
      </c>
      <c r="P1177" s="4" t="b">
        <f aca="false">TRUE()</f>
        <v>1</v>
      </c>
      <c r="Q1177" s="1" t="s">
        <v>435</v>
      </c>
      <c r="R1177" s="1" t="s">
        <v>4004</v>
      </c>
      <c r="S1177" s="1" t="s">
        <v>4009</v>
      </c>
      <c r="T1177" s="1" t="s">
        <v>222</v>
      </c>
      <c r="U1177" s="1" t="s">
        <v>2102</v>
      </c>
    </row>
    <row r="1178" customFormat="false" ht="48" hidden="false" customHeight="true" outlineLevel="0" collapsed="false">
      <c r="A1178" s="1" t="s">
        <v>41</v>
      </c>
      <c r="B1178" s="1" t="s">
        <v>3712</v>
      </c>
      <c r="C1178" s="1" t="s">
        <v>84</v>
      </c>
      <c r="D1178" s="1" t="s">
        <v>580</v>
      </c>
      <c r="E1178" s="1" t="n">
        <v>3</v>
      </c>
      <c r="F1178" s="1" t="s">
        <v>4010</v>
      </c>
      <c r="G1178" s="1" t="s">
        <v>2714</v>
      </c>
      <c r="H1178" s="1" t="s">
        <v>4011</v>
      </c>
      <c r="I1178" s="1" t="s">
        <v>218</v>
      </c>
      <c r="J1178" s="1" t="s">
        <v>584</v>
      </c>
      <c r="K1178" s="1" t="n">
        <v>59.49</v>
      </c>
      <c r="L1178" s="1" t="n">
        <v>4.4</v>
      </c>
      <c r="M1178" s="1" t="n">
        <v>5300</v>
      </c>
      <c r="N1178" s="4" t="b">
        <f aca="false">FALSE()</f>
        <v>0</v>
      </c>
      <c r="P1178" s="4" t="b">
        <f aca="false">TRUE()</f>
        <v>1</v>
      </c>
      <c r="Q1178" s="1" t="s">
        <v>423</v>
      </c>
      <c r="R1178" s="1" t="s">
        <v>4004</v>
      </c>
      <c r="S1178" s="1" t="s">
        <v>4012</v>
      </c>
      <c r="T1178" s="1" t="s">
        <v>222</v>
      </c>
      <c r="U1178" s="1" t="s">
        <v>2102</v>
      </c>
    </row>
    <row r="1179" customFormat="false" ht="48" hidden="false" customHeight="true" outlineLevel="0" collapsed="false">
      <c r="A1179" s="1" t="s">
        <v>41</v>
      </c>
      <c r="B1179" s="1" t="s">
        <v>3712</v>
      </c>
      <c r="C1179" s="1" t="s">
        <v>84</v>
      </c>
      <c r="D1179" s="1" t="s">
        <v>580</v>
      </c>
      <c r="E1179" s="1" t="n">
        <v>4</v>
      </c>
      <c r="F1179" s="1" t="s">
        <v>603</v>
      </c>
      <c r="G1179" s="1" t="s">
        <v>604</v>
      </c>
      <c r="H1179" s="1" t="s">
        <v>605</v>
      </c>
      <c r="I1179" s="1" t="s">
        <v>218</v>
      </c>
      <c r="J1179" s="1" t="s">
        <v>597</v>
      </c>
      <c r="K1179" s="1" t="n">
        <v>49.99</v>
      </c>
      <c r="L1179" s="1" t="n">
        <v>4.6</v>
      </c>
      <c r="M1179" s="1" t="n">
        <v>17600</v>
      </c>
      <c r="N1179" s="4" t="b">
        <f aca="false">FALSE()</f>
        <v>0</v>
      </c>
      <c r="O1179" s="1" t="s">
        <v>4013</v>
      </c>
      <c r="P1179" s="4" t="b">
        <f aca="false">TRUE()</f>
        <v>1</v>
      </c>
      <c r="Q1179" s="1" t="s">
        <v>435</v>
      </c>
      <c r="R1179" s="1" t="s">
        <v>4004</v>
      </c>
      <c r="S1179" s="1" t="s">
        <v>4014</v>
      </c>
      <c r="T1179" s="1" t="s">
        <v>222</v>
      </c>
      <c r="U1179" s="1" t="s">
        <v>2102</v>
      </c>
    </row>
    <row r="1180" customFormat="false" ht="48" hidden="false" customHeight="true" outlineLevel="0" collapsed="false">
      <c r="A1180" s="1" t="s">
        <v>41</v>
      </c>
      <c r="B1180" s="1" t="s">
        <v>3712</v>
      </c>
      <c r="C1180" s="1" t="s">
        <v>84</v>
      </c>
      <c r="D1180" s="1" t="s">
        <v>580</v>
      </c>
      <c r="E1180" s="1" t="n">
        <v>5</v>
      </c>
      <c r="F1180" s="1" t="s">
        <v>1027</v>
      </c>
      <c r="G1180" s="1" t="s">
        <v>681</v>
      </c>
      <c r="H1180" s="1" t="s">
        <v>685</v>
      </c>
      <c r="I1180" s="1" t="s">
        <v>218</v>
      </c>
      <c r="J1180" s="1" t="s">
        <v>584</v>
      </c>
      <c r="K1180" s="1" t="n">
        <v>69.99</v>
      </c>
      <c r="L1180" s="1" t="n">
        <v>4.4</v>
      </c>
      <c r="M1180" s="1" t="n">
        <v>15000</v>
      </c>
      <c r="N1180" s="4" t="b">
        <f aca="false">FALSE()</f>
        <v>0</v>
      </c>
      <c r="P1180" s="4" t="b">
        <f aca="false">TRUE()</f>
        <v>1</v>
      </c>
      <c r="Q1180" s="1" t="s">
        <v>409</v>
      </c>
      <c r="R1180" s="1" t="s">
        <v>4004</v>
      </c>
      <c r="S1180" s="1" t="s">
        <v>4015</v>
      </c>
      <c r="T1180" s="1" t="s">
        <v>222</v>
      </c>
      <c r="U1180" s="1" t="s">
        <v>2102</v>
      </c>
    </row>
    <row r="1181" customFormat="false" ht="48" hidden="false" customHeight="true" outlineLevel="0" collapsed="false">
      <c r="A1181" s="1" t="s">
        <v>41</v>
      </c>
      <c r="B1181" s="1" t="s">
        <v>3712</v>
      </c>
      <c r="C1181" s="1" t="s">
        <v>84</v>
      </c>
      <c r="D1181" s="1" t="s">
        <v>580</v>
      </c>
      <c r="E1181" s="1" t="n">
        <v>6</v>
      </c>
      <c r="F1181" s="1" t="s">
        <v>4016</v>
      </c>
      <c r="G1181" s="1" t="s">
        <v>628</v>
      </c>
      <c r="H1181" s="1" t="s">
        <v>4017</v>
      </c>
      <c r="I1181" s="1" t="s">
        <v>218</v>
      </c>
      <c r="J1181" s="1" t="s">
        <v>584</v>
      </c>
      <c r="K1181" s="1" t="n">
        <v>61.73</v>
      </c>
      <c r="L1181" s="1" t="n">
        <v>4.2</v>
      </c>
      <c r="M1181" s="1" t="n">
        <v>1800</v>
      </c>
      <c r="N1181" s="4" t="b">
        <f aca="false">FALSE()</f>
        <v>0</v>
      </c>
      <c r="P1181" s="4" t="b">
        <f aca="false">TRUE()</f>
        <v>1</v>
      </c>
      <c r="Q1181" s="1" t="s">
        <v>618</v>
      </c>
      <c r="R1181" s="1" t="s">
        <v>4004</v>
      </c>
      <c r="S1181" s="1" t="s">
        <v>4018</v>
      </c>
      <c r="T1181" s="1" t="s">
        <v>222</v>
      </c>
      <c r="U1181" s="1" t="s">
        <v>2102</v>
      </c>
    </row>
    <row r="1182" customFormat="false" ht="48" hidden="false" customHeight="true" outlineLevel="0" collapsed="false">
      <c r="A1182" s="1" t="s">
        <v>41</v>
      </c>
      <c r="B1182" s="1" t="s">
        <v>3712</v>
      </c>
      <c r="C1182" s="1" t="s">
        <v>84</v>
      </c>
      <c r="D1182" s="1" t="s">
        <v>580</v>
      </c>
      <c r="E1182" s="1" t="n">
        <v>7</v>
      </c>
      <c r="F1182" s="1" t="s">
        <v>4019</v>
      </c>
      <c r="G1182" s="1" t="s">
        <v>229</v>
      </c>
      <c r="H1182" s="1" t="s">
        <v>4020</v>
      </c>
      <c r="I1182" s="1" t="s">
        <v>218</v>
      </c>
      <c r="J1182" s="1" t="s">
        <v>597</v>
      </c>
      <c r="K1182" s="1" t="n">
        <v>89.99</v>
      </c>
      <c r="L1182" s="1" t="n">
        <v>4.5</v>
      </c>
      <c r="M1182" s="1" t="n">
        <v>4300</v>
      </c>
      <c r="N1182" s="4" t="b">
        <f aca="false">FALSE()</f>
        <v>0</v>
      </c>
      <c r="P1182" s="4" t="b">
        <f aca="false">TRUE()</f>
        <v>1</v>
      </c>
      <c r="Q1182" s="1" t="s">
        <v>439</v>
      </c>
      <c r="R1182" s="1" t="s">
        <v>4004</v>
      </c>
      <c r="S1182" s="1" t="s">
        <v>4021</v>
      </c>
      <c r="T1182" s="1" t="s">
        <v>222</v>
      </c>
      <c r="U1182" s="1" t="s">
        <v>2102</v>
      </c>
    </row>
    <row r="1183" customFormat="false" ht="48" hidden="false" customHeight="true" outlineLevel="0" collapsed="false">
      <c r="A1183" s="1" t="s">
        <v>41</v>
      </c>
      <c r="B1183" s="1" t="s">
        <v>3712</v>
      </c>
      <c r="C1183" s="1" t="s">
        <v>84</v>
      </c>
      <c r="D1183" s="1" t="s">
        <v>580</v>
      </c>
      <c r="E1183" s="1" t="n">
        <v>8</v>
      </c>
      <c r="F1183" s="1" t="s">
        <v>4022</v>
      </c>
      <c r="G1183" s="1" t="s">
        <v>604</v>
      </c>
      <c r="H1183" s="1" t="s">
        <v>4023</v>
      </c>
      <c r="I1183" s="1" t="s">
        <v>218</v>
      </c>
      <c r="J1183" s="1" t="s">
        <v>584</v>
      </c>
      <c r="K1183" s="1" t="n">
        <v>49.99</v>
      </c>
      <c r="L1183" s="1" t="n">
        <v>4.5</v>
      </c>
      <c r="M1183" s="1" t="n">
        <v>16900</v>
      </c>
      <c r="N1183" s="4" t="b">
        <f aca="false">FALSE()</f>
        <v>0</v>
      </c>
      <c r="O1183" s="1" t="s">
        <v>4024</v>
      </c>
      <c r="P1183" s="4" t="b">
        <f aca="false">TRUE()</f>
        <v>1</v>
      </c>
      <c r="Q1183" s="1" t="s">
        <v>451</v>
      </c>
      <c r="R1183" s="1" t="s">
        <v>4004</v>
      </c>
      <c r="S1183" s="1" t="s">
        <v>4025</v>
      </c>
      <c r="T1183" s="1" t="s">
        <v>222</v>
      </c>
      <c r="U1183" s="1" t="s">
        <v>2102</v>
      </c>
    </row>
    <row r="1184" customFormat="false" ht="48" hidden="false" customHeight="true" outlineLevel="0" collapsed="false">
      <c r="A1184" s="1" t="s">
        <v>41</v>
      </c>
      <c r="B1184" s="1" t="s">
        <v>3712</v>
      </c>
      <c r="C1184" s="1" t="s">
        <v>84</v>
      </c>
      <c r="D1184" s="1" t="s">
        <v>580</v>
      </c>
      <c r="E1184" s="1" t="n">
        <v>9</v>
      </c>
      <c r="F1184" s="1" t="s">
        <v>4026</v>
      </c>
      <c r="G1184" s="1" t="s">
        <v>934</v>
      </c>
      <c r="H1184" s="1" t="s">
        <v>4027</v>
      </c>
      <c r="I1184" s="1" t="s">
        <v>218</v>
      </c>
      <c r="J1184" s="1" t="s">
        <v>597</v>
      </c>
      <c r="K1184" s="1" t="n">
        <v>65.99</v>
      </c>
      <c r="L1184" s="1" t="n">
        <v>4.5</v>
      </c>
      <c r="M1184" s="1" t="n">
        <v>134</v>
      </c>
      <c r="N1184" s="4" t="b">
        <f aca="false">FALSE()</f>
        <v>0</v>
      </c>
      <c r="O1184" s="1" t="s">
        <v>2009</v>
      </c>
      <c r="P1184" s="4" t="b">
        <f aca="false">TRUE()</f>
        <v>1</v>
      </c>
      <c r="Q1184" s="1" t="s">
        <v>418</v>
      </c>
      <c r="R1184" s="1" t="s">
        <v>4004</v>
      </c>
      <c r="S1184" s="1" t="s">
        <v>4028</v>
      </c>
      <c r="T1184" s="1" t="s">
        <v>222</v>
      </c>
      <c r="U1184" s="1" t="s">
        <v>2102</v>
      </c>
    </row>
    <row r="1185" customFormat="false" ht="48" hidden="false" customHeight="true" outlineLevel="0" collapsed="false">
      <c r="A1185" s="1" t="s">
        <v>41</v>
      </c>
      <c r="B1185" s="1" t="s">
        <v>3712</v>
      </c>
      <c r="C1185" s="1" t="s">
        <v>84</v>
      </c>
      <c r="D1185" s="1" t="s">
        <v>580</v>
      </c>
      <c r="E1185" s="1" t="n">
        <v>10</v>
      </c>
      <c r="F1185" s="1" t="s">
        <v>4029</v>
      </c>
      <c r="G1185" s="1" t="s">
        <v>677</v>
      </c>
      <c r="H1185" s="1" t="s">
        <v>4030</v>
      </c>
      <c r="I1185" s="1" t="s">
        <v>218</v>
      </c>
      <c r="J1185" s="1" t="s">
        <v>310</v>
      </c>
      <c r="K1185" s="1" t="n">
        <v>49.99</v>
      </c>
      <c r="L1185" s="1" t="n">
        <v>4.5</v>
      </c>
      <c r="M1185" s="1" t="n">
        <v>2600</v>
      </c>
      <c r="N1185" s="4" t="b">
        <f aca="false">FALSE()</f>
        <v>0</v>
      </c>
      <c r="P1185" s="4" t="b">
        <f aca="false">FALSE()</f>
        <v>0</v>
      </c>
      <c r="Q1185" s="1" t="s">
        <v>711</v>
      </c>
      <c r="R1185" s="1" t="s">
        <v>4004</v>
      </c>
      <c r="S1185" s="1" t="s">
        <v>4031</v>
      </c>
      <c r="T1185" s="1" t="s">
        <v>222</v>
      </c>
      <c r="U1185" s="1" t="s">
        <v>2102</v>
      </c>
    </row>
    <row r="1186" customFormat="false" ht="48" hidden="false" customHeight="true" outlineLevel="0" collapsed="false">
      <c r="A1186" s="1" t="s">
        <v>41</v>
      </c>
      <c r="B1186" s="1" t="s">
        <v>3712</v>
      </c>
      <c r="C1186" s="1" t="s">
        <v>84</v>
      </c>
      <c r="D1186" s="1" t="s">
        <v>580</v>
      </c>
      <c r="E1186" s="1" t="n">
        <v>11</v>
      </c>
      <c r="F1186" s="1" t="s">
        <v>4032</v>
      </c>
      <c r="G1186" s="1" t="s">
        <v>236</v>
      </c>
      <c r="H1186" s="1" t="s">
        <v>4033</v>
      </c>
      <c r="I1186" s="1" t="s">
        <v>218</v>
      </c>
      <c r="J1186" s="1" t="s">
        <v>597</v>
      </c>
      <c r="K1186" s="1" t="n">
        <v>49.99</v>
      </c>
      <c r="L1186" s="1" t="n">
        <v>4.2</v>
      </c>
      <c r="M1186" s="1" t="n">
        <v>1900</v>
      </c>
      <c r="N1186" s="4" t="b">
        <f aca="false">FALSE()</f>
        <v>0</v>
      </c>
      <c r="O1186" s="1" t="s">
        <v>4034</v>
      </c>
      <c r="P1186" s="4" t="b">
        <f aca="false">TRUE()</f>
        <v>1</v>
      </c>
      <c r="Q1186" s="1" t="s">
        <v>423</v>
      </c>
      <c r="R1186" s="1" t="s">
        <v>4004</v>
      </c>
      <c r="S1186" s="1" t="s">
        <v>4035</v>
      </c>
      <c r="T1186" s="1" t="s">
        <v>222</v>
      </c>
      <c r="U1186" s="1" t="s">
        <v>2102</v>
      </c>
    </row>
    <row r="1187" customFormat="false" ht="48" hidden="false" customHeight="true" outlineLevel="0" collapsed="false">
      <c r="A1187" s="1" t="s">
        <v>41</v>
      </c>
      <c r="B1187" s="1" t="s">
        <v>3712</v>
      </c>
      <c r="C1187" s="1" t="s">
        <v>84</v>
      </c>
      <c r="D1187" s="1" t="s">
        <v>580</v>
      </c>
      <c r="E1187" s="1" t="n">
        <v>12</v>
      </c>
      <c r="F1187" s="1" t="s">
        <v>4036</v>
      </c>
      <c r="G1187" s="1" t="s">
        <v>229</v>
      </c>
      <c r="H1187" s="1" t="s">
        <v>4037</v>
      </c>
      <c r="I1187" s="1" t="s">
        <v>231</v>
      </c>
      <c r="J1187" s="1" t="s">
        <v>597</v>
      </c>
      <c r="K1187" s="1" t="n">
        <v>57.81</v>
      </c>
      <c r="L1187" s="1" t="n">
        <v>4</v>
      </c>
      <c r="M1187" s="1" t="n">
        <v>1300</v>
      </c>
      <c r="N1187" s="4" t="b">
        <f aca="false">FALSE()</f>
        <v>0</v>
      </c>
      <c r="O1187" s="1" t="s">
        <v>4038</v>
      </c>
      <c r="P1187" s="4" t="b">
        <f aca="false">TRUE()</f>
        <v>1</v>
      </c>
      <c r="Q1187" s="1" t="s">
        <v>418</v>
      </c>
      <c r="R1187" s="1" t="s">
        <v>4004</v>
      </c>
      <c r="S1187" s="1" t="s">
        <v>4039</v>
      </c>
      <c r="T1187" s="1" t="s">
        <v>222</v>
      </c>
      <c r="U1187" s="1" t="s">
        <v>2102</v>
      </c>
    </row>
    <row r="1188" customFormat="false" ht="48" hidden="false" customHeight="true" outlineLevel="0" collapsed="false">
      <c r="A1188" s="1" t="s">
        <v>41</v>
      </c>
      <c r="B1188" s="1" t="s">
        <v>3712</v>
      </c>
      <c r="C1188" s="1" t="s">
        <v>84</v>
      </c>
      <c r="D1188" s="1" t="s">
        <v>580</v>
      </c>
      <c r="E1188" s="1" t="n">
        <v>13</v>
      </c>
      <c r="F1188" s="1" t="s">
        <v>638</v>
      </c>
      <c r="G1188" s="1" t="s">
        <v>236</v>
      </c>
      <c r="H1188" s="1" t="s">
        <v>4040</v>
      </c>
      <c r="I1188" s="1" t="s">
        <v>218</v>
      </c>
      <c r="J1188" s="1" t="s">
        <v>584</v>
      </c>
      <c r="L1188" s="1" t="n">
        <v>4.2</v>
      </c>
      <c r="M1188" s="1" t="n">
        <v>5900</v>
      </c>
      <c r="N1188" s="4" t="b">
        <f aca="false">FALSE()</f>
        <v>0</v>
      </c>
      <c r="P1188" s="4" t="b">
        <f aca="false">TRUE()</f>
        <v>1</v>
      </c>
      <c r="Q1188" s="1" t="s">
        <v>233</v>
      </c>
      <c r="R1188" s="1" t="s">
        <v>4004</v>
      </c>
      <c r="S1188" s="1" t="s">
        <v>4041</v>
      </c>
      <c r="T1188" s="1" t="s">
        <v>222</v>
      </c>
      <c r="U1188" s="1" t="s">
        <v>2102</v>
      </c>
    </row>
    <row r="1189" customFormat="false" ht="48" hidden="false" customHeight="true" outlineLevel="0" collapsed="false">
      <c r="A1189" s="1" t="s">
        <v>41</v>
      </c>
      <c r="B1189" s="1" t="s">
        <v>3712</v>
      </c>
      <c r="C1189" s="1" t="s">
        <v>84</v>
      </c>
      <c r="D1189" s="1" t="s">
        <v>580</v>
      </c>
      <c r="E1189" s="1" t="n">
        <v>14</v>
      </c>
      <c r="F1189" s="1" t="s">
        <v>4042</v>
      </c>
      <c r="G1189" s="1" t="s">
        <v>229</v>
      </c>
      <c r="H1189" s="1" t="s">
        <v>624</v>
      </c>
      <c r="I1189" s="1" t="s">
        <v>218</v>
      </c>
      <c r="J1189" s="1" t="s">
        <v>597</v>
      </c>
      <c r="K1189" s="1" t="n">
        <v>89.99</v>
      </c>
      <c r="L1189" s="1" t="n">
        <v>4.5</v>
      </c>
      <c r="M1189" s="1" t="n">
        <v>4300</v>
      </c>
      <c r="N1189" s="4" t="b">
        <f aca="false">FALSE()</f>
        <v>0</v>
      </c>
      <c r="P1189" s="4" t="b">
        <f aca="false">TRUE()</f>
        <v>1</v>
      </c>
      <c r="Q1189" s="1" t="s">
        <v>439</v>
      </c>
      <c r="R1189" s="1" t="s">
        <v>4004</v>
      </c>
      <c r="S1189" s="1" t="s">
        <v>4043</v>
      </c>
      <c r="T1189" s="1" t="s">
        <v>222</v>
      </c>
      <c r="U1189" s="1" t="s">
        <v>2102</v>
      </c>
    </row>
    <row r="1190" customFormat="false" ht="48" hidden="false" customHeight="true" outlineLevel="0" collapsed="false">
      <c r="A1190" s="1" t="s">
        <v>41</v>
      </c>
      <c r="B1190" s="1" t="s">
        <v>3712</v>
      </c>
      <c r="C1190" s="1" t="s">
        <v>84</v>
      </c>
      <c r="D1190" s="1" t="s">
        <v>580</v>
      </c>
      <c r="E1190" s="1" t="n">
        <v>15</v>
      </c>
      <c r="F1190" s="1" t="s">
        <v>4044</v>
      </c>
      <c r="G1190" s="1" t="s">
        <v>229</v>
      </c>
      <c r="H1190" s="1" t="s">
        <v>4045</v>
      </c>
      <c r="I1190" s="1" t="s">
        <v>218</v>
      </c>
      <c r="J1190" s="1" t="s">
        <v>597</v>
      </c>
      <c r="K1190" s="1" t="n">
        <v>49.99</v>
      </c>
      <c r="L1190" s="1" t="n">
        <v>4.2</v>
      </c>
      <c r="M1190" s="1" t="n">
        <v>1200</v>
      </c>
      <c r="N1190" s="4" t="b">
        <f aca="false">FALSE()</f>
        <v>0</v>
      </c>
      <c r="O1190" s="1" t="s">
        <v>3725</v>
      </c>
      <c r="P1190" s="4" t="b">
        <f aca="false">TRUE()</f>
        <v>1</v>
      </c>
      <c r="Q1190" s="1" t="s">
        <v>435</v>
      </c>
      <c r="R1190" s="1" t="s">
        <v>4004</v>
      </c>
      <c r="S1190" s="1" t="s">
        <v>4046</v>
      </c>
      <c r="T1190" s="1" t="s">
        <v>222</v>
      </c>
      <c r="U1190" s="1" t="s">
        <v>2102</v>
      </c>
    </row>
    <row r="1191" customFormat="false" ht="48" hidden="false" customHeight="true" outlineLevel="0" collapsed="false">
      <c r="A1191" s="1" t="s">
        <v>41</v>
      </c>
      <c r="B1191" s="1" t="s">
        <v>3712</v>
      </c>
      <c r="C1191" s="1" t="s">
        <v>84</v>
      </c>
      <c r="D1191" s="1" t="s">
        <v>580</v>
      </c>
      <c r="E1191" s="1" t="n">
        <v>16</v>
      </c>
      <c r="F1191" s="1" t="s">
        <v>4047</v>
      </c>
      <c r="G1191" s="1" t="s">
        <v>236</v>
      </c>
      <c r="H1191" s="1" t="s">
        <v>4048</v>
      </c>
      <c r="I1191" s="1" t="s">
        <v>218</v>
      </c>
      <c r="J1191" s="1" t="s">
        <v>597</v>
      </c>
      <c r="K1191" s="1" t="n">
        <v>39.89</v>
      </c>
      <c r="L1191" s="1" t="n">
        <v>4.3</v>
      </c>
      <c r="M1191" s="1" t="n">
        <v>1400</v>
      </c>
      <c r="N1191" s="4" t="b">
        <f aca="false">FALSE()</f>
        <v>0</v>
      </c>
      <c r="P1191" s="4" t="b">
        <f aca="false">TRUE()</f>
        <v>1</v>
      </c>
      <c r="Q1191" s="1" t="s">
        <v>418</v>
      </c>
      <c r="R1191" s="1" t="s">
        <v>4004</v>
      </c>
      <c r="S1191" s="1" t="s">
        <v>4049</v>
      </c>
      <c r="T1191" s="1" t="s">
        <v>222</v>
      </c>
      <c r="U1191" s="1" t="s">
        <v>2102</v>
      </c>
    </row>
    <row r="1192" customFormat="false" ht="48" hidden="false" customHeight="true" outlineLevel="0" collapsed="false">
      <c r="A1192" s="1" t="s">
        <v>41</v>
      </c>
      <c r="B1192" s="1" t="s">
        <v>3712</v>
      </c>
      <c r="C1192" s="1" t="s">
        <v>84</v>
      </c>
      <c r="D1192" s="1" t="s">
        <v>580</v>
      </c>
      <c r="E1192" s="1" t="n">
        <v>17</v>
      </c>
      <c r="F1192" s="1" t="s">
        <v>4050</v>
      </c>
      <c r="G1192" s="1" t="s">
        <v>236</v>
      </c>
      <c r="H1192" s="1" t="s">
        <v>4051</v>
      </c>
      <c r="I1192" s="1" t="s">
        <v>218</v>
      </c>
      <c r="J1192" s="1" t="s">
        <v>584</v>
      </c>
      <c r="K1192" s="1" t="n">
        <v>47.49</v>
      </c>
      <c r="L1192" s="1" t="n">
        <v>4.3</v>
      </c>
      <c r="M1192" s="1" t="n">
        <v>1800</v>
      </c>
      <c r="N1192" s="4" t="b">
        <f aca="false">FALSE()</f>
        <v>0</v>
      </c>
      <c r="O1192" s="1" t="s">
        <v>4052</v>
      </c>
      <c r="P1192" s="4" t="b">
        <f aca="false">TRUE()</f>
        <v>1</v>
      </c>
      <c r="Q1192" s="1" t="s">
        <v>439</v>
      </c>
      <c r="R1192" s="1" t="s">
        <v>4004</v>
      </c>
      <c r="S1192" s="1" t="s">
        <v>4053</v>
      </c>
      <c r="T1192" s="1" t="s">
        <v>222</v>
      </c>
      <c r="U1192" s="1" t="s">
        <v>2102</v>
      </c>
    </row>
    <row r="1193" customFormat="false" ht="48" hidden="false" customHeight="true" outlineLevel="0" collapsed="false">
      <c r="A1193" s="1" t="s">
        <v>41</v>
      </c>
      <c r="B1193" s="1" t="s">
        <v>3712</v>
      </c>
      <c r="C1193" s="1" t="s">
        <v>84</v>
      </c>
      <c r="D1193" s="1" t="s">
        <v>580</v>
      </c>
      <c r="E1193" s="1" t="n">
        <v>18</v>
      </c>
      <c r="F1193" s="1" t="s">
        <v>4054</v>
      </c>
      <c r="G1193" s="1" t="s">
        <v>229</v>
      </c>
      <c r="H1193" s="1" t="s">
        <v>4037</v>
      </c>
      <c r="I1193" s="1" t="s">
        <v>231</v>
      </c>
      <c r="J1193" s="1" t="s">
        <v>597</v>
      </c>
      <c r="K1193" s="1" t="n">
        <v>59.98</v>
      </c>
      <c r="L1193" s="1" t="n">
        <v>4</v>
      </c>
      <c r="M1193" s="1" t="n">
        <v>1300</v>
      </c>
      <c r="N1193" s="4" t="b">
        <f aca="false">FALSE()</f>
        <v>0</v>
      </c>
      <c r="O1193" s="1" t="s">
        <v>4038</v>
      </c>
      <c r="P1193" s="4" t="b">
        <f aca="false">TRUE()</f>
        <v>1</v>
      </c>
      <c r="Q1193" s="1" t="s">
        <v>451</v>
      </c>
      <c r="R1193" s="1" t="s">
        <v>4004</v>
      </c>
      <c r="S1193" s="1" t="s">
        <v>4055</v>
      </c>
      <c r="T1193" s="1" t="s">
        <v>222</v>
      </c>
      <c r="U1193" s="1" t="s">
        <v>2102</v>
      </c>
    </row>
    <row r="1194" customFormat="false" ht="48" hidden="false" customHeight="true" outlineLevel="0" collapsed="false">
      <c r="A1194" s="1" t="s">
        <v>41</v>
      </c>
      <c r="B1194" s="1" t="s">
        <v>3712</v>
      </c>
      <c r="C1194" s="1" t="s">
        <v>84</v>
      </c>
      <c r="D1194" s="1" t="s">
        <v>580</v>
      </c>
      <c r="E1194" s="1" t="n">
        <v>19</v>
      </c>
      <c r="F1194" s="1" t="s">
        <v>4056</v>
      </c>
      <c r="G1194" s="1" t="s">
        <v>229</v>
      </c>
      <c r="H1194" s="1" t="s">
        <v>4057</v>
      </c>
      <c r="I1194" s="1" t="s">
        <v>231</v>
      </c>
      <c r="J1194" s="1" t="s">
        <v>597</v>
      </c>
      <c r="K1194" s="1" t="n">
        <v>89.99</v>
      </c>
      <c r="L1194" s="1" t="n">
        <v>4.6</v>
      </c>
      <c r="M1194" s="1" t="n">
        <v>243</v>
      </c>
      <c r="N1194" s="4" t="b">
        <f aca="false">FALSE()</f>
        <v>0</v>
      </c>
      <c r="O1194" s="1" t="s">
        <v>1890</v>
      </c>
      <c r="P1194" s="4" t="b">
        <f aca="false">TRUE()</f>
        <v>1</v>
      </c>
      <c r="Q1194" s="1" t="s">
        <v>418</v>
      </c>
      <c r="R1194" s="1" t="s">
        <v>4004</v>
      </c>
      <c r="S1194" s="1" t="s">
        <v>4058</v>
      </c>
      <c r="T1194" s="1" t="s">
        <v>222</v>
      </c>
      <c r="U1194" s="1" t="s">
        <v>2102</v>
      </c>
    </row>
    <row r="1195" customFormat="false" ht="48" hidden="false" customHeight="true" outlineLevel="0" collapsed="false">
      <c r="A1195" s="1" t="s">
        <v>41</v>
      </c>
      <c r="B1195" s="1" t="s">
        <v>3712</v>
      </c>
      <c r="C1195" s="1" t="s">
        <v>84</v>
      </c>
      <c r="D1195" s="1" t="s">
        <v>580</v>
      </c>
      <c r="E1195" s="1" t="n">
        <v>20</v>
      </c>
      <c r="F1195" s="1" t="s">
        <v>4059</v>
      </c>
      <c r="G1195" s="1" t="s">
        <v>236</v>
      </c>
      <c r="H1195" s="1" t="s">
        <v>4060</v>
      </c>
      <c r="I1195" s="1" t="s">
        <v>218</v>
      </c>
      <c r="J1195" s="1" t="s">
        <v>597</v>
      </c>
      <c r="K1195" s="1" t="n">
        <v>51.99</v>
      </c>
      <c r="L1195" s="1" t="n">
        <v>4.4</v>
      </c>
      <c r="M1195" s="1" t="n">
        <v>2000</v>
      </c>
      <c r="N1195" s="4" t="b">
        <f aca="false">FALSE()</f>
        <v>0</v>
      </c>
      <c r="P1195" s="4" t="b">
        <f aca="false">TRUE()</f>
        <v>1</v>
      </c>
      <c r="R1195" s="1" t="s">
        <v>4004</v>
      </c>
      <c r="S1195" s="1" t="s">
        <v>4061</v>
      </c>
      <c r="T1195" s="1" t="s">
        <v>222</v>
      </c>
      <c r="U1195" s="1" t="s">
        <v>2102</v>
      </c>
    </row>
    <row r="1196" customFormat="false" ht="48" hidden="false" customHeight="true" outlineLevel="0" collapsed="false">
      <c r="A1196" s="1" t="s">
        <v>41</v>
      </c>
      <c r="B1196" s="1" t="s">
        <v>3712</v>
      </c>
      <c r="C1196" s="1" t="s">
        <v>84</v>
      </c>
      <c r="D1196" s="1" t="s">
        <v>580</v>
      </c>
      <c r="E1196" s="1" t="n">
        <v>21</v>
      </c>
      <c r="F1196" s="1" t="s">
        <v>4062</v>
      </c>
      <c r="G1196" s="1" t="s">
        <v>229</v>
      </c>
      <c r="H1196" s="1" t="s">
        <v>4063</v>
      </c>
      <c r="I1196" s="1" t="s">
        <v>218</v>
      </c>
      <c r="J1196" s="1" t="s">
        <v>597</v>
      </c>
      <c r="K1196" s="1" t="n">
        <v>69.99</v>
      </c>
      <c r="L1196" s="1" t="n">
        <v>4.6</v>
      </c>
      <c r="M1196" s="1" t="n">
        <v>1000</v>
      </c>
      <c r="N1196" s="4" t="b">
        <f aca="false">FALSE()</f>
        <v>0</v>
      </c>
      <c r="P1196" s="4" t="b">
        <f aca="false">TRUE()</f>
        <v>1</v>
      </c>
      <c r="Q1196" s="1" t="s">
        <v>251</v>
      </c>
      <c r="R1196" s="1" t="s">
        <v>4004</v>
      </c>
      <c r="S1196" s="1" t="s">
        <v>4064</v>
      </c>
      <c r="T1196" s="1" t="s">
        <v>222</v>
      </c>
      <c r="U1196" s="1" t="s">
        <v>2102</v>
      </c>
    </row>
    <row r="1197" customFormat="false" ht="48" hidden="false" customHeight="true" outlineLevel="0" collapsed="false">
      <c r="A1197" s="1" t="s">
        <v>41</v>
      </c>
      <c r="B1197" s="1" t="s">
        <v>3712</v>
      </c>
      <c r="C1197" s="1" t="s">
        <v>84</v>
      </c>
      <c r="D1197" s="1" t="s">
        <v>580</v>
      </c>
      <c r="E1197" s="1" t="n">
        <v>22</v>
      </c>
      <c r="F1197" s="1" t="s">
        <v>4065</v>
      </c>
      <c r="G1197" s="1" t="s">
        <v>681</v>
      </c>
      <c r="H1197" s="1" t="s">
        <v>682</v>
      </c>
      <c r="I1197" s="1" t="s">
        <v>218</v>
      </c>
      <c r="J1197" s="1" t="s">
        <v>584</v>
      </c>
      <c r="K1197" s="1" t="n">
        <v>74.99</v>
      </c>
      <c r="L1197" s="1" t="n">
        <v>4.4</v>
      </c>
      <c r="M1197" s="1" t="n">
        <v>2000</v>
      </c>
      <c r="N1197" s="4" t="b">
        <f aca="false">FALSE()</f>
        <v>0</v>
      </c>
      <c r="P1197" s="4" t="b">
        <f aca="false">TRUE()</f>
        <v>1</v>
      </c>
      <c r="Q1197" s="1" t="s">
        <v>451</v>
      </c>
      <c r="R1197" s="1" t="s">
        <v>4004</v>
      </c>
      <c r="S1197" s="1" t="s">
        <v>4066</v>
      </c>
      <c r="T1197" s="1" t="s">
        <v>222</v>
      </c>
      <c r="U1197" s="1" t="s">
        <v>2102</v>
      </c>
    </row>
    <row r="1198" customFormat="false" ht="48" hidden="false" customHeight="true" outlineLevel="0" collapsed="false">
      <c r="A1198" s="1" t="s">
        <v>41</v>
      </c>
      <c r="B1198" s="1" t="s">
        <v>3712</v>
      </c>
      <c r="C1198" s="1" t="s">
        <v>84</v>
      </c>
      <c r="D1198" s="1" t="s">
        <v>580</v>
      </c>
      <c r="E1198" s="1" t="n">
        <v>23</v>
      </c>
      <c r="F1198" s="1" t="s">
        <v>4067</v>
      </c>
      <c r="G1198" s="1" t="s">
        <v>229</v>
      </c>
      <c r="H1198" s="1" t="s">
        <v>4002</v>
      </c>
      <c r="I1198" s="1" t="s">
        <v>218</v>
      </c>
      <c r="J1198" s="1" t="s">
        <v>597</v>
      </c>
      <c r="K1198" s="1" t="n">
        <v>49.99</v>
      </c>
      <c r="L1198" s="1" t="n">
        <v>4.2</v>
      </c>
      <c r="M1198" s="1" t="n">
        <v>1200</v>
      </c>
      <c r="N1198" s="4" t="b">
        <f aca="false">FALSE()</f>
        <v>0</v>
      </c>
      <c r="O1198" s="1" t="s">
        <v>970</v>
      </c>
      <c r="P1198" s="4" t="b">
        <f aca="false">TRUE()</f>
        <v>1</v>
      </c>
      <c r="Q1198" s="1" t="s">
        <v>435</v>
      </c>
      <c r="R1198" s="1" t="s">
        <v>4004</v>
      </c>
      <c r="S1198" s="1" t="s">
        <v>4068</v>
      </c>
      <c r="T1198" s="1" t="s">
        <v>222</v>
      </c>
      <c r="U1198" s="1" t="s">
        <v>2102</v>
      </c>
    </row>
    <row r="1199" customFormat="false" ht="48" hidden="false" customHeight="true" outlineLevel="0" collapsed="false">
      <c r="A1199" s="1" t="s">
        <v>41</v>
      </c>
      <c r="B1199" s="1" t="s">
        <v>3712</v>
      </c>
      <c r="C1199" s="1" t="s">
        <v>84</v>
      </c>
      <c r="D1199" s="1" t="s">
        <v>580</v>
      </c>
      <c r="E1199" s="1" t="n">
        <v>24</v>
      </c>
      <c r="F1199" s="1" t="s">
        <v>4069</v>
      </c>
      <c r="G1199" s="1" t="s">
        <v>236</v>
      </c>
      <c r="H1199" s="1" t="s">
        <v>4070</v>
      </c>
      <c r="I1199" s="1" t="s">
        <v>218</v>
      </c>
      <c r="J1199" s="1" t="s">
        <v>597</v>
      </c>
      <c r="K1199" s="1" t="n">
        <v>48.85</v>
      </c>
      <c r="L1199" s="1" t="n">
        <v>4.4</v>
      </c>
      <c r="M1199" s="1" t="n">
        <v>266</v>
      </c>
      <c r="N1199" s="4" t="b">
        <f aca="false">FALSE()</f>
        <v>0</v>
      </c>
      <c r="P1199" s="4" t="b">
        <f aca="false">TRUE()</f>
        <v>1</v>
      </c>
      <c r="Q1199" s="1" t="s">
        <v>451</v>
      </c>
      <c r="R1199" s="1" t="s">
        <v>4004</v>
      </c>
      <c r="S1199" s="1" t="s">
        <v>4071</v>
      </c>
      <c r="T1199" s="1" t="s">
        <v>222</v>
      </c>
      <c r="U1199" s="1" t="s">
        <v>2102</v>
      </c>
    </row>
    <row r="1200" customFormat="false" ht="48" hidden="false" customHeight="true" outlineLevel="0" collapsed="false">
      <c r="A1200" s="1" t="s">
        <v>41</v>
      </c>
      <c r="B1200" s="1" t="s">
        <v>3712</v>
      </c>
      <c r="C1200" s="1" t="s">
        <v>84</v>
      </c>
      <c r="D1200" s="1" t="s">
        <v>580</v>
      </c>
      <c r="E1200" s="1" t="n">
        <v>25</v>
      </c>
      <c r="F1200" s="1" t="s">
        <v>4072</v>
      </c>
      <c r="G1200" s="1" t="s">
        <v>229</v>
      </c>
      <c r="H1200" s="1" t="s">
        <v>4002</v>
      </c>
      <c r="I1200" s="1" t="s">
        <v>218</v>
      </c>
      <c r="J1200" s="1" t="s">
        <v>597</v>
      </c>
      <c r="K1200" s="1" t="n">
        <v>51.98</v>
      </c>
      <c r="L1200" s="1" t="n">
        <v>4.2</v>
      </c>
      <c r="M1200" s="1" t="n">
        <v>1200</v>
      </c>
      <c r="N1200" s="4" t="b">
        <f aca="false">FALSE()</f>
        <v>0</v>
      </c>
      <c r="O1200" s="1" t="s">
        <v>4003</v>
      </c>
      <c r="P1200" s="4" t="b">
        <f aca="false">TRUE()</f>
        <v>1</v>
      </c>
      <c r="Q1200" s="1" t="s">
        <v>451</v>
      </c>
      <c r="R1200" s="1" t="s">
        <v>4004</v>
      </c>
      <c r="S1200" s="1" t="s">
        <v>4073</v>
      </c>
      <c r="T1200" s="1" t="s">
        <v>222</v>
      </c>
      <c r="U1200" s="1" t="s">
        <v>2102</v>
      </c>
    </row>
    <row r="1201" customFormat="false" ht="48" hidden="false" customHeight="true" outlineLevel="0" collapsed="false">
      <c r="A1201" s="1" t="s">
        <v>41</v>
      </c>
      <c r="B1201" s="1" t="s">
        <v>3712</v>
      </c>
      <c r="C1201" s="1" t="s">
        <v>84</v>
      </c>
      <c r="D1201" s="1" t="s">
        <v>580</v>
      </c>
      <c r="E1201" s="1" t="n">
        <v>26</v>
      </c>
      <c r="F1201" s="1" t="s">
        <v>4074</v>
      </c>
      <c r="G1201" s="1" t="s">
        <v>236</v>
      </c>
      <c r="H1201" s="1" t="s">
        <v>4075</v>
      </c>
      <c r="I1201" s="1" t="s">
        <v>218</v>
      </c>
      <c r="J1201" s="1" t="s">
        <v>670</v>
      </c>
      <c r="K1201" s="1" t="n">
        <v>55.99</v>
      </c>
      <c r="L1201" s="1" t="n">
        <v>4.4</v>
      </c>
      <c r="M1201" s="1" t="n">
        <v>631</v>
      </c>
      <c r="N1201" s="4" t="b">
        <f aca="false">FALSE()</f>
        <v>0</v>
      </c>
      <c r="O1201" s="1" t="s">
        <v>4076</v>
      </c>
      <c r="P1201" s="4" t="b">
        <f aca="false">TRUE()</f>
        <v>1</v>
      </c>
      <c r="Q1201" s="1" t="s">
        <v>439</v>
      </c>
      <c r="R1201" s="1" t="s">
        <v>4004</v>
      </c>
      <c r="S1201" s="1" t="s">
        <v>4077</v>
      </c>
      <c r="T1201" s="1" t="s">
        <v>222</v>
      </c>
      <c r="U1201" s="1" t="s">
        <v>2102</v>
      </c>
    </row>
    <row r="1202" customFormat="false" ht="48" hidden="false" customHeight="true" outlineLevel="0" collapsed="false">
      <c r="A1202" s="1" t="s">
        <v>41</v>
      </c>
      <c r="B1202" s="1" t="s">
        <v>3712</v>
      </c>
      <c r="C1202" s="1" t="s">
        <v>84</v>
      </c>
      <c r="D1202" s="1" t="s">
        <v>580</v>
      </c>
      <c r="E1202" s="1" t="n">
        <v>27</v>
      </c>
      <c r="F1202" s="1" t="s">
        <v>4078</v>
      </c>
      <c r="G1202" s="1" t="s">
        <v>229</v>
      </c>
      <c r="H1202" s="1" t="s">
        <v>4079</v>
      </c>
      <c r="I1202" s="1" t="s">
        <v>218</v>
      </c>
      <c r="J1202" s="1" t="s">
        <v>689</v>
      </c>
      <c r="K1202" s="1" t="n">
        <v>89.99</v>
      </c>
      <c r="L1202" s="1" t="n">
        <v>4.5</v>
      </c>
      <c r="M1202" s="1" t="n">
        <v>4300</v>
      </c>
      <c r="N1202" s="4" t="b">
        <f aca="false">FALSE()</f>
        <v>0</v>
      </c>
      <c r="P1202" s="4" t="b">
        <f aca="false">TRUE()</f>
        <v>1</v>
      </c>
      <c r="Q1202" s="1" t="s">
        <v>418</v>
      </c>
      <c r="R1202" s="1" t="s">
        <v>4004</v>
      </c>
      <c r="S1202" s="1" t="s">
        <v>4080</v>
      </c>
      <c r="T1202" s="1" t="s">
        <v>222</v>
      </c>
      <c r="U1202" s="1" t="s">
        <v>2102</v>
      </c>
    </row>
    <row r="1203" customFormat="false" ht="48" hidden="false" customHeight="true" outlineLevel="0" collapsed="false">
      <c r="A1203" s="1" t="s">
        <v>41</v>
      </c>
      <c r="B1203" s="1" t="s">
        <v>3712</v>
      </c>
      <c r="C1203" s="1" t="s">
        <v>84</v>
      </c>
      <c r="D1203" s="1" t="s">
        <v>580</v>
      </c>
      <c r="E1203" s="1" t="n">
        <v>28</v>
      </c>
      <c r="F1203" s="1" t="s">
        <v>4081</v>
      </c>
      <c r="G1203" s="1" t="s">
        <v>1588</v>
      </c>
      <c r="H1203" s="1" t="s">
        <v>4082</v>
      </c>
      <c r="I1203" s="1" t="s">
        <v>289</v>
      </c>
      <c r="J1203" s="1" t="s">
        <v>597</v>
      </c>
      <c r="K1203" s="1" t="n">
        <v>36.99</v>
      </c>
      <c r="L1203" s="1" t="n">
        <v>4.2</v>
      </c>
      <c r="M1203" s="1" t="n">
        <v>44</v>
      </c>
      <c r="N1203" s="4" t="b">
        <f aca="false">FALSE()</f>
        <v>0</v>
      </c>
      <c r="P1203" s="4" t="b">
        <f aca="false">TRUE()</f>
        <v>1</v>
      </c>
      <c r="Q1203" s="1" t="s">
        <v>251</v>
      </c>
      <c r="R1203" s="1" t="s">
        <v>4004</v>
      </c>
      <c r="S1203" s="1" t="s">
        <v>4083</v>
      </c>
      <c r="T1203" s="1" t="s">
        <v>222</v>
      </c>
      <c r="U1203" s="1" t="s">
        <v>2102</v>
      </c>
    </row>
    <row r="1204" customFormat="false" ht="48" hidden="false" customHeight="true" outlineLevel="0" collapsed="false">
      <c r="A1204" s="1" t="s">
        <v>41</v>
      </c>
      <c r="B1204" s="1" t="s">
        <v>3712</v>
      </c>
      <c r="C1204" s="1" t="s">
        <v>84</v>
      </c>
      <c r="D1204" s="1" t="s">
        <v>580</v>
      </c>
      <c r="E1204" s="1" t="n">
        <v>29</v>
      </c>
      <c r="F1204" s="1" t="s">
        <v>4084</v>
      </c>
      <c r="G1204" s="1" t="s">
        <v>229</v>
      </c>
      <c r="H1204" s="1" t="s">
        <v>4085</v>
      </c>
      <c r="I1204" s="1" t="s">
        <v>218</v>
      </c>
      <c r="J1204" s="1" t="s">
        <v>597</v>
      </c>
      <c r="K1204" s="1" t="n">
        <v>69.99</v>
      </c>
      <c r="L1204" s="1" t="n">
        <v>4.6</v>
      </c>
      <c r="M1204" s="1" t="n">
        <v>1000</v>
      </c>
      <c r="N1204" s="4" t="b">
        <f aca="false">FALSE()</f>
        <v>0</v>
      </c>
      <c r="O1204" s="1" t="s">
        <v>485</v>
      </c>
      <c r="P1204" s="4" t="b">
        <f aca="false">TRUE()</f>
        <v>1</v>
      </c>
      <c r="Q1204" s="1" t="s">
        <v>233</v>
      </c>
      <c r="R1204" s="1" t="s">
        <v>4004</v>
      </c>
      <c r="S1204" s="1" t="s">
        <v>4086</v>
      </c>
      <c r="T1204" s="1" t="s">
        <v>222</v>
      </c>
      <c r="U1204" s="1" t="s">
        <v>2102</v>
      </c>
    </row>
    <row r="1205" customFormat="false" ht="48" hidden="false" customHeight="true" outlineLevel="0" collapsed="false">
      <c r="A1205" s="1" t="s">
        <v>41</v>
      </c>
      <c r="B1205" s="1" t="s">
        <v>3712</v>
      </c>
      <c r="C1205" s="1" t="s">
        <v>84</v>
      </c>
      <c r="D1205" s="1" t="s">
        <v>580</v>
      </c>
      <c r="E1205" s="1" t="n">
        <v>30</v>
      </c>
      <c r="F1205" s="1" t="s">
        <v>4087</v>
      </c>
      <c r="G1205" s="1" t="s">
        <v>236</v>
      </c>
      <c r="H1205" s="1" t="s">
        <v>4088</v>
      </c>
      <c r="I1205" s="1" t="s">
        <v>218</v>
      </c>
      <c r="J1205" s="1" t="s">
        <v>310</v>
      </c>
      <c r="K1205" s="1" t="n">
        <v>25.49</v>
      </c>
      <c r="L1205" s="1" t="n">
        <v>4.4</v>
      </c>
      <c r="M1205" s="1" t="n">
        <v>9100</v>
      </c>
      <c r="N1205" s="4" t="b">
        <f aca="false">FALSE()</f>
        <v>0</v>
      </c>
      <c r="O1205" s="1" t="s">
        <v>4089</v>
      </c>
      <c r="P1205" s="4" t="b">
        <f aca="false">FALSE()</f>
        <v>0</v>
      </c>
      <c r="Q1205" s="1" t="s">
        <v>711</v>
      </c>
      <c r="R1205" s="1" t="s">
        <v>4004</v>
      </c>
      <c r="S1205" s="1" t="s">
        <v>4090</v>
      </c>
      <c r="T1205" s="1" t="s">
        <v>222</v>
      </c>
      <c r="U1205" s="1" t="s">
        <v>2102</v>
      </c>
    </row>
    <row r="1206" customFormat="false" ht="48" hidden="false" customHeight="true" outlineLevel="0" collapsed="false">
      <c r="A1206" s="1" t="s">
        <v>41</v>
      </c>
      <c r="B1206" s="1" t="s">
        <v>3712</v>
      </c>
      <c r="C1206" s="1" t="s">
        <v>84</v>
      </c>
      <c r="D1206" s="1" t="s">
        <v>580</v>
      </c>
      <c r="E1206" s="1" t="n">
        <v>31</v>
      </c>
      <c r="F1206" s="1" t="s">
        <v>4091</v>
      </c>
      <c r="G1206" s="1" t="s">
        <v>229</v>
      </c>
      <c r="H1206" s="1" t="s">
        <v>4092</v>
      </c>
      <c r="I1206" s="1" t="s">
        <v>218</v>
      </c>
      <c r="J1206" s="1" t="s">
        <v>597</v>
      </c>
      <c r="K1206" s="1" t="n">
        <v>86.99</v>
      </c>
      <c r="L1206" s="1" t="n">
        <v>4.5</v>
      </c>
      <c r="M1206" s="1" t="n">
        <v>4300</v>
      </c>
      <c r="N1206" s="4" t="b">
        <f aca="false">FALSE()</f>
        <v>0</v>
      </c>
      <c r="P1206" s="4" t="b">
        <f aca="false">TRUE()</f>
        <v>1</v>
      </c>
      <c r="Q1206" s="1" t="s">
        <v>435</v>
      </c>
      <c r="R1206" s="1" t="s">
        <v>4004</v>
      </c>
      <c r="S1206" s="1" t="s">
        <v>4093</v>
      </c>
      <c r="T1206" s="1" t="s">
        <v>222</v>
      </c>
      <c r="U1206" s="1" t="s">
        <v>2102</v>
      </c>
    </row>
    <row r="1207" customFormat="false" ht="48" hidden="false" customHeight="true" outlineLevel="0" collapsed="false">
      <c r="A1207" s="1" t="s">
        <v>41</v>
      </c>
      <c r="B1207" s="1" t="s">
        <v>3712</v>
      </c>
      <c r="C1207" s="1" t="s">
        <v>84</v>
      </c>
      <c r="D1207" s="1" t="s">
        <v>580</v>
      </c>
      <c r="E1207" s="1" t="n">
        <v>32</v>
      </c>
      <c r="F1207" s="1" t="s">
        <v>4094</v>
      </c>
      <c r="G1207" s="1" t="s">
        <v>677</v>
      </c>
      <c r="H1207" s="1" t="s">
        <v>4095</v>
      </c>
      <c r="I1207" s="1" t="s">
        <v>218</v>
      </c>
      <c r="J1207" s="1" t="s">
        <v>310</v>
      </c>
      <c r="K1207" s="1" t="n">
        <v>62.99</v>
      </c>
      <c r="L1207" s="1" t="n">
        <v>4.5</v>
      </c>
      <c r="M1207" s="1" t="n">
        <v>3200</v>
      </c>
      <c r="N1207" s="4" t="b">
        <f aca="false">FALSE()</f>
        <v>0</v>
      </c>
      <c r="P1207" s="4" t="b">
        <f aca="false">FALSE()</f>
        <v>0</v>
      </c>
      <c r="Q1207" s="1" t="s">
        <v>451</v>
      </c>
      <c r="R1207" s="1" t="s">
        <v>4004</v>
      </c>
      <c r="S1207" s="1" t="s">
        <v>4096</v>
      </c>
      <c r="T1207" s="1" t="s">
        <v>222</v>
      </c>
      <c r="U1207" s="1" t="s">
        <v>2102</v>
      </c>
    </row>
    <row r="1208" customFormat="false" ht="48" hidden="false" customHeight="true" outlineLevel="0" collapsed="false">
      <c r="A1208" s="1" t="s">
        <v>41</v>
      </c>
      <c r="B1208" s="1" t="s">
        <v>3712</v>
      </c>
      <c r="C1208" s="1" t="s">
        <v>84</v>
      </c>
      <c r="D1208" s="1" t="s">
        <v>580</v>
      </c>
      <c r="E1208" s="1" t="n">
        <v>33</v>
      </c>
      <c r="F1208" s="1" t="s">
        <v>4097</v>
      </c>
      <c r="G1208" s="1" t="s">
        <v>236</v>
      </c>
      <c r="H1208" s="1" t="s">
        <v>4098</v>
      </c>
      <c r="I1208" s="1" t="s">
        <v>218</v>
      </c>
      <c r="J1208" s="1" t="s">
        <v>597</v>
      </c>
      <c r="K1208" s="1" t="n">
        <v>49.99</v>
      </c>
      <c r="L1208" s="1" t="n">
        <v>4.3</v>
      </c>
      <c r="M1208" s="1" t="n">
        <v>1600</v>
      </c>
      <c r="N1208" s="4" t="b">
        <f aca="false">FALSE()</f>
        <v>0</v>
      </c>
      <c r="O1208" s="1" t="s">
        <v>4099</v>
      </c>
      <c r="P1208" s="4" t="b">
        <f aca="false">TRUE()</f>
        <v>1</v>
      </c>
      <c r="Q1208" s="1" t="s">
        <v>451</v>
      </c>
      <c r="R1208" s="1" t="s">
        <v>4004</v>
      </c>
      <c r="S1208" s="1" t="s">
        <v>4100</v>
      </c>
      <c r="T1208" s="1" t="s">
        <v>222</v>
      </c>
      <c r="U1208" s="1" t="s">
        <v>2102</v>
      </c>
    </row>
    <row r="1209" customFormat="false" ht="48" hidden="false" customHeight="true" outlineLevel="0" collapsed="false">
      <c r="A1209" s="1" t="s">
        <v>41</v>
      </c>
      <c r="B1209" s="1" t="s">
        <v>3712</v>
      </c>
      <c r="C1209" s="1" t="s">
        <v>84</v>
      </c>
      <c r="D1209" s="1" t="s">
        <v>580</v>
      </c>
      <c r="E1209" s="1" t="n">
        <v>34</v>
      </c>
      <c r="F1209" s="1" t="s">
        <v>1626</v>
      </c>
      <c r="G1209" s="1" t="s">
        <v>236</v>
      </c>
      <c r="H1209" s="1" t="s">
        <v>1627</v>
      </c>
      <c r="I1209" s="1" t="s">
        <v>231</v>
      </c>
      <c r="J1209" s="1" t="s">
        <v>597</v>
      </c>
      <c r="K1209" s="1" t="n">
        <v>99.99</v>
      </c>
      <c r="L1209" s="1" t="n">
        <v>4.4</v>
      </c>
      <c r="M1209" s="1" t="n">
        <v>487</v>
      </c>
      <c r="N1209" s="4" t="b">
        <f aca="false">FALSE()</f>
        <v>0</v>
      </c>
      <c r="O1209" s="1" t="s">
        <v>1147</v>
      </c>
      <c r="P1209" s="4" t="b">
        <f aca="false">FALSE()</f>
        <v>0</v>
      </c>
      <c r="Q1209" s="1" t="s">
        <v>618</v>
      </c>
      <c r="R1209" s="1" t="s">
        <v>4004</v>
      </c>
      <c r="S1209" s="1" t="s">
        <v>4101</v>
      </c>
      <c r="T1209" s="1" t="s">
        <v>222</v>
      </c>
      <c r="U1209" s="1" t="s">
        <v>2102</v>
      </c>
    </row>
    <row r="1210" customFormat="false" ht="48" hidden="false" customHeight="true" outlineLevel="0" collapsed="false">
      <c r="A1210" s="1" t="s">
        <v>41</v>
      </c>
      <c r="B1210" s="1" t="s">
        <v>3712</v>
      </c>
      <c r="C1210" s="1" t="s">
        <v>84</v>
      </c>
      <c r="D1210" s="1" t="s">
        <v>580</v>
      </c>
      <c r="E1210" s="1" t="n">
        <v>35</v>
      </c>
      <c r="F1210" s="1" t="s">
        <v>716</v>
      </c>
      <c r="G1210" s="1" t="s">
        <v>236</v>
      </c>
      <c r="H1210" s="1" t="s">
        <v>717</v>
      </c>
      <c r="I1210" s="1" t="s">
        <v>218</v>
      </c>
      <c r="J1210" s="1" t="s">
        <v>597</v>
      </c>
      <c r="K1210" s="1" t="n">
        <v>67.99</v>
      </c>
      <c r="L1210" s="1" t="n">
        <v>4.4</v>
      </c>
      <c r="M1210" s="1" t="n">
        <v>702</v>
      </c>
      <c r="N1210" s="4" t="b">
        <f aca="false">FALSE()</f>
        <v>0</v>
      </c>
      <c r="P1210" s="4" t="b">
        <f aca="false">TRUE()</f>
        <v>1</v>
      </c>
      <c r="Q1210" s="1" t="s">
        <v>451</v>
      </c>
      <c r="R1210" s="1" t="s">
        <v>4004</v>
      </c>
      <c r="S1210" s="1" t="s">
        <v>4102</v>
      </c>
      <c r="T1210" s="1" t="s">
        <v>222</v>
      </c>
      <c r="U1210" s="1" t="s">
        <v>2102</v>
      </c>
    </row>
    <row r="1211" customFormat="false" ht="48" hidden="false" customHeight="true" outlineLevel="0" collapsed="false">
      <c r="A1211" s="1" t="s">
        <v>41</v>
      </c>
      <c r="B1211" s="1" t="s">
        <v>3712</v>
      </c>
      <c r="C1211" s="1" t="s">
        <v>84</v>
      </c>
      <c r="D1211" s="1" t="s">
        <v>580</v>
      </c>
      <c r="E1211" s="1" t="n">
        <v>36</v>
      </c>
      <c r="F1211" s="1" t="s">
        <v>4103</v>
      </c>
      <c r="G1211" s="1" t="s">
        <v>2714</v>
      </c>
      <c r="H1211" s="1" t="s">
        <v>4104</v>
      </c>
      <c r="I1211" s="1" t="s">
        <v>218</v>
      </c>
      <c r="J1211" s="1" t="s">
        <v>584</v>
      </c>
      <c r="K1211" s="1" t="n">
        <v>59.49</v>
      </c>
      <c r="L1211" s="1" t="n">
        <v>4.4</v>
      </c>
      <c r="M1211" s="1" t="n">
        <v>5300</v>
      </c>
      <c r="N1211" s="4" t="b">
        <f aca="false">FALSE()</f>
        <v>0</v>
      </c>
      <c r="P1211" s="4" t="b">
        <f aca="false">TRUE()</f>
        <v>1</v>
      </c>
      <c r="Q1211" s="1" t="s">
        <v>435</v>
      </c>
      <c r="R1211" s="1" t="s">
        <v>4004</v>
      </c>
      <c r="S1211" s="1" t="s">
        <v>4105</v>
      </c>
      <c r="T1211" s="1" t="s">
        <v>222</v>
      </c>
      <c r="U1211" s="1" t="s">
        <v>2102</v>
      </c>
    </row>
    <row r="1212" customFormat="false" ht="48" hidden="false" customHeight="true" outlineLevel="0" collapsed="false">
      <c r="A1212" s="1" t="s">
        <v>41</v>
      </c>
      <c r="B1212" s="1" t="s">
        <v>3712</v>
      </c>
      <c r="C1212" s="1" t="s">
        <v>84</v>
      </c>
      <c r="D1212" s="1" t="s">
        <v>580</v>
      </c>
      <c r="E1212" s="1" t="n">
        <v>37</v>
      </c>
      <c r="F1212" s="1" t="s">
        <v>4106</v>
      </c>
      <c r="G1212" s="1" t="s">
        <v>236</v>
      </c>
      <c r="H1212" s="1" t="s">
        <v>4107</v>
      </c>
      <c r="I1212" s="1" t="s">
        <v>218</v>
      </c>
      <c r="J1212" s="1" t="s">
        <v>597</v>
      </c>
      <c r="K1212" s="1" t="n">
        <v>58.09</v>
      </c>
      <c r="L1212" s="1" t="n">
        <v>4.3</v>
      </c>
      <c r="M1212" s="1" t="n">
        <v>566</v>
      </c>
      <c r="N1212" s="4" t="b">
        <f aca="false">FALSE()</f>
        <v>0</v>
      </c>
      <c r="O1212" s="1" t="s">
        <v>4108</v>
      </c>
      <c r="P1212" s="4" t="b">
        <f aca="false">TRUE()</f>
        <v>1</v>
      </c>
      <c r="Q1212" s="1" t="s">
        <v>251</v>
      </c>
      <c r="R1212" s="1" t="s">
        <v>4004</v>
      </c>
      <c r="S1212" s="1" t="s">
        <v>4109</v>
      </c>
      <c r="T1212" s="1" t="s">
        <v>222</v>
      </c>
      <c r="U1212" s="1" t="s">
        <v>2102</v>
      </c>
    </row>
    <row r="1213" customFormat="false" ht="48" hidden="false" customHeight="true" outlineLevel="0" collapsed="false">
      <c r="A1213" s="1" t="s">
        <v>41</v>
      </c>
      <c r="B1213" s="1" t="s">
        <v>3712</v>
      </c>
      <c r="C1213" s="1" t="s">
        <v>84</v>
      </c>
      <c r="D1213" s="1" t="s">
        <v>580</v>
      </c>
      <c r="E1213" s="1" t="n">
        <v>38</v>
      </c>
      <c r="F1213" s="1" t="s">
        <v>4110</v>
      </c>
      <c r="G1213" s="1" t="s">
        <v>236</v>
      </c>
      <c r="H1213" s="1" t="s">
        <v>4111</v>
      </c>
      <c r="I1213" s="1" t="s">
        <v>218</v>
      </c>
      <c r="J1213" s="1" t="s">
        <v>597</v>
      </c>
      <c r="K1213" s="1" t="n">
        <v>56.99</v>
      </c>
      <c r="L1213" s="1" t="n">
        <v>4.4</v>
      </c>
      <c r="M1213" s="1" t="n">
        <v>2400</v>
      </c>
      <c r="N1213" s="4" t="b">
        <f aca="false">FALSE()</f>
        <v>0</v>
      </c>
      <c r="O1213" s="1" t="s">
        <v>450</v>
      </c>
      <c r="P1213" s="4" t="b">
        <f aca="false">TRUE()</f>
        <v>1</v>
      </c>
      <c r="Q1213" s="1" t="s">
        <v>233</v>
      </c>
      <c r="R1213" s="1" t="s">
        <v>4004</v>
      </c>
      <c r="S1213" s="1" t="s">
        <v>4112</v>
      </c>
      <c r="T1213" s="1" t="s">
        <v>222</v>
      </c>
      <c r="U1213" s="1" t="s">
        <v>2102</v>
      </c>
    </row>
    <row r="1214" customFormat="false" ht="48" hidden="false" customHeight="true" outlineLevel="0" collapsed="false">
      <c r="A1214" s="1" t="s">
        <v>41</v>
      </c>
      <c r="B1214" s="1" t="s">
        <v>3712</v>
      </c>
      <c r="C1214" s="1" t="s">
        <v>84</v>
      </c>
      <c r="D1214" s="1" t="s">
        <v>580</v>
      </c>
      <c r="E1214" s="1" t="n">
        <v>39</v>
      </c>
      <c r="F1214" s="1" t="s">
        <v>4113</v>
      </c>
      <c r="G1214" s="1" t="s">
        <v>236</v>
      </c>
      <c r="H1214" s="1" t="s">
        <v>4114</v>
      </c>
      <c r="I1214" s="1" t="s">
        <v>218</v>
      </c>
      <c r="J1214" s="1" t="s">
        <v>597</v>
      </c>
      <c r="K1214" s="1" t="n">
        <v>34.71</v>
      </c>
      <c r="L1214" s="1" t="n">
        <v>4.2</v>
      </c>
      <c r="M1214" s="1" t="n">
        <v>1000</v>
      </c>
      <c r="N1214" s="4" t="b">
        <f aca="false">FALSE()</f>
        <v>0</v>
      </c>
      <c r="P1214" s="4" t="b">
        <f aca="false">TRUE()</f>
        <v>1</v>
      </c>
      <c r="R1214" s="1" t="s">
        <v>4004</v>
      </c>
      <c r="S1214" s="1" t="s">
        <v>4115</v>
      </c>
      <c r="T1214" s="1" t="s">
        <v>222</v>
      </c>
      <c r="U1214" s="1" t="s">
        <v>2102</v>
      </c>
    </row>
    <row r="1215" customFormat="false" ht="48" hidden="false" customHeight="true" outlineLevel="0" collapsed="false">
      <c r="A1215" s="1" t="s">
        <v>41</v>
      </c>
      <c r="B1215" s="1" t="s">
        <v>3712</v>
      </c>
      <c r="C1215" s="1" t="s">
        <v>84</v>
      </c>
      <c r="D1215" s="1" t="s">
        <v>580</v>
      </c>
      <c r="E1215" s="1" t="n">
        <v>40</v>
      </c>
      <c r="F1215" s="1" t="s">
        <v>4116</v>
      </c>
      <c r="G1215" s="1" t="s">
        <v>4007</v>
      </c>
      <c r="H1215" s="1" t="s">
        <v>4117</v>
      </c>
      <c r="I1215" s="1" t="s">
        <v>306</v>
      </c>
      <c r="J1215" s="1" t="s">
        <v>597</v>
      </c>
      <c r="K1215" s="1" t="n">
        <v>39.99</v>
      </c>
      <c r="L1215" s="1" t="n">
        <v>4.5</v>
      </c>
      <c r="M1215" s="1" t="n">
        <v>1000</v>
      </c>
      <c r="N1215" s="4" t="b">
        <f aca="false">FALSE()</f>
        <v>0</v>
      </c>
      <c r="P1215" s="4" t="b">
        <f aca="false">TRUE()</f>
        <v>1</v>
      </c>
      <c r="Q1215" s="1" t="s">
        <v>251</v>
      </c>
      <c r="R1215" s="1" t="s">
        <v>4004</v>
      </c>
      <c r="S1215" s="1" t="s">
        <v>4118</v>
      </c>
      <c r="T1215" s="1" t="s">
        <v>222</v>
      </c>
      <c r="U1215" s="1" t="s">
        <v>2102</v>
      </c>
    </row>
    <row r="1216" customFormat="false" ht="48" hidden="false" customHeight="true" outlineLevel="0" collapsed="false">
      <c r="A1216" s="1" t="s">
        <v>41</v>
      </c>
      <c r="B1216" s="1" t="s">
        <v>3712</v>
      </c>
      <c r="C1216" s="1" t="s">
        <v>84</v>
      </c>
      <c r="D1216" s="1" t="s">
        <v>580</v>
      </c>
      <c r="E1216" s="1" t="n">
        <v>41</v>
      </c>
      <c r="F1216" s="1" t="s">
        <v>4119</v>
      </c>
      <c r="G1216" s="1" t="s">
        <v>236</v>
      </c>
      <c r="H1216" s="1" t="s">
        <v>4120</v>
      </c>
      <c r="I1216" s="1" t="s">
        <v>218</v>
      </c>
      <c r="J1216" s="1" t="s">
        <v>310</v>
      </c>
      <c r="K1216" s="1" t="n">
        <v>61.99</v>
      </c>
      <c r="L1216" s="1" t="n">
        <v>4.3</v>
      </c>
      <c r="M1216" s="1" t="n">
        <v>4500</v>
      </c>
      <c r="N1216" s="4" t="b">
        <f aca="false">FALSE()</f>
        <v>0</v>
      </c>
      <c r="O1216" s="1" t="s">
        <v>4013</v>
      </c>
      <c r="P1216" s="4" t="b">
        <f aca="false">FALSE()</f>
        <v>0</v>
      </c>
      <c r="Q1216" s="1" t="s">
        <v>435</v>
      </c>
      <c r="R1216" s="1" t="s">
        <v>4004</v>
      </c>
      <c r="S1216" s="1" t="s">
        <v>4121</v>
      </c>
      <c r="T1216" s="1" t="s">
        <v>222</v>
      </c>
      <c r="U1216" s="1" t="s">
        <v>2102</v>
      </c>
    </row>
    <row r="1217" customFormat="false" ht="48" hidden="false" customHeight="true" outlineLevel="0" collapsed="false">
      <c r="A1217" s="1" t="s">
        <v>41</v>
      </c>
      <c r="B1217" s="1" t="s">
        <v>3712</v>
      </c>
      <c r="C1217" s="1" t="s">
        <v>84</v>
      </c>
      <c r="D1217" s="1" t="s">
        <v>580</v>
      </c>
      <c r="E1217" s="1" t="n">
        <v>42</v>
      </c>
      <c r="F1217" s="1" t="s">
        <v>4122</v>
      </c>
      <c r="G1217" s="1" t="s">
        <v>236</v>
      </c>
      <c r="H1217" s="1" t="s">
        <v>4123</v>
      </c>
      <c r="I1217" s="1" t="s">
        <v>218</v>
      </c>
      <c r="J1217" s="1" t="s">
        <v>597</v>
      </c>
      <c r="K1217" s="1" t="n">
        <v>14.99</v>
      </c>
      <c r="L1217" s="1" t="n">
        <v>4.3</v>
      </c>
      <c r="M1217" s="1" t="n">
        <v>19</v>
      </c>
      <c r="N1217" s="4" t="b">
        <f aca="false">FALSE()</f>
        <v>0</v>
      </c>
      <c r="P1217" s="4" t="b">
        <f aca="false">TRUE()</f>
        <v>1</v>
      </c>
      <c r="R1217" s="1" t="s">
        <v>4004</v>
      </c>
      <c r="S1217" s="1" t="s">
        <v>4124</v>
      </c>
      <c r="T1217" s="1" t="s">
        <v>222</v>
      </c>
      <c r="U1217" s="1" t="s">
        <v>2102</v>
      </c>
    </row>
    <row r="1218" customFormat="false" ht="48" hidden="false" customHeight="true" outlineLevel="0" collapsed="false">
      <c r="A1218" s="1" t="s">
        <v>41</v>
      </c>
      <c r="B1218" s="1" t="s">
        <v>3712</v>
      </c>
      <c r="C1218" s="1" t="s">
        <v>84</v>
      </c>
      <c r="D1218" s="1" t="s">
        <v>580</v>
      </c>
      <c r="E1218" s="1" t="n">
        <v>43</v>
      </c>
      <c r="F1218" s="1" t="s">
        <v>4125</v>
      </c>
      <c r="G1218" s="1" t="s">
        <v>236</v>
      </c>
      <c r="H1218" s="1" t="s">
        <v>4126</v>
      </c>
      <c r="I1218" s="1" t="s">
        <v>218</v>
      </c>
      <c r="J1218" s="1" t="s">
        <v>584</v>
      </c>
      <c r="K1218" s="1" t="n">
        <v>28.49</v>
      </c>
      <c r="L1218" s="1" t="n">
        <v>4.2</v>
      </c>
      <c r="M1218" s="1" t="n">
        <v>147</v>
      </c>
      <c r="N1218" s="4" t="b">
        <f aca="false">FALSE()</f>
        <v>0</v>
      </c>
      <c r="P1218" s="4" t="b">
        <f aca="false">TRUE()</f>
        <v>1</v>
      </c>
      <c r="R1218" s="1" t="s">
        <v>4004</v>
      </c>
      <c r="S1218" s="1" t="s">
        <v>4127</v>
      </c>
      <c r="T1218" s="1" t="s">
        <v>222</v>
      </c>
      <c r="U1218" s="1" t="s">
        <v>2102</v>
      </c>
    </row>
    <row r="1219" customFormat="false" ht="48" hidden="false" customHeight="true" outlineLevel="0" collapsed="false">
      <c r="A1219" s="1" t="s">
        <v>41</v>
      </c>
      <c r="B1219" s="1" t="s">
        <v>3712</v>
      </c>
      <c r="C1219" s="1" t="s">
        <v>84</v>
      </c>
      <c r="D1219" s="1" t="s">
        <v>580</v>
      </c>
      <c r="E1219" s="1" t="n">
        <v>44</v>
      </c>
      <c r="F1219" s="1" t="s">
        <v>4128</v>
      </c>
      <c r="G1219" s="1" t="s">
        <v>229</v>
      </c>
      <c r="H1219" s="1" t="s">
        <v>4129</v>
      </c>
      <c r="I1219" s="1" t="s">
        <v>231</v>
      </c>
      <c r="J1219" s="1" t="s">
        <v>597</v>
      </c>
      <c r="K1219" s="1" t="n">
        <v>62.99</v>
      </c>
      <c r="L1219" s="1" t="n">
        <v>4</v>
      </c>
      <c r="M1219" s="1" t="n">
        <v>1300</v>
      </c>
      <c r="N1219" s="4" t="b">
        <f aca="false">FALSE()</f>
        <v>0</v>
      </c>
      <c r="O1219" s="1" t="s">
        <v>4038</v>
      </c>
      <c r="P1219" s="4" t="b">
        <f aca="false">TRUE()</f>
        <v>1</v>
      </c>
      <c r="Q1219" s="1" t="s">
        <v>451</v>
      </c>
      <c r="R1219" s="1" t="s">
        <v>4004</v>
      </c>
      <c r="S1219" s="1" t="s">
        <v>4130</v>
      </c>
      <c r="T1219" s="1" t="s">
        <v>222</v>
      </c>
      <c r="U1219" s="1" t="s">
        <v>2102</v>
      </c>
    </row>
    <row r="1220" customFormat="false" ht="48" hidden="false" customHeight="true" outlineLevel="0" collapsed="false">
      <c r="A1220" s="1" t="s">
        <v>41</v>
      </c>
      <c r="B1220" s="1" t="s">
        <v>3712</v>
      </c>
      <c r="C1220" s="1" t="s">
        <v>84</v>
      </c>
      <c r="D1220" s="1" t="s">
        <v>580</v>
      </c>
      <c r="E1220" s="1" t="n">
        <v>45</v>
      </c>
      <c r="F1220" s="1" t="s">
        <v>4131</v>
      </c>
      <c r="G1220" s="1" t="s">
        <v>236</v>
      </c>
      <c r="H1220" s="1" t="s">
        <v>4132</v>
      </c>
      <c r="I1220" s="1" t="s">
        <v>218</v>
      </c>
      <c r="J1220" s="1" t="s">
        <v>597</v>
      </c>
      <c r="K1220" s="1" t="n">
        <v>44.99</v>
      </c>
      <c r="L1220" s="1" t="n">
        <v>4.4</v>
      </c>
      <c r="M1220" s="1" t="n">
        <v>78</v>
      </c>
      <c r="N1220" s="4" t="b">
        <f aca="false">FALSE()</f>
        <v>0</v>
      </c>
      <c r="P1220" s="4" t="b">
        <f aca="false">TRUE()</f>
        <v>1</v>
      </c>
      <c r="Q1220" s="1" t="s">
        <v>251</v>
      </c>
      <c r="R1220" s="1" t="s">
        <v>4004</v>
      </c>
      <c r="S1220" s="1" t="s">
        <v>4133</v>
      </c>
      <c r="T1220" s="1" t="s">
        <v>222</v>
      </c>
      <c r="U1220" s="1" t="s">
        <v>2102</v>
      </c>
    </row>
    <row r="1221" customFormat="false" ht="48" hidden="false" customHeight="true" outlineLevel="0" collapsed="false">
      <c r="A1221" s="1" t="s">
        <v>41</v>
      </c>
      <c r="B1221" s="1" t="s">
        <v>3712</v>
      </c>
      <c r="C1221" s="1" t="s">
        <v>84</v>
      </c>
      <c r="D1221" s="1" t="s">
        <v>580</v>
      </c>
      <c r="E1221" s="1" t="n">
        <v>46</v>
      </c>
      <c r="F1221" s="1" t="s">
        <v>4134</v>
      </c>
      <c r="G1221" s="1" t="s">
        <v>229</v>
      </c>
      <c r="H1221" s="1" t="s">
        <v>4135</v>
      </c>
      <c r="I1221" s="1" t="s">
        <v>218</v>
      </c>
      <c r="J1221" s="1" t="s">
        <v>597</v>
      </c>
      <c r="K1221" s="1" t="n">
        <v>79.41</v>
      </c>
      <c r="L1221" s="1" t="n">
        <v>4.6</v>
      </c>
      <c r="M1221" s="1" t="n">
        <v>243</v>
      </c>
      <c r="N1221" s="4" t="b">
        <f aca="false">FALSE()</f>
        <v>0</v>
      </c>
      <c r="P1221" s="4" t="b">
        <f aca="false">TRUE()</f>
        <v>1</v>
      </c>
      <c r="Q1221" s="1" t="s">
        <v>435</v>
      </c>
      <c r="R1221" s="1" t="s">
        <v>4004</v>
      </c>
      <c r="S1221" s="1" t="s">
        <v>4136</v>
      </c>
      <c r="T1221" s="1" t="s">
        <v>222</v>
      </c>
      <c r="U1221" s="1" t="s">
        <v>2102</v>
      </c>
    </row>
    <row r="1222" customFormat="false" ht="48" hidden="false" customHeight="true" outlineLevel="0" collapsed="false">
      <c r="A1222" s="1" t="s">
        <v>41</v>
      </c>
      <c r="B1222" s="1" t="s">
        <v>3712</v>
      </c>
      <c r="C1222" s="1" t="s">
        <v>84</v>
      </c>
      <c r="D1222" s="1" t="s">
        <v>580</v>
      </c>
      <c r="E1222" s="1" t="n">
        <v>47</v>
      </c>
      <c r="F1222" s="1" t="s">
        <v>4137</v>
      </c>
      <c r="G1222" s="1" t="s">
        <v>236</v>
      </c>
      <c r="H1222" s="1" t="s">
        <v>4138</v>
      </c>
      <c r="I1222" s="1" t="s">
        <v>218</v>
      </c>
      <c r="J1222" s="1" t="s">
        <v>584</v>
      </c>
      <c r="K1222" s="1" t="n">
        <v>39.99</v>
      </c>
      <c r="L1222" s="1" t="n">
        <v>4.4</v>
      </c>
      <c r="M1222" s="1" t="n">
        <v>96</v>
      </c>
      <c r="N1222" s="4" t="b">
        <f aca="false">FALSE()</f>
        <v>0</v>
      </c>
      <c r="P1222" s="4" t="b">
        <f aca="false">TRUE()</f>
        <v>1</v>
      </c>
      <c r="R1222" s="1" t="s">
        <v>4004</v>
      </c>
      <c r="S1222" s="1" t="s">
        <v>4139</v>
      </c>
      <c r="T1222" s="1" t="s">
        <v>222</v>
      </c>
      <c r="U1222" s="1" t="s">
        <v>2102</v>
      </c>
    </row>
    <row r="1223" customFormat="false" ht="48" hidden="false" customHeight="true" outlineLevel="0" collapsed="false">
      <c r="A1223" s="1" t="s">
        <v>41</v>
      </c>
      <c r="B1223" s="1" t="s">
        <v>3712</v>
      </c>
      <c r="C1223" s="1" t="s">
        <v>84</v>
      </c>
      <c r="D1223" s="1" t="s">
        <v>580</v>
      </c>
      <c r="E1223" s="1" t="n">
        <v>48</v>
      </c>
      <c r="F1223" s="1" t="s">
        <v>3901</v>
      </c>
      <c r="G1223" s="1" t="s">
        <v>236</v>
      </c>
      <c r="H1223" s="1" t="s">
        <v>3902</v>
      </c>
      <c r="I1223" s="1" t="s">
        <v>218</v>
      </c>
      <c r="J1223" s="1" t="s">
        <v>310</v>
      </c>
      <c r="K1223" s="1" t="n">
        <v>36.09</v>
      </c>
      <c r="L1223" s="1" t="n">
        <v>4.2</v>
      </c>
      <c r="M1223" s="1" t="n">
        <v>1600</v>
      </c>
      <c r="N1223" s="4" t="b">
        <f aca="false">FALSE()</f>
        <v>0</v>
      </c>
      <c r="P1223" s="4" t="b">
        <f aca="false">FALSE()</f>
        <v>0</v>
      </c>
      <c r="Q1223" s="1" t="s">
        <v>766</v>
      </c>
      <c r="R1223" s="1" t="s">
        <v>4004</v>
      </c>
      <c r="S1223" s="1" t="s">
        <v>3903</v>
      </c>
      <c r="T1223" s="1" t="s">
        <v>222</v>
      </c>
      <c r="U1223" s="1" t="s">
        <v>2102</v>
      </c>
    </row>
    <row r="1224" customFormat="false" ht="48" hidden="false" customHeight="true" outlineLevel="0" collapsed="false">
      <c r="A1224" s="1" t="s">
        <v>41</v>
      </c>
      <c r="B1224" s="1" t="s">
        <v>3712</v>
      </c>
      <c r="C1224" s="1" t="s">
        <v>66</v>
      </c>
      <c r="D1224" s="1" t="s">
        <v>762</v>
      </c>
      <c r="E1224" s="1" t="n">
        <v>1</v>
      </c>
      <c r="F1224" s="1" t="s">
        <v>779</v>
      </c>
      <c r="G1224" s="1" t="s">
        <v>780</v>
      </c>
      <c r="H1224" s="1" t="s">
        <v>4140</v>
      </c>
      <c r="I1224" s="1" t="s">
        <v>218</v>
      </c>
      <c r="J1224" s="1" t="s">
        <v>310</v>
      </c>
      <c r="K1224" s="1" t="n">
        <v>19.99</v>
      </c>
      <c r="L1224" s="1" t="n">
        <v>4.5</v>
      </c>
      <c r="M1224" s="1" t="n">
        <v>56200</v>
      </c>
      <c r="N1224" s="4" t="b">
        <f aca="false">FALSE()</f>
        <v>0</v>
      </c>
      <c r="O1224" s="1" t="s">
        <v>4141</v>
      </c>
      <c r="P1224" s="4" t="b">
        <f aca="false">TRUE()</f>
        <v>1</v>
      </c>
      <c r="Q1224" s="1" t="s">
        <v>711</v>
      </c>
      <c r="R1224" s="1" t="s">
        <v>4142</v>
      </c>
      <c r="S1224" s="1" t="s">
        <v>4143</v>
      </c>
      <c r="T1224" s="1" t="s">
        <v>222</v>
      </c>
      <c r="U1224" s="1" t="s">
        <v>2102</v>
      </c>
    </row>
    <row r="1225" customFormat="false" ht="48" hidden="false" customHeight="true" outlineLevel="0" collapsed="false">
      <c r="A1225" s="1" t="s">
        <v>41</v>
      </c>
      <c r="B1225" s="1" t="s">
        <v>3712</v>
      </c>
      <c r="C1225" s="1" t="s">
        <v>66</v>
      </c>
      <c r="D1225" s="1" t="s">
        <v>762</v>
      </c>
      <c r="E1225" s="1" t="n">
        <v>2</v>
      </c>
      <c r="F1225" s="1" t="s">
        <v>4144</v>
      </c>
      <c r="G1225" s="1" t="s">
        <v>780</v>
      </c>
      <c r="H1225" s="1" t="s">
        <v>4145</v>
      </c>
      <c r="I1225" s="1" t="s">
        <v>218</v>
      </c>
      <c r="J1225" s="1" t="s">
        <v>310</v>
      </c>
      <c r="K1225" s="1" t="n">
        <v>19.99</v>
      </c>
      <c r="L1225" s="1" t="n">
        <v>4.5</v>
      </c>
      <c r="M1225" s="1" t="n">
        <v>56200</v>
      </c>
      <c r="N1225" s="4" t="b">
        <f aca="false">FALSE()</f>
        <v>0</v>
      </c>
      <c r="O1225" s="1" t="s">
        <v>4141</v>
      </c>
      <c r="P1225" s="4" t="b">
        <f aca="false">TRUE()</f>
        <v>1</v>
      </c>
      <c r="Q1225" s="1" t="s">
        <v>711</v>
      </c>
      <c r="R1225" s="1" t="s">
        <v>4142</v>
      </c>
      <c r="S1225" s="1" t="s">
        <v>4146</v>
      </c>
      <c r="T1225" s="1" t="s">
        <v>222</v>
      </c>
      <c r="U1225" s="1" t="s">
        <v>2102</v>
      </c>
    </row>
    <row r="1226" customFormat="false" ht="48" hidden="false" customHeight="true" outlineLevel="0" collapsed="false">
      <c r="A1226" s="1" t="s">
        <v>41</v>
      </c>
      <c r="B1226" s="1" t="s">
        <v>3712</v>
      </c>
      <c r="C1226" s="1" t="s">
        <v>66</v>
      </c>
      <c r="D1226" s="1" t="s">
        <v>762</v>
      </c>
      <c r="E1226" s="1" t="n">
        <v>3</v>
      </c>
      <c r="F1226" s="1" t="s">
        <v>4147</v>
      </c>
      <c r="G1226" s="1" t="s">
        <v>780</v>
      </c>
      <c r="H1226" s="1" t="s">
        <v>4148</v>
      </c>
      <c r="I1226" s="1" t="s">
        <v>231</v>
      </c>
      <c r="J1226" s="1" t="s">
        <v>310</v>
      </c>
      <c r="K1226" s="1" t="n">
        <v>24.99</v>
      </c>
      <c r="L1226" s="1" t="n">
        <v>4.5</v>
      </c>
      <c r="M1226" s="1" t="n">
        <v>56200</v>
      </c>
      <c r="N1226" s="4" t="b">
        <f aca="false">FALSE()</f>
        <v>0</v>
      </c>
      <c r="O1226" s="1" t="s">
        <v>4089</v>
      </c>
      <c r="P1226" s="4" t="b">
        <f aca="false">TRUE()</f>
        <v>1</v>
      </c>
      <c r="Q1226" s="1" t="s">
        <v>711</v>
      </c>
      <c r="R1226" s="1" t="s">
        <v>4142</v>
      </c>
      <c r="S1226" s="1" t="s">
        <v>4149</v>
      </c>
      <c r="T1226" s="1" t="s">
        <v>222</v>
      </c>
      <c r="U1226" s="1" t="s">
        <v>2102</v>
      </c>
    </row>
    <row r="1227" customFormat="false" ht="48" hidden="false" customHeight="true" outlineLevel="0" collapsed="false">
      <c r="A1227" s="1" t="s">
        <v>41</v>
      </c>
      <c r="B1227" s="1" t="s">
        <v>3712</v>
      </c>
      <c r="C1227" s="1" t="s">
        <v>66</v>
      </c>
      <c r="D1227" s="1" t="s">
        <v>762</v>
      </c>
      <c r="E1227" s="1" t="n">
        <v>4</v>
      </c>
      <c r="F1227" s="1" t="s">
        <v>803</v>
      </c>
      <c r="G1227" s="1" t="s">
        <v>236</v>
      </c>
      <c r="H1227" s="1" t="s">
        <v>4150</v>
      </c>
      <c r="I1227" s="1" t="s">
        <v>231</v>
      </c>
      <c r="J1227" s="1" t="s">
        <v>310</v>
      </c>
      <c r="K1227" s="1" t="n">
        <v>18.99</v>
      </c>
      <c r="L1227" s="1" t="n">
        <v>4.6</v>
      </c>
      <c r="M1227" s="1" t="n">
        <v>17800</v>
      </c>
      <c r="N1227" s="4" t="b">
        <f aca="false">FALSE()</f>
        <v>0</v>
      </c>
      <c r="O1227" s="1" t="s">
        <v>4151</v>
      </c>
      <c r="P1227" s="4" t="b">
        <f aca="false">TRUE()</f>
        <v>1</v>
      </c>
      <c r="Q1227" s="1" t="s">
        <v>423</v>
      </c>
      <c r="R1227" s="1" t="s">
        <v>4142</v>
      </c>
      <c r="S1227" s="1" t="s">
        <v>4152</v>
      </c>
      <c r="T1227" s="1" t="s">
        <v>222</v>
      </c>
      <c r="U1227" s="1" t="s">
        <v>2102</v>
      </c>
    </row>
    <row r="1228" customFormat="false" ht="48" hidden="false" customHeight="true" outlineLevel="0" collapsed="false">
      <c r="A1228" s="1" t="s">
        <v>41</v>
      </c>
      <c r="B1228" s="1" t="s">
        <v>3712</v>
      </c>
      <c r="C1228" s="1" t="s">
        <v>66</v>
      </c>
      <c r="D1228" s="1" t="s">
        <v>762</v>
      </c>
      <c r="E1228" s="1" t="n">
        <v>5</v>
      </c>
      <c r="F1228" s="1" t="s">
        <v>4153</v>
      </c>
      <c r="G1228" s="1" t="s">
        <v>236</v>
      </c>
      <c r="H1228" s="1" t="s">
        <v>4154</v>
      </c>
      <c r="I1228" s="1" t="s">
        <v>218</v>
      </c>
      <c r="J1228" s="1" t="s">
        <v>597</v>
      </c>
      <c r="K1228" s="1" t="n">
        <v>32.39</v>
      </c>
      <c r="L1228" s="1" t="n">
        <v>4.4</v>
      </c>
      <c r="M1228" s="1" t="n">
        <v>383</v>
      </c>
      <c r="N1228" s="4" t="b">
        <f aca="false">FALSE()</f>
        <v>0</v>
      </c>
      <c r="O1228" s="1" t="s">
        <v>4155</v>
      </c>
      <c r="P1228" s="4" t="b">
        <f aca="false">TRUE()</f>
        <v>1</v>
      </c>
      <c r="Q1228" s="1" t="s">
        <v>435</v>
      </c>
      <c r="R1228" s="1" t="s">
        <v>4142</v>
      </c>
      <c r="S1228" s="1" t="s">
        <v>4156</v>
      </c>
      <c r="T1228" s="1" t="s">
        <v>222</v>
      </c>
      <c r="U1228" s="1" t="s">
        <v>2102</v>
      </c>
    </row>
    <row r="1229" customFormat="false" ht="48" hidden="false" customHeight="true" outlineLevel="0" collapsed="false">
      <c r="A1229" s="1" t="s">
        <v>41</v>
      </c>
      <c r="B1229" s="1" t="s">
        <v>3712</v>
      </c>
      <c r="C1229" s="1" t="s">
        <v>66</v>
      </c>
      <c r="D1229" s="1" t="s">
        <v>762</v>
      </c>
      <c r="E1229" s="1" t="n">
        <v>6</v>
      </c>
      <c r="F1229" s="1" t="s">
        <v>4157</v>
      </c>
      <c r="G1229" s="1" t="s">
        <v>780</v>
      </c>
      <c r="H1229" s="1" t="s">
        <v>4158</v>
      </c>
      <c r="I1229" s="1" t="s">
        <v>218</v>
      </c>
      <c r="J1229" s="1" t="s">
        <v>310</v>
      </c>
      <c r="K1229" s="1" t="n">
        <v>19.99</v>
      </c>
      <c r="L1229" s="1" t="n">
        <v>4.5</v>
      </c>
      <c r="M1229" s="1" t="n">
        <v>56200</v>
      </c>
      <c r="N1229" s="4" t="b">
        <f aca="false">FALSE()</f>
        <v>0</v>
      </c>
      <c r="O1229" s="1" t="s">
        <v>4141</v>
      </c>
      <c r="P1229" s="4" t="b">
        <f aca="false">TRUE()</f>
        <v>1</v>
      </c>
      <c r="Q1229" s="1" t="s">
        <v>711</v>
      </c>
      <c r="R1229" s="1" t="s">
        <v>4142</v>
      </c>
      <c r="S1229" s="1" t="s">
        <v>4159</v>
      </c>
      <c r="T1229" s="1" t="s">
        <v>222</v>
      </c>
      <c r="U1229" s="1" t="s">
        <v>2102</v>
      </c>
    </row>
    <row r="1230" customFormat="false" ht="48" hidden="false" customHeight="true" outlineLevel="0" collapsed="false">
      <c r="A1230" s="1" t="s">
        <v>41</v>
      </c>
      <c r="B1230" s="1" t="s">
        <v>3712</v>
      </c>
      <c r="C1230" s="1" t="s">
        <v>66</v>
      </c>
      <c r="D1230" s="1" t="s">
        <v>762</v>
      </c>
      <c r="E1230" s="1" t="n">
        <v>7</v>
      </c>
      <c r="F1230" s="1" t="s">
        <v>4160</v>
      </c>
      <c r="G1230" s="1" t="s">
        <v>780</v>
      </c>
      <c r="H1230" s="1" t="s">
        <v>4161</v>
      </c>
      <c r="I1230" s="1" t="s">
        <v>231</v>
      </c>
      <c r="J1230" s="1" t="s">
        <v>310</v>
      </c>
      <c r="K1230" s="1" t="n">
        <v>24.99</v>
      </c>
      <c r="L1230" s="1" t="n">
        <v>4.5</v>
      </c>
      <c r="M1230" s="1" t="n">
        <v>56200</v>
      </c>
      <c r="N1230" s="4" t="b">
        <f aca="false">FALSE()</f>
        <v>0</v>
      </c>
      <c r="O1230" s="1" t="s">
        <v>4089</v>
      </c>
      <c r="P1230" s="4" t="b">
        <f aca="false">TRUE()</f>
        <v>1</v>
      </c>
      <c r="Q1230" s="1" t="s">
        <v>439</v>
      </c>
      <c r="R1230" s="1" t="s">
        <v>4142</v>
      </c>
      <c r="S1230" s="1" t="s">
        <v>4162</v>
      </c>
      <c r="T1230" s="1" t="s">
        <v>222</v>
      </c>
      <c r="U1230" s="1" t="s">
        <v>2102</v>
      </c>
    </row>
    <row r="1231" customFormat="false" ht="48" hidden="false" customHeight="true" outlineLevel="0" collapsed="false">
      <c r="A1231" s="1" t="s">
        <v>41</v>
      </c>
      <c r="B1231" s="1" t="s">
        <v>3712</v>
      </c>
      <c r="C1231" s="1" t="s">
        <v>66</v>
      </c>
      <c r="D1231" s="1" t="s">
        <v>762</v>
      </c>
      <c r="E1231" s="1" t="n">
        <v>8</v>
      </c>
      <c r="F1231" s="1" t="s">
        <v>4163</v>
      </c>
      <c r="G1231" s="1" t="s">
        <v>236</v>
      </c>
      <c r="H1231" s="1" t="s">
        <v>4164</v>
      </c>
      <c r="I1231" s="1" t="s">
        <v>218</v>
      </c>
      <c r="J1231" s="1" t="s">
        <v>310</v>
      </c>
      <c r="K1231" s="1" t="n">
        <v>8.99</v>
      </c>
      <c r="L1231" s="1" t="n">
        <v>4.6</v>
      </c>
      <c r="M1231" s="1" t="n">
        <v>594</v>
      </c>
      <c r="N1231" s="4" t="b">
        <f aca="false">FALSE()</f>
        <v>0</v>
      </c>
      <c r="O1231" s="1" t="s">
        <v>4165</v>
      </c>
      <c r="P1231" s="4" t="b">
        <f aca="false">TRUE()</f>
        <v>1</v>
      </c>
      <c r="Q1231" s="1" t="s">
        <v>439</v>
      </c>
      <c r="R1231" s="1" t="s">
        <v>4142</v>
      </c>
      <c r="S1231" s="1" t="s">
        <v>4166</v>
      </c>
      <c r="T1231" s="1" t="s">
        <v>222</v>
      </c>
      <c r="U1231" s="1" t="s">
        <v>2102</v>
      </c>
    </row>
    <row r="1232" customFormat="false" ht="48" hidden="false" customHeight="true" outlineLevel="0" collapsed="false">
      <c r="A1232" s="1" t="s">
        <v>41</v>
      </c>
      <c r="B1232" s="1" t="s">
        <v>3712</v>
      </c>
      <c r="C1232" s="1" t="s">
        <v>66</v>
      </c>
      <c r="D1232" s="1" t="s">
        <v>762</v>
      </c>
      <c r="E1232" s="1" t="n">
        <v>9</v>
      </c>
      <c r="F1232" s="1" t="s">
        <v>2661</v>
      </c>
      <c r="G1232" s="1" t="s">
        <v>236</v>
      </c>
      <c r="H1232" s="1" t="s">
        <v>4167</v>
      </c>
      <c r="I1232" s="1" t="s">
        <v>218</v>
      </c>
      <c r="J1232" s="1" t="s">
        <v>310</v>
      </c>
      <c r="L1232" s="1" t="n">
        <v>4.6</v>
      </c>
      <c r="M1232" s="1" t="n">
        <v>144200</v>
      </c>
      <c r="N1232" s="4" t="b">
        <f aca="false">FALSE()</f>
        <v>0</v>
      </c>
      <c r="P1232" s="4" t="b">
        <f aca="false">TRUE()</f>
        <v>1</v>
      </c>
      <c r="Q1232" s="1" t="s">
        <v>312</v>
      </c>
      <c r="R1232" s="1" t="s">
        <v>4142</v>
      </c>
      <c r="S1232" s="1" t="s">
        <v>4168</v>
      </c>
      <c r="T1232" s="1" t="s">
        <v>222</v>
      </c>
      <c r="U1232" s="1" t="s">
        <v>2102</v>
      </c>
    </row>
    <row r="1233" customFormat="false" ht="48" hidden="false" customHeight="true" outlineLevel="0" collapsed="false">
      <c r="A1233" s="1" t="s">
        <v>41</v>
      </c>
      <c r="B1233" s="1" t="s">
        <v>3712</v>
      </c>
      <c r="C1233" s="1" t="s">
        <v>66</v>
      </c>
      <c r="D1233" s="1" t="s">
        <v>762</v>
      </c>
      <c r="E1233" s="1" t="n">
        <v>10</v>
      </c>
      <c r="F1233" s="1" t="s">
        <v>4169</v>
      </c>
      <c r="G1233" s="1" t="s">
        <v>780</v>
      </c>
      <c r="H1233" s="1" t="s">
        <v>4170</v>
      </c>
      <c r="I1233" s="1" t="s">
        <v>218</v>
      </c>
      <c r="J1233" s="1" t="s">
        <v>310</v>
      </c>
      <c r="K1233" s="1" t="n">
        <v>19.99</v>
      </c>
      <c r="L1233" s="1" t="n">
        <v>4.5</v>
      </c>
      <c r="M1233" s="1" t="n">
        <v>56200</v>
      </c>
      <c r="N1233" s="4" t="b">
        <f aca="false">FALSE()</f>
        <v>0</v>
      </c>
      <c r="O1233" s="1" t="s">
        <v>4141</v>
      </c>
      <c r="P1233" s="4" t="b">
        <f aca="false">TRUE()</f>
        <v>1</v>
      </c>
      <c r="Q1233" s="1" t="s">
        <v>618</v>
      </c>
      <c r="R1233" s="1" t="s">
        <v>4142</v>
      </c>
      <c r="S1233" s="1" t="s">
        <v>4171</v>
      </c>
      <c r="T1233" s="1" t="s">
        <v>222</v>
      </c>
      <c r="U1233" s="1" t="s">
        <v>2102</v>
      </c>
    </row>
    <row r="1234" customFormat="false" ht="48" hidden="false" customHeight="true" outlineLevel="0" collapsed="false">
      <c r="A1234" s="1" t="s">
        <v>41</v>
      </c>
      <c r="B1234" s="1" t="s">
        <v>3712</v>
      </c>
      <c r="C1234" s="1" t="s">
        <v>66</v>
      </c>
      <c r="D1234" s="1" t="s">
        <v>762</v>
      </c>
      <c r="E1234" s="1" t="n">
        <v>11</v>
      </c>
      <c r="F1234" s="1" t="s">
        <v>4172</v>
      </c>
      <c r="G1234" s="1" t="s">
        <v>4173</v>
      </c>
      <c r="H1234" s="1" t="s">
        <v>4174</v>
      </c>
      <c r="I1234" s="1" t="s">
        <v>218</v>
      </c>
      <c r="J1234" s="1" t="s">
        <v>310</v>
      </c>
      <c r="K1234" s="1" t="n">
        <v>17.2</v>
      </c>
      <c r="L1234" s="1" t="n">
        <v>4.6</v>
      </c>
      <c r="M1234" s="1" t="n">
        <v>716</v>
      </c>
      <c r="N1234" s="4" t="b">
        <f aca="false">FALSE()</f>
        <v>0</v>
      </c>
      <c r="P1234" s="4" t="b">
        <f aca="false">TRUE()</f>
        <v>1</v>
      </c>
      <c r="R1234" s="1" t="s">
        <v>4142</v>
      </c>
      <c r="S1234" s="1" t="s">
        <v>4175</v>
      </c>
      <c r="T1234" s="1" t="s">
        <v>222</v>
      </c>
      <c r="U1234" s="1" t="s">
        <v>2102</v>
      </c>
    </row>
    <row r="1235" customFormat="false" ht="48" hidden="false" customHeight="true" outlineLevel="0" collapsed="false">
      <c r="A1235" s="1" t="s">
        <v>41</v>
      </c>
      <c r="B1235" s="1" t="s">
        <v>3712</v>
      </c>
      <c r="C1235" s="1" t="s">
        <v>66</v>
      </c>
      <c r="D1235" s="1" t="s">
        <v>762</v>
      </c>
      <c r="E1235" s="1" t="n">
        <v>12</v>
      </c>
      <c r="F1235" s="1" t="s">
        <v>4176</v>
      </c>
      <c r="G1235" s="1" t="s">
        <v>236</v>
      </c>
      <c r="H1235" s="1" t="s">
        <v>4177</v>
      </c>
      <c r="I1235" s="1" t="s">
        <v>218</v>
      </c>
      <c r="J1235" s="1" t="s">
        <v>371</v>
      </c>
      <c r="K1235" s="1" t="n">
        <v>11.99</v>
      </c>
      <c r="L1235" s="1" t="n">
        <v>4.6</v>
      </c>
      <c r="M1235" s="1" t="n">
        <v>5900</v>
      </c>
      <c r="N1235" s="4" t="b">
        <f aca="false">FALSE()</f>
        <v>0</v>
      </c>
      <c r="P1235" s="4" t="b">
        <f aca="false">TRUE()</f>
        <v>1</v>
      </c>
      <c r="Q1235" s="1" t="s">
        <v>711</v>
      </c>
      <c r="R1235" s="1" t="s">
        <v>4142</v>
      </c>
      <c r="S1235" s="1" t="s">
        <v>4178</v>
      </c>
      <c r="T1235" s="1" t="s">
        <v>222</v>
      </c>
      <c r="U1235" s="1" t="s">
        <v>2102</v>
      </c>
    </row>
    <row r="1236" customFormat="false" ht="48" hidden="false" customHeight="true" outlineLevel="0" collapsed="false">
      <c r="A1236" s="1" t="s">
        <v>41</v>
      </c>
      <c r="B1236" s="1" t="s">
        <v>3712</v>
      </c>
      <c r="C1236" s="1" t="s">
        <v>66</v>
      </c>
      <c r="D1236" s="1" t="s">
        <v>762</v>
      </c>
      <c r="E1236" s="1" t="n">
        <v>13</v>
      </c>
      <c r="F1236" s="1" t="s">
        <v>4179</v>
      </c>
      <c r="G1236" s="1" t="s">
        <v>236</v>
      </c>
      <c r="H1236" s="1" t="s">
        <v>4180</v>
      </c>
      <c r="I1236" s="1" t="s">
        <v>218</v>
      </c>
      <c r="J1236" s="1" t="s">
        <v>597</v>
      </c>
      <c r="K1236" s="1" t="n">
        <v>34.99</v>
      </c>
      <c r="L1236" s="1" t="n">
        <v>4.4</v>
      </c>
      <c r="M1236" s="1" t="n">
        <v>1500</v>
      </c>
      <c r="N1236" s="4" t="b">
        <f aca="false">FALSE()</f>
        <v>0</v>
      </c>
      <c r="O1236" s="1" t="s">
        <v>548</v>
      </c>
      <c r="P1236" s="4" t="b">
        <f aca="false">TRUE()</f>
        <v>1</v>
      </c>
      <c r="Q1236" s="1" t="s">
        <v>435</v>
      </c>
      <c r="R1236" s="1" t="s">
        <v>4142</v>
      </c>
      <c r="S1236" s="1" t="s">
        <v>4181</v>
      </c>
      <c r="T1236" s="1" t="s">
        <v>222</v>
      </c>
      <c r="U1236" s="1" t="s">
        <v>2102</v>
      </c>
    </row>
    <row r="1237" customFormat="false" ht="48" hidden="false" customHeight="true" outlineLevel="0" collapsed="false">
      <c r="A1237" s="1" t="s">
        <v>41</v>
      </c>
      <c r="B1237" s="1" t="s">
        <v>3712</v>
      </c>
      <c r="C1237" s="1" t="s">
        <v>66</v>
      </c>
      <c r="D1237" s="1" t="s">
        <v>762</v>
      </c>
      <c r="E1237" s="1" t="n">
        <v>14</v>
      </c>
      <c r="F1237" s="1" t="s">
        <v>4182</v>
      </c>
      <c r="G1237" s="1" t="s">
        <v>236</v>
      </c>
      <c r="H1237" s="1" t="s">
        <v>4183</v>
      </c>
      <c r="I1237" s="1" t="s">
        <v>231</v>
      </c>
      <c r="J1237" s="1" t="s">
        <v>310</v>
      </c>
      <c r="K1237" s="1" t="n">
        <v>17.99</v>
      </c>
      <c r="L1237" s="1" t="n">
        <v>4.6</v>
      </c>
      <c r="M1237" s="1" t="n">
        <v>144200</v>
      </c>
      <c r="N1237" s="4" t="b">
        <f aca="false">FALSE()</f>
        <v>0</v>
      </c>
      <c r="P1237" s="4" t="b">
        <f aca="false">TRUE()</f>
        <v>1</v>
      </c>
      <c r="Q1237" s="1" t="s">
        <v>1429</v>
      </c>
      <c r="R1237" s="1" t="s">
        <v>4142</v>
      </c>
      <c r="S1237" s="1" t="s">
        <v>4184</v>
      </c>
      <c r="T1237" s="1" t="s">
        <v>222</v>
      </c>
      <c r="U1237" s="1" t="s">
        <v>2102</v>
      </c>
    </row>
    <row r="1238" customFormat="false" ht="48" hidden="false" customHeight="true" outlineLevel="0" collapsed="false">
      <c r="A1238" s="1" t="s">
        <v>41</v>
      </c>
      <c r="B1238" s="1" t="s">
        <v>3712</v>
      </c>
      <c r="C1238" s="1" t="s">
        <v>66</v>
      </c>
      <c r="D1238" s="1" t="s">
        <v>762</v>
      </c>
      <c r="E1238" s="1" t="n">
        <v>15</v>
      </c>
      <c r="F1238" s="1" t="s">
        <v>4185</v>
      </c>
      <c r="G1238" s="1" t="s">
        <v>236</v>
      </c>
      <c r="H1238" s="1" t="s">
        <v>4186</v>
      </c>
      <c r="I1238" s="1" t="s">
        <v>242</v>
      </c>
      <c r="J1238" s="1" t="s">
        <v>310</v>
      </c>
      <c r="K1238" s="1" t="n">
        <v>16.99</v>
      </c>
      <c r="L1238" s="1" t="n">
        <v>4.5</v>
      </c>
      <c r="M1238" s="1" t="n">
        <v>33700</v>
      </c>
      <c r="N1238" s="4" t="b">
        <f aca="false">FALSE()</f>
        <v>0</v>
      </c>
      <c r="P1238" s="4" t="b">
        <f aca="false">TRUE()</f>
        <v>1</v>
      </c>
      <c r="Q1238" s="1" t="s">
        <v>777</v>
      </c>
      <c r="R1238" s="1" t="s">
        <v>4142</v>
      </c>
      <c r="S1238" s="1" t="s">
        <v>4187</v>
      </c>
      <c r="T1238" s="1" t="s">
        <v>222</v>
      </c>
      <c r="U1238" s="1" t="s">
        <v>2102</v>
      </c>
    </row>
    <row r="1239" customFormat="false" ht="48" hidden="false" customHeight="true" outlineLevel="0" collapsed="false">
      <c r="A1239" s="1" t="s">
        <v>41</v>
      </c>
      <c r="B1239" s="1" t="s">
        <v>3712</v>
      </c>
      <c r="C1239" s="1" t="s">
        <v>66</v>
      </c>
      <c r="D1239" s="1" t="s">
        <v>762</v>
      </c>
      <c r="E1239" s="1" t="n">
        <v>16</v>
      </c>
      <c r="F1239" s="1" t="s">
        <v>4188</v>
      </c>
      <c r="G1239" s="1" t="s">
        <v>677</v>
      </c>
      <c r="H1239" s="1" t="s">
        <v>4189</v>
      </c>
      <c r="I1239" s="1" t="s">
        <v>231</v>
      </c>
      <c r="J1239" s="1" t="s">
        <v>597</v>
      </c>
      <c r="K1239" s="1" t="n">
        <v>29.99</v>
      </c>
      <c r="L1239" s="1" t="n">
        <v>4.5</v>
      </c>
      <c r="M1239" s="1" t="n">
        <v>23200</v>
      </c>
      <c r="N1239" s="4" t="b">
        <f aca="false">FALSE()</f>
        <v>0</v>
      </c>
      <c r="O1239" s="1" t="s">
        <v>1441</v>
      </c>
      <c r="P1239" s="4" t="b">
        <f aca="false">TRUE()</f>
        <v>1</v>
      </c>
      <c r="Q1239" s="1" t="s">
        <v>711</v>
      </c>
      <c r="R1239" s="1" t="s">
        <v>4142</v>
      </c>
      <c r="S1239" s="1" t="s">
        <v>4190</v>
      </c>
      <c r="T1239" s="1" t="s">
        <v>222</v>
      </c>
      <c r="U1239" s="1" t="s">
        <v>2102</v>
      </c>
    </row>
    <row r="1240" customFormat="false" ht="48" hidden="false" customHeight="true" outlineLevel="0" collapsed="false">
      <c r="A1240" s="1" t="s">
        <v>41</v>
      </c>
      <c r="B1240" s="1" t="s">
        <v>3712</v>
      </c>
      <c r="C1240" s="1" t="s">
        <v>66</v>
      </c>
      <c r="D1240" s="1" t="s">
        <v>762</v>
      </c>
      <c r="E1240" s="1" t="n">
        <v>17</v>
      </c>
      <c r="F1240" s="1" t="s">
        <v>4191</v>
      </c>
      <c r="G1240" s="1" t="s">
        <v>236</v>
      </c>
      <c r="H1240" s="1" t="s">
        <v>4192</v>
      </c>
      <c r="I1240" s="1" t="s">
        <v>218</v>
      </c>
      <c r="J1240" s="1" t="s">
        <v>597</v>
      </c>
      <c r="K1240" s="1" t="n">
        <v>29.74</v>
      </c>
      <c r="L1240" s="1" t="n">
        <v>4.5</v>
      </c>
      <c r="M1240" s="1" t="n">
        <v>1500</v>
      </c>
      <c r="N1240" s="4" t="b">
        <f aca="false">FALSE()</f>
        <v>0</v>
      </c>
      <c r="O1240" s="1" t="s">
        <v>1434</v>
      </c>
      <c r="P1240" s="4" t="b">
        <f aca="false">TRUE()</f>
        <v>1</v>
      </c>
      <c r="R1240" s="1" t="s">
        <v>4142</v>
      </c>
      <c r="S1240" s="1" t="s">
        <v>4193</v>
      </c>
      <c r="T1240" s="1" t="s">
        <v>222</v>
      </c>
      <c r="U1240" s="1" t="s">
        <v>2102</v>
      </c>
    </row>
    <row r="1241" customFormat="false" ht="48" hidden="false" customHeight="true" outlineLevel="0" collapsed="false">
      <c r="A1241" s="1" t="s">
        <v>41</v>
      </c>
      <c r="B1241" s="1" t="s">
        <v>3712</v>
      </c>
      <c r="C1241" s="1" t="s">
        <v>66</v>
      </c>
      <c r="D1241" s="1" t="s">
        <v>762</v>
      </c>
      <c r="E1241" s="1" t="n">
        <v>18</v>
      </c>
      <c r="F1241" s="1" t="s">
        <v>4194</v>
      </c>
      <c r="G1241" s="1" t="s">
        <v>780</v>
      </c>
      <c r="H1241" s="1" t="s">
        <v>4195</v>
      </c>
      <c r="I1241" s="1" t="s">
        <v>218</v>
      </c>
      <c r="J1241" s="1" t="s">
        <v>310</v>
      </c>
      <c r="K1241" s="1" t="n">
        <v>19.99</v>
      </c>
      <c r="L1241" s="1" t="n">
        <v>4.5</v>
      </c>
      <c r="M1241" s="1" t="n">
        <v>56200</v>
      </c>
      <c r="N1241" s="4" t="b">
        <f aca="false">FALSE()</f>
        <v>0</v>
      </c>
      <c r="O1241" s="1" t="s">
        <v>4141</v>
      </c>
      <c r="P1241" s="4" t="b">
        <f aca="false">TRUE()</f>
        <v>1</v>
      </c>
      <c r="Q1241" s="1" t="s">
        <v>711</v>
      </c>
      <c r="R1241" s="1" t="s">
        <v>4142</v>
      </c>
      <c r="S1241" s="1" t="s">
        <v>4196</v>
      </c>
      <c r="T1241" s="1" t="s">
        <v>222</v>
      </c>
      <c r="U1241" s="1" t="s">
        <v>2102</v>
      </c>
    </row>
    <row r="1242" customFormat="false" ht="48" hidden="false" customHeight="true" outlineLevel="0" collapsed="false">
      <c r="A1242" s="1" t="s">
        <v>41</v>
      </c>
      <c r="B1242" s="1" t="s">
        <v>3712</v>
      </c>
      <c r="C1242" s="1" t="s">
        <v>66</v>
      </c>
      <c r="D1242" s="1" t="s">
        <v>762</v>
      </c>
      <c r="E1242" s="1" t="n">
        <v>19</v>
      </c>
      <c r="F1242" s="1" t="s">
        <v>4197</v>
      </c>
      <c r="G1242" s="1" t="s">
        <v>780</v>
      </c>
      <c r="H1242" s="1" t="s">
        <v>4198</v>
      </c>
      <c r="I1242" s="1" t="s">
        <v>231</v>
      </c>
      <c r="J1242" s="1" t="s">
        <v>310</v>
      </c>
      <c r="K1242" s="1" t="n">
        <v>24.99</v>
      </c>
      <c r="L1242" s="1" t="n">
        <v>4.5</v>
      </c>
      <c r="M1242" s="1" t="n">
        <v>56200</v>
      </c>
      <c r="N1242" s="4" t="b">
        <f aca="false">FALSE()</f>
        <v>0</v>
      </c>
      <c r="P1242" s="4" t="b">
        <f aca="false">TRUE()</f>
        <v>1</v>
      </c>
      <c r="Q1242" s="1" t="s">
        <v>439</v>
      </c>
      <c r="R1242" s="1" t="s">
        <v>4142</v>
      </c>
      <c r="S1242" s="1" t="s">
        <v>4199</v>
      </c>
      <c r="T1242" s="1" t="s">
        <v>222</v>
      </c>
      <c r="U1242" s="1" t="s">
        <v>2102</v>
      </c>
    </row>
    <row r="1243" customFormat="false" ht="48" hidden="false" customHeight="true" outlineLevel="0" collapsed="false">
      <c r="A1243" s="1" t="s">
        <v>41</v>
      </c>
      <c r="B1243" s="1" t="s">
        <v>3712</v>
      </c>
      <c r="C1243" s="1" t="s">
        <v>66</v>
      </c>
      <c r="D1243" s="1" t="s">
        <v>762</v>
      </c>
      <c r="E1243" s="1" t="n">
        <v>20</v>
      </c>
      <c r="F1243" s="1" t="s">
        <v>4200</v>
      </c>
      <c r="G1243" s="1" t="s">
        <v>236</v>
      </c>
      <c r="H1243" s="1" t="s">
        <v>4201</v>
      </c>
      <c r="I1243" s="1" t="s">
        <v>231</v>
      </c>
      <c r="J1243" s="1" t="s">
        <v>310</v>
      </c>
      <c r="K1243" s="1" t="n">
        <v>19.49</v>
      </c>
      <c r="L1243" s="1" t="n">
        <v>4.6</v>
      </c>
      <c r="M1243" s="1" t="n">
        <v>14900</v>
      </c>
      <c r="N1243" s="4" t="b">
        <f aca="false">FALSE()</f>
        <v>0</v>
      </c>
      <c r="P1243" s="4" t="b">
        <f aca="false">TRUE()</f>
        <v>1</v>
      </c>
      <c r="Q1243" s="1" t="s">
        <v>251</v>
      </c>
      <c r="R1243" s="1" t="s">
        <v>4142</v>
      </c>
      <c r="S1243" s="1" t="s">
        <v>4202</v>
      </c>
      <c r="T1243" s="1" t="s">
        <v>222</v>
      </c>
      <c r="U1243" s="1" t="s">
        <v>2102</v>
      </c>
    </row>
    <row r="1244" customFormat="false" ht="48" hidden="false" customHeight="true" outlineLevel="0" collapsed="false">
      <c r="A1244" s="1" t="s">
        <v>41</v>
      </c>
      <c r="B1244" s="1" t="s">
        <v>3712</v>
      </c>
      <c r="C1244" s="1" t="s">
        <v>66</v>
      </c>
      <c r="D1244" s="1" t="s">
        <v>762</v>
      </c>
      <c r="E1244" s="1" t="n">
        <v>21</v>
      </c>
      <c r="F1244" s="1" t="s">
        <v>4203</v>
      </c>
      <c r="G1244" s="1" t="s">
        <v>677</v>
      </c>
      <c r="H1244" s="1" t="s">
        <v>4204</v>
      </c>
      <c r="I1244" s="1" t="s">
        <v>218</v>
      </c>
      <c r="J1244" s="1" t="s">
        <v>597</v>
      </c>
      <c r="K1244" s="1" t="n">
        <v>27.99</v>
      </c>
      <c r="L1244" s="1" t="n">
        <v>4.4</v>
      </c>
      <c r="M1244" s="1" t="n">
        <v>4000</v>
      </c>
      <c r="N1244" s="4" t="b">
        <f aca="false">FALSE()</f>
        <v>0</v>
      </c>
      <c r="O1244" s="1" t="s">
        <v>4205</v>
      </c>
      <c r="P1244" s="4" t="b">
        <f aca="false">TRUE()</f>
        <v>1</v>
      </c>
      <c r="Q1244" s="1" t="s">
        <v>711</v>
      </c>
      <c r="R1244" s="1" t="s">
        <v>4142</v>
      </c>
      <c r="S1244" s="1" t="s">
        <v>4206</v>
      </c>
      <c r="T1244" s="1" t="s">
        <v>222</v>
      </c>
      <c r="U1244" s="1" t="s">
        <v>2102</v>
      </c>
    </row>
    <row r="1245" customFormat="false" ht="48" hidden="false" customHeight="true" outlineLevel="0" collapsed="false">
      <c r="A1245" s="1" t="s">
        <v>41</v>
      </c>
      <c r="B1245" s="1" t="s">
        <v>3712</v>
      </c>
      <c r="C1245" s="1" t="s">
        <v>66</v>
      </c>
      <c r="D1245" s="1" t="s">
        <v>762</v>
      </c>
      <c r="E1245" s="1" t="n">
        <v>22</v>
      </c>
      <c r="F1245" s="1" t="s">
        <v>4207</v>
      </c>
      <c r="G1245" s="1" t="s">
        <v>236</v>
      </c>
      <c r="H1245" s="1" t="s">
        <v>4208</v>
      </c>
      <c r="I1245" s="1" t="s">
        <v>218</v>
      </c>
      <c r="J1245" s="1" t="s">
        <v>310</v>
      </c>
      <c r="K1245" s="1" t="n">
        <v>24.99</v>
      </c>
      <c r="L1245" s="1" t="n">
        <v>4.5</v>
      </c>
      <c r="M1245" s="1" t="n">
        <v>464600</v>
      </c>
      <c r="N1245" s="4" t="b">
        <f aca="false">FALSE()</f>
        <v>0</v>
      </c>
      <c r="O1245" s="1" t="s">
        <v>311</v>
      </c>
      <c r="P1245" s="4" t="b">
        <f aca="false">TRUE()</f>
        <v>1</v>
      </c>
      <c r="Q1245" s="1" t="s">
        <v>4209</v>
      </c>
      <c r="R1245" s="1" t="s">
        <v>4142</v>
      </c>
      <c r="S1245" s="1" t="s">
        <v>4210</v>
      </c>
      <c r="T1245" s="1" t="s">
        <v>222</v>
      </c>
      <c r="U1245" s="1" t="s">
        <v>2102</v>
      </c>
    </row>
    <row r="1246" customFormat="false" ht="48" hidden="false" customHeight="true" outlineLevel="0" collapsed="false">
      <c r="A1246" s="1" t="s">
        <v>41</v>
      </c>
      <c r="B1246" s="1" t="s">
        <v>3712</v>
      </c>
      <c r="C1246" s="1" t="s">
        <v>66</v>
      </c>
      <c r="D1246" s="1" t="s">
        <v>762</v>
      </c>
      <c r="E1246" s="1" t="n">
        <v>23</v>
      </c>
      <c r="F1246" s="1" t="s">
        <v>4211</v>
      </c>
      <c r="G1246" s="1" t="s">
        <v>236</v>
      </c>
      <c r="H1246" s="1" t="s">
        <v>4212</v>
      </c>
      <c r="I1246" s="1" t="s">
        <v>289</v>
      </c>
      <c r="J1246" s="1" t="s">
        <v>310</v>
      </c>
      <c r="K1246" s="1" t="n">
        <v>14.99</v>
      </c>
      <c r="L1246" s="1" t="n">
        <v>4.5</v>
      </c>
      <c r="M1246" s="1" t="n">
        <v>33700</v>
      </c>
      <c r="N1246" s="4" t="b">
        <f aca="false">FALSE()</f>
        <v>0</v>
      </c>
      <c r="P1246" s="4" t="b">
        <f aca="false">TRUE()</f>
        <v>1</v>
      </c>
      <c r="Q1246" s="1" t="s">
        <v>435</v>
      </c>
      <c r="R1246" s="1" t="s">
        <v>4142</v>
      </c>
      <c r="S1246" s="1" t="s">
        <v>4213</v>
      </c>
      <c r="T1246" s="1" t="s">
        <v>222</v>
      </c>
      <c r="U1246" s="1" t="s">
        <v>2102</v>
      </c>
    </row>
    <row r="1247" customFormat="false" ht="48" hidden="false" customHeight="true" outlineLevel="0" collapsed="false">
      <c r="A1247" s="1" t="s">
        <v>41</v>
      </c>
      <c r="B1247" s="1" t="s">
        <v>3712</v>
      </c>
      <c r="C1247" s="1" t="s">
        <v>66</v>
      </c>
      <c r="D1247" s="1" t="s">
        <v>762</v>
      </c>
      <c r="E1247" s="1" t="n">
        <v>24</v>
      </c>
      <c r="F1247" s="1" t="s">
        <v>4214</v>
      </c>
      <c r="G1247" s="1" t="s">
        <v>236</v>
      </c>
      <c r="H1247" s="1" t="s">
        <v>4215</v>
      </c>
      <c r="I1247" s="1" t="s">
        <v>218</v>
      </c>
      <c r="J1247" s="1" t="s">
        <v>310</v>
      </c>
      <c r="K1247" s="1" t="n">
        <v>17.54</v>
      </c>
      <c r="L1247" s="1" t="n">
        <v>4.6</v>
      </c>
      <c r="M1247" s="1" t="n">
        <v>25100</v>
      </c>
      <c r="N1247" s="4" t="b">
        <f aca="false">FALSE()</f>
        <v>0</v>
      </c>
      <c r="O1247" s="1" t="s">
        <v>776</v>
      </c>
      <c r="P1247" s="4" t="b">
        <f aca="false">TRUE()</f>
        <v>1</v>
      </c>
      <c r="Q1247" s="1" t="s">
        <v>233</v>
      </c>
      <c r="R1247" s="1" t="s">
        <v>4142</v>
      </c>
      <c r="S1247" s="1" t="s">
        <v>4216</v>
      </c>
      <c r="T1247" s="1" t="s">
        <v>222</v>
      </c>
      <c r="U1247" s="1" t="s">
        <v>2102</v>
      </c>
    </row>
    <row r="1248" customFormat="false" ht="48" hidden="false" customHeight="true" outlineLevel="0" collapsed="false">
      <c r="A1248" s="1" t="s">
        <v>41</v>
      </c>
      <c r="B1248" s="1" t="s">
        <v>3712</v>
      </c>
      <c r="C1248" s="1" t="s">
        <v>66</v>
      </c>
      <c r="D1248" s="1" t="s">
        <v>762</v>
      </c>
      <c r="E1248" s="1" t="n">
        <v>25</v>
      </c>
      <c r="F1248" s="1" t="s">
        <v>4217</v>
      </c>
      <c r="G1248" s="1" t="s">
        <v>236</v>
      </c>
      <c r="H1248" s="1" t="s">
        <v>4218</v>
      </c>
      <c r="I1248" s="1" t="s">
        <v>299</v>
      </c>
      <c r="J1248" s="1" t="s">
        <v>597</v>
      </c>
      <c r="K1248" s="1" t="n">
        <v>31.99</v>
      </c>
      <c r="L1248" s="1" t="n">
        <v>4.4</v>
      </c>
      <c r="M1248" s="1" t="n">
        <v>1500</v>
      </c>
      <c r="N1248" s="4" t="b">
        <f aca="false">FALSE()</f>
        <v>0</v>
      </c>
      <c r="P1248" s="4" t="b">
        <f aca="false">TRUE()</f>
        <v>1</v>
      </c>
      <c r="R1248" s="1" t="s">
        <v>4142</v>
      </c>
      <c r="S1248" s="1" t="s">
        <v>4219</v>
      </c>
      <c r="T1248" s="1" t="s">
        <v>222</v>
      </c>
      <c r="U1248" s="1" t="s">
        <v>2102</v>
      </c>
    </row>
    <row r="1249" customFormat="false" ht="48" hidden="false" customHeight="true" outlineLevel="0" collapsed="false">
      <c r="A1249" s="1" t="s">
        <v>41</v>
      </c>
      <c r="B1249" s="1" t="s">
        <v>3712</v>
      </c>
      <c r="C1249" s="1" t="s">
        <v>66</v>
      </c>
      <c r="D1249" s="1" t="s">
        <v>762</v>
      </c>
      <c r="E1249" s="1" t="n">
        <v>26</v>
      </c>
      <c r="F1249" s="1" t="s">
        <v>4220</v>
      </c>
      <c r="G1249" s="1" t="s">
        <v>677</v>
      </c>
      <c r="H1249" s="1" t="s">
        <v>4221</v>
      </c>
      <c r="I1249" s="1" t="s">
        <v>218</v>
      </c>
      <c r="J1249" s="1" t="s">
        <v>597</v>
      </c>
      <c r="K1249" s="1" t="n">
        <v>29.99</v>
      </c>
      <c r="L1249" s="1" t="n">
        <v>4.5</v>
      </c>
      <c r="M1249" s="1" t="n">
        <v>23200</v>
      </c>
      <c r="N1249" s="4" t="b">
        <f aca="false">FALSE()</f>
        <v>0</v>
      </c>
      <c r="O1249" s="1" t="s">
        <v>3980</v>
      </c>
      <c r="P1249" s="4" t="b">
        <f aca="false">TRUE()</f>
        <v>1</v>
      </c>
      <c r="Q1249" s="1" t="s">
        <v>233</v>
      </c>
      <c r="R1249" s="1" t="s">
        <v>4142</v>
      </c>
      <c r="S1249" s="1" t="s">
        <v>4222</v>
      </c>
      <c r="T1249" s="1" t="s">
        <v>222</v>
      </c>
      <c r="U1249" s="1" t="s">
        <v>2102</v>
      </c>
    </row>
    <row r="1250" customFormat="false" ht="48" hidden="false" customHeight="true" outlineLevel="0" collapsed="false">
      <c r="A1250" s="1" t="s">
        <v>41</v>
      </c>
      <c r="B1250" s="1" t="s">
        <v>3712</v>
      </c>
      <c r="C1250" s="1" t="s">
        <v>66</v>
      </c>
      <c r="D1250" s="1" t="s">
        <v>762</v>
      </c>
      <c r="E1250" s="1" t="n">
        <v>27</v>
      </c>
      <c r="F1250" s="1" t="s">
        <v>4223</v>
      </c>
      <c r="G1250" s="1" t="s">
        <v>236</v>
      </c>
      <c r="H1250" s="1" t="s">
        <v>4224</v>
      </c>
      <c r="I1250" s="1" t="s">
        <v>218</v>
      </c>
      <c r="J1250" s="1" t="s">
        <v>310</v>
      </c>
      <c r="K1250" s="1" t="n">
        <v>9.99</v>
      </c>
      <c r="L1250" s="1" t="n">
        <v>4.6</v>
      </c>
      <c r="M1250" s="1" t="n">
        <v>1700</v>
      </c>
      <c r="N1250" s="4" t="b">
        <f aca="false">FALSE()</f>
        <v>0</v>
      </c>
      <c r="P1250" s="4" t="b">
        <f aca="false">TRUE()</f>
        <v>1</v>
      </c>
      <c r="Q1250" s="1" t="s">
        <v>418</v>
      </c>
      <c r="R1250" s="1" t="s">
        <v>4142</v>
      </c>
      <c r="S1250" s="1" t="s">
        <v>4225</v>
      </c>
      <c r="T1250" s="1" t="s">
        <v>222</v>
      </c>
      <c r="U1250" s="1" t="s">
        <v>2102</v>
      </c>
    </row>
    <row r="1251" customFormat="false" ht="48" hidden="false" customHeight="true" outlineLevel="0" collapsed="false">
      <c r="A1251" s="1" t="s">
        <v>41</v>
      </c>
      <c r="B1251" s="1" t="s">
        <v>3712</v>
      </c>
      <c r="C1251" s="1" t="s">
        <v>66</v>
      </c>
      <c r="D1251" s="1" t="s">
        <v>762</v>
      </c>
      <c r="E1251" s="1" t="n">
        <v>28</v>
      </c>
      <c r="F1251" s="1" t="s">
        <v>4226</v>
      </c>
      <c r="G1251" s="1" t="s">
        <v>780</v>
      </c>
      <c r="H1251" s="1" t="s">
        <v>4227</v>
      </c>
      <c r="I1251" s="1" t="s">
        <v>218</v>
      </c>
      <c r="J1251" s="1" t="s">
        <v>310</v>
      </c>
      <c r="K1251" s="1" t="n">
        <v>39.99</v>
      </c>
      <c r="L1251" s="1" t="n">
        <v>4.4</v>
      </c>
      <c r="M1251" s="1" t="n">
        <v>106200</v>
      </c>
      <c r="N1251" s="4" t="b">
        <f aca="false">FALSE()</f>
        <v>0</v>
      </c>
      <c r="O1251" s="1" t="s">
        <v>3718</v>
      </c>
      <c r="P1251" s="4" t="b">
        <f aca="false">TRUE()</f>
        <v>1</v>
      </c>
      <c r="Q1251" s="1" t="s">
        <v>1840</v>
      </c>
      <c r="R1251" s="1" t="s">
        <v>4142</v>
      </c>
      <c r="S1251" s="1" t="s">
        <v>4228</v>
      </c>
      <c r="T1251" s="1" t="s">
        <v>222</v>
      </c>
      <c r="U1251" s="1" t="s">
        <v>2102</v>
      </c>
    </row>
    <row r="1252" customFormat="false" ht="48" hidden="false" customHeight="true" outlineLevel="0" collapsed="false">
      <c r="A1252" s="1" t="s">
        <v>41</v>
      </c>
      <c r="B1252" s="1" t="s">
        <v>3712</v>
      </c>
      <c r="C1252" s="1" t="s">
        <v>66</v>
      </c>
      <c r="D1252" s="1" t="s">
        <v>762</v>
      </c>
      <c r="E1252" s="1" t="n">
        <v>29</v>
      </c>
      <c r="F1252" s="1" t="s">
        <v>4229</v>
      </c>
      <c r="G1252" s="1" t="s">
        <v>919</v>
      </c>
      <c r="H1252" s="1" t="s">
        <v>4230</v>
      </c>
      <c r="I1252" s="1" t="s">
        <v>299</v>
      </c>
      <c r="J1252" s="1" t="s">
        <v>310</v>
      </c>
      <c r="K1252" s="1" t="n">
        <v>19.99</v>
      </c>
      <c r="L1252" s="1" t="n">
        <v>4.5</v>
      </c>
      <c r="M1252" s="1" t="n">
        <v>43400</v>
      </c>
      <c r="N1252" s="4" t="b">
        <f aca="false">FALSE()</f>
        <v>0</v>
      </c>
      <c r="P1252" s="4" t="b">
        <f aca="false">TRUE()</f>
        <v>1</v>
      </c>
      <c r="R1252" s="1" t="s">
        <v>4142</v>
      </c>
      <c r="S1252" s="1" t="s">
        <v>4231</v>
      </c>
      <c r="T1252" s="1" t="s">
        <v>222</v>
      </c>
      <c r="U1252" s="1" t="s">
        <v>2102</v>
      </c>
    </row>
    <row r="1253" customFormat="false" ht="48" hidden="false" customHeight="true" outlineLevel="0" collapsed="false">
      <c r="A1253" s="1" t="s">
        <v>41</v>
      </c>
      <c r="B1253" s="1" t="s">
        <v>3712</v>
      </c>
      <c r="C1253" s="1" t="s">
        <v>66</v>
      </c>
      <c r="D1253" s="1" t="s">
        <v>762</v>
      </c>
      <c r="E1253" s="1" t="n">
        <v>30</v>
      </c>
      <c r="F1253" s="1" t="s">
        <v>4232</v>
      </c>
      <c r="G1253" s="1" t="s">
        <v>236</v>
      </c>
      <c r="H1253" s="1" t="s">
        <v>4233</v>
      </c>
      <c r="I1253" s="1" t="s">
        <v>218</v>
      </c>
      <c r="J1253" s="1" t="s">
        <v>310</v>
      </c>
      <c r="K1253" s="1" t="n">
        <v>16.99</v>
      </c>
      <c r="L1253" s="1" t="n">
        <v>4.4</v>
      </c>
      <c r="M1253" s="1" t="n">
        <v>1600</v>
      </c>
      <c r="N1253" s="4" t="b">
        <f aca="false">FALSE()</f>
        <v>0</v>
      </c>
      <c r="P1253" s="4" t="b">
        <f aca="false">TRUE()</f>
        <v>1</v>
      </c>
      <c r="Q1253" s="1" t="s">
        <v>251</v>
      </c>
      <c r="R1253" s="1" t="s">
        <v>4142</v>
      </c>
      <c r="S1253" s="1" t="s">
        <v>4234</v>
      </c>
      <c r="T1253" s="1" t="s">
        <v>222</v>
      </c>
      <c r="U1253" s="1" t="s">
        <v>2102</v>
      </c>
    </row>
    <row r="1254" customFormat="false" ht="48" hidden="false" customHeight="true" outlineLevel="0" collapsed="false">
      <c r="A1254" s="1" t="s">
        <v>41</v>
      </c>
      <c r="B1254" s="1" t="s">
        <v>3712</v>
      </c>
      <c r="C1254" s="1" t="s">
        <v>66</v>
      </c>
      <c r="D1254" s="1" t="s">
        <v>762</v>
      </c>
      <c r="E1254" s="1" t="n">
        <v>31</v>
      </c>
      <c r="F1254" s="1" t="s">
        <v>4235</v>
      </c>
      <c r="G1254" s="1" t="s">
        <v>4173</v>
      </c>
      <c r="H1254" s="1" t="s">
        <v>4236</v>
      </c>
      <c r="I1254" s="1" t="s">
        <v>231</v>
      </c>
      <c r="J1254" s="1" t="s">
        <v>310</v>
      </c>
      <c r="L1254" s="1" t="n">
        <v>4.6</v>
      </c>
      <c r="M1254" s="1" t="n">
        <v>24200</v>
      </c>
      <c r="N1254" s="4" t="b">
        <f aca="false">FALSE()</f>
        <v>0</v>
      </c>
      <c r="P1254" s="4" t="b">
        <f aca="false">TRUE()</f>
        <v>1</v>
      </c>
      <c r="Q1254" s="1" t="s">
        <v>711</v>
      </c>
      <c r="R1254" s="1" t="s">
        <v>4142</v>
      </c>
      <c r="S1254" s="1" t="s">
        <v>4237</v>
      </c>
      <c r="T1254" s="1" t="s">
        <v>222</v>
      </c>
      <c r="U1254" s="1" t="s">
        <v>2102</v>
      </c>
    </row>
    <row r="1255" customFormat="false" ht="48" hidden="false" customHeight="true" outlineLevel="0" collapsed="false">
      <c r="A1255" s="1" t="s">
        <v>41</v>
      </c>
      <c r="B1255" s="1" t="s">
        <v>3712</v>
      </c>
      <c r="C1255" s="1" t="s">
        <v>66</v>
      </c>
      <c r="D1255" s="1" t="s">
        <v>762</v>
      </c>
      <c r="E1255" s="1" t="n">
        <v>32</v>
      </c>
      <c r="F1255" s="1" t="s">
        <v>4238</v>
      </c>
      <c r="G1255" s="1" t="s">
        <v>236</v>
      </c>
      <c r="H1255" s="1" t="s">
        <v>4239</v>
      </c>
      <c r="I1255" s="1" t="s">
        <v>299</v>
      </c>
      <c r="J1255" s="1" t="s">
        <v>310</v>
      </c>
      <c r="K1255" s="1" t="n">
        <v>20.99</v>
      </c>
      <c r="L1255" s="1" t="n">
        <v>4.5</v>
      </c>
      <c r="M1255" s="1" t="n">
        <v>4800</v>
      </c>
      <c r="N1255" s="4" t="b">
        <f aca="false">FALSE()</f>
        <v>0</v>
      </c>
      <c r="P1255" s="4" t="b">
        <f aca="false">TRUE()</f>
        <v>1</v>
      </c>
      <c r="Q1255" s="1" t="s">
        <v>251</v>
      </c>
      <c r="R1255" s="1" t="s">
        <v>4142</v>
      </c>
      <c r="S1255" s="1" t="s">
        <v>4240</v>
      </c>
      <c r="T1255" s="1" t="s">
        <v>222</v>
      </c>
      <c r="U1255" s="1" t="s">
        <v>2102</v>
      </c>
    </row>
    <row r="1256" customFormat="false" ht="48" hidden="false" customHeight="true" outlineLevel="0" collapsed="false">
      <c r="A1256" s="1" t="s">
        <v>41</v>
      </c>
      <c r="B1256" s="1" t="s">
        <v>3712</v>
      </c>
      <c r="C1256" s="1" t="s">
        <v>66</v>
      </c>
      <c r="D1256" s="1" t="s">
        <v>762</v>
      </c>
      <c r="E1256" s="1" t="n">
        <v>33</v>
      </c>
      <c r="F1256" s="1" t="s">
        <v>4241</v>
      </c>
      <c r="G1256" s="1" t="s">
        <v>236</v>
      </c>
      <c r="H1256" s="1" t="s">
        <v>4242</v>
      </c>
      <c r="I1256" s="1" t="s">
        <v>218</v>
      </c>
      <c r="J1256" s="1" t="s">
        <v>310</v>
      </c>
      <c r="K1256" s="1" t="n">
        <v>18.99</v>
      </c>
      <c r="L1256" s="1" t="n">
        <v>4.2</v>
      </c>
      <c r="M1256" s="1" t="n">
        <v>758</v>
      </c>
      <c r="N1256" s="4" t="b">
        <f aca="false">FALSE()</f>
        <v>0</v>
      </c>
      <c r="P1256" s="4" t="b">
        <f aca="false">TRUE()</f>
        <v>1</v>
      </c>
      <c r="Q1256" s="1" t="s">
        <v>451</v>
      </c>
      <c r="R1256" s="1" t="s">
        <v>4142</v>
      </c>
      <c r="S1256" s="1" t="s">
        <v>4243</v>
      </c>
      <c r="T1256" s="1" t="s">
        <v>222</v>
      </c>
      <c r="U1256" s="1" t="s">
        <v>2102</v>
      </c>
    </row>
    <row r="1257" customFormat="false" ht="48" hidden="false" customHeight="true" outlineLevel="0" collapsed="false">
      <c r="A1257" s="1" t="s">
        <v>41</v>
      </c>
      <c r="B1257" s="1" t="s">
        <v>3712</v>
      </c>
      <c r="C1257" s="1" t="s">
        <v>66</v>
      </c>
      <c r="D1257" s="1" t="s">
        <v>762</v>
      </c>
      <c r="E1257" s="1" t="n">
        <v>34</v>
      </c>
      <c r="F1257" s="1" t="s">
        <v>4244</v>
      </c>
      <c r="G1257" s="1" t="s">
        <v>236</v>
      </c>
      <c r="H1257" s="1" t="s">
        <v>4245</v>
      </c>
      <c r="I1257" s="1" t="s">
        <v>242</v>
      </c>
      <c r="J1257" s="1" t="s">
        <v>597</v>
      </c>
      <c r="K1257" s="1" t="n">
        <v>19.98</v>
      </c>
      <c r="L1257" s="1" t="n">
        <v>4.4</v>
      </c>
      <c r="M1257" s="1" t="n">
        <v>367</v>
      </c>
      <c r="N1257" s="4" t="b">
        <f aca="false">FALSE()</f>
        <v>0</v>
      </c>
      <c r="O1257" s="1" t="s">
        <v>4141</v>
      </c>
      <c r="P1257" s="4" t="b">
        <f aca="false">TRUE()</f>
        <v>1</v>
      </c>
      <c r="Q1257" s="1" t="s">
        <v>233</v>
      </c>
      <c r="R1257" s="1" t="s">
        <v>4142</v>
      </c>
      <c r="S1257" s="1" t="s">
        <v>4246</v>
      </c>
      <c r="T1257" s="1" t="s">
        <v>222</v>
      </c>
      <c r="U1257" s="1" t="s">
        <v>2102</v>
      </c>
    </row>
    <row r="1258" customFormat="false" ht="48" hidden="false" customHeight="true" outlineLevel="0" collapsed="false">
      <c r="A1258" s="1" t="s">
        <v>41</v>
      </c>
      <c r="B1258" s="1" t="s">
        <v>3712</v>
      </c>
      <c r="C1258" s="1" t="s">
        <v>66</v>
      </c>
      <c r="D1258" s="1" t="s">
        <v>762</v>
      </c>
      <c r="E1258" s="1" t="n">
        <v>35</v>
      </c>
      <c r="F1258" s="1" t="s">
        <v>4247</v>
      </c>
      <c r="G1258" s="1" t="s">
        <v>236</v>
      </c>
      <c r="H1258" s="1" t="s">
        <v>4248</v>
      </c>
      <c r="I1258" s="1" t="s">
        <v>231</v>
      </c>
      <c r="J1258" s="1" t="s">
        <v>310</v>
      </c>
      <c r="K1258" s="1" t="n">
        <v>16.99</v>
      </c>
      <c r="L1258" s="1" t="n">
        <v>4.4</v>
      </c>
      <c r="M1258" s="1" t="n">
        <v>773</v>
      </c>
      <c r="N1258" s="4" t="b">
        <f aca="false">FALSE()</f>
        <v>0</v>
      </c>
      <c r="P1258" s="4" t="b">
        <f aca="false">TRUE()</f>
        <v>1</v>
      </c>
      <c r="R1258" s="1" t="s">
        <v>4142</v>
      </c>
      <c r="S1258" s="1" t="s">
        <v>4249</v>
      </c>
      <c r="T1258" s="1" t="s">
        <v>222</v>
      </c>
      <c r="U1258" s="1" t="s">
        <v>2102</v>
      </c>
    </row>
    <row r="1259" customFormat="false" ht="48" hidden="false" customHeight="true" outlineLevel="0" collapsed="false">
      <c r="A1259" s="1" t="s">
        <v>41</v>
      </c>
      <c r="B1259" s="1" t="s">
        <v>3712</v>
      </c>
      <c r="C1259" s="1" t="s">
        <v>66</v>
      </c>
      <c r="D1259" s="1" t="s">
        <v>762</v>
      </c>
      <c r="E1259" s="1" t="n">
        <v>36</v>
      </c>
      <c r="F1259" s="1" t="s">
        <v>4250</v>
      </c>
      <c r="G1259" s="1" t="s">
        <v>236</v>
      </c>
      <c r="H1259" s="1" t="s">
        <v>4251</v>
      </c>
      <c r="I1259" s="1" t="s">
        <v>218</v>
      </c>
      <c r="J1259" s="1" t="s">
        <v>597</v>
      </c>
      <c r="K1259" s="1" t="n">
        <v>19.99</v>
      </c>
      <c r="L1259" s="1" t="n">
        <v>4.3</v>
      </c>
      <c r="M1259" s="1" t="n">
        <v>140</v>
      </c>
      <c r="N1259" s="4" t="b">
        <f aca="false">FALSE()</f>
        <v>0</v>
      </c>
      <c r="P1259" s="4" t="b">
        <f aca="false">TRUE()</f>
        <v>1</v>
      </c>
      <c r="Q1259" s="1" t="s">
        <v>233</v>
      </c>
      <c r="R1259" s="1" t="s">
        <v>4142</v>
      </c>
      <c r="S1259" s="1" t="s">
        <v>4252</v>
      </c>
      <c r="T1259" s="1" t="s">
        <v>222</v>
      </c>
      <c r="U1259" s="1" t="s">
        <v>2102</v>
      </c>
    </row>
    <row r="1260" customFormat="false" ht="48" hidden="false" customHeight="true" outlineLevel="0" collapsed="false">
      <c r="A1260" s="1" t="s">
        <v>41</v>
      </c>
      <c r="B1260" s="1" t="s">
        <v>3712</v>
      </c>
      <c r="C1260" s="1" t="s">
        <v>66</v>
      </c>
      <c r="D1260" s="1" t="s">
        <v>762</v>
      </c>
      <c r="E1260" s="1" t="n">
        <v>37</v>
      </c>
      <c r="F1260" s="1" t="s">
        <v>922</v>
      </c>
      <c r="G1260" s="1" t="s">
        <v>919</v>
      </c>
      <c r="H1260" s="1" t="s">
        <v>4253</v>
      </c>
      <c r="I1260" s="1" t="s">
        <v>218</v>
      </c>
      <c r="J1260" s="1" t="s">
        <v>310</v>
      </c>
      <c r="K1260" s="1" t="n">
        <v>20.2</v>
      </c>
      <c r="L1260" s="1" t="n">
        <v>4.6</v>
      </c>
      <c r="M1260" s="1" t="n">
        <v>4600</v>
      </c>
      <c r="N1260" s="4" t="b">
        <f aca="false">FALSE()</f>
        <v>0</v>
      </c>
      <c r="O1260" s="1" t="s">
        <v>4254</v>
      </c>
      <c r="P1260" s="4" t="b">
        <f aca="false">TRUE()</f>
        <v>1</v>
      </c>
      <c r="R1260" s="1" t="s">
        <v>4142</v>
      </c>
      <c r="S1260" s="1" t="s">
        <v>4255</v>
      </c>
      <c r="T1260" s="1" t="s">
        <v>222</v>
      </c>
      <c r="U1260" s="1" t="s">
        <v>2102</v>
      </c>
    </row>
    <row r="1261" customFormat="false" ht="48" hidden="false" customHeight="true" outlineLevel="0" collapsed="false">
      <c r="A1261" s="1" t="s">
        <v>41</v>
      </c>
      <c r="B1261" s="1" t="s">
        <v>3712</v>
      </c>
      <c r="C1261" s="1" t="s">
        <v>66</v>
      </c>
      <c r="D1261" s="1" t="s">
        <v>762</v>
      </c>
      <c r="E1261" s="1" t="n">
        <v>38</v>
      </c>
      <c r="F1261" s="1" t="s">
        <v>4256</v>
      </c>
      <c r="G1261" s="1" t="s">
        <v>236</v>
      </c>
      <c r="H1261" s="1" t="s">
        <v>4257</v>
      </c>
      <c r="I1261" s="1" t="s">
        <v>299</v>
      </c>
      <c r="J1261" s="1" t="s">
        <v>597</v>
      </c>
      <c r="K1261" s="1" t="n">
        <v>39.89</v>
      </c>
      <c r="L1261" s="1" t="n">
        <v>4.4</v>
      </c>
      <c r="M1261" s="1" t="n">
        <v>397</v>
      </c>
      <c r="N1261" s="4" t="b">
        <f aca="false">FALSE()</f>
        <v>0</v>
      </c>
      <c r="P1261" s="4" t="b">
        <f aca="false">TRUE()</f>
        <v>1</v>
      </c>
      <c r="Q1261" s="1" t="s">
        <v>233</v>
      </c>
      <c r="R1261" s="1" t="s">
        <v>4142</v>
      </c>
      <c r="S1261" s="1" t="s">
        <v>4258</v>
      </c>
      <c r="T1261" s="1" t="s">
        <v>222</v>
      </c>
      <c r="U1261" s="1" t="s">
        <v>2102</v>
      </c>
    </row>
    <row r="1262" customFormat="false" ht="48" hidden="false" customHeight="true" outlineLevel="0" collapsed="false">
      <c r="A1262" s="1" t="s">
        <v>41</v>
      </c>
      <c r="B1262" s="1" t="s">
        <v>3712</v>
      </c>
      <c r="C1262" s="1" t="s">
        <v>66</v>
      </c>
      <c r="D1262" s="1" t="s">
        <v>762</v>
      </c>
      <c r="E1262" s="1" t="n">
        <v>39</v>
      </c>
      <c r="F1262" s="1" t="s">
        <v>4259</v>
      </c>
      <c r="G1262" s="1" t="s">
        <v>236</v>
      </c>
      <c r="H1262" s="1" t="s">
        <v>4260</v>
      </c>
      <c r="I1262" s="1" t="s">
        <v>231</v>
      </c>
      <c r="J1262" s="1" t="s">
        <v>310</v>
      </c>
      <c r="K1262" s="1" t="n">
        <v>29.99</v>
      </c>
      <c r="L1262" s="1" t="n">
        <v>4.5</v>
      </c>
      <c r="M1262" s="1" t="n">
        <v>464600</v>
      </c>
      <c r="N1262" s="4" t="b">
        <f aca="false">FALSE()</f>
        <v>0</v>
      </c>
      <c r="O1262" s="1" t="s">
        <v>3718</v>
      </c>
      <c r="P1262" s="4" t="b">
        <f aca="false">TRUE()</f>
        <v>1</v>
      </c>
      <c r="Q1262" s="1" t="s">
        <v>4209</v>
      </c>
      <c r="R1262" s="1" t="s">
        <v>4142</v>
      </c>
      <c r="S1262" s="1" t="s">
        <v>4261</v>
      </c>
      <c r="T1262" s="1" t="s">
        <v>222</v>
      </c>
      <c r="U1262" s="1" t="s">
        <v>2102</v>
      </c>
    </row>
    <row r="1263" customFormat="false" ht="48" hidden="false" customHeight="true" outlineLevel="0" collapsed="false">
      <c r="A1263" s="1" t="s">
        <v>41</v>
      </c>
      <c r="B1263" s="1" t="s">
        <v>3712</v>
      </c>
      <c r="C1263" s="1" t="s">
        <v>66</v>
      </c>
      <c r="D1263" s="1" t="s">
        <v>762</v>
      </c>
      <c r="E1263" s="1" t="n">
        <v>40</v>
      </c>
      <c r="F1263" s="1" t="s">
        <v>4262</v>
      </c>
      <c r="G1263" s="1" t="s">
        <v>2156</v>
      </c>
      <c r="H1263" s="1" t="s">
        <v>4263</v>
      </c>
      <c r="I1263" s="1" t="s">
        <v>218</v>
      </c>
      <c r="J1263" s="1" t="s">
        <v>597</v>
      </c>
      <c r="K1263" s="1" t="n">
        <v>79.99</v>
      </c>
      <c r="L1263" s="1" t="n">
        <v>4.4</v>
      </c>
      <c r="M1263" s="1" t="n">
        <v>5200</v>
      </c>
      <c r="N1263" s="4" t="b">
        <f aca="false">FALSE()</f>
        <v>0</v>
      </c>
      <c r="O1263" s="1" t="s">
        <v>3714</v>
      </c>
      <c r="P1263" s="4" t="b">
        <f aca="false">TRUE()</f>
        <v>1</v>
      </c>
      <c r="Q1263" s="1" t="s">
        <v>435</v>
      </c>
      <c r="R1263" s="1" t="s">
        <v>4142</v>
      </c>
      <c r="S1263" s="1" t="s">
        <v>4264</v>
      </c>
      <c r="T1263" s="1" t="s">
        <v>222</v>
      </c>
      <c r="U1263" s="1" t="s">
        <v>2102</v>
      </c>
    </row>
    <row r="1264" customFormat="false" ht="48" hidden="false" customHeight="true" outlineLevel="0" collapsed="false">
      <c r="A1264" s="1" t="s">
        <v>41</v>
      </c>
      <c r="B1264" s="1" t="s">
        <v>3712</v>
      </c>
      <c r="C1264" s="1" t="s">
        <v>66</v>
      </c>
      <c r="D1264" s="1" t="s">
        <v>762</v>
      </c>
      <c r="E1264" s="1" t="n">
        <v>41</v>
      </c>
      <c r="F1264" s="1" t="s">
        <v>4265</v>
      </c>
      <c r="G1264" s="1" t="s">
        <v>236</v>
      </c>
      <c r="H1264" s="1" t="s">
        <v>4266</v>
      </c>
      <c r="I1264" s="1" t="s">
        <v>231</v>
      </c>
      <c r="J1264" s="1" t="s">
        <v>219</v>
      </c>
      <c r="K1264" s="1" t="n">
        <v>58</v>
      </c>
      <c r="L1264" s="1" t="n">
        <v>4.6</v>
      </c>
      <c r="M1264" s="1" t="n">
        <v>982</v>
      </c>
      <c r="N1264" s="4" t="b">
        <f aca="false">FALSE()</f>
        <v>0</v>
      </c>
      <c r="P1264" s="4" t="b">
        <f aca="false">TRUE()</f>
        <v>1</v>
      </c>
      <c r="Q1264" s="1" t="s">
        <v>251</v>
      </c>
      <c r="R1264" s="1" t="s">
        <v>4142</v>
      </c>
      <c r="S1264" s="1" t="s">
        <v>4267</v>
      </c>
      <c r="T1264" s="1" t="s">
        <v>222</v>
      </c>
      <c r="U1264" s="1" t="s">
        <v>2102</v>
      </c>
    </row>
    <row r="1265" customFormat="false" ht="48" hidden="false" customHeight="true" outlineLevel="0" collapsed="false">
      <c r="A1265" s="1" t="s">
        <v>41</v>
      </c>
      <c r="B1265" s="1" t="s">
        <v>3712</v>
      </c>
      <c r="C1265" s="1" t="s">
        <v>66</v>
      </c>
      <c r="D1265" s="1" t="s">
        <v>762</v>
      </c>
      <c r="E1265" s="1" t="n">
        <v>42</v>
      </c>
      <c r="F1265" s="1" t="s">
        <v>4268</v>
      </c>
      <c r="G1265" s="1" t="s">
        <v>677</v>
      </c>
      <c r="H1265" s="1" t="s">
        <v>4269</v>
      </c>
      <c r="I1265" s="1" t="s">
        <v>218</v>
      </c>
      <c r="J1265" s="1" t="s">
        <v>597</v>
      </c>
      <c r="K1265" s="1" t="n">
        <v>31.99</v>
      </c>
      <c r="L1265" s="1" t="n">
        <v>4.5</v>
      </c>
      <c r="M1265" s="1" t="n">
        <v>23200</v>
      </c>
      <c r="N1265" s="4" t="b">
        <f aca="false">FALSE()</f>
        <v>0</v>
      </c>
      <c r="P1265" s="4" t="b">
        <f aca="false">TRUE()</f>
        <v>1</v>
      </c>
      <c r="Q1265" s="1" t="s">
        <v>451</v>
      </c>
      <c r="R1265" s="1" t="s">
        <v>4142</v>
      </c>
      <c r="S1265" s="1" t="s">
        <v>4270</v>
      </c>
      <c r="T1265" s="1" t="s">
        <v>222</v>
      </c>
      <c r="U1265" s="1" t="s">
        <v>2102</v>
      </c>
    </row>
    <row r="1266" customFormat="false" ht="48" hidden="false" customHeight="true" outlineLevel="0" collapsed="false">
      <c r="A1266" s="1" t="s">
        <v>41</v>
      </c>
      <c r="B1266" s="1" t="s">
        <v>3712</v>
      </c>
      <c r="C1266" s="1" t="s">
        <v>66</v>
      </c>
      <c r="D1266" s="1" t="s">
        <v>762</v>
      </c>
      <c r="E1266" s="1" t="n">
        <v>43</v>
      </c>
      <c r="F1266" s="1" t="s">
        <v>4271</v>
      </c>
      <c r="G1266" s="1" t="s">
        <v>236</v>
      </c>
      <c r="H1266" s="1" t="s">
        <v>4272</v>
      </c>
      <c r="I1266" s="1" t="s">
        <v>231</v>
      </c>
      <c r="J1266" s="1" t="s">
        <v>371</v>
      </c>
      <c r="K1266" s="1" t="n">
        <v>9.99</v>
      </c>
      <c r="L1266" s="1" t="n">
        <v>4.3</v>
      </c>
      <c r="M1266" s="1" t="n">
        <v>4800</v>
      </c>
      <c r="N1266" s="4" t="b">
        <f aca="false">FALSE()</f>
        <v>0</v>
      </c>
      <c r="P1266" s="4" t="b">
        <f aca="false">TRUE()</f>
        <v>1</v>
      </c>
      <c r="R1266" s="1" t="s">
        <v>4142</v>
      </c>
      <c r="S1266" s="1" t="s">
        <v>4273</v>
      </c>
      <c r="T1266" s="1" t="s">
        <v>222</v>
      </c>
      <c r="U1266" s="1" t="s">
        <v>2102</v>
      </c>
    </row>
    <row r="1267" customFormat="false" ht="48" hidden="false" customHeight="true" outlineLevel="0" collapsed="false">
      <c r="A1267" s="1" t="s">
        <v>41</v>
      </c>
      <c r="B1267" s="1" t="s">
        <v>3712</v>
      </c>
      <c r="C1267" s="1" t="s">
        <v>66</v>
      </c>
      <c r="D1267" s="1" t="s">
        <v>762</v>
      </c>
      <c r="E1267" s="1" t="n">
        <v>44</v>
      </c>
      <c r="F1267" s="1" t="s">
        <v>308</v>
      </c>
      <c r="G1267" s="1" t="s">
        <v>236</v>
      </c>
      <c r="H1267" s="1" t="s">
        <v>309</v>
      </c>
      <c r="I1267" s="1" t="s">
        <v>218</v>
      </c>
      <c r="J1267" s="1" t="s">
        <v>310</v>
      </c>
      <c r="K1267" s="1" t="n">
        <v>24.99</v>
      </c>
      <c r="L1267" s="1" t="n">
        <v>4.5</v>
      </c>
      <c r="M1267" s="1" t="n">
        <v>464600</v>
      </c>
      <c r="N1267" s="4" t="b">
        <f aca="false">FALSE()</f>
        <v>0</v>
      </c>
      <c r="O1267" s="1" t="s">
        <v>311</v>
      </c>
      <c r="P1267" s="4" t="b">
        <f aca="false">TRUE()</f>
        <v>1</v>
      </c>
      <c r="Q1267" s="1" t="s">
        <v>3772</v>
      </c>
      <c r="R1267" s="1" t="s">
        <v>4142</v>
      </c>
      <c r="S1267" s="1" t="s">
        <v>3773</v>
      </c>
      <c r="T1267" s="1" t="s">
        <v>222</v>
      </c>
      <c r="U1267" s="1" t="s">
        <v>2102</v>
      </c>
    </row>
    <row r="1268" customFormat="false" ht="48" hidden="false" customHeight="true" outlineLevel="0" collapsed="false">
      <c r="A1268" s="1" t="s">
        <v>41</v>
      </c>
      <c r="B1268" s="1" t="s">
        <v>3712</v>
      </c>
      <c r="C1268" s="1" t="s">
        <v>66</v>
      </c>
      <c r="D1268" s="1" t="s">
        <v>762</v>
      </c>
      <c r="E1268" s="1" t="n">
        <v>45</v>
      </c>
      <c r="F1268" s="1" t="s">
        <v>4274</v>
      </c>
      <c r="G1268" s="1" t="s">
        <v>236</v>
      </c>
      <c r="H1268" s="1" t="s">
        <v>4275</v>
      </c>
      <c r="I1268" s="1" t="s">
        <v>218</v>
      </c>
      <c r="J1268" s="1" t="s">
        <v>310</v>
      </c>
      <c r="K1268" s="1" t="n">
        <v>18.99</v>
      </c>
      <c r="L1268" s="1" t="n">
        <v>4.5</v>
      </c>
      <c r="M1268" s="1" t="n">
        <v>52300</v>
      </c>
      <c r="N1268" s="4" t="b">
        <f aca="false">FALSE()</f>
        <v>0</v>
      </c>
      <c r="O1268" s="1" t="s">
        <v>4276</v>
      </c>
      <c r="P1268" s="4" t="b">
        <f aca="false">TRUE()</f>
        <v>1</v>
      </c>
      <c r="Q1268" s="1" t="s">
        <v>423</v>
      </c>
      <c r="R1268" s="1" t="s">
        <v>4142</v>
      </c>
      <c r="S1268" s="1" t="s">
        <v>4277</v>
      </c>
      <c r="T1268" s="1" t="s">
        <v>222</v>
      </c>
      <c r="U1268" s="1" t="s">
        <v>2102</v>
      </c>
    </row>
    <row r="1269" customFormat="false" ht="48" hidden="false" customHeight="true" outlineLevel="0" collapsed="false">
      <c r="A1269" s="1" t="s">
        <v>41</v>
      </c>
      <c r="B1269" s="1" t="s">
        <v>3712</v>
      </c>
      <c r="C1269" s="1" t="s">
        <v>66</v>
      </c>
      <c r="D1269" s="1" t="s">
        <v>762</v>
      </c>
      <c r="E1269" s="1" t="n">
        <v>46</v>
      </c>
      <c r="F1269" s="1" t="s">
        <v>4278</v>
      </c>
      <c r="G1269" s="1" t="s">
        <v>236</v>
      </c>
      <c r="H1269" s="1" t="s">
        <v>4279</v>
      </c>
      <c r="I1269" s="1" t="s">
        <v>218</v>
      </c>
      <c r="J1269" s="1" t="s">
        <v>371</v>
      </c>
      <c r="K1269" s="1" t="n">
        <v>41.99</v>
      </c>
      <c r="L1269" s="1" t="n">
        <v>4.7</v>
      </c>
      <c r="M1269" s="1" t="n">
        <v>1500</v>
      </c>
      <c r="N1269" s="4" t="b">
        <f aca="false">FALSE()</f>
        <v>0</v>
      </c>
      <c r="P1269" s="4" t="b">
        <f aca="false">TRUE()</f>
        <v>1</v>
      </c>
      <c r="Q1269" s="1" t="s">
        <v>251</v>
      </c>
      <c r="R1269" s="1" t="s">
        <v>4142</v>
      </c>
      <c r="S1269" s="1" t="s">
        <v>4280</v>
      </c>
      <c r="T1269" s="1" t="s">
        <v>222</v>
      </c>
      <c r="U1269" s="1" t="s">
        <v>2102</v>
      </c>
    </row>
    <row r="1270" customFormat="false" ht="48" hidden="false" customHeight="true" outlineLevel="0" collapsed="false">
      <c r="A1270" s="1" t="s">
        <v>41</v>
      </c>
      <c r="B1270" s="1" t="s">
        <v>3712</v>
      </c>
      <c r="C1270" s="1" t="s">
        <v>66</v>
      </c>
      <c r="D1270" s="1" t="s">
        <v>762</v>
      </c>
      <c r="E1270" s="1" t="n">
        <v>47</v>
      </c>
      <c r="F1270" s="1" t="s">
        <v>4281</v>
      </c>
      <c r="G1270" s="1" t="s">
        <v>780</v>
      </c>
      <c r="H1270" s="1" t="s">
        <v>4282</v>
      </c>
      <c r="I1270" s="1" t="s">
        <v>218</v>
      </c>
      <c r="J1270" s="1" t="s">
        <v>310</v>
      </c>
      <c r="K1270" s="1" t="n">
        <v>39.99</v>
      </c>
      <c r="L1270" s="1" t="n">
        <v>4.4</v>
      </c>
      <c r="M1270" s="1" t="n">
        <v>106200</v>
      </c>
      <c r="N1270" s="4" t="b">
        <f aca="false">FALSE()</f>
        <v>0</v>
      </c>
      <c r="O1270" s="1" t="s">
        <v>3718</v>
      </c>
      <c r="P1270" s="4" t="b">
        <f aca="false">TRUE()</f>
        <v>1</v>
      </c>
      <c r="Q1270" s="1" t="s">
        <v>766</v>
      </c>
      <c r="R1270" s="1" t="s">
        <v>4142</v>
      </c>
      <c r="S1270" s="1" t="s">
        <v>4283</v>
      </c>
      <c r="T1270" s="1" t="s">
        <v>222</v>
      </c>
      <c r="U1270" s="1" t="s">
        <v>2102</v>
      </c>
    </row>
    <row r="1271" customFormat="false" ht="48" hidden="false" customHeight="true" outlineLevel="0" collapsed="false">
      <c r="A1271" s="1" t="s">
        <v>41</v>
      </c>
      <c r="B1271" s="1" t="s">
        <v>3712</v>
      </c>
      <c r="C1271" s="1" t="s">
        <v>66</v>
      </c>
      <c r="D1271" s="1" t="s">
        <v>762</v>
      </c>
      <c r="E1271" s="1" t="n">
        <v>48</v>
      </c>
      <c r="F1271" s="1" t="s">
        <v>4284</v>
      </c>
      <c r="G1271" s="1" t="s">
        <v>236</v>
      </c>
      <c r="H1271" s="1" t="s">
        <v>4285</v>
      </c>
      <c r="I1271" s="1" t="s">
        <v>218</v>
      </c>
      <c r="J1271" s="1" t="s">
        <v>371</v>
      </c>
      <c r="K1271" s="1" t="n">
        <v>13.95</v>
      </c>
      <c r="L1271" s="1" t="n">
        <v>4.5</v>
      </c>
      <c r="M1271" s="1" t="n">
        <v>359</v>
      </c>
      <c r="N1271" s="4" t="b">
        <f aca="false">FALSE()</f>
        <v>0</v>
      </c>
      <c r="O1271" s="1" t="s">
        <v>4076</v>
      </c>
      <c r="P1271" s="4" t="b">
        <f aca="false">TRUE()</f>
        <v>1</v>
      </c>
      <c r="Q1271" s="1" t="s">
        <v>251</v>
      </c>
      <c r="R1271" s="1" t="s">
        <v>4142</v>
      </c>
      <c r="S1271" s="1" t="s">
        <v>4286</v>
      </c>
      <c r="T1271" s="1" t="s">
        <v>222</v>
      </c>
      <c r="U1271" s="1" t="s">
        <v>2102</v>
      </c>
    </row>
    <row r="1272" customFormat="false" ht="48" hidden="false" customHeight="true" outlineLevel="0" collapsed="false">
      <c r="A1272" s="1" t="s">
        <v>41</v>
      </c>
      <c r="B1272" s="1" t="s">
        <v>3712</v>
      </c>
      <c r="C1272" s="1" t="s">
        <v>931</v>
      </c>
      <c r="D1272" s="1" t="s">
        <v>932</v>
      </c>
      <c r="E1272" s="1" t="n">
        <v>1</v>
      </c>
      <c r="F1272" s="1" t="s">
        <v>2746</v>
      </c>
      <c r="G1272" s="1" t="s">
        <v>2156</v>
      </c>
      <c r="H1272" s="1" t="s">
        <v>4287</v>
      </c>
      <c r="I1272" s="1" t="s">
        <v>231</v>
      </c>
      <c r="J1272" s="1" t="s">
        <v>689</v>
      </c>
      <c r="K1272" s="1" t="n">
        <v>119.89</v>
      </c>
      <c r="L1272" s="1" t="n">
        <v>4.4</v>
      </c>
      <c r="M1272" s="1" t="n">
        <v>10000</v>
      </c>
      <c r="N1272" s="4" t="b">
        <f aca="false">FALSE()</f>
        <v>0</v>
      </c>
      <c r="O1272" s="1" t="s">
        <v>4288</v>
      </c>
      <c r="P1272" s="4" t="b">
        <f aca="false">TRUE()</f>
        <v>1</v>
      </c>
      <c r="Q1272" s="1" t="s">
        <v>711</v>
      </c>
      <c r="R1272" s="1" t="s">
        <v>4289</v>
      </c>
      <c r="S1272" s="1" t="s">
        <v>4290</v>
      </c>
      <c r="T1272" s="1" t="s">
        <v>222</v>
      </c>
      <c r="U1272" s="1" t="s">
        <v>2102</v>
      </c>
    </row>
    <row r="1273" customFormat="false" ht="48" hidden="false" customHeight="true" outlineLevel="0" collapsed="false">
      <c r="A1273" s="1" t="s">
        <v>41</v>
      </c>
      <c r="B1273" s="1" t="s">
        <v>3712</v>
      </c>
      <c r="C1273" s="1" t="s">
        <v>931</v>
      </c>
      <c r="D1273" s="1" t="s">
        <v>932</v>
      </c>
      <c r="E1273" s="1" t="n">
        <v>2</v>
      </c>
      <c r="F1273" s="1" t="s">
        <v>2721</v>
      </c>
      <c r="G1273" s="1" t="s">
        <v>236</v>
      </c>
      <c r="H1273" s="1" t="s">
        <v>4291</v>
      </c>
      <c r="I1273" s="1" t="s">
        <v>218</v>
      </c>
      <c r="J1273" s="1" t="s">
        <v>689</v>
      </c>
      <c r="K1273" s="1" t="n">
        <v>129.64</v>
      </c>
      <c r="L1273" s="1" t="n">
        <v>4.5</v>
      </c>
      <c r="M1273" s="1" t="n">
        <v>7900</v>
      </c>
      <c r="N1273" s="4" t="b">
        <f aca="false">FALSE()</f>
        <v>0</v>
      </c>
      <c r="O1273" s="1" t="s">
        <v>4292</v>
      </c>
      <c r="P1273" s="4" t="b">
        <f aca="false">TRUE()</f>
        <v>1</v>
      </c>
      <c r="Q1273" s="1" t="s">
        <v>423</v>
      </c>
      <c r="R1273" s="1" t="s">
        <v>4289</v>
      </c>
      <c r="S1273" s="1" t="s">
        <v>4293</v>
      </c>
      <c r="T1273" s="1" t="s">
        <v>222</v>
      </c>
      <c r="U1273" s="1" t="s">
        <v>2102</v>
      </c>
    </row>
    <row r="1274" customFormat="false" ht="48" hidden="false" customHeight="true" outlineLevel="0" collapsed="false">
      <c r="A1274" s="1" t="s">
        <v>41</v>
      </c>
      <c r="B1274" s="1" t="s">
        <v>3712</v>
      </c>
      <c r="C1274" s="1" t="s">
        <v>931</v>
      </c>
      <c r="D1274" s="1" t="s">
        <v>932</v>
      </c>
      <c r="E1274" s="1" t="n">
        <v>3</v>
      </c>
      <c r="F1274" s="1" t="s">
        <v>4294</v>
      </c>
      <c r="G1274" s="1" t="s">
        <v>236</v>
      </c>
      <c r="H1274" s="1" t="s">
        <v>4295</v>
      </c>
      <c r="I1274" s="1" t="s">
        <v>218</v>
      </c>
      <c r="J1274" s="1" t="s">
        <v>689</v>
      </c>
      <c r="K1274" s="1" t="n">
        <v>97.48</v>
      </c>
      <c r="L1274" s="1" t="n">
        <v>4.6</v>
      </c>
      <c r="M1274" s="1" t="n">
        <v>108</v>
      </c>
      <c r="N1274" s="4" t="b">
        <f aca="false">FALSE()</f>
        <v>0</v>
      </c>
      <c r="O1274" s="1" t="s">
        <v>4296</v>
      </c>
      <c r="P1274" s="4" t="b">
        <f aca="false">TRUE()</f>
        <v>1</v>
      </c>
      <c r="Q1274" s="1" t="s">
        <v>233</v>
      </c>
      <c r="R1274" s="1" t="s">
        <v>4289</v>
      </c>
      <c r="S1274" s="1" t="s">
        <v>4297</v>
      </c>
      <c r="T1274" s="1" t="s">
        <v>222</v>
      </c>
      <c r="U1274" s="1" t="s">
        <v>2102</v>
      </c>
    </row>
    <row r="1275" customFormat="false" ht="48" hidden="false" customHeight="true" outlineLevel="0" collapsed="false">
      <c r="A1275" s="1" t="s">
        <v>41</v>
      </c>
      <c r="B1275" s="1" t="s">
        <v>3712</v>
      </c>
      <c r="C1275" s="1" t="s">
        <v>931</v>
      </c>
      <c r="D1275" s="1" t="s">
        <v>932</v>
      </c>
      <c r="E1275" s="1" t="n">
        <v>4</v>
      </c>
      <c r="F1275" s="1" t="s">
        <v>972</v>
      </c>
      <c r="G1275" s="1" t="s">
        <v>236</v>
      </c>
      <c r="H1275" s="1" t="s">
        <v>4298</v>
      </c>
      <c r="I1275" s="1" t="s">
        <v>218</v>
      </c>
      <c r="J1275" s="1" t="s">
        <v>689</v>
      </c>
      <c r="K1275" s="1" t="n">
        <v>113.99</v>
      </c>
      <c r="L1275" s="1" t="n">
        <v>4.5</v>
      </c>
      <c r="M1275" s="1" t="n">
        <v>888</v>
      </c>
      <c r="N1275" s="4" t="b">
        <f aca="false">FALSE()</f>
        <v>0</v>
      </c>
      <c r="O1275" s="1" t="s">
        <v>4299</v>
      </c>
      <c r="P1275" s="4" t="b">
        <f aca="false">TRUE()</f>
        <v>1</v>
      </c>
      <c r="Q1275" s="1" t="s">
        <v>439</v>
      </c>
      <c r="R1275" s="1" t="s">
        <v>4289</v>
      </c>
      <c r="S1275" s="1" t="s">
        <v>4300</v>
      </c>
      <c r="T1275" s="1" t="s">
        <v>222</v>
      </c>
      <c r="U1275" s="1" t="s">
        <v>2102</v>
      </c>
    </row>
    <row r="1276" customFormat="false" ht="48" hidden="false" customHeight="true" outlineLevel="0" collapsed="false">
      <c r="A1276" s="1" t="s">
        <v>41</v>
      </c>
      <c r="B1276" s="1" t="s">
        <v>3712</v>
      </c>
      <c r="C1276" s="1" t="s">
        <v>931</v>
      </c>
      <c r="D1276" s="1" t="s">
        <v>932</v>
      </c>
      <c r="E1276" s="1" t="n">
        <v>5</v>
      </c>
      <c r="F1276" s="1" t="s">
        <v>4301</v>
      </c>
      <c r="G1276" s="1" t="s">
        <v>229</v>
      </c>
      <c r="H1276" s="1" t="s">
        <v>4302</v>
      </c>
      <c r="I1276" s="1" t="s">
        <v>218</v>
      </c>
      <c r="J1276" s="1" t="s">
        <v>597</v>
      </c>
      <c r="K1276" s="1" t="n">
        <v>75.97</v>
      </c>
      <c r="L1276" s="1" t="n">
        <v>4.3</v>
      </c>
      <c r="M1276" s="1" t="n">
        <v>712</v>
      </c>
      <c r="N1276" s="4" t="b">
        <f aca="false">FALSE()</f>
        <v>0</v>
      </c>
      <c r="O1276" s="1" t="s">
        <v>367</v>
      </c>
      <c r="P1276" s="4" t="b">
        <f aca="false">FALSE()</f>
        <v>0</v>
      </c>
      <c r="Q1276" s="1" t="s">
        <v>435</v>
      </c>
      <c r="R1276" s="1" t="s">
        <v>4289</v>
      </c>
      <c r="S1276" s="1" t="s">
        <v>4303</v>
      </c>
      <c r="T1276" s="1" t="s">
        <v>222</v>
      </c>
      <c r="U1276" s="1" t="s">
        <v>2102</v>
      </c>
    </row>
    <row r="1277" customFormat="false" ht="48" hidden="false" customHeight="true" outlineLevel="0" collapsed="false">
      <c r="A1277" s="1" t="s">
        <v>41</v>
      </c>
      <c r="B1277" s="1" t="s">
        <v>3712</v>
      </c>
      <c r="C1277" s="1" t="s">
        <v>931</v>
      </c>
      <c r="D1277" s="1" t="s">
        <v>932</v>
      </c>
      <c r="E1277" s="1" t="n">
        <v>6</v>
      </c>
      <c r="F1277" s="1" t="s">
        <v>708</v>
      </c>
      <c r="G1277" s="1" t="s">
        <v>979</v>
      </c>
      <c r="H1277" s="1" t="s">
        <v>4304</v>
      </c>
      <c r="I1277" s="1" t="s">
        <v>218</v>
      </c>
      <c r="J1277" s="1" t="s">
        <v>689</v>
      </c>
      <c r="K1277" s="1" t="n">
        <v>44.99</v>
      </c>
      <c r="L1277" s="1" t="n">
        <v>4.3</v>
      </c>
      <c r="M1277" s="1" t="n">
        <v>35200</v>
      </c>
      <c r="N1277" s="4" t="b">
        <f aca="false">FALSE()</f>
        <v>0</v>
      </c>
      <c r="P1277" s="4" t="b">
        <f aca="false">FALSE()</f>
        <v>0</v>
      </c>
      <c r="Q1277" s="1" t="s">
        <v>4209</v>
      </c>
      <c r="R1277" s="1" t="s">
        <v>4289</v>
      </c>
      <c r="S1277" s="1" t="s">
        <v>4305</v>
      </c>
      <c r="T1277" s="1" t="s">
        <v>222</v>
      </c>
      <c r="U1277" s="1" t="s">
        <v>2102</v>
      </c>
    </row>
    <row r="1278" customFormat="false" ht="48" hidden="false" customHeight="true" outlineLevel="0" collapsed="false">
      <c r="A1278" s="1" t="s">
        <v>41</v>
      </c>
      <c r="B1278" s="1" t="s">
        <v>3712</v>
      </c>
      <c r="C1278" s="1" t="s">
        <v>931</v>
      </c>
      <c r="D1278" s="1" t="s">
        <v>932</v>
      </c>
      <c r="E1278" s="1" t="n">
        <v>7</v>
      </c>
      <c r="F1278" s="1" t="s">
        <v>4306</v>
      </c>
      <c r="G1278" s="1" t="s">
        <v>236</v>
      </c>
      <c r="H1278" s="1" t="s">
        <v>4307</v>
      </c>
      <c r="I1278" s="1" t="s">
        <v>231</v>
      </c>
      <c r="J1278" s="1" t="s">
        <v>689</v>
      </c>
      <c r="K1278" s="1" t="n">
        <v>145.34</v>
      </c>
      <c r="L1278" s="1" t="n">
        <v>4.6</v>
      </c>
      <c r="M1278" s="1" t="n">
        <v>7000</v>
      </c>
      <c r="N1278" s="4" t="b">
        <f aca="false">FALSE()</f>
        <v>0</v>
      </c>
      <c r="O1278" s="1" t="s">
        <v>4308</v>
      </c>
      <c r="P1278" s="4" t="b">
        <f aca="false">TRUE()</f>
        <v>1</v>
      </c>
      <c r="Q1278" s="1" t="s">
        <v>435</v>
      </c>
      <c r="R1278" s="1" t="s">
        <v>4289</v>
      </c>
      <c r="S1278" s="1" t="s">
        <v>4309</v>
      </c>
      <c r="T1278" s="1" t="s">
        <v>222</v>
      </c>
      <c r="U1278" s="1" t="s">
        <v>2102</v>
      </c>
    </row>
    <row r="1279" customFormat="false" ht="48" hidden="false" customHeight="true" outlineLevel="0" collapsed="false">
      <c r="A1279" s="1" t="s">
        <v>41</v>
      </c>
      <c r="B1279" s="1" t="s">
        <v>3712</v>
      </c>
      <c r="C1279" s="1" t="s">
        <v>931</v>
      </c>
      <c r="D1279" s="1" t="s">
        <v>932</v>
      </c>
      <c r="E1279" s="1" t="n">
        <v>8</v>
      </c>
      <c r="F1279" s="1" t="s">
        <v>2718</v>
      </c>
      <c r="G1279" s="1" t="s">
        <v>236</v>
      </c>
      <c r="H1279" s="1" t="s">
        <v>4310</v>
      </c>
      <c r="I1279" s="1" t="s">
        <v>231</v>
      </c>
      <c r="J1279" s="1" t="s">
        <v>689</v>
      </c>
      <c r="K1279" s="1" t="n">
        <v>134.15</v>
      </c>
      <c r="L1279" s="1" t="n">
        <v>4.5</v>
      </c>
      <c r="M1279" s="1" t="n">
        <v>7900</v>
      </c>
      <c r="N1279" s="4" t="b">
        <f aca="false">FALSE()</f>
        <v>0</v>
      </c>
      <c r="O1279" s="1" t="s">
        <v>4311</v>
      </c>
      <c r="P1279" s="4" t="b">
        <f aca="false">TRUE()</f>
        <v>1</v>
      </c>
      <c r="Q1279" s="1" t="s">
        <v>439</v>
      </c>
      <c r="R1279" s="1" t="s">
        <v>4289</v>
      </c>
      <c r="S1279" s="1" t="s">
        <v>4312</v>
      </c>
      <c r="T1279" s="1" t="s">
        <v>222</v>
      </c>
      <c r="U1279" s="1" t="s">
        <v>2102</v>
      </c>
    </row>
    <row r="1280" customFormat="false" ht="48" hidden="false" customHeight="true" outlineLevel="0" collapsed="false">
      <c r="A1280" s="1" t="s">
        <v>41</v>
      </c>
      <c r="B1280" s="1" t="s">
        <v>3712</v>
      </c>
      <c r="C1280" s="1" t="s">
        <v>931</v>
      </c>
      <c r="D1280" s="1" t="s">
        <v>932</v>
      </c>
      <c r="E1280" s="1" t="n">
        <v>9</v>
      </c>
      <c r="F1280" s="1" t="s">
        <v>4313</v>
      </c>
      <c r="G1280" s="1" t="s">
        <v>236</v>
      </c>
      <c r="H1280" s="1" t="s">
        <v>4314</v>
      </c>
      <c r="I1280" s="1" t="s">
        <v>231</v>
      </c>
      <c r="J1280" s="1" t="s">
        <v>689</v>
      </c>
      <c r="K1280" s="1" t="n">
        <v>129.99</v>
      </c>
      <c r="L1280" s="1" t="n">
        <v>4.9</v>
      </c>
      <c r="M1280" s="1" t="n">
        <v>85</v>
      </c>
      <c r="N1280" s="4" t="b">
        <f aca="false">FALSE()</f>
        <v>0</v>
      </c>
      <c r="O1280" s="1" t="s">
        <v>4315</v>
      </c>
      <c r="P1280" s="4" t="b">
        <f aca="false">TRUE()</f>
        <v>1</v>
      </c>
      <c r="R1280" s="1" t="s">
        <v>4289</v>
      </c>
      <c r="S1280" s="1" t="s">
        <v>4316</v>
      </c>
      <c r="T1280" s="1" t="s">
        <v>222</v>
      </c>
      <c r="U1280" s="1" t="s">
        <v>2102</v>
      </c>
    </row>
    <row r="1281" customFormat="false" ht="48" hidden="false" customHeight="true" outlineLevel="0" collapsed="false">
      <c r="A1281" s="1" t="s">
        <v>41</v>
      </c>
      <c r="B1281" s="1" t="s">
        <v>3712</v>
      </c>
      <c r="C1281" s="1" t="s">
        <v>931</v>
      </c>
      <c r="D1281" s="1" t="s">
        <v>932</v>
      </c>
      <c r="E1281" s="1" t="n">
        <v>10</v>
      </c>
      <c r="F1281" s="1" t="s">
        <v>4317</v>
      </c>
      <c r="G1281" s="1" t="s">
        <v>236</v>
      </c>
      <c r="H1281" s="1" t="s">
        <v>4318</v>
      </c>
      <c r="I1281" s="1" t="s">
        <v>218</v>
      </c>
      <c r="J1281" s="1" t="s">
        <v>597</v>
      </c>
      <c r="K1281" s="1" t="n">
        <v>65.98</v>
      </c>
      <c r="L1281" s="1" t="n">
        <v>4.1</v>
      </c>
      <c r="M1281" s="1" t="n">
        <v>40</v>
      </c>
      <c r="N1281" s="4" t="b">
        <f aca="false">FALSE()</f>
        <v>0</v>
      </c>
      <c r="P1281" s="4" t="b">
        <f aca="false">FALSE()</f>
        <v>0</v>
      </c>
      <c r="Q1281" s="1" t="s">
        <v>251</v>
      </c>
      <c r="R1281" s="1" t="s">
        <v>4289</v>
      </c>
      <c r="S1281" s="1" t="s">
        <v>4319</v>
      </c>
      <c r="T1281" s="1" t="s">
        <v>222</v>
      </c>
      <c r="U1281" s="1" t="s">
        <v>2102</v>
      </c>
    </row>
    <row r="1282" customFormat="false" ht="48" hidden="false" customHeight="true" outlineLevel="0" collapsed="false">
      <c r="A1282" s="1" t="s">
        <v>41</v>
      </c>
      <c r="B1282" s="1" t="s">
        <v>3712</v>
      </c>
      <c r="C1282" s="1" t="s">
        <v>931</v>
      </c>
      <c r="D1282" s="1" t="s">
        <v>932</v>
      </c>
      <c r="E1282" s="1" t="n">
        <v>11</v>
      </c>
      <c r="F1282" s="1" t="s">
        <v>4320</v>
      </c>
      <c r="G1282" s="1" t="s">
        <v>236</v>
      </c>
      <c r="H1282" s="1" t="s">
        <v>4321</v>
      </c>
      <c r="I1282" s="1" t="s">
        <v>231</v>
      </c>
      <c r="J1282" s="1" t="s">
        <v>689</v>
      </c>
      <c r="K1282" s="1" t="n">
        <v>119.99</v>
      </c>
      <c r="L1282" s="1" t="n">
        <v>4.5</v>
      </c>
      <c r="M1282" s="1" t="n">
        <v>888</v>
      </c>
      <c r="N1282" s="4" t="b">
        <f aca="false">FALSE()</f>
        <v>0</v>
      </c>
      <c r="P1282" s="4" t="b">
        <f aca="false">TRUE()</f>
        <v>1</v>
      </c>
      <c r="Q1282" s="1" t="s">
        <v>451</v>
      </c>
      <c r="R1282" s="1" t="s">
        <v>4289</v>
      </c>
      <c r="S1282" s="1" t="s">
        <v>4322</v>
      </c>
      <c r="T1282" s="1" t="s">
        <v>222</v>
      </c>
      <c r="U1282" s="1" t="s">
        <v>2102</v>
      </c>
    </row>
    <row r="1283" customFormat="false" ht="48" hidden="false" customHeight="true" outlineLevel="0" collapsed="false">
      <c r="A1283" s="1" t="s">
        <v>41</v>
      </c>
      <c r="B1283" s="1" t="s">
        <v>3712</v>
      </c>
      <c r="C1283" s="1" t="s">
        <v>931</v>
      </c>
      <c r="D1283" s="1" t="s">
        <v>932</v>
      </c>
      <c r="E1283" s="1" t="n">
        <v>12</v>
      </c>
      <c r="F1283" s="1" t="s">
        <v>1055</v>
      </c>
      <c r="G1283" s="1" t="s">
        <v>934</v>
      </c>
      <c r="H1283" s="1" t="s">
        <v>1056</v>
      </c>
      <c r="I1283" s="1" t="s">
        <v>289</v>
      </c>
      <c r="J1283" s="1" t="s">
        <v>689</v>
      </c>
      <c r="K1283" s="1" t="n">
        <v>51.99</v>
      </c>
      <c r="L1283" s="1" t="n">
        <v>4.2</v>
      </c>
      <c r="M1283" s="1" t="n">
        <v>2600</v>
      </c>
      <c r="N1283" s="4" t="b">
        <f aca="false">FALSE()</f>
        <v>0</v>
      </c>
      <c r="P1283" s="4" t="b">
        <f aca="false">FALSE()</f>
        <v>0</v>
      </c>
      <c r="R1283" s="1" t="s">
        <v>4289</v>
      </c>
      <c r="S1283" s="1" t="s">
        <v>4323</v>
      </c>
      <c r="T1283" s="1" t="s">
        <v>222</v>
      </c>
      <c r="U1283" s="1" t="s">
        <v>2102</v>
      </c>
    </row>
    <row r="1284" customFormat="false" ht="48" hidden="false" customHeight="true" outlineLevel="0" collapsed="false">
      <c r="A1284" s="1" t="s">
        <v>41</v>
      </c>
      <c r="B1284" s="1" t="s">
        <v>3712</v>
      </c>
      <c r="C1284" s="1" t="s">
        <v>931</v>
      </c>
      <c r="D1284" s="1" t="s">
        <v>932</v>
      </c>
      <c r="E1284" s="1" t="n">
        <v>13</v>
      </c>
      <c r="F1284" s="1" t="s">
        <v>4324</v>
      </c>
      <c r="G1284" s="1" t="s">
        <v>236</v>
      </c>
      <c r="H1284" s="1" t="s">
        <v>4325</v>
      </c>
      <c r="I1284" s="1" t="s">
        <v>218</v>
      </c>
      <c r="J1284" s="1" t="s">
        <v>689</v>
      </c>
      <c r="K1284" s="1" t="n">
        <v>136.5</v>
      </c>
      <c r="L1284" s="1" t="n">
        <v>4.6</v>
      </c>
      <c r="M1284" s="1" t="n">
        <v>7000</v>
      </c>
      <c r="N1284" s="4" t="b">
        <f aca="false">FALSE()</f>
        <v>0</v>
      </c>
      <c r="O1284" s="1" t="s">
        <v>4326</v>
      </c>
      <c r="P1284" s="4" t="b">
        <f aca="false">TRUE()</f>
        <v>1</v>
      </c>
      <c r="Q1284" s="1" t="s">
        <v>233</v>
      </c>
      <c r="R1284" s="1" t="s">
        <v>4289</v>
      </c>
      <c r="S1284" s="1" t="s">
        <v>4327</v>
      </c>
      <c r="T1284" s="1" t="s">
        <v>222</v>
      </c>
      <c r="U1284" s="1" t="s">
        <v>2102</v>
      </c>
    </row>
    <row r="1285" customFormat="false" ht="48" hidden="false" customHeight="true" outlineLevel="0" collapsed="false">
      <c r="A1285" s="1" t="s">
        <v>41</v>
      </c>
      <c r="B1285" s="1" t="s">
        <v>3712</v>
      </c>
      <c r="C1285" s="1" t="s">
        <v>931</v>
      </c>
      <c r="D1285" s="1" t="s">
        <v>932</v>
      </c>
      <c r="E1285" s="1" t="n">
        <v>14</v>
      </c>
      <c r="F1285" s="1" t="s">
        <v>4328</v>
      </c>
      <c r="G1285" s="1" t="s">
        <v>236</v>
      </c>
      <c r="H1285" s="1" t="s">
        <v>4329</v>
      </c>
      <c r="I1285" s="1" t="s">
        <v>242</v>
      </c>
      <c r="J1285" s="1" t="s">
        <v>689</v>
      </c>
      <c r="K1285" s="1" t="n">
        <v>121.99</v>
      </c>
      <c r="L1285" s="1" t="n">
        <v>4.5</v>
      </c>
      <c r="M1285" s="1" t="n">
        <v>888</v>
      </c>
      <c r="N1285" s="4" t="b">
        <f aca="false">FALSE()</f>
        <v>0</v>
      </c>
      <c r="O1285" s="1" t="s">
        <v>4299</v>
      </c>
      <c r="P1285" s="4" t="b">
        <f aca="false">TRUE()</f>
        <v>1</v>
      </c>
      <c r="Q1285" s="1" t="s">
        <v>233</v>
      </c>
      <c r="R1285" s="1" t="s">
        <v>4289</v>
      </c>
      <c r="S1285" s="1" t="s">
        <v>4330</v>
      </c>
      <c r="T1285" s="1" t="s">
        <v>222</v>
      </c>
      <c r="U1285" s="1" t="s">
        <v>2102</v>
      </c>
    </row>
    <row r="1286" customFormat="false" ht="48" hidden="false" customHeight="true" outlineLevel="0" collapsed="false">
      <c r="A1286" s="1" t="s">
        <v>41</v>
      </c>
      <c r="B1286" s="1" t="s">
        <v>3712</v>
      </c>
      <c r="C1286" s="1" t="s">
        <v>931</v>
      </c>
      <c r="D1286" s="1" t="s">
        <v>932</v>
      </c>
      <c r="E1286" s="1" t="n">
        <v>15</v>
      </c>
      <c r="F1286" s="1" t="s">
        <v>4331</v>
      </c>
      <c r="G1286" s="1" t="s">
        <v>236</v>
      </c>
      <c r="H1286" s="1" t="s">
        <v>4332</v>
      </c>
      <c r="I1286" s="1" t="s">
        <v>231</v>
      </c>
      <c r="J1286" s="1" t="s">
        <v>597</v>
      </c>
      <c r="K1286" s="1" t="n">
        <v>69.99</v>
      </c>
      <c r="L1286" s="1" t="n">
        <v>4.5</v>
      </c>
      <c r="M1286" s="1" t="n">
        <v>32</v>
      </c>
      <c r="N1286" s="4" t="b">
        <f aca="false">FALSE()</f>
        <v>0</v>
      </c>
      <c r="P1286" s="4" t="b">
        <f aca="false">FALSE()</f>
        <v>0</v>
      </c>
      <c r="R1286" s="1" t="s">
        <v>4289</v>
      </c>
      <c r="S1286" s="1" t="s">
        <v>4333</v>
      </c>
      <c r="T1286" s="1" t="s">
        <v>222</v>
      </c>
      <c r="U1286" s="1" t="s">
        <v>2102</v>
      </c>
    </row>
    <row r="1287" customFormat="false" ht="48" hidden="false" customHeight="true" outlineLevel="0" collapsed="false">
      <c r="A1287" s="1" t="s">
        <v>41</v>
      </c>
      <c r="B1287" s="1" t="s">
        <v>3712</v>
      </c>
      <c r="C1287" s="1" t="s">
        <v>931</v>
      </c>
      <c r="D1287" s="1" t="s">
        <v>932</v>
      </c>
      <c r="E1287" s="1" t="n">
        <v>16</v>
      </c>
      <c r="F1287" s="1" t="s">
        <v>4334</v>
      </c>
      <c r="G1287" s="1" t="s">
        <v>934</v>
      </c>
      <c r="H1287" s="1" t="s">
        <v>4335</v>
      </c>
      <c r="I1287" s="1" t="s">
        <v>218</v>
      </c>
      <c r="J1287" s="1" t="s">
        <v>689</v>
      </c>
      <c r="K1287" s="1" t="n">
        <v>67.99</v>
      </c>
      <c r="L1287" s="1" t="n">
        <v>4.2</v>
      </c>
      <c r="M1287" s="1" t="n">
        <v>2600</v>
      </c>
      <c r="N1287" s="4" t="b">
        <f aca="false">FALSE()</f>
        <v>0</v>
      </c>
      <c r="O1287" s="1" t="s">
        <v>485</v>
      </c>
      <c r="P1287" s="4" t="b">
        <f aca="false">FALSE()</f>
        <v>0</v>
      </c>
      <c r="R1287" s="1" t="s">
        <v>4289</v>
      </c>
      <c r="S1287" s="1" t="s">
        <v>4336</v>
      </c>
      <c r="T1287" s="1" t="s">
        <v>222</v>
      </c>
      <c r="U1287" s="1" t="s">
        <v>2102</v>
      </c>
    </row>
    <row r="1288" customFormat="false" ht="48" hidden="false" customHeight="true" outlineLevel="0" collapsed="false">
      <c r="A1288" s="1" t="s">
        <v>41</v>
      </c>
      <c r="B1288" s="1" t="s">
        <v>3712</v>
      </c>
      <c r="C1288" s="1" t="s">
        <v>931</v>
      </c>
      <c r="D1288" s="1" t="s">
        <v>932</v>
      </c>
      <c r="E1288" s="1" t="n">
        <v>17</v>
      </c>
      <c r="F1288" s="1" t="s">
        <v>4337</v>
      </c>
      <c r="G1288" s="1" t="s">
        <v>236</v>
      </c>
      <c r="H1288" s="1" t="s">
        <v>4338</v>
      </c>
      <c r="I1288" s="1" t="s">
        <v>218</v>
      </c>
      <c r="J1288" s="1" t="s">
        <v>689</v>
      </c>
      <c r="K1288" s="1" t="n">
        <v>129.99</v>
      </c>
      <c r="L1288" s="1" t="n">
        <v>4.5</v>
      </c>
      <c r="M1288" s="1" t="n">
        <v>5100</v>
      </c>
      <c r="N1288" s="4" t="b">
        <f aca="false">FALSE()</f>
        <v>0</v>
      </c>
      <c r="O1288" s="1" t="s">
        <v>3714</v>
      </c>
      <c r="P1288" s="4" t="b">
        <f aca="false">TRUE()</f>
        <v>1</v>
      </c>
      <c r="Q1288" s="1" t="s">
        <v>233</v>
      </c>
      <c r="R1288" s="1" t="s">
        <v>4289</v>
      </c>
      <c r="S1288" s="1" t="s">
        <v>4339</v>
      </c>
      <c r="T1288" s="1" t="s">
        <v>222</v>
      </c>
      <c r="U1288" s="1" t="s">
        <v>2102</v>
      </c>
    </row>
    <row r="1289" customFormat="false" ht="48" hidden="false" customHeight="true" outlineLevel="0" collapsed="false">
      <c r="A1289" s="1" t="s">
        <v>41</v>
      </c>
      <c r="B1289" s="1" t="s">
        <v>3712</v>
      </c>
      <c r="C1289" s="1" t="s">
        <v>931</v>
      </c>
      <c r="D1289" s="1" t="s">
        <v>932</v>
      </c>
      <c r="E1289" s="1" t="n">
        <v>18</v>
      </c>
      <c r="F1289" s="1" t="s">
        <v>4340</v>
      </c>
      <c r="G1289" s="1" t="s">
        <v>236</v>
      </c>
      <c r="H1289" s="1" t="s">
        <v>4341</v>
      </c>
      <c r="I1289" s="1" t="s">
        <v>218</v>
      </c>
      <c r="J1289" s="1" t="s">
        <v>689</v>
      </c>
      <c r="K1289" s="1" t="n">
        <v>94.49</v>
      </c>
      <c r="L1289" s="1" t="n">
        <v>4.4</v>
      </c>
      <c r="M1289" s="1" t="n">
        <v>1600</v>
      </c>
      <c r="N1289" s="4" t="b">
        <f aca="false">FALSE()</f>
        <v>0</v>
      </c>
      <c r="P1289" s="4" t="b">
        <f aca="false">TRUE()</f>
        <v>1</v>
      </c>
      <c r="Q1289" s="1" t="s">
        <v>251</v>
      </c>
      <c r="R1289" s="1" t="s">
        <v>4289</v>
      </c>
      <c r="S1289" s="1" t="s">
        <v>4342</v>
      </c>
      <c r="T1289" s="1" t="s">
        <v>222</v>
      </c>
      <c r="U1289" s="1" t="s">
        <v>2102</v>
      </c>
    </row>
    <row r="1290" customFormat="false" ht="48" hidden="false" customHeight="true" outlineLevel="0" collapsed="false">
      <c r="A1290" s="1" t="s">
        <v>41</v>
      </c>
      <c r="B1290" s="1" t="s">
        <v>3712</v>
      </c>
      <c r="C1290" s="1" t="s">
        <v>931</v>
      </c>
      <c r="D1290" s="1" t="s">
        <v>932</v>
      </c>
      <c r="E1290" s="1" t="n">
        <v>19</v>
      </c>
      <c r="F1290" s="1" t="s">
        <v>4343</v>
      </c>
      <c r="G1290" s="1" t="s">
        <v>236</v>
      </c>
      <c r="H1290" s="1" t="s">
        <v>4344</v>
      </c>
      <c r="I1290" s="1" t="s">
        <v>218</v>
      </c>
      <c r="J1290" s="1" t="s">
        <v>689</v>
      </c>
      <c r="K1290" s="1" t="n">
        <v>94.49</v>
      </c>
      <c r="L1290" s="1" t="n">
        <v>4.5</v>
      </c>
      <c r="M1290" s="1" t="n">
        <v>2000</v>
      </c>
      <c r="N1290" s="4" t="b">
        <f aca="false">FALSE()</f>
        <v>0</v>
      </c>
      <c r="O1290" s="1" t="s">
        <v>4099</v>
      </c>
      <c r="P1290" s="4" t="b">
        <f aca="false">TRUE()</f>
        <v>1</v>
      </c>
      <c r="Q1290" s="1" t="s">
        <v>233</v>
      </c>
      <c r="R1290" s="1" t="s">
        <v>4289</v>
      </c>
      <c r="S1290" s="1" t="s">
        <v>4345</v>
      </c>
      <c r="T1290" s="1" t="s">
        <v>222</v>
      </c>
      <c r="U1290" s="1" t="s">
        <v>2102</v>
      </c>
    </row>
    <row r="1291" customFormat="false" ht="48" hidden="false" customHeight="true" outlineLevel="0" collapsed="false">
      <c r="A1291" s="1" t="s">
        <v>41</v>
      </c>
      <c r="B1291" s="1" t="s">
        <v>3712</v>
      </c>
      <c r="C1291" s="1" t="s">
        <v>931</v>
      </c>
      <c r="D1291" s="1" t="s">
        <v>932</v>
      </c>
      <c r="E1291" s="1" t="n">
        <v>20</v>
      </c>
      <c r="F1291" s="1" t="s">
        <v>4346</v>
      </c>
      <c r="G1291" s="1" t="s">
        <v>229</v>
      </c>
      <c r="H1291" s="1" t="s">
        <v>4347</v>
      </c>
      <c r="I1291" s="1" t="s">
        <v>218</v>
      </c>
      <c r="J1291" s="1" t="s">
        <v>310</v>
      </c>
      <c r="K1291" s="1" t="n">
        <v>21.59</v>
      </c>
      <c r="L1291" s="1" t="n">
        <v>4.6</v>
      </c>
      <c r="M1291" s="1" t="n">
        <v>103200</v>
      </c>
      <c r="N1291" s="4" t="b">
        <f aca="false">FALSE()</f>
        <v>0</v>
      </c>
      <c r="P1291" s="4" t="b">
        <f aca="false">FALSE()</f>
        <v>0</v>
      </c>
      <c r="Q1291" s="1" t="s">
        <v>409</v>
      </c>
      <c r="R1291" s="1" t="s">
        <v>4289</v>
      </c>
      <c r="S1291" s="1" t="s">
        <v>4348</v>
      </c>
      <c r="T1291" s="1" t="s">
        <v>222</v>
      </c>
      <c r="U1291" s="1" t="s">
        <v>2102</v>
      </c>
    </row>
    <row r="1292" customFormat="false" ht="48" hidden="false" customHeight="true" outlineLevel="0" collapsed="false">
      <c r="A1292" s="1" t="s">
        <v>41</v>
      </c>
      <c r="B1292" s="1" t="s">
        <v>3712</v>
      </c>
      <c r="C1292" s="1" t="s">
        <v>931</v>
      </c>
      <c r="D1292" s="1" t="s">
        <v>932</v>
      </c>
      <c r="E1292" s="1" t="n">
        <v>21</v>
      </c>
      <c r="F1292" s="1" t="s">
        <v>4349</v>
      </c>
      <c r="G1292" s="1" t="s">
        <v>236</v>
      </c>
      <c r="H1292" s="1" t="s">
        <v>4350</v>
      </c>
      <c r="I1292" s="1" t="s">
        <v>231</v>
      </c>
      <c r="J1292" s="1" t="s">
        <v>689</v>
      </c>
      <c r="K1292" s="1" t="n">
        <v>99.99</v>
      </c>
      <c r="L1292" s="1" t="n">
        <v>4.4</v>
      </c>
      <c r="M1292" s="1" t="n">
        <v>42</v>
      </c>
      <c r="N1292" s="4" t="b">
        <f aca="false">FALSE()</f>
        <v>0</v>
      </c>
      <c r="O1292" s="1" t="s">
        <v>3741</v>
      </c>
      <c r="P1292" s="4" t="b">
        <f aca="false">TRUE()</f>
        <v>1</v>
      </c>
      <c r="R1292" s="1" t="s">
        <v>4289</v>
      </c>
      <c r="S1292" s="1" t="s">
        <v>4351</v>
      </c>
      <c r="T1292" s="1" t="s">
        <v>222</v>
      </c>
      <c r="U1292" s="1" t="s">
        <v>2102</v>
      </c>
    </row>
    <row r="1293" customFormat="false" ht="48" hidden="false" customHeight="true" outlineLevel="0" collapsed="false">
      <c r="A1293" s="1" t="s">
        <v>41</v>
      </c>
      <c r="B1293" s="1" t="s">
        <v>3712</v>
      </c>
      <c r="C1293" s="1" t="s">
        <v>931</v>
      </c>
      <c r="D1293" s="1" t="s">
        <v>932</v>
      </c>
      <c r="E1293" s="1" t="n">
        <v>22</v>
      </c>
      <c r="F1293" s="1" t="s">
        <v>4352</v>
      </c>
      <c r="G1293" s="1" t="s">
        <v>681</v>
      </c>
      <c r="H1293" s="1" t="s">
        <v>4353</v>
      </c>
      <c r="I1293" s="1" t="s">
        <v>218</v>
      </c>
      <c r="J1293" s="1" t="s">
        <v>584</v>
      </c>
      <c r="K1293" s="1" t="n">
        <v>79.99</v>
      </c>
      <c r="L1293" s="1" t="n">
        <v>4.4</v>
      </c>
      <c r="M1293" s="1" t="n">
        <v>1000</v>
      </c>
      <c r="N1293" s="4" t="b">
        <f aca="false">FALSE()</f>
        <v>0</v>
      </c>
      <c r="P1293" s="4" t="b">
        <f aca="false">FALSE()</f>
        <v>0</v>
      </c>
      <c r="Q1293" s="1" t="s">
        <v>435</v>
      </c>
      <c r="R1293" s="1" t="s">
        <v>4289</v>
      </c>
      <c r="S1293" s="1" t="s">
        <v>4354</v>
      </c>
      <c r="T1293" s="1" t="s">
        <v>222</v>
      </c>
      <c r="U1293" s="1" t="s">
        <v>2102</v>
      </c>
    </row>
    <row r="1294" customFormat="false" ht="48" hidden="false" customHeight="true" outlineLevel="0" collapsed="false">
      <c r="A1294" s="1" t="s">
        <v>41</v>
      </c>
      <c r="B1294" s="1" t="s">
        <v>3712</v>
      </c>
      <c r="C1294" s="1" t="s">
        <v>931</v>
      </c>
      <c r="D1294" s="1" t="s">
        <v>932</v>
      </c>
      <c r="E1294" s="1" t="n">
        <v>23</v>
      </c>
      <c r="F1294" s="1" t="s">
        <v>4355</v>
      </c>
      <c r="G1294" s="1" t="s">
        <v>236</v>
      </c>
      <c r="H1294" s="1" t="s">
        <v>4356</v>
      </c>
      <c r="I1294" s="1" t="s">
        <v>218</v>
      </c>
      <c r="J1294" s="1" t="s">
        <v>689</v>
      </c>
      <c r="K1294" s="1" t="n">
        <v>129</v>
      </c>
      <c r="L1294" s="1" t="n">
        <v>4.9</v>
      </c>
      <c r="M1294" s="1" t="n">
        <v>159</v>
      </c>
      <c r="N1294" s="4" t="b">
        <f aca="false">FALSE()</f>
        <v>0</v>
      </c>
      <c r="O1294" s="1" t="s">
        <v>4357</v>
      </c>
      <c r="P1294" s="4" t="b">
        <f aca="false">TRUE()</f>
        <v>1</v>
      </c>
      <c r="R1294" s="1" t="s">
        <v>4289</v>
      </c>
      <c r="S1294" s="1" t="s">
        <v>4358</v>
      </c>
      <c r="T1294" s="1" t="s">
        <v>222</v>
      </c>
      <c r="U1294" s="1" t="s">
        <v>2102</v>
      </c>
    </row>
    <row r="1295" customFormat="false" ht="48" hidden="false" customHeight="true" outlineLevel="0" collapsed="false">
      <c r="A1295" s="1" t="s">
        <v>41</v>
      </c>
      <c r="B1295" s="1" t="s">
        <v>3712</v>
      </c>
      <c r="C1295" s="1" t="s">
        <v>931</v>
      </c>
      <c r="D1295" s="1" t="s">
        <v>932</v>
      </c>
      <c r="E1295" s="1" t="n">
        <v>24</v>
      </c>
      <c r="F1295" s="1" t="s">
        <v>4207</v>
      </c>
      <c r="G1295" s="1" t="s">
        <v>236</v>
      </c>
      <c r="H1295" s="1" t="s">
        <v>4208</v>
      </c>
      <c r="I1295" s="1" t="s">
        <v>218</v>
      </c>
      <c r="J1295" s="1" t="s">
        <v>310</v>
      </c>
      <c r="K1295" s="1" t="n">
        <v>24.99</v>
      </c>
      <c r="L1295" s="1" t="n">
        <v>4.5</v>
      </c>
      <c r="M1295" s="1" t="n">
        <v>464600</v>
      </c>
      <c r="N1295" s="4" t="b">
        <f aca="false">FALSE()</f>
        <v>0</v>
      </c>
      <c r="O1295" s="1" t="s">
        <v>311</v>
      </c>
      <c r="P1295" s="4" t="b">
        <f aca="false">FALSE()</f>
        <v>0</v>
      </c>
      <c r="Q1295" s="1" t="s">
        <v>4209</v>
      </c>
      <c r="R1295" s="1" t="s">
        <v>4289</v>
      </c>
      <c r="S1295" s="1" t="s">
        <v>4210</v>
      </c>
      <c r="T1295" s="1" t="s">
        <v>222</v>
      </c>
      <c r="U1295" s="1" t="s">
        <v>2102</v>
      </c>
    </row>
    <row r="1296" customFormat="false" ht="48" hidden="false" customHeight="true" outlineLevel="0" collapsed="false">
      <c r="A1296" s="1" t="s">
        <v>41</v>
      </c>
      <c r="B1296" s="1" t="s">
        <v>3712</v>
      </c>
      <c r="C1296" s="1" t="s">
        <v>931</v>
      </c>
      <c r="D1296" s="1" t="s">
        <v>932</v>
      </c>
      <c r="E1296" s="1" t="n">
        <v>25</v>
      </c>
      <c r="F1296" s="1" t="s">
        <v>4359</v>
      </c>
      <c r="G1296" s="1" t="s">
        <v>934</v>
      </c>
      <c r="H1296" s="1" t="s">
        <v>4360</v>
      </c>
      <c r="I1296" s="1" t="s">
        <v>242</v>
      </c>
      <c r="J1296" s="1" t="s">
        <v>689</v>
      </c>
      <c r="K1296" s="1" t="n">
        <v>114.99</v>
      </c>
      <c r="L1296" s="1" t="n">
        <v>4.3</v>
      </c>
      <c r="M1296" s="1" t="n">
        <v>1800</v>
      </c>
      <c r="N1296" s="4" t="b">
        <f aca="false">FALSE()</f>
        <v>0</v>
      </c>
      <c r="O1296" s="1" t="s">
        <v>4361</v>
      </c>
      <c r="P1296" s="4" t="b">
        <f aca="false">TRUE()</f>
        <v>1</v>
      </c>
      <c r="R1296" s="1" t="s">
        <v>4289</v>
      </c>
      <c r="S1296" s="1" t="s">
        <v>4362</v>
      </c>
      <c r="T1296" s="1" t="s">
        <v>222</v>
      </c>
      <c r="U1296" s="1" t="s">
        <v>2102</v>
      </c>
    </row>
    <row r="1297" customFormat="false" ht="48" hidden="false" customHeight="true" outlineLevel="0" collapsed="false">
      <c r="A1297" s="1" t="s">
        <v>41</v>
      </c>
      <c r="B1297" s="1" t="s">
        <v>3712</v>
      </c>
      <c r="C1297" s="1" t="s">
        <v>931</v>
      </c>
      <c r="D1297" s="1" t="s">
        <v>932</v>
      </c>
      <c r="E1297" s="1" t="n">
        <v>26</v>
      </c>
      <c r="F1297" s="1" t="s">
        <v>4363</v>
      </c>
      <c r="G1297" s="1" t="s">
        <v>236</v>
      </c>
      <c r="H1297" s="1" t="s">
        <v>4364</v>
      </c>
      <c r="I1297" s="1" t="s">
        <v>218</v>
      </c>
      <c r="J1297" s="1" t="s">
        <v>689</v>
      </c>
      <c r="K1297" s="1" t="n">
        <v>119.99</v>
      </c>
      <c r="L1297" s="1" t="n">
        <v>4.8</v>
      </c>
      <c r="M1297" s="1" t="n">
        <v>32</v>
      </c>
      <c r="N1297" s="4" t="b">
        <f aca="false">FALSE()</f>
        <v>0</v>
      </c>
      <c r="O1297" s="1" t="s">
        <v>4365</v>
      </c>
      <c r="P1297" s="4" t="b">
        <f aca="false">TRUE()</f>
        <v>1</v>
      </c>
      <c r="R1297" s="1" t="s">
        <v>4289</v>
      </c>
      <c r="S1297" s="1" t="s">
        <v>4366</v>
      </c>
      <c r="T1297" s="1" t="s">
        <v>222</v>
      </c>
      <c r="U1297" s="1" t="s">
        <v>2102</v>
      </c>
    </row>
    <row r="1298" customFormat="false" ht="48" hidden="false" customHeight="true" outlineLevel="0" collapsed="false">
      <c r="A1298" s="1" t="s">
        <v>41</v>
      </c>
      <c r="B1298" s="1" t="s">
        <v>3712</v>
      </c>
      <c r="C1298" s="1" t="s">
        <v>931</v>
      </c>
      <c r="D1298" s="1" t="s">
        <v>932</v>
      </c>
      <c r="E1298" s="1" t="n">
        <v>27</v>
      </c>
      <c r="F1298" s="1" t="s">
        <v>1022</v>
      </c>
      <c r="G1298" s="1" t="s">
        <v>1023</v>
      </c>
      <c r="H1298" s="1" t="s">
        <v>4367</v>
      </c>
      <c r="I1298" s="1" t="s">
        <v>218</v>
      </c>
      <c r="J1298" s="1" t="s">
        <v>689</v>
      </c>
      <c r="K1298" s="1" t="n">
        <v>129.59</v>
      </c>
      <c r="L1298" s="1" t="n">
        <v>4.3</v>
      </c>
      <c r="M1298" s="1" t="n">
        <v>3300</v>
      </c>
      <c r="N1298" s="4" t="b">
        <f aca="false">FALSE()</f>
        <v>0</v>
      </c>
      <c r="P1298" s="4" t="b">
        <f aca="false">TRUE()</f>
        <v>1</v>
      </c>
      <c r="Q1298" s="1" t="s">
        <v>233</v>
      </c>
      <c r="R1298" s="1" t="s">
        <v>4289</v>
      </c>
      <c r="S1298" s="1" t="s">
        <v>4368</v>
      </c>
      <c r="T1298" s="1" t="s">
        <v>222</v>
      </c>
      <c r="U1298" s="1" t="s">
        <v>2102</v>
      </c>
    </row>
    <row r="1299" customFormat="false" ht="48" hidden="false" customHeight="true" outlineLevel="0" collapsed="false">
      <c r="A1299" s="1" t="s">
        <v>41</v>
      </c>
      <c r="B1299" s="1" t="s">
        <v>3712</v>
      </c>
      <c r="C1299" s="1" t="s">
        <v>931</v>
      </c>
      <c r="D1299" s="1" t="s">
        <v>932</v>
      </c>
      <c r="E1299" s="1" t="n">
        <v>28</v>
      </c>
      <c r="F1299" s="1" t="s">
        <v>4369</v>
      </c>
      <c r="G1299" s="1" t="s">
        <v>236</v>
      </c>
      <c r="H1299" s="1" t="s">
        <v>4291</v>
      </c>
      <c r="I1299" s="1" t="s">
        <v>218</v>
      </c>
      <c r="J1299" s="1" t="s">
        <v>689</v>
      </c>
      <c r="K1299" s="1" t="n">
        <v>145.99</v>
      </c>
      <c r="L1299" s="1" t="n">
        <v>4.5</v>
      </c>
      <c r="M1299" s="1" t="n">
        <v>7900</v>
      </c>
      <c r="N1299" s="4" t="b">
        <f aca="false">FALSE()</f>
        <v>0</v>
      </c>
      <c r="O1299" s="1" t="s">
        <v>4370</v>
      </c>
      <c r="P1299" s="4" t="b">
        <f aca="false">TRUE()</f>
        <v>1</v>
      </c>
      <c r="Q1299" s="1" t="s">
        <v>233</v>
      </c>
      <c r="R1299" s="1" t="s">
        <v>4289</v>
      </c>
      <c r="S1299" s="1" t="s">
        <v>4371</v>
      </c>
      <c r="T1299" s="1" t="s">
        <v>222</v>
      </c>
      <c r="U1299" s="1" t="s">
        <v>2102</v>
      </c>
    </row>
    <row r="1300" customFormat="false" ht="48" hidden="false" customHeight="true" outlineLevel="0" collapsed="false">
      <c r="A1300" s="1" t="s">
        <v>41</v>
      </c>
      <c r="B1300" s="1" t="s">
        <v>3712</v>
      </c>
      <c r="C1300" s="1" t="s">
        <v>931</v>
      </c>
      <c r="D1300" s="1" t="s">
        <v>932</v>
      </c>
      <c r="E1300" s="1" t="n">
        <v>29</v>
      </c>
      <c r="F1300" s="1" t="s">
        <v>4372</v>
      </c>
      <c r="G1300" s="1" t="s">
        <v>236</v>
      </c>
      <c r="H1300" s="1" t="s">
        <v>4373</v>
      </c>
      <c r="I1300" s="1" t="s">
        <v>231</v>
      </c>
      <c r="J1300" s="1" t="s">
        <v>689</v>
      </c>
      <c r="K1300" s="1" t="n">
        <v>98.99</v>
      </c>
      <c r="L1300" s="1" t="n">
        <v>4.4</v>
      </c>
      <c r="M1300" s="1" t="n">
        <v>1600</v>
      </c>
      <c r="N1300" s="4" t="b">
        <f aca="false">FALSE()</f>
        <v>0</v>
      </c>
      <c r="P1300" s="4" t="b">
        <f aca="false">TRUE()</f>
        <v>1</v>
      </c>
      <c r="Q1300" s="1" t="s">
        <v>233</v>
      </c>
      <c r="R1300" s="1" t="s">
        <v>4289</v>
      </c>
      <c r="S1300" s="1" t="s">
        <v>4374</v>
      </c>
      <c r="T1300" s="1" t="s">
        <v>222</v>
      </c>
      <c r="U1300" s="1" t="s">
        <v>2102</v>
      </c>
    </row>
    <row r="1301" customFormat="false" ht="48" hidden="false" customHeight="true" outlineLevel="0" collapsed="false">
      <c r="A1301" s="1" t="s">
        <v>41</v>
      </c>
      <c r="B1301" s="1" t="s">
        <v>3712</v>
      </c>
      <c r="C1301" s="1" t="s">
        <v>931</v>
      </c>
      <c r="D1301" s="1" t="s">
        <v>932</v>
      </c>
      <c r="E1301" s="1" t="n">
        <v>30</v>
      </c>
      <c r="F1301" s="1" t="s">
        <v>4375</v>
      </c>
      <c r="G1301" s="1" t="s">
        <v>236</v>
      </c>
      <c r="H1301" s="1" t="s">
        <v>4376</v>
      </c>
      <c r="I1301" s="1" t="s">
        <v>218</v>
      </c>
      <c r="J1301" s="1" t="s">
        <v>689</v>
      </c>
      <c r="K1301" s="1" t="n">
        <v>108.79</v>
      </c>
      <c r="L1301" s="1" t="n">
        <v>4.4</v>
      </c>
      <c r="M1301" s="1" t="n">
        <v>9</v>
      </c>
      <c r="N1301" s="4" t="b">
        <f aca="false">FALSE()</f>
        <v>0</v>
      </c>
      <c r="O1301" s="1" t="s">
        <v>4377</v>
      </c>
      <c r="P1301" s="4" t="b">
        <f aca="false">TRUE()</f>
        <v>1</v>
      </c>
      <c r="Q1301" s="1" t="s">
        <v>251</v>
      </c>
      <c r="R1301" s="1" t="s">
        <v>4289</v>
      </c>
      <c r="S1301" s="1" t="s">
        <v>4378</v>
      </c>
      <c r="T1301" s="1" t="s">
        <v>222</v>
      </c>
      <c r="U1301" s="1" t="s">
        <v>2102</v>
      </c>
    </row>
    <row r="1302" customFormat="false" ht="48" hidden="false" customHeight="true" outlineLevel="0" collapsed="false">
      <c r="A1302" s="1" t="s">
        <v>41</v>
      </c>
      <c r="B1302" s="1" t="s">
        <v>3712</v>
      </c>
      <c r="C1302" s="1" t="s">
        <v>931</v>
      </c>
      <c r="D1302" s="1" t="s">
        <v>932</v>
      </c>
      <c r="E1302" s="1" t="n">
        <v>31</v>
      </c>
      <c r="F1302" s="1" t="s">
        <v>4379</v>
      </c>
      <c r="G1302" s="1" t="s">
        <v>236</v>
      </c>
      <c r="H1302" s="1" t="s">
        <v>4380</v>
      </c>
      <c r="I1302" s="1" t="s">
        <v>218</v>
      </c>
      <c r="J1302" s="1" t="s">
        <v>689</v>
      </c>
      <c r="K1302" s="1" t="n">
        <v>114.99</v>
      </c>
      <c r="L1302" s="1" t="n">
        <v>5</v>
      </c>
      <c r="M1302" s="1" t="n">
        <v>16</v>
      </c>
      <c r="N1302" s="4" t="b">
        <f aca="false">FALSE()</f>
        <v>0</v>
      </c>
      <c r="O1302" s="1" t="s">
        <v>4288</v>
      </c>
      <c r="P1302" s="4" t="b">
        <f aca="false">TRUE()</f>
        <v>1</v>
      </c>
      <c r="R1302" s="1" t="s">
        <v>4289</v>
      </c>
      <c r="S1302" s="1" t="s">
        <v>4381</v>
      </c>
      <c r="T1302" s="1" t="s">
        <v>222</v>
      </c>
      <c r="U1302" s="1" t="s">
        <v>2102</v>
      </c>
    </row>
    <row r="1303" customFormat="false" ht="48" hidden="false" customHeight="true" outlineLevel="0" collapsed="false">
      <c r="A1303" s="1" t="s">
        <v>41</v>
      </c>
      <c r="B1303" s="1" t="s">
        <v>3712</v>
      </c>
      <c r="C1303" s="1" t="s">
        <v>931</v>
      </c>
      <c r="D1303" s="1" t="s">
        <v>932</v>
      </c>
      <c r="E1303" s="1" t="n">
        <v>32</v>
      </c>
      <c r="F1303" s="1" t="s">
        <v>4382</v>
      </c>
      <c r="G1303" s="1" t="s">
        <v>2156</v>
      </c>
      <c r="H1303" s="1" t="s">
        <v>4383</v>
      </c>
      <c r="I1303" s="1" t="s">
        <v>218</v>
      </c>
      <c r="J1303" s="1" t="s">
        <v>689</v>
      </c>
      <c r="K1303" s="1" t="n">
        <v>129.99</v>
      </c>
      <c r="L1303" s="1" t="n">
        <v>4.4</v>
      </c>
      <c r="M1303" s="1" t="n">
        <v>10000</v>
      </c>
      <c r="N1303" s="4" t="b">
        <f aca="false">FALSE()</f>
        <v>0</v>
      </c>
      <c r="O1303" s="1" t="s">
        <v>674</v>
      </c>
      <c r="P1303" s="4" t="b">
        <f aca="false">TRUE()</f>
        <v>1</v>
      </c>
      <c r="Q1303" s="1" t="s">
        <v>439</v>
      </c>
      <c r="R1303" s="1" t="s">
        <v>4289</v>
      </c>
      <c r="S1303" s="1" t="s">
        <v>4384</v>
      </c>
      <c r="T1303" s="1" t="s">
        <v>222</v>
      </c>
      <c r="U1303" s="1" t="s">
        <v>2102</v>
      </c>
    </row>
    <row r="1304" customFormat="false" ht="48" hidden="false" customHeight="true" outlineLevel="0" collapsed="false">
      <c r="A1304" s="1" t="s">
        <v>41</v>
      </c>
      <c r="B1304" s="1" t="s">
        <v>3712</v>
      </c>
      <c r="C1304" s="1" t="s">
        <v>931</v>
      </c>
      <c r="D1304" s="1" t="s">
        <v>932</v>
      </c>
      <c r="E1304" s="1" t="n">
        <v>33</v>
      </c>
      <c r="F1304" s="1" t="s">
        <v>4385</v>
      </c>
      <c r="G1304" s="1" t="s">
        <v>236</v>
      </c>
      <c r="H1304" s="1" t="s">
        <v>4386</v>
      </c>
      <c r="I1304" s="1" t="s">
        <v>218</v>
      </c>
      <c r="J1304" s="1" t="s">
        <v>689</v>
      </c>
      <c r="K1304" s="1" t="n">
        <v>103.99</v>
      </c>
      <c r="L1304" s="1" t="n">
        <v>4.2</v>
      </c>
      <c r="M1304" s="1" t="n">
        <v>87</v>
      </c>
      <c r="N1304" s="4" t="b">
        <f aca="false">FALSE()</f>
        <v>0</v>
      </c>
      <c r="P1304" s="4" t="b">
        <f aca="false">TRUE()</f>
        <v>1</v>
      </c>
      <c r="R1304" s="1" t="s">
        <v>4289</v>
      </c>
      <c r="S1304" s="1" t="s">
        <v>4387</v>
      </c>
      <c r="T1304" s="1" t="s">
        <v>222</v>
      </c>
      <c r="U1304" s="1" t="s">
        <v>2102</v>
      </c>
    </row>
    <row r="1305" customFormat="false" ht="48" hidden="false" customHeight="true" outlineLevel="0" collapsed="false">
      <c r="A1305" s="1" t="s">
        <v>41</v>
      </c>
      <c r="B1305" s="1" t="s">
        <v>3712</v>
      </c>
      <c r="C1305" s="1" t="s">
        <v>931</v>
      </c>
      <c r="D1305" s="1" t="s">
        <v>932</v>
      </c>
      <c r="E1305" s="1" t="n">
        <v>34</v>
      </c>
      <c r="F1305" s="1" t="s">
        <v>2815</v>
      </c>
      <c r="G1305" s="1" t="s">
        <v>681</v>
      </c>
      <c r="H1305" s="1" t="s">
        <v>4353</v>
      </c>
      <c r="I1305" s="1" t="s">
        <v>218</v>
      </c>
      <c r="J1305" s="1" t="s">
        <v>584</v>
      </c>
      <c r="K1305" s="1" t="n">
        <v>79.99</v>
      </c>
      <c r="L1305" s="1" t="n">
        <v>4.4</v>
      </c>
      <c r="M1305" s="1" t="n">
        <v>1000</v>
      </c>
      <c r="N1305" s="4" t="b">
        <f aca="false">FALSE()</f>
        <v>0</v>
      </c>
      <c r="P1305" s="4" t="b">
        <f aca="false">FALSE()</f>
        <v>0</v>
      </c>
      <c r="Q1305" s="1" t="s">
        <v>423</v>
      </c>
      <c r="R1305" s="1" t="s">
        <v>4289</v>
      </c>
      <c r="S1305" s="1" t="s">
        <v>4388</v>
      </c>
      <c r="T1305" s="1" t="s">
        <v>222</v>
      </c>
      <c r="U1305" s="1" t="s">
        <v>2102</v>
      </c>
    </row>
    <row r="1306" customFormat="false" ht="48" hidden="false" customHeight="true" outlineLevel="0" collapsed="false">
      <c r="A1306" s="1" t="s">
        <v>41</v>
      </c>
      <c r="B1306" s="1" t="s">
        <v>3712</v>
      </c>
      <c r="C1306" s="1" t="s">
        <v>931</v>
      </c>
      <c r="D1306" s="1" t="s">
        <v>932</v>
      </c>
      <c r="E1306" s="1" t="n">
        <v>35</v>
      </c>
      <c r="F1306" s="1" t="s">
        <v>4389</v>
      </c>
      <c r="G1306" s="1" t="s">
        <v>236</v>
      </c>
      <c r="H1306" s="1" t="s">
        <v>4291</v>
      </c>
      <c r="I1306" s="1" t="s">
        <v>218</v>
      </c>
      <c r="J1306" s="1" t="s">
        <v>689</v>
      </c>
      <c r="K1306" s="1" t="n">
        <v>144.99</v>
      </c>
      <c r="L1306" s="1" t="n">
        <v>4.5</v>
      </c>
      <c r="M1306" s="1" t="n">
        <v>7900</v>
      </c>
      <c r="N1306" s="4" t="b">
        <f aca="false">FALSE()</f>
        <v>0</v>
      </c>
      <c r="O1306" s="1" t="s">
        <v>4390</v>
      </c>
      <c r="P1306" s="4" t="b">
        <f aca="false">TRUE()</f>
        <v>1</v>
      </c>
      <c r="Q1306" s="1" t="s">
        <v>251</v>
      </c>
      <c r="R1306" s="1" t="s">
        <v>4289</v>
      </c>
      <c r="S1306" s="1" t="s">
        <v>4391</v>
      </c>
      <c r="T1306" s="1" t="s">
        <v>222</v>
      </c>
      <c r="U1306" s="1" t="s">
        <v>2102</v>
      </c>
    </row>
    <row r="1307" customFormat="false" ht="48" hidden="false" customHeight="true" outlineLevel="0" collapsed="false">
      <c r="A1307" s="1" t="s">
        <v>41</v>
      </c>
      <c r="B1307" s="1" t="s">
        <v>3712</v>
      </c>
      <c r="C1307" s="1" t="s">
        <v>931</v>
      </c>
      <c r="D1307" s="1" t="s">
        <v>932</v>
      </c>
      <c r="E1307" s="1" t="n">
        <v>36</v>
      </c>
      <c r="F1307" s="1" t="s">
        <v>4392</v>
      </c>
      <c r="G1307" s="1" t="s">
        <v>236</v>
      </c>
      <c r="H1307" s="1" t="s">
        <v>4393</v>
      </c>
      <c r="I1307" s="1" t="s">
        <v>218</v>
      </c>
      <c r="J1307" s="1" t="s">
        <v>597</v>
      </c>
      <c r="K1307" s="1" t="n">
        <v>39.99</v>
      </c>
      <c r="L1307" s="1" t="n">
        <v>4.1</v>
      </c>
      <c r="M1307" s="1" t="n">
        <v>63</v>
      </c>
      <c r="N1307" s="4" t="b">
        <f aca="false">FALSE()</f>
        <v>0</v>
      </c>
      <c r="O1307" s="1" t="s">
        <v>4394</v>
      </c>
      <c r="P1307" s="4" t="b">
        <f aca="false">FALSE()</f>
        <v>0</v>
      </c>
      <c r="R1307" s="1" t="s">
        <v>4289</v>
      </c>
      <c r="S1307" s="1" t="s">
        <v>4395</v>
      </c>
      <c r="T1307" s="1" t="s">
        <v>222</v>
      </c>
      <c r="U1307" s="1" t="s">
        <v>2102</v>
      </c>
    </row>
    <row r="1308" customFormat="false" ht="48" hidden="false" customHeight="true" outlineLevel="0" collapsed="false">
      <c r="A1308" s="1" t="s">
        <v>41</v>
      </c>
      <c r="B1308" s="1" t="s">
        <v>3712</v>
      </c>
      <c r="C1308" s="1" t="s">
        <v>931</v>
      </c>
      <c r="D1308" s="1" t="s">
        <v>932</v>
      </c>
      <c r="E1308" s="1" t="n">
        <v>37</v>
      </c>
      <c r="F1308" s="1" t="s">
        <v>4396</v>
      </c>
      <c r="G1308" s="1" t="s">
        <v>979</v>
      </c>
      <c r="H1308" s="1" t="s">
        <v>4397</v>
      </c>
      <c r="I1308" s="1" t="s">
        <v>231</v>
      </c>
      <c r="J1308" s="1" t="s">
        <v>689</v>
      </c>
      <c r="K1308" s="1" t="n">
        <v>149.99</v>
      </c>
      <c r="L1308" s="1" t="n">
        <v>4.4</v>
      </c>
      <c r="M1308" s="1" t="n">
        <v>1500</v>
      </c>
      <c r="N1308" s="4" t="b">
        <f aca="false">FALSE()</f>
        <v>0</v>
      </c>
      <c r="P1308" s="4" t="b">
        <f aca="false">FALSE()</f>
        <v>0</v>
      </c>
      <c r="Q1308" s="1" t="s">
        <v>711</v>
      </c>
      <c r="R1308" s="1" t="s">
        <v>4289</v>
      </c>
      <c r="S1308" s="1" t="s">
        <v>4398</v>
      </c>
      <c r="T1308" s="1" t="s">
        <v>222</v>
      </c>
      <c r="U1308" s="1" t="s">
        <v>2102</v>
      </c>
    </row>
    <row r="1309" customFormat="false" ht="48" hidden="false" customHeight="true" outlineLevel="0" collapsed="false">
      <c r="A1309" s="1" t="s">
        <v>41</v>
      </c>
      <c r="B1309" s="1" t="s">
        <v>3712</v>
      </c>
      <c r="C1309" s="1" t="s">
        <v>931</v>
      </c>
      <c r="D1309" s="1" t="s">
        <v>932</v>
      </c>
      <c r="E1309" s="1" t="n">
        <v>38</v>
      </c>
      <c r="F1309" s="1" t="s">
        <v>4399</v>
      </c>
      <c r="G1309" s="1" t="s">
        <v>236</v>
      </c>
      <c r="H1309" s="1" t="s">
        <v>4400</v>
      </c>
      <c r="I1309" s="1" t="s">
        <v>218</v>
      </c>
      <c r="J1309" s="1" t="s">
        <v>689</v>
      </c>
      <c r="K1309" s="1" t="n">
        <v>126.62</v>
      </c>
      <c r="L1309" s="1" t="n">
        <v>4.3</v>
      </c>
      <c r="M1309" s="1" t="n">
        <v>1000</v>
      </c>
      <c r="N1309" s="4" t="b">
        <f aca="false">FALSE()</f>
        <v>0</v>
      </c>
      <c r="P1309" s="4" t="b">
        <f aca="false">TRUE()</f>
        <v>1</v>
      </c>
      <c r="R1309" s="1" t="s">
        <v>4289</v>
      </c>
      <c r="S1309" s="1" t="s">
        <v>4401</v>
      </c>
      <c r="T1309" s="1" t="s">
        <v>222</v>
      </c>
      <c r="U1309" s="1" t="s">
        <v>2102</v>
      </c>
    </row>
    <row r="1310" customFormat="false" ht="48" hidden="false" customHeight="true" outlineLevel="0" collapsed="false">
      <c r="A1310" s="1" t="s">
        <v>41</v>
      </c>
      <c r="B1310" s="1" t="s">
        <v>3712</v>
      </c>
      <c r="C1310" s="1" t="s">
        <v>931</v>
      </c>
      <c r="D1310" s="1" t="s">
        <v>932</v>
      </c>
      <c r="E1310" s="1" t="n">
        <v>39</v>
      </c>
      <c r="F1310" s="1" t="s">
        <v>2713</v>
      </c>
      <c r="G1310" s="1" t="s">
        <v>2714</v>
      </c>
      <c r="H1310" s="1" t="s">
        <v>4402</v>
      </c>
      <c r="I1310" s="1" t="s">
        <v>218</v>
      </c>
      <c r="J1310" s="1" t="s">
        <v>584</v>
      </c>
      <c r="K1310" s="1" t="n">
        <v>74.99</v>
      </c>
      <c r="L1310" s="1" t="n">
        <v>4.4</v>
      </c>
      <c r="M1310" s="1" t="n">
        <v>461</v>
      </c>
      <c r="N1310" s="4" t="b">
        <f aca="false">FALSE()</f>
        <v>0</v>
      </c>
      <c r="P1310" s="4" t="b">
        <f aca="false">FALSE()</f>
        <v>0</v>
      </c>
      <c r="Q1310" s="1" t="s">
        <v>251</v>
      </c>
      <c r="R1310" s="1" t="s">
        <v>4289</v>
      </c>
      <c r="S1310" s="1" t="s">
        <v>4403</v>
      </c>
      <c r="T1310" s="1" t="s">
        <v>222</v>
      </c>
      <c r="U1310" s="1" t="s">
        <v>2102</v>
      </c>
    </row>
    <row r="1311" customFormat="false" ht="48" hidden="false" customHeight="true" outlineLevel="0" collapsed="false">
      <c r="A1311" s="1" t="s">
        <v>41</v>
      </c>
      <c r="B1311" s="1" t="s">
        <v>3712</v>
      </c>
      <c r="C1311" s="1" t="s">
        <v>931</v>
      </c>
      <c r="D1311" s="1" t="s">
        <v>932</v>
      </c>
      <c r="E1311" s="1" t="n">
        <v>40</v>
      </c>
      <c r="F1311" s="1" t="s">
        <v>4404</v>
      </c>
      <c r="G1311" s="1" t="s">
        <v>236</v>
      </c>
      <c r="H1311" s="1" t="s">
        <v>4405</v>
      </c>
      <c r="I1311" s="1" t="s">
        <v>218</v>
      </c>
      <c r="J1311" s="1" t="s">
        <v>689</v>
      </c>
      <c r="K1311" s="1" t="n">
        <v>119.99</v>
      </c>
      <c r="L1311" s="1" t="n">
        <v>4.4</v>
      </c>
      <c r="M1311" s="1" t="n">
        <v>604</v>
      </c>
      <c r="N1311" s="4" t="b">
        <f aca="false">FALSE()</f>
        <v>0</v>
      </c>
      <c r="O1311" s="1" t="s">
        <v>2009</v>
      </c>
      <c r="P1311" s="4" t="b">
        <f aca="false">TRUE()</f>
        <v>1</v>
      </c>
      <c r="Q1311" s="1" t="s">
        <v>233</v>
      </c>
      <c r="R1311" s="1" t="s">
        <v>4289</v>
      </c>
      <c r="S1311" s="1" t="s">
        <v>4406</v>
      </c>
      <c r="T1311" s="1" t="s">
        <v>222</v>
      </c>
      <c r="U1311" s="1" t="s">
        <v>2102</v>
      </c>
    </row>
    <row r="1312" customFormat="false" ht="48" hidden="false" customHeight="true" outlineLevel="0" collapsed="false">
      <c r="A1312" s="1" t="s">
        <v>41</v>
      </c>
      <c r="B1312" s="1" t="s">
        <v>3712</v>
      </c>
      <c r="C1312" s="1" t="s">
        <v>931</v>
      </c>
      <c r="D1312" s="1" t="s">
        <v>932</v>
      </c>
      <c r="E1312" s="1" t="n">
        <v>41</v>
      </c>
      <c r="F1312" s="1" t="s">
        <v>4407</v>
      </c>
      <c r="G1312" s="1" t="s">
        <v>236</v>
      </c>
      <c r="H1312" s="1" t="s">
        <v>4408</v>
      </c>
      <c r="I1312" s="1" t="s">
        <v>231</v>
      </c>
      <c r="J1312" s="1" t="s">
        <v>689</v>
      </c>
      <c r="K1312" s="1" t="n">
        <v>129.99</v>
      </c>
      <c r="L1312" s="1" t="n">
        <v>4.5</v>
      </c>
      <c r="M1312" s="1" t="n">
        <v>5100</v>
      </c>
      <c r="N1312" s="4" t="b">
        <f aca="false">FALSE()</f>
        <v>0</v>
      </c>
      <c r="O1312" s="1" t="s">
        <v>3714</v>
      </c>
      <c r="P1312" s="4" t="b">
        <f aca="false">TRUE()</f>
        <v>1</v>
      </c>
      <c r="Q1312" s="1" t="s">
        <v>233</v>
      </c>
      <c r="R1312" s="1" t="s">
        <v>4289</v>
      </c>
      <c r="S1312" s="1" t="s">
        <v>4409</v>
      </c>
      <c r="T1312" s="1" t="s">
        <v>222</v>
      </c>
      <c r="U1312" s="1" t="s">
        <v>2102</v>
      </c>
    </row>
    <row r="1313" customFormat="false" ht="48" hidden="false" customHeight="true" outlineLevel="0" collapsed="false">
      <c r="A1313" s="1" t="s">
        <v>41</v>
      </c>
      <c r="B1313" s="1" t="s">
        <v>3712</v>
      </c>
      <c r="C1313" s="1" t="s">
        <v>931</v>
      </c>
      <c r="D1313" s="1" t="s">
        <v>932</v>
      </c>
      <c r="E1313" s="1" t="n">
        <v>42</v>
      </c>
      <c r="F1313" s="1" t="s">
        <v>4410</v>
      </c>
      <c r="G1313" s="1" t="s">
        <v>229</v>
      </c>
      <c r="H1313" s="1" t="s">
        <v>4411</v>
      </c>
      <c r="I1313" s="1" t="s">
        <v>218</v>
      </c>
      <c r="J1313" s="1" t="s">
        <v>597</v>
      </c>
      <c r="K1313" s="1" t="n">
        <v>90.99</v>
      </c>
      <c r="L1313" s="1" t="n">
        <v>4.6</v>
      </c>
      <c r="M1313" s="1" t="n">
        <v>344</v>
      </c>
      <c r="N1313" s="4" t="b">
        <f aca="false">FALSE()</f>
        <v>0</v>
      </c>
      <c r="O1313" s="1" t="s">
        <v>4412</v>
      </c>
      <c r="P1313" s="4" t="b">
        <f aca="false">FALSE()</f>
        <v>0</v>
      </c>
      <c r="Q1313" s="1" t="s">
        <v>618</v>
      </c>
      <c r="R1313" s="1" t="s">
        <v>4289</v>
      </c>
      <c r="S1313" s="1" t="s">
        <v>4413</v>
      </c>
      <c r="T1313" s="1" t="s">
        <v>222</v>
      </c>
      <c r="U1313" s="1" t="s">
        <v>2102</v>
      </c>
    </row>
    <row r="1314" customFormat="false" ht="48" hidden="false" customHeight="true" outlineLevel="0" collapsed="false">
      <c r="A1314" s="1" t="s">
        <v>41</v>
      </c>
      <c r="B1314" s="1" t="s">
        <v>3712</v>
      </c>
      <c r="C1314" s="1" t="s">
        <v>931</v>
      </c>
      <c r="D1314" s="1" t="s">
        <v>932</v>
      </c>
      <c r="E1314" s="1" t="n">
        <v>43</v>
      </c>
      <c r="F1314" s="1" t="s">
        <v>4414</v>
      </c>
      <c r="G1314" s="1" t="s">
        <v>1023</v>
      </c>
      <c r="H1314" s="1" t="s">
        <v>4415</v>
      </c>
      <c r="I1314" s="1" t="s">
        <v>231</v>
      </c>
      <c r="J1314" s="1" t="s">
        <v>689</v>
      </c>
      <c r="K1314" s="1" t="n">
        <v>139.49</v>
      </c>
      <c r="L1314" s="1" t="n">
        <v>4.3</v>
      </c>
      <c r="M1314" s="1" t="n">
        <v>3300</v>
      </c>
      <c r="N1314" s="4" t="b">
        <f aca="false">FALSE()</f>
        <v>0</v>
      </c>
      <c r="O1314" s="1" t="s">
        <v>4108</v>
      </c>
      <c r="P1314" s="4" t="b">
        <f aca="false">TRUE()</f>
        <v>1</v>
      </c>
      <c r="Q1314" s="1" t="s">
        <v>251</v>
      </c>
      <c r="R1314" s="1" t="s">
        <v>4289</v>
      </c>
      <c r="S1314" s="1" t="s">
        <v>4416</v>
      </c>
      <c r="T1314" s="1" t="s">
        <v>222</v>
      </c>
      <c r="U1314" s="1" t="s">
        <v>2102</v>
      </c>
    </row>
    <row r="1315" customFormat="false" ht="48" hidden="false" customHeight="true" outlineLevel="0" collapsed="false">
      <c r="A1315" s="1" t="s">
        <v>41</v>
      </c>
      <c r="B1315" s="1" t="s">
        <v>3712</v>
      </c>
      <c r="C1315" s="1" t="s">
        <v>931</v>
      </c>
      <c r="D1315" s="1" t="s">
        <v>932</v>
      </c>
      <c r="E1315" s="1" t="n">
        <v>44</v>
      </c>
      <c r="F1315" s="1" t="s">
        <v>4417</v>
      </c>
      <c r="G1315" s="1" t="s">
        <v>236</v>
      </c>
      <c r="H1315" s="1" t="s">
        <v>4418</v>
      </c>
      <c r="I1315" s="1" t="s">
        <v>218</v>
      </c>
      <c r="J1315" s="1" t="s">
        <v>689</v>
      </c>
      <c r="K1315" s="1" t="n">
        <v>90.24</v>
      </c>
      <c r="L1315" s="1" t="n">
        <v>4.2</v>
      </c>
      <c r="M1315" s="1" t="n">
        <v>407</v>
      </c>
      <c r="N1315" s="4" t="b">
        <f aca="false">FALSE()</f>
        <v>0</v>
      </c>
      <c r="P1315" s="4" t="b">
        <f aca="false">TRUE()</f>
        <v>1</v>
      </c>
      <c r="Q1315" s="1" t="s">
        <v>251</v>
      </c>
      <c r="R1315" s="1" t="s">
        <v>4289</v>
      </c>
      <c r="S1315" s="1" t="s">
        <v>4419</v>
      </c>
      <c r="T1315" s="1" t="s">
        <v>222</v>
      </c>
      <c r="U1315" s="1" t="s">
        <v>2102</v>
      </c>
    </row>
    <row r="1316" customFormat="false" ht="48" hidden="false" customHeight="true" outlineLevel="0" collapsed="false">
      <c r="A1316" s="1" t="s">
        <v>41</v>
      </c>
      <c r="B1316" s="1" t="s">
        <v>3712</v>
      </c>
      <c r="C1316" s="1" t="s">
        <v>931</v>
      </c>
      <c r="D1316" s="1" t="s">
        <v>932</v>
      </c>
      <c r="E1316" s="1" t="n">
        <v>45</v>
      </c>
      <c r="F1316" s="1" t="s">
        <v>4420</v>
      </c>
      <c r="G1316" s="1" t="s">
        <v>229</v>
      </c>
      <c r="H1316" s="1" t="s">
        <v>4421</v>
      </c>
      <c r="I1316" s="1" t="s">
        <v>218</v>
      </c>
      <c r="J1316" s="1" t="s">
        <v>584</v>
      </c>
      <c r="K1316" s="1" t="n">
        <v>79.99</v>
      </c>
      <c r="L1316" s="1" t="n">
        <v>4.5</v>
      </c>
      <c r="M1316" s="1" t="n">
        <v>125</v>
      </c>
      <c r="N1316" s="4" t="b">
        <f aca="false">FALSE()</f>
        <v>0</v>
      </c>
      <c r="O1316" s="1" t="s">
        <v>4422</v>
      </c>
      <c r="P1316" s="4" t="b">
        <f aca="false">FALSE()</f>
        <v>0</v>
      </c>
      <c r="R1316" s="1" t="s">
        <v>4289</v>
      </c>
      <c r="S1316" s="1" t="s">
        <v>4423</v>
      </c>
      <c r="T1316" s="1" t="s">
        <v>222</v>
      </c>
      <c r="U1316" s="1" t="s">
        <v>2102</v>
      </c>
    </row>
    <row r="1317" customFormat="false" ht="48" hidden="false" customHeight="true" outlineLevel="0" collapsed="false">
      <c r="A1317" s="1" t="s">
        <v>41</v>
      </c>
      <c r="B1317" s="1" t="s">
        <v>3712</v>
      </c>
      <c r="C1317" s="1" t="s">
        <v>931</v>
      </c>
      <c r="D1317" s="1" t="s">
        <v>932</v>
      </c>
      <c r="E1317" s="1" t="n">
        <v>46</v>
      </c>
      <c r="F1317" s="1" t="s">
        <v>4424</v>
      </c>
      <c r="G1317" s="1" t="s">
        <v>236</v>
      </c>
      <c r="H1317" s="1" t="s">
        <v>4425</v>
      </c>
      <c r="I1317" s="1" t="s">
        <v>218</v>
      </c>
      <c r="J1317" s="1" t="s">
        <v>689</v>
      </c>
      <c r="K1317" s="1" t="n">
        <v>99.99</v>
      </c>
      <c r="L1317" s="1" t="n">
        <v>4.6</v>
      </c>
      <c r="M1317" s="1" t="n">
        <v>613</v>
      </c>
      <c r="N1317" s="4" t="b">
        <f aca="false">FALSE()</f>
        <v>0</v>
      </c>
      <c r="O1317" s="1" t="s">
        <v>3725</v>
      </c>
      <c r="P1317" s="4" t="b">
        <f aca="false">TRUE()</f>
        <v>1</v>
      </c>
      <c r="R1317" s="1" t="s">
        <v>4289</v>
      </c>
      <c r="S1317" s="1" t="s">
        <v>4426</v>
      </c>
      <c r="T1317" s="1" t="s">
        <v>222</v>
      </c>
      <c r="U1317" s="1" t="s">
        <v>2102</v>
      </c>
    </row>
    <row r="1318" customFormat="false" ht="48" hidden="false" customHeight="true" outlineLevel="0" collapsed="false">
      <c r="A1318" s="1" t="s">
        <v>41</v>
      </c>
      <c r="B1318" s="1" t="s">
        <v>3712</v>
      </c>
      <c r="C1318" s="1" t="s">
        <v>931</v>
      </c>
      <c r="D1318" s="1" t="s">
        <v>932</v>
      </c>
      <c r="E1318" s="1" t="n">
        <v>47</v>
      </c>
      <c r="F1318" s="1" t="s">
        <v>4427</v>
      </c>
      <c r="G1318" s="1" t="s">
        <v>979</v>
      </c>
      <c r="H1318" s="1" t="s">
        <v>4428</v>
      </c>
      <c r="I1318" s="1" t="s">
        <v>218</v>
      </c>
      <c r="J1318" s="1" t="s">
        <v>689</v>
      </c>
      <c r="K1318" s="1" t="n">
        <v>75.99</v>
      </c>
      <c r="L1318" s="1" t="n">
        <v>4.4</v>
      </c>
      <c r="M1318" s="1" t="n">
        <v>15300</v>
      </c>
      <c r="N1318" s="4" t="b">
        <f aca="false">FALSE()</f>
        <v>0</v>
      </c>
      <c r="P1318" s="4" t="b">
        <f aca="false">FALSE()</f>
        <v>0</v>
      </c>
      <c r="Q1318" s="1" t="s">
        <v>409</v>
      </c>
      <c r="R1318" s="1" t="s">
        <v>4289</v>
      </c>
      <c r="S1318" s="1" t="s">
        <v>4429</v>
      </c>
      <c r="T1318" s="1" t="s">
        <v>222</v>
      </c>
      <c r="U1318" s="1" t="s">
        <v>2102</v>
      </c>
    </row>
    <row r="1319" customFormat="false" ht="48" hidden="false" customHeight="true" outlineLevel="0" collapsed="false">
      <c r="A1319" s="1" t="s">
        <v>41</v>
      </c>
      <c r="B1319" s="1" t="s">
        <v>3712</v>
      </c>
      <c r="C1319" s="1" t="s">
        <v>931</v>
      </c>
      <c r="D1319" s="1" t="s">
        <v>932</v>
      </c>
      <c r="E1319" s="1" t="n">
        <v>48</v>
      </c>
      <c r="F1319" s="1" t="s">
        <v>4430</v>
      </c>
      <c r="G1319" s="1" t="s">
        <v>236</v>
      </c>
      <c r="H1319" s="1" t="s">
        <v>4431</v>
      </c>
      <c r="I1319" s="1" t="s">
        <v>218</v>
      </c>
      <c r="J1319" s="1" t="s">
        <v>597</v>
      </c>
      <c r="K1319" s="1" t="n">
        <v>82.87</v>
      </c>
      <c r="L1319" s="1" t="n">
        <v>4.3</v>
      </c>
      <c r="M1319" s="1" t="n">
        <v>10700</v>
      </c>
      <c r="N1319" s="4" t="b">
        <f aca="false">FALSE()</f>
        <v>0</v>
      </c>
      <c r="O1319" s="1" t="s">
        <v>4432</v>
      </c>
      <c r="P1319" s="4" t="b">
        <f aca="false">FALSE()</f>
        <v>0</v>
      </c>
      <c r="Q1319" s="1" t="s">
        <v>618</v>
      </c>
      <c r="R1319" s="1" t="s">
        <v>4289</v>
      </c>
      <c r="S1319" s="1" t="s">
        <v>4433</v>
      </c>
      <c r="T1319" s="1" t="s">
        <v>222</v>
      </c>
      <c r="U1319" s="1" t="s">
        <v>2102</v>
      </c>
    </row>
    <row r="1320" customFormat="false" ht="48" hidden="false" customHeight="true" outlineLevel="0" collapsed="false">
      <c r="A1320" s="1" t="s">
        <v>41</v>
      </c>
      <c r="B1320" s="1" t="s">
        <v>3712</v>
      </c>
      <c r="C1320" s="1" t="s">
        <v>1100</v>
      </c>
      <c r="D1320" s="1" t="s">
        <v>1101</v>
      </c>
      <c r="E1320" s="1" t="n">
        <v>1</v>
      </c>
      <c r="F1320" s="1" t="s">
        <v>2883</v>
      </c>
      <c r="G1320" s="1" t="s">
        <v>236</v>
      </c>
      <c r="H1320" s="1" t="s">
        <v>2884</v>
      </c>
      <c r="I1320" s="1" t="s">
        <v>231</v>
      </c>
      <c r="J1320" s="1" t="s">
        <v>1104</v>
      </c>
      <c r="K1320" s="1" t="n">
        <v>68.6</v>
      </c>
      <c r="L1320" s="1" t="n">
        <v>4.9</v>
      </c>
      <c r="M1320" s="1" t="n">
        <v>277</v>
      </c>
      <c r="N1320" s="4" t="b">
        <f aca="false">FALSE()</f>
        <v>0</v>
      </c>
      <c r="O1320" s="1" t="s">
        <v>3770</v>
      </c>
      <c r="P1320" s="4" t="b">
        <f aca="false">TRUE()</f>
        <v>1</v>
      </c>
      <c r="Q1320" s="1" t="s">
        <v>435</v>
      </c>
      <c r="R1320" s="1" t="s">
        <v>4434</v>
      </c>
      <c r="S1320" s="1" t="s">
        <v>4435</v>
      </c>
      <c r="T1320" s="1" t="s">
        <v>222</v>
      </c>
      <c r="U1320" s="1" t="s">
        <v>2102</v>
      </c>
    </row>
    <row r="1321" customFormat="false" ht="48" hidden="false" customHeight="true" outlineLevel="0" collapsed="false">
      <c r="A1321" s="1" t="s">
        <v>41</v>
      </c>
      <c r="B1321" s="1" t="s">
        <v>3712</v>
      </c>
      <c r="C1321" s="1" t="s">
        <v>1100</v>
      </c>
      <c r="D1321" s="1" t="s">
        <v>1101</v>
      </c>
      <c r="E1321" s="1" t="n">
        <v>2</v>
      </c>
      <c r="F1321" s="1" t="s">
        <v>1253</v>
      </c>
      <c r="G1321" s="1" t="s">
        <v>236</v>
      </c>
      <c r="H1321" s="1" t="s">
        <v>4436</v>
      </c>
      <c r="I1321" s="1" t="s">
        <v>218</v>
      </c>
      <c r="J1321" s="1" t="s">
        <v>1104</v>
      </c>
      <c r="K1321" s="1" t="n">
        <v>59</v>
      </c>
      <c r="L1321" s="1" t="n">
        <v>4.8</v>
      </c>
      <c r="M1321" s="1" t="n">
        <v>205</v>
      </c>
      <c r="N1321" s="4" t="b">
        <f aca="false">FALSE()</f>
        <v>0</v>
      </c>
      <c r="O1321" s="1" t="s">
        <v>4437</v>
      </c>
      <c r="P1321" s="4" t="b">
        <f aca="false">TRUE()</f>
        <v>1</v>
      </c>
      <c r="R1321" s="1" t="s">
        <v>4434</v>
      </c>
      <c r="S1321" s="1" t="s">
        <v>4438</v>
      </c>
      <c r="T1321" s="1" t="s">
        <v>222</v>
      </c>
      <c r="U1321" s="1" t="s">
        <v>2102</v>
      </c>
    </row>
    <row r="1322" customFormat="false" ht="48" hidden="false" customHeight="true" outlineLevel="0" collapsed="false">
      <c r="A1322" s="1" t="s">
        <v>41</v>
      </c>
      <c r="B1322" s="1" t="s">
        <v>3712</v>
      </c>
      <c r="C1322" s="1" t="s">
        <v>1100</v>
      </c>
      <c r="D1322" s="1" t="s">
        <v>1101</v>
      </c>
      <c r="E1322" s="1" t="n">
        <v>3</v>
      </c>
      <c r="F1322" s="1" t="s">
        <v>1124</v>
      </c>
      <c r="G1322" s="1" t="s">
        <v>236</v>
      </c>
      <c r="H1322" s="1" t="s">
        <v>1125</v>
      </c>
      <c r="I1322" s="1" t="s">
        <v>218</v>
      </c>
      <c r="J1322" s="1" t="s">
        <v>1104</v>
      </c>
      <c r="K1322" s="1" t="n">
        <v>85.49</v>
      </c>
      <c r="L1322" s="1" t="n">
        <v>4.6</v>
      </c>
      <c r="M1322" s="1" t="n">
        <v>54</v>
      </c>
      <c r="N1322" s="4" t="b">
        <f aca="false">FALSE()</f>
        <v>0</v>
      </c>
      <c r="O1322" s="1" t="s">
        <v>367</v>
      </c>
      <c r="P1322" s="4" t="b">
        <f aca="false">TRUE()</f>
        <v>1</v>
      </c>
      <c r="R1322" s="1" t="s">
        <v>4434</v>
      </c>
      <c r="S1322" s="1" t="s">
        <v>4439</v>
      </c>
      <c r="T1322" s="1" t="s">
        <v>222</v>
      </c>
      <c r="U1322" s="1" t="s">
        <v>2102</v>
      </c>
    </row>
    <row r="1323" customFormat="false" ht="48" hidden="false" customHeight="true" outlineLevel="0" collapsed="false">
      <c r="A1323" s="1" t="s">
        <v>41</v>
      </c>
      <c r="B1323" s="1" t="s">
        <v>3712</v>
      </c>
      <c r="C1323" s="1" t="s">
        <v>1100</v>
      </c>
      <c r="D1323" s="1" t="s">
        <v>1101</v>
      </c>
      <c r="E1323" s="1" t="n">
        <v>4</v>
      </c>
      <c r="F1323" s="1" t="s">
        <v>4440</v>
      </c>
      <c r="G1323" s="1" t="s">
        <v>236</v>
      </c>
      <c r="H1323" s="1" t="s">
        <v>4441</v>
      </c>
      <c r="I1323" s="1" t="s">
        <v>218</v>
      </c>
      <c r="J1323" s="1" t="s">
        <v>1104</v>
      </c>
      <c r="K1323" s="1" t="n">
        <v>49.99</v>
      </c>
      <c r="L1323" s="1" t="n">
        <v>4</v>
      </c>
      <c r="M1323" s="1" t="n">
        <v>46</v>
      </c>
      <c r="N1323" s="4" t="b">
        <f aca="false">FALSE()</f>
        <v>0</v>
      </c>
      <c r="O1323" s="1" t="s">
        <v>4013</v>
      </c>
      <c r="P1323" s="4" t="b">
        <f aca="false">TRUE()</f>
        <v>1</v>
      </c>
      <c r="R1323" s="1" t="s">
        <v>4434</v>
      </c>
      <c r="S1323" s="1" t="s">
        <v>4442</v>
      </c>
      <c r="T1323" s="1" t="s">
        <v>222</v>
      </c>
      <c r="U1323" s="1" t="s">
        <v>2102</v>
      </c>
    </row>
    <row r="1324" customFormat="false" ht="48" hidden="false" customHeight="true" outlineLevel="0" collapsed="false">
      <c r="A1324" s="1" t="s">
        <v>41</v>
      </c>
      <c r="B1324" s="1" t="s">
        <v>3712</v>
      </c>
      <c r="C1324" s="1" t="s">
        <v>1100</v>
      </c>
      <c r="D1324" s="1" t="s">
        <v>1101</v>
      </c>
      <c r="E1324" s="1" t="n">
        <v>5</v>
      </c>
      <c r="F1324" s="1" t="s">
        <v>4443</v>
      </c>
      <c r="G1324" s="1" t="s">
        <v>236</v>
      </c>
      <c r="H1324" s="1" t="s">
        <v>4444</v>
      </c>
      <c r="I1324" s="1" t="s">
        <v>231</v>
      </c>
      <c r="J1324" s="1" t="s">
        <v>1104</v>
      </c>
      <c r="K1324" s="1" t="n">
        <v>67.54</v>
      </c>
      <c r="L1324" s="1" t="n">
        <v>4.8</v>
      </c>
      <c r="M1324" s="1" t="n">
        <v>205</v>
      </c>
      <c r="N1324" s="4" t="b">
        <f aca="false">FALSE()</f>
        <v>0</v>
      </c>
      <c r="P1324" s="4" t="b">
        <f aca="false">TRUE()</f>
        <v>1</v>
      </c>
      <c r="Q1324" s="1" t="s">
        <v>233</v>
      </c>
      <c r="R1324" s="1" t="s">
        <v>4434</v>
      </c>
      <c r="S1324" s="1" t="s">
        <v>4445</v>
      </c>
      <c r="T1324" s="1" t="s">
        <v>222</v>
      </c>
      <c r="U1324" s="1" t="s">
        <v>2102</v>
      </c>
    </row>
    <row r="1325" customFormat="false" ht="48" hidden="false" customHeight="true" outlineLevel="0" collapsed="false">
      <c r="A1325" s="1" t="s">
        <v>41</v>
      </c>
      <c r="B1325" s="1" t="s">
        <v>3712</v>
      </c>
      <c r="C1325" s="1" t="s">
        <v>1100</v>
      </c>
      <c r="D1325" s="1" t="s">
        <v>1101</v>
      </c>
      <c r="E1325" s="1" t="n">
        <v>6</v>
      </c>
      <c r="F1325" s="1" t="s">
        <v>2901</v>
      </c>
      <c r="G1325" s="1" t="s">
        <v>236</v>
      </c>
      <c r="H1325" s="1" t="s">
        <v>4446</v>
      </c>
      <c r="I1325" s="1" t="s">
        <v>231</v>
      </c>
      <c r="J1325" s="1" t="s">
        <v>1104</v>
      </c>
      <c r="K1325" s="1" t="n">
        <v>67.54</v>
      </c>
      <c r="L1325" s="1" t="n">
        <v>4.8</v>
      </c>
      <c r="M1325" s="1" t="n">
        <v>205</v>
      </c>
      <c r="N1325" s="4" t="b">
        <f aca="false">FALSE()</f>
        <v>0</v>
      </c>
      <c r="P1325" s="4" t="b">
        <f aca="false">TRUE()</f>
        <v>1</v>
      </c>
      <c r="Q1325" s="1" t="s">
        <v>251</v>
      </c>
      <c r="R1325" s="1" t="s">
        <v>4434</v>
      </c>
      <c r="S1325" s="1" t="s">
        <v>4447</v>
      </c>
      <c r="T1325" s="1" t="s">
        <v>222</v>
      </c>
      <c r="U1325" s="1" t="s">
        <v>2102</v>
      </c>
    </row>
    <row r="1326" customFormat="false" ht="48" hidden="false" customHeight="true" outlineLevel="0" collapsed="false">
      <c r="A1326" s="1" t="s">
        <v>41</v>
      </c>
      <c r="B1326" s="1" t="s">
        <v>3712</v>
      </c>
      <c r="C1326" s="1" t="s">
        <v>1100</v>
      </c>
      <c r="D1326" s="1" t="s">
        <v>1101</v>
      </c>
      <c r="E1326" s="1" t="n">
        <v>7</v>
      </c>
      <c r="F1326" s="1" t="s">
        <v>4448</v>
      </c>
      <c r="G1326" s="1" t="s">
        <v>236</v>
      </c>
      <c r="H1326" s="1" t="s">
        <v>4449</v>
      </c>
      <c r="I1326" s="1" t="s">
        <v>218</v>
      </c>
      <c r="J1326" s="1" t="s">
        <v>1104</v>
      </c>
      <c r="K1326" s="1" t="n">
        <v>49.99</v>
      </c>
      <c r="L1326" s="1" t="n">
        <v>4</v>
      </c>
      <c r="M1326" s="1" t="n">
        <v>46</v>
      </c>
      <c r="N1326" s="4" t="b">
        <f aca="false">FALSE()</f>
        <v>0</v>
      </c>
      <c r="O1326" s="1" t="s">
        <v>4013</v>
      </c>
      <c r="P1326" s="4" t="b">
        <f aca="false">TRUE()</f>
        <v>1</v>
      </c>
      <c r="R1326" s="1" t="s">
        <v>4434</v>
      </c>
      <c r="S1326" s="1" t="s">
        <v>4450</v>
      </c>
      <c r="T1326" s="1" t="s">
        <v>222</v>
      </c>
      <c r="U1326" s="1" t="s">
        <v>2102</v>
      </c>
    </row>
    <row r="1327" customFormat="false" ht="48" hidden="false" customHeight="true" outlineLevel="0" collapsed="false">
      <c r="A1327" s="1" t="s">
        <v>41</v>
      </c>
      <c r="B1327" s="1" t="s">
        <v>3712</v>
      </c>
      <c r="C1327" s="1" t="s">
        <v>1100</v>
      </c>
      <c r="D1327" s="1" t="s">
        <v>1101</v>
      </c>
      <c r="E1327" s="1" t="n">
        <v>8</v>
      </c>
      <c r="F1327" s="1" t="s">
        <v>4451</v>
      </c>
      <c r="G1327" s="1" t="s">
        <v>236</v>
      </c>
      <c r="H1327" s="1" t="s">
        <v>4452</v>
      </c>
      <c r="I1327" s="1" t="s">
        <v>218</v>
      </c>
      <c r="J1327" s="1" t="s">
        <v>1104</v>
      </c>
      <c r="K1327" s="1" t="n">
        <v>70.84</v>
      </c>
      <c r="L1327" s="1" t="n">
        <v>4.9</v>
      </c>
      <c r="M1327" s="1" t="n">
        <v>277</v>
      </c>
      <c r="N1327" s="4" t="b">
        <f aca="false">FALSE()</f>
        <v>0</v>
      </c>
      <c r="O1327" s="1" t="s">
        <v>3770</v>
      </c>
      <c r="P1327" s="4" t="b">
        <f aca="false">TRUE()</f>
        <v>1</v>
      </c>
      <c r="Q1327" s="1" t="s">
        <v>251</v>
      </c>
      <c r="R1327" s="1" t="s">
        <v>4434</v>
      </c>
      <c r="S1327" s="1" t="s">
        <v>4453</v>
      </c>
      <c r="T1327" s="1" t="s">
        <v>222</v>
      </c>
      <c r="U1327" s="1" t="s">
        <v>2102</v>
      </c>
    </row>
    <row r="1328" customFormat="false" ht="48" hidden="false" customHeight="true" outlineLevel="0" collapsed="false">
      <c r="A1328" s="1" t="s">
        <v>41</v>
      </c>
      <c r="B1328" s="1" t="s">
        <v>3712</v>
      </c>
      <c r="C1328" s="1" t="s">
        <v>1100</v>
      </c>
      <c r="D1328" s="1" t="s">
        <v>1101</v>
      </c>
      <c r="E1328" s="1" t="n">
        <v>9</v>
      </c>
      <c r="F1328" s="1" t="s">
        <v>3768</v>
      </c>
      <c r="G1328" s="1" t="s">
        <v>236</v>
      </c>
      <c r="H1328" s="1" t="s">
        <v>3769</v>
      </c>
      <c r="I1328" s="1" t="s">
        <v>218</v>
      </c>
      <c r="J1328" s="1" t="s">
        <v>1104</v>
      </c>
      <c r="K1328" s="1" t="n">
        <v>78.99</v>
      </c>
      <c r="L1328" s="1" t="n">
        <v>4.9</v>
      </c>
      <c r="M1328" s="1" t="n">
        <v>277</v>
      </c>
      <c r="N1328" s="4" t="b">
        <f aca="false">FALSE()</f>
        <v>0</v>
      </c>
      <c r="O1328" s="1" t="s">
        <v>3770</v>
      </c>
      <c r="P1328" s="4" t="b">
        <f aca="false">TRUE()</f>
        <v>1</v>
      </c>
      <c r="Q1328" s="1" t="s">
        <v>233</v>
      </c>
      <c r="R1328" s="1" t="s">
        <v>4434</v>
      </c>
      <c r="S1328" s="1" t="s">
        <v>3771</v>
      </c>
      <c r="T1328" s="1" t="s">
        <v>222</v>
      </c>
      <c r="U1328" s="1" t="s">
        <v>2102</v>
      </c>
    </row>
    <row r="1329" customFormat="false" ht="48" hidden="false" customHeight="true" outlineLevel="0" collapsed="false">
      <c r="A1329" s="1" t="s">
        <v>41</v>
      </c>
      <c r="B1329" s="1" t="s">
        <v>3712</v>
      </c>
      <c r="C1329" s="1" t="s">
        <v>1100</v>
      </c>
      <c r="D1329" s="1" t="s">
        <v>1101</v>
      </c>
      <c r="E1329" s="1" t="n">
        <v>10</v>
      </c>
      <c r="F1329" s="1" t="s">
        <v>1145</v>
      </c>
      <c r="G1329" s="1" t="s">
        <v>229</v>
      </c>
      <c r="H1329" s="1" t="s">
        <v>3737</v>
      </c>
      <c r="I1329" s="1" t="s">
        <v>218</v>
      </c>
      <c r="J1329" s="1" t="s">
        <v>219</v>
      </c>
      <c r="K1329" s="1" t="n">
        <v>54.99</v>
      </c>
      <c r="L1329" s="1" t="n">
        <v>4.4</v>
      </c>
      <c r="M1329" s="1" t="n">
        <v>65100</v>
      </c>
      <c r="N1329" s="4" t="b">
        <f aca="false">FALSE()</f>
        <v>0</v>
      </c>
      <c r="O1329" s="1" t="s">
        <v>962</v>
      </c>
      <c r="P1329" s="4" t="b">
        <f aca="false">TRUE()</f>
        <v>1</v>
      </c>
      <c r="Q1329" s="1" t="s">
        <v>766</v>
      </c>
      <c r="R1329" s="1" t="s">
        <v>4434</v>
      </c>
      <c r="S1329" s="1" t="s">
        <v>3738</v>
      </c>
      <c r="T1329" s="1" t="s">
        <v>222</v>
      </c>
      <c r="U1329" s="1" t="s">
        <v>2102</v>
      </c>
    </row>
    <row r="1330" customFormat="false" ht="48" hidden="false" customHeight="true" outlineLevel="0" collapsed="false">
      <c r="A1330" s="1" t="s">
        <v>41</v>
      </c>
      <c r="B1330" s="1" t="s">
        <v>3712</v>
      </c>
      <c r="C1330" s="1" t="s">
        <v>1100</v>
      </c>
      <c r="D1330" s="1" t="s">
        <v>1101</v>
      </c>
      <c r="E1330" s="1" t="n">
        <v>11</v>
      </c>
      <c r="F1330" s="1" t="s">
        <v>4454</v>
      </c>
      <c r="G1330" s="1" t="s">
        <v>236</v>
      </c>
      <c r="H1330" s="1" t="s">
        <v>4455</v>
      </c>
      <c r="I1330" s="1" t="s">
        <v>218</v>
      </c>
      <c r="J1330" s="1" t="s">
        <v>1104</v>
      </c>
      <c r="K1330" s="1" t="n">
        <v>39.99</v>
      </c>
      <c r="L1330" s="1" t="n">
        <v>4.3</v>
      </c>
      <c r="M1330" s="1" t="n">
        <v>11</v>
      </c>
      <c r="N1330" s="4" t="b">
        <f aca="false">FALSE()</f>
        <v>0</v>
      </c>
      <c r="P1330" s="4" t="b">
        <f aca="false">TRUE()</f>
        <v>1</v>
      </c>
      <c r="R1330" s="1" t="s">
        <v>4434</v>
      </c>
      <c r="S1330" s="1" t="s">
        <v>4456</v>
      </c>
      <c r="T1330" s="1" t="s">
        <v>222</v>
      </c>
      <c r="U1330" s="1" t="s">
        <v>2102</v>
      </c>
    </row>
    <row r="1331" customFormat="false" ht="48" hidden="false" customHeight="true" outlineLevel="0" collapsed="false">
      <c r="A1331" s="1" t="s">
        <v>41</v>
      </c>
      <c r="B1331" s="1" t="s">
        <v>3712</v>
      </c>
      <c r="C1331" s="1" t="s">
        <v>1100</v>
      </c>
      <c r="D1331" s="1" t="s">
        <v>1101</v>
      </c>
      <c r="E1331" s="1" t="n">
        <v>12</v>
      </c>
      <c r="F1331" s="1" t="s">
        <v>4457</v>
      </c>
      <c r="G1331" s="1" t="s">
        <v>236</v>
      </c>
      <c r="H1331" s="1" t="s">
        <v>1173</v>
      </c>
      <c r="I1331" s="1" t="s">
        <v>306</v>
      </c>
      <c r="J1331" s="1" t="s">
        <v>1104</v>
      </c>
      <c r="K1331" s="1" t="n">
        <v>89.99</v>
      </c>
      <c r="L1331" s="1" t="n">
        <v>4.5</v>
      </c>
      <c r="M1331" s="1" t="n">
        <v>3100</v>
      </c>
      <c r="N1331" s="4" t="b">
        <f aca="false">FALSE()</f>
        <v>0</v>
      </c>
      <c r="O1331" s="1" t="s">
        <v>3729</v>
      </c>
      <c r="P1331" s="4" t="b">
        <f aca="false">TRUE()</f>
        <v>1</v>
      </c>
      <c r="R1331" s="1" t="s">
        <v>4434</v>
      </c>
      <c r="S1331" s="1" t="s">
        <v>4458</v>
      </c>
      <c r="T1331" s="1" t="s">
        <v>222</v>
      </c>
      <c r="U1331" s="1" t="s">
        <v>2102</v>
      </c>
    </row>
    <row r="1332" customFormat="false" ht="48" hidden="false" customHeight="true" outlineLevel="0" collapsed="false">
      <c r="A1332" s="1" t="s">
        <v>41</v>
      </c>
      <c r="B1332" s="1" t="s">
        <v>3712</v>
      </c>
      <c r="C1332" s="1" t="s">
        <v>1100</v>
      </c>
      <c r="D1332" s="1" t="s">
        <v>1101</v>
      </c>
      <c r="E1332" s="1" t="n">
        <v>13</v>
      </c>
      <c r="F1332" s="1" t="s">
        <v>1114</v>
      </c>
      <c r="G1332" s="1" t="s">
        <v>236</v>
      </c>
      <c r="H1332" s="1" t="s">
        <v>4459</v>
      </c>
      <c r="I1332" s="1" t="s">
        <v>218</v>
      </c>
      <c r="J1332" s="1" t="s">
        <v>1104</v>
      </c>
      <c r="K1332" s="1" t="n">
        <v>55.99</v>
      </c>
      <c r="L1332" s="1" t="n">
        <v>4.2</v>
      </c>
      <c r="M1332" s="1" t="n">
        <v>111</v>
      </c>
      <c r="N1332" s="4" t="b">
        <f aca="false">FALSE()</f>
        <v>0</v>
      </c>
      <c r="P1332" s="4" t="b">
        <f aca="false">TRUE()</f>
        <v>1</v>
      </c>
      <c r="R1332" s="1" t="s">
        <v>4434</v>
      </c>
      <c r="S1332" s="1" t="s">
        <v>4460</v>
      </c>
      <c r="T1332" s="1" t="s">
        <v>222</v>
      </c>
      <c r="U1332" s="1" t="s">
        <v>2102</v>
      </c>
    </row>
    <row r="1333" customFormat="false" ht="48" hidden="false" customHeight="true" outlineLevel="0" collapsed="false">
      <c r="A1333" s="1" t="s">
        <v>41</v>
      </c>
      <c r="B1333" s="1" t="s">
        <v>3712</v>
      </c>
      <c r="C1333" s="1" t="s">
        <v>1100</v>
      </c>
      <c r="D1333" s="1" t="s">
        <v>1101</v>
      </c>
      <c r="E1333" s="1" t="n">
        <v>14</v>
      </c>
      <c r="F1333" s="1" t="s">
        <v>4461</v>
      </c>
      <c r="G1333" s="1" t="s">
        <v>236</v>
      </c>
      <c r="H1333" s="1" t="s">
        <v>4462</v>
      </c>
      <c r="I1333" s="1" t="s">
        <v>218</v>
      </c>
      <c r="J1333" s="1" t="s">
        <v>1104</v>
      </c>
      <c r="K1333" s="1" t="n">
        <v>55.99</v>
      </c>
      <c r="L1333" s="1" t="n">
        <v>4.2</v>
      </c>
      <c r="M1333" s="1" t="n">
        <v>111</v>
      </c>
      <c r="N1333" s="4" t="b">
        <f aca="false">FALSE()</f>
        <v>0</v>
      </c>
      <c r="P1333" s="4" t="b">
        <f aca="false">TRUE()</f>
        <v>1</v>
      </c>
      <c r="R1333" s="1" t="s">
        <v>4434</v>
      </c>
      <c r="S1333" s="1" t="s">
        <v>4463</v>
      </c>
      <c r="T1333" s="1" t="s">
        <v>222</v>
      </c>
      <c r="U1333" s="1" t="s">
        <v>2102</v>
      </c>
    </row>
    <row r="1334" customFormat="false" ht="48" hidden="false" customHeight="true" outlineLevel="0" collapsed="false">
      <c r="A1334" s="1" t="s">
        <v>41</v>
      </c>
      <c r="B1334" s="1" t="s">
        <v>3712</v>
      </c>
      <c r="C1334" s="1" t="s">
        <v>1100</v>
      </c>
      <c r="D1334" s="1" t="s">
        <v>1101</v>
      </c>
      <c r="E1334" s="1" t="n">
        <v>15</v>
      </c>
      <c r="F1334" s="1" t="s">
        <v>4464</v>
      </c>
      <c r="G1334" s="1" t="s">
        <v>236</v>
      </c>
      <c r="H1334" s="1" t="s">
        <v>4465</v>
      </c>
      <c r="I1334" s="1" t="s">
        <v>231</v>
      </c>
      <c r="J1334" s="1" t="s">
        <v>1104</v>
      </c>
      <c r="K1334" s="1" t="n">
        <v>79</v>
      </c>
      <c r="L1334" s="1" t="n">
        <v>4.8</v>
      </c>
      <c r="M1334" s="1" t="n">
        <v>205</v>
      </c>
      <c r="N1334" s="4" t="b">
        <f aca="false">FALSE()</f>
        <v>0</v>
      </c>
      <c r="O1334" s="1" t="s">
        <v>4437</v>
      </c>
      <c r="P1334" s="4" t="b">
        <f aca="false">TRUE()</f>
        <v>1</v>
      </c>
      <c r="R1334" s="1" t="s">
        <v>4434</v>
      </c>
      <c r="S1334" s="1" t="s">
        <v>4466</v>
      </c>
      <c r="T1334" s="1" t="s">
        <v>222</v>
      </c>
      <c r="U1334" s="1" t="s">
        <v>2102</v>
      </c>
    </row>
    <row r="1335" customFormat="false" ht="48" hidden="false" customHeight="true" outlineLevel="0" collapsed="false">
      <c r="A1335" s="1" t="s">
        <v>41</v>
      </c>
      <c r="B1335" s="1" t="s">
        <v>3712</v>
      </c>
      <c r="C1335" s="1" t="s">
        <v>1100</v>
      </c>
      <c r="D1335" s="1" t="s">
        <v>1101</v>
      </c>
      <c r="E1335" s="1" t="n">
        <v>16</v>
      </c>
      <c r="F1335" s="1" t="s">
        <v>2868</v>
      </c>
      <c r="G1335" s="1" t="s">
        <v>236</v>
      </c>
      <c r="H1335" s="1" t="s">
        <v>4467</v>
      </c>
      <c r="I1335" s="1" t="s">
        <v>231</v>
      </c>
      <c r="J1335" s="1" t="s">
        <v>1104</v>
      </c>
      <c r="K1335" s="1" t="n">
        <v>56.99</v>
      </c>
      <c r="L1335" s="1" t="n">
        <v>4</v>
      </c>
      <c r="M1335" s="1" t="n">
        <v>46</v>
      </c>
      <c r="N1335" s="4" t="b">
        <f aca="false">FALSE()</f>
        <v>0</v>
      </c>
      <c r="O1335" s="1" t="s">
        <v>4013</v>
      </c>
      <c r="P1335" s="4" t="b">
        <f aca="false">TRUE()</f>
        <v>1</v>
      </c>
      <c r="R1335" s="1" t="s">
        <v>4434</v>
      </c>
      <c r="S1335" s="1" t="s">
        <v>4468</v>
      </c>
      <c r="T1335" s="1" t="s">
        <v>222</v>
      </c>
      <c r="U1335" s="1" t="s">
        <v>2102</v>
      </c>
    </row>
    <row r="1336" customFormat="false" ht="48" hidden="false" customHeight="true" outlineLevel="0" collapsed="false">
      <c r="A1336" s="1" t="s">
        <v>41</v>
      </c>
      <c r="B1336" s="1" t="s">
        <v>3712</v>
      </c>
      <c r="C1336" s="1" t="s">
        <v>1100</v>
      </c>
      <c r="D1336" s="1" t="s">
        <v>1101</v>
      </c>
      <c r="E1336" s="1" t="n">
        <v>17</v>
      </c>
      <c r="F1336" s="1" t="s">
        <v>4469</v>
      </c>
      <c r="G1336" s="1" t="s">
        <v>236</v>
      </c>
      <c r="H1336" s="1" t="s">
        <v>4470</v>
      </c>
      <c r="I1336" s="1" t="s">
        <v>242</v>
      </c>
      <c r="J1336" s="1" t="s">
        <v>1104</v>
      </c>
      <c r="K1336" s="1" t="n">
        <v>78.99</v>
      </c>
      <c r="L1336" s="1" t="n">
        <v>4.9</v>
      </c>
      <c r="M1336" s="1" t="n">
        <v>277</v>
      </c>
      <c r="N1336" s="4" t="b">
        <f aca="false">FALSE()</f>
        <v>0</v>
      </c>
      <c r="O1336" s="1" t="s">
        <v>4437</v>
      </c>
      <c r="P1336" s="4" t="b">
        <f aca="false">TRUE()</f>
        <v>1</v>
      </c>
      <c r="R1336" s="1" t="s">
        <v>4434</v>
      </c>
      <c r="S1336" s="1" t="s">
        <v>4471</v>
      </c>
      <c r="T1336" s="1" t="s">
        <v>222</v>
      </c>
      <c r="U1336" s="1" t="s">
        <v>2102</v>
      </c>
    </row>
    <row r="1337" customFormat="false" ht="48" hidden="false" customHeight="true" outlineLevel="0" collapsed="false">
      <c r="A1337" s="1" t="s">
        <v>41</v>
      </c>
      <c r="B1337" s="1" t="s">
        <v>3712</v>
      </c>
      <c r="C1337" s="1" t="s">
        <v>1100</v>
      </c>
      <c r="D1337" s="1" t="s">
        <v>1101</v>
      </c>
      <c r="E1337" s="1" t="n">
        <v>18</v>
      </c>
      <c r="F1337" s="1" t="s">
        <v>4472</v>
      </c>
      <c r="G1337" s="1" t="s">
        <v>236</v>
      </c>
      <c r="H1337" s="1" t="s">
        <v>4473</v>
      </c>
      <c r="I1337" s="1" t="s">
        <v>378</v>
      </c>
      <c r="J1337" s="1" t="s">
        <v>1104</v>
      </c>
      <c r="K1337" s="1" t="n">
        <v>89.1</v>
      </c>
      <c r="L1337" s="1" t="n">
        <v>4.8</v>
      </c>
      <c r="M1337" s="1" t="n">
        <v>205</v>
      </c>
      <c r="N1337" s="4" t="b">
        <f aca="false">FALSE()</f>
        <v>0</v>
      </c>
      <c r="P1337" s="4" t="b">
        <f aca="false">TRUE()</f>
        <v>1</v>
      </c>
      <c r="R1337" s="1" t="s">
        <v>4434</v>
      </c>
      <c r="S1337" s="1" t="s">
        <v>4474</v>
      </c>
      <c r="T1337" s="1" t="s">
        <v>222</v>
      </c>
      <c r="U1337" s="1" t="s">
        <v>2102</v>
      </c>
    </row>
    <row r="1338" customFormat="false" ht="48" hidden="false" customHeight="true" outlineLevel="0" collapsed="false">
      <c r="A1338" s="1" t="s">
        <v>41</v>
      </c>
      <c r="B1338" s="1" t="s">
        <v>3712</v>
      </c>
      <c r="C1338" s="1" t="s">
        <v>1100</v>
      </c>
      <c r="D1338" s="1" t="s">
        <v>1101</v>
      </c>
      <c r="E1338" s="1" t="n">
        <v>19</v>
      </c>
      <c r="F1338" s="1" t="s">
        <v>4475</v>
      </c>
      <c r="G1338" s="1" t="s">
        <v>236</v>
      </c>
      <c r="H1338" s="1" t="s">
        <v>1173</v>
      </c>
      <c r="I1338" s="1" t="s">
        <v>306</v>
      </c>
      <c r="J1338" s="1" t="s">
        <v>1104</v>
      </c>
      <c r="K1338" s="1" t="n">
        <v>99.99</v>
      </c>
      <c r="L1338" s="1" t="n">
        <v>4.5</v>
      </c>
      <c r="M1338" s="1" t="n">
        <v>3100</v>
      </c>
      <c r="N1338" s="4" t="b">
        <f aca="false">FALSE()</f>
        <v>0</v>
      </c>
      <c r="O1338" s="1" t="s">
        <v>3729</v>
      </c>
      <c r="P1338" s="4" t="b">
        <f aca="false">TRUE()</f>
        <v>1</v>
      </c>
      <c r="R1338" s="1" t="s">
        <v>4434</v>
      </c>
      <c r="S1338" s="1" t="s">
        <v>4476</v>
      </c>
      <c r="T1338" s="1" t="s">
        <v>222</v>
      </c>
      <c r="U1338" s="1" t="s">
        <v>2102</v>
      </c>
    </row>
    <row r="1339" customFormat="false" ht="48" hidden="false" customHeight="true" outlineLevel="0" collapsed="false">
      <c r="A1339" s="1" t="s">
        <v>41</v>
      </c>
      <c r="B1339" s="1" t="s">
        <v>3712</v>
      </c>
      <c r="C1339" s="1" t="s">
        <v>1100</v>
      </c>
      <c r="D1339" s="1" t="s">
        <v>1101</v>
      </c>
      <c r="E1339" s="1" t="n">
        <v>20</v>
      </c>
      <c r="F1339" s="1" t="s">
        <v>4477</v>
      </c>
      <c r="G1339" s="1" t="s">
        <v>236</v>
      </c>
      <c r="H1339" s="1" t="s">
        <v>4478</v>
      </c>
      <c r="I1339" s="1" t="s">
        <v>218</v>
      </c>
      <c r="J1339" s="1" t="s">
        <v>1104</v>
      </c>
      <c r="K1339" s="1" t="n">
        <v>70.99</v>
      </c>
      <c r="L1339" s="1" t="n">
        <v>3.9</v>
      </c>
      <c r="M1339" s="1" t="n">
        <v>114</v>
      </c>
      <c r="N1339" s="4" t="b">
        <f aca="false">FALSE()</f>
        <v>0</v>
      </c>
      <c r="O1339" s="1" t="s">
        <v>4478</v>
      </c>
      <c r="P1339" s="4" t="b">
        <f aca="false">TRUE()</f>
        <v>1</v>
      </c>
      <c r="R1339" s="1" t="s">
        <v>4434</v>
      </c>
      <c r="S1339" s="1" t="s">
        <v>4479</v>
      </c>
      <c r="T1339" s="1" t="s">
        <v>222</v>
      </c>
      <c r="U1339" s="1" t="s">
        <v>2102</v>
      </c>
    </row>
    <row r="1340" customFormat="false" ht="48" hidden="false" customHeight="true" outlineLevel="0" collapsed="false">
      <c r="A1340" s="1" t="s">
        <v>41</v>
      </c>
      <c r="B1340" s="1" t="s">
        <v>3712</v>
      </c>
      <c r="C1340" s="1" t="s">
        <v>1100</v>
      </c>
      <c r="D1340" s="1" t="s">
        <v>1101</v>
      </c>
      <c r="E1340" s="1" t="n">
        <v>21</v>
      </c>
      <c r="F1340" s="1" t="s">
        <v>4480</v>
      </c>
      <c r="G1340" s="1" t="s">
        <v>236</v>
      </c>
      <c r="H1340" s="1" t="s">
        <v>4481</v>
      </c>
      <c r="I1340" s="1" t="s">
        <v>218</v>
      </c>
      <c r="J1340" s="1" t="s">
        <v>310</v>
      </c>
      <c r="K1340" s="1" t="n">
        <v>109.95</v>
      </c>
      <c r="L1340" s="1" t="n">
        <v>4.4</v>
      </c>
      <c r="M1340" s="1" t="n">
        <v>529</v>
      </c>
      <c r="N1340" s="4" t="b">
        <f aca="false">FALSE()</f>
        <v>0</v>
      </c>
      <c r="P1340" s="4" t="b">
        <f aca="false">TRUE()</f>
        <v>1</v>
      </c>
      <c r="Q1340" s="1" t="s">
        <v>251</v>
      </c>
      <c r="R1340" s="1" t="s">
        <v>4434</v>
      </c>
      <c r="S1340" s="1" t="s">
        <v>4482</v>
      </c>
      <c r="T1340" s="1" t="s">
        <v>222</v>
      </c>
      <c r="U1340" s="1" t="s">
        <v>2102</v>
      </c>
    </row>
    <row r="1341" customFormat="false" ht="48" hidden="false" customHeight="true" outlineLevel="0" collapsed="false">
      <c r="A1341" s="1" t="s">
        <v>41</v>
      </c>
      <c r="B1341" s="1" t="s">
        <v>3712</v>
      </c>
      <c r="C1341" s="1" t="s">
        <v>1100</v>
      </c>
      <c r="D1341" s="1" t="s">
        <v>1101</v>
      </c>
      <c r="E1341" s="1" t="n">
        <v>22</v>
      </c>
      <c r="F1341" s="1" t="s">
        <v>4483</v>
      </c>
      <c r="G1341" s="1" t="s">
        <v>236</v>
      </c>
      <c r="H1341" s="1" t="s">
        <v>4484</v>
      </c>
      <c r="I1341" s="1" t="s">
        <v>231</v>
      </c>
      <c r="J1341" s="1" t="s">
        <v>1104</v>
      </c>
      <c r="K1341" s="1" t="n">
        <v>53.99</v>
      </c>
      <c r="L1341" s="1" t="n">
        <v>4.6</v>
      </c>
      <c r="M1341" s="1" t="n">
        <v>20</v>
      </c>
      <c r="N1341" s="4" t="b">
        <f aca="false">FALSE()</f>
        <v>0</v>
      </c>
      <c r="P1341" s="4" t="b">
        <f aca="false">TRUE()</f>
        <v>1</v>
      </c>
      <c r="R1341" s="1" t="s">
        <v>4434</v>
      </c>
      <c r="S1341" s="1" t="s">
        <v>4485</v>
      </c>
      <c r="T1341" s="1" t="s">
        <v>222</v>
      </c>
      <c r="U1341" s="1" t="s">
        <v>2102</v>
      </c>
    </row>
    <row r="1342" customFormat="false" ht="48" hidden="false" customHeight="true" outlineLevel="0" collapsed="false">
      <c r="A1342" s="1" t="s">
        <v>41</v>
      </c>
      <c r="B1342" s="1" t="s">
        <v>3712</v>
      </c>
      <c r="C1342" s="1" t="s">
        <v>1100</v>
      </c>
      <c r="D1342" s="1" t="s">
        <v>1101</v>
      </c>
      <c r="E1342" s="1" t="n">
        <v>23</v>
      </c>
      <c r="F1342" s="1" t="s">
        <v>4486</v>
      </c>
      <c r="G1342" s="1" t="s">
        <v>236</v>
      </c>
      <c r="H1342" s="1" t="s">
        <v>2878</v>
      </c>
      <c r="I1342" s="1" t="s">
        <v>231</v>
      </c>
      <c r="J1342" s="1" t="s">
        <v>1104</v>
      </c>
      <c r="K1342" s="1" t="n">
        <v>56.99</v>
      </c>
      <c r="L1342" s="1" t="n">
        <v>4</v>
      </c>
      <c r="M1342" s="1" t="n">
        <v>46</v>
      </c>
      <c r="N1342" s="4" t="b">
        <f aca="false">FALSE()</f>
        <v>0</v>
      </c>
      <c r="O1342" s="1" t="s">
        <v>4013</v>
      </c>
      <c r="P1342" s="4" t="b">
        <f aca="false">TRUE()</f>
        <v>1</v>
      </c>
      <c r="R1342" s="1" t="s">
        <v>4434</v>
      </c>
      <c r="S1342" s="1" t="s">
        <v>4487</v>
      </c>
      <c r="T1342" s="1" t="s">
        <v>222</v>
      </c>
      <c r="U1342" s="1" t="s">
        <v>2102</v>
      </c>
    </row>
    <row r="1343" customFormat="false" ht="48" hidden="false" customHeight="true" outlineLevel="0" collapsed="false">
      <c r="A1343" s="1" t="s">
        <v>41</v>
      </c>
      <c r="B1343" s="1" t="s">
        <v>3712</v>
      </c>
      <c r="C1343" s="1" t="s">
        <v>1100</v>
      </c>
      <c r="D1343" s="1" t="s">
        <v>1101</v>
      </c>
      <c r="E1343" s="1" t="n">
        <v>24</v>
      </c>
      <c r="F1343" s="1" t="s">
        <v>4488</v>
      </c>
      <c r="G1343" s="1" t="s">
        <v>236</v>
      </c>
      <c r="H1343" s="1" t="s">
        <v>4489</v>
      </c>
      <c r="I1343" s="1" t="s">
        <v>231</v>
      </c>
      <c r="J1343" s="1" t="s">
        <v>1104</v>
      </c>
      <c r="K1343" s="1" t="n">
        <v>99.99</v>
      </c>
      <c r="L1343" s="1" t="n">
        <v>4.5</v>
      </c>
      <c r="M1343" s="1" t="n">
        <v>48</v>
      </c>
      <c r="N1343" s="4" t="b">
        <f aca="false">FALSE()</f>
        <v>0</v>
      </c>
      <c r="P1343" s="4" t="b">
        <f aca="false">TRUE()</f>
        <v>1</v>
      </c>
      <c r="R1343" s="1" t="s">
        <v>4434</v>
      </c>
      <c r="S1343" s="1" t="s">
        <v>4490</v>
      </c>
      <c r="T1343" s="1" t="s">
        <v>222</v>
      </c>
      <c r="U1343" s="1" t="s">
        <v>2102</v>
      </c>
    </row>
    <row r="1344" customFormat="false" ht="48" hidden="false" customHeight="true" outlineLevel="0" collapsed="false">
      <c r="A1344" s="1" t="s">
        <v>41</v>
      </c>
      <c r="B1344" s="1" t="s">
        <v>3712</v>
      </c>
      <c r="C1344" s="1" t="s">
        <v>1100</v>
      </c>
      <c r="D1344" s="1" t="s">
        <v>1101</v>
      </c>
      <c r="E1344" s="1" t="n">
        <v>25</v>
      </c>
      <c r="F1344" s="1" t="s">
        <v>4491</v>
      </c>
      <c r="G1344" s="1" t="s">
        <v>236</v>
      </c>
      <c r="H1344" s="1" t="s">
        <v>1173</v>
      </c>
      <c r="I1344" s="1" t="s">
        <v>306</v>
      </c>
      <c r="J1344" s="1" t="s">
        <v>1104</v>
      </c>
      <c r="K1344" s="1" t="n">
        <v>109.99</v>
      </c>
      <c r="L1344" s="1" t="n">
        <v>4.5</v>
      </c>
      <c r="M1344" s="1" t="n">
        <v>3100</v>
      </c>
      <c r="N1344" s="4" t="b">
        <f aca="false">FALSE()</f>
        <v>0</v>
      </c>
      <c r="O1344" s="1" t="s">
        <v>3729</v>
      </c>
      <c r="P1344" s="4" t="b">
        <f aca="false">TRUE()</f>
        <v>1</v>
      </c>
      <c r="R1344" s="1" t="s">
        <v>4434</v>
      </c>
      <c r="S1344" s="1" t="s">
        <v>4492</v>
      </c>
      <c r="T1344" s="1" t="s">
        <v>222</v>
      </c>
      <c r="U1344" s="1" t="s">
        <v>2102</v>
      </c>
    </row>
    <row r="1345" customFormat="false" ht="48" hidden="false" customHeight="true" outlineLevel="0" collapsed="false">
      <c r="A1345" s="1" t="s">
        <v>41</v>
      </c>
      <c r="B1345" s="1" t="s">
        <v>3712</v>
      </c>
      <c r="C1345" s="1" t="s">
        <v>1100</v>
      </c>
      <c r="D1345" s="1" t="s">
        <v>1101</v>
      </c>
      <c r="E1345" s="1" t="n">
        <v>26</v>
      </c>
      <c r="F1345" s="1" t="s">
        <v>4493</v>
      </c>
      <c r="G1345" s="1" t="s">
        <v>236</v>
      </c>
      <c r="H1345" s="1" t="s">
        <v>4494</v>
      </c>
      <c r="I1345" s="1" t="s">
        <v>218</v>
      </c>
      <c r="J1345" s="1" t="s">
        <v>1104</v>
      </c>
      <c r="K1345" s="1" t="n">
        <v>89.99</v>
      </c>
      <c r="L1345" s="1" t="n">
        <v>4</v>
      </c>
      <c r="M1345" s="1" t="n">
        <v>334</v>
      </c>
      <c r="N1345" s="4" t="b">
        <f aca="false">FALSE()</f>
        <v>0</v>
      </c>
      <c r="P1345" s="4" t="b">
        <f aca="false">TRUE()</f>
        <v>1</v>
      </c>
      <c r="R1345" s="1" t="s">
        <v>4434</v>
      </c>
      <c r="S1345" s="1" t="s">
        <v>4495</v>
      </c>
      <c r="T1345" s="1" t="s">
        <v>222</v>
      </c>
      <c r="U1345" s="1" t="s">
        <v>2102</v>
      </c>
    </row>
    <row r="1346" customFormat="false" ht="48" hidden="false" customHeight="true" outlineLevel="0" collapsed="false">
      <c r="A1346" s="1" t="s">
        <v>41</v>
      </c>
      <c r="B1346" s="1" t="s">
        <v>3712</v>
      </c>
      <c r="C1346" s="1" t="s">
        <v>1100</v>
      </c>
      <c r="D1346" s="1" t="s">
        <v>1101</v>
      </c>
      <c r="E1346" s="1" t="n">
        <v>27</v>
      </c>
      <c r="F1346" s="1" t="s">
        <v>4259</v>
      </c>
      <c r="G1346" s="1" t="s">
        <v>236</v>
      </c>
      <c r="H1346" s="1" t="s">
        <v>4260</v>
      </c>
      <c r="I1346" s="1" t="s">
        <v>231</v>
      </c>
      <c r="J1346" s="1" t="s">
        <v>310</v>
      </c>
      <c r="K1346" s="1" t="n">
        <v>29.99</v>
      </c>
      <c r="L1346" s="1" t="n">
        <v>4.5</v>
      </c>
      <c r="M1346" s="1" t="n">
        <v>464600</v>
      </c>
      <c r="N1346" s="4" t="b">
        <f aca="false">FALSE()</f>
        <v>0</v>
      </c>
      <c r="O1346" s="1" t="s">
        <v>3718</v>
      </c>
      <c r="P1346" s="4" t="b">
        <f aca="false">TRUE()</f>
        <v>1</v>
      </c>
      <c r="Q1346" s="1" t="s">
        <v>4209</v>
      </c>
      <c r="R1346" s="1" t="s">
        <v>4434</v>
      </c>
      <c r="S1346" s="1" t="s">
        <v>4261</v>
      </c>
      <c r="T1346" s="1" t="s">
        <v>222</v>
      </c>
      <c r="U1346" s="1" t="s">
        <v>2102</v>
      </c>
    </row>
    <row r="1347" customFormat="false" ht="48" hidden="false" customHeight="true" outlineLevel="0" collapsed="false">
      <c r="A1347" s="1" t="s">
        <v>41</v>
      </c>
      <c r="B1347" s="1" t="s">
        <v>3712</v>
      </c>
      <c r="C1347" s="1" t="s">
        <v>1100</v>
      </c>
      <c r="D1347" s="1" t="s">
        <v>1101</v>
      </c>
      <c r="E1347" s="1" t="n">
        <v>28</v>
      </c>
      <c r="F1347" s="1" t="s">
        <v>4496</v>
      </c>
      <c r="G1347" s="1" t="s">
        <v>236</v>
      </c>
      <c r="H1347" s="1" t="s">
        <v>4497</v>
      </c>
      <c r="I1347" s="1" t="s">
        <v>218</v>
      </c>
      <c r="J1347" s="1" t="s">
        <v>1104</v>
      </c>
      <c r="K1347" s="1" t="n">
        <v>89.99</v>
      </c>
      <c r="L1347" s="1" t="n">
        <v>4.5</v>
      </c>
      <c r="M1347" s="1" t="n">
        <v>48</v>
      </c>
      <c r="N1347" s="4" t="b">
        <f aca="false">FALSE()</f>
        <v>0</v>
      </c>
      <c r="P1347" s="4" t="b">
        <f aca="false">TRUE()</f>
        <v>1</v>
      </c>
      <c r="R1347" s="1" t="s">
        <v>4434</v>
      </c>
      <c r="S1347" s="1" t="s">
        <v>4498</v>
      </c>
      <c r="T1347" s="1" t="s">
        <v>222</v>
      </c>
      <c r="U1347" s="1" t="s">
        <v>2102</v>
      </c>
    </row>
    <row r="1348" customFormat="false" ht="48" hidden="false" customHeight="true" outlineLevel="0" collapsed="false">
      <c r="A1348" s="1" t="s">
        <v>41</v>
      </c>
      <c r="B1348" s="1" t="s">
        <v>3712</v>
      </c>
      <c r="C1348" s="1" t="s">
        <v>1100</v>
      </c>
      <c r="D1348" s="1" t="s">
        <v>1101</v>
      </c>
      <c r="E1348" s="1" t="n">
        <v>29</v>
      </c>
      <c r="F1348" s="1" t="s">
        <v>4499</v>
      </c>
      <c r="G1348" s="1" t="s">
        <v>236</v>
      </c>
      <c r="H1348" s="1" t="s">
        <v>4500</v>
      </c>
      <c r="I1348" s="1" t="s">
        <v>218</v>
      </c>
      <c r="J1348" s="1" t="s">
        <v>1104</v>
      </c>
      <c r="K1348" s="1" t="n">
        <v>124.99</v>
      </c>
      <c r="L1348" s="1" t="n">
        <v>4.8</v>
      </c>
      <c r="M1348" s="1" t="n">
        <v>132</v>
      </c>
      <c r="N1348" s="4" t="b">
        <f aca="false">FALSE()</f>
        <v>0</v>
      </c>
      <c r="O1348" s="1" t="s">
        <v>4390</v>
      </c>
      <c r="P1348" s="4" t="b">
        <f aca="false">TRUE()</f>
        <v>1</v>
      </c>
      <c r="R1348" s="1" t="s">
        <v>4434</v>
      </c>
      <c r="S1348" s="1" t="s">
        <v>4501</v>
      </c>
      <c r="T1348" s="1" t="s">
        <v>222</v>
      </c>
      <c r="U1348" s="1" t="s">
        <v>2102</v>
      </c>
    </row>
    <row r="1349" customFormat="false" ht="48" hidden="false" customHeight="true" outlineLevel="0" collapsed="false">
      <c r="A1349" s="1" t="s">
        <v>41</v>
      </c>
      <c r="B1349" s="1" t="s">
        <v>3712</v>
      </c>
      <c r="C1349" s="1" t="s">
        <v>1100</v>
      </c>
      <c r="D1349" s="1" t="s">
        <v>1101</v>
      </c>
      <c r="E1349" s="1" t="n">
        <v>30</v>
      </c>
      <c r="F1349" s="1" t="s">
        <v>1128</v>
      </c>
      <c r="G1349" s="1" t="s">
        <v>236</v>
      </c>
      <c r="H1349" s="1" t="s">
        <v>1129</v>
      </c>
      <c r="I1349" s="1" t="s">
        <v>218</v>
      </c>
      <c r="J1349" s="1" t="s">
        <v>1104</v>
      </c>
      <c r="K1349" s="1" t="n">
        <v>69.99</v>
      </c>
      <c r="L1349" s="1" t="n">
        <v>4.2</v>
      </c>
      <c r="M1349" s="1" t="n">
        <v>59</v>
      </c>
      <c r="N1349" s="4" t="b">
        <f aca="false">FALSE()</f>
        <v>0</v>
      </c>
      <c r="P1349" s="4" t="b">
        <f aca="false">TRUE()</f>
        <v>1</v>
      </c>
      <c r="R1349" s="1" t="s">
        <v>4434</v>
      </c>
      <c r="S1349" s="1" t="s">
        <v>4502</v>
      </c>
      <c r="T1349" s="1" t="s">
        <v>222</v>
      </c>
      <c r="U1349" s="1" t="s">
        <v>2102</v>
      </c>
    </row>
    <row r="1350" customFormat="false" ht="48" hidden="false" customHeight="true" outlineLevel="0" collapsed="false">
      <c r="A1350" s="1" t="s">
        <v>41</v>
      </c>
      <c r="B1350" s="1" t="s">
        <v>3712</v>
      </c>
      <c r="C1350" s="1" t="s">
        <v>1100</v>
      </c>
      <c r="D1350" s="1" t="s">
        <v>1101</v>
      </c>
      <c r="E1350" s="1" t="n">
        <v>31</v>
      </c>
      <c r="F1350" s="1" t="s">
        <v>4503</v>
      </c>
      <c r="G1350" s="1" t="s">
        <v>236</v>
      </c>
      <c r="H1350" s="1" t="s">
        <v>4504</v>
      </c>
      <c r="I1350" s="1" t="s">
        <v>218</v>
      </c>
      <c r="J1350" s="1" t="s">
        <v>1104</v>
      </c>
      <c r="K1350" s="1" t="n">
        <v>48.68</v>
      </c>
      <c r="L1350" s="1" t="n">
        <v>3.7</v>
      </c>
      <c r="M1350" s="1" t="n">
        <v>7</v>
      </c>
      <c r="N1350" s="4" t="b">
        <f aca="false">FALSE()</f>
        <v>0</v>
      </c>
      <c r="O1350" s="1" t="s">
        <v>4505</v>
      </c>
      <c r="P1350" s="4" t="b">
        <f aca="false">TRUE()</f>
        <v>1</v>
      </c>
      <c r="R1350" s="1" t="s">
        <v>4434</v>
      </c>
      <c r="S1350" s="1" t="s">
        <v>4506</v>
      </c>
      <c r="T1350" s="1" t="s">
        <v>222</v>
      </c>
      <c r="U1350" s="1" t="s">
        <v>2102</v>
      </c>
    </row>
    <row r="1351" customFormat="false" ht="48" hidden="false" customHeight="true" outlineLevel="0" collapsed="false">
      <c r="A1351" s="1" t="s">
        <v>41</v>
      </c>
      <c r="B1351" s="1" t="s">
        <v>3712</v>
      </c>
      <c r="C1351" s="1" t="s">
        <v>1100</v>
      </c>
      <c r="D1351" s="1" t="s">
        <v>1101</v>
      </c>
      <c r="E1351" s="1" t="n">
        <v>32</v>
      </c>
      <c r="F1351" s="1" t="s">
        <v>4507</v>
      </c>
      <c r="G1351" s="1" t="s">
        <v>236</v>
      </c>
      <c r="H1351" s="1" t="s">
        <v>4508</v>
      </c>
      <c r="I1351" s="1" t="s">
        <v>218</v>
      </c>
      <c r="J1351" s="1" t="s">
        <v>1104</v>
      </c>
      <c r="K1351" s="1" t="n">
        <v>159.99</v>
      </c>
      <c r="L1351" s="1" t="n">
        <v>4.3</v>
      </c>
      <c r="M1351" s="1" t="n">
        <v>1100</v>
      </c>
      <c r="N1351" s="4" t="b">
        <f aca="false">FALSE()</f>
        <v>0</v>
      </c>
      <c r="O1351" s="1" t="s">
        <v>3725</v>
      </c>
      <c r="P1351" s="4" t="b">
        <f aca="false">TRUE()</f>
        <v>1</v>
      </c>
      <c r="R1351" s="1" t="s">
        <v>4434</v>
      </c>
      <c r="S1351" s="1" t="s">
        <v>4509</v>
      </c>
      <c r="T1351" s="1" t="s">
        <v>222</v>
      </c>
      <c r="U1351" s="1" t="s">
        <v>2102</v>
      </c>
    </row>
    <row r="1352" customFormat="false" ht="48" hidden="false" customHeight="true" outlineLevel="0" collapsed="false">
      <c r="A1352" s="1" t="s">
        <v>41</v>
      </c>
      <c r="B1352" s="1" t="s">
        <v>3712</v>
      </c>
      <c r="C1352" s="1" t="s">
        <v>1100</v>
      </c>
      <c r="D1352" s="1" t="s">
        <v>1101</v>
      </c>
      <c r="E1352" s="1" t="n">
        <v>33</v>
      </c>
      <c r="F1352" s="1" t="s">
        <v>2119</v>
      </c>
      <c r="G1352" s="1" t="s">
        <v>1707</v>
      </c>
      <c r="H1352" s="1" t="s">
        <v>3717</v>
      </c>
      <c r="I1352" s="1" t="s">
        <v>218</v>
      </c>
      <c r="J1352" s="1" t="s">
        <v>219</v>
      </c>
      <c r="K1352" s="1" t="n">
        <v>37.98</v>
      </c>
      <c r="L1352" s="1" t="n">
        <v>4.4</v>
      </c>
      <c r="M1352" s="1" t="n">
        <v>2000</v>
      </c>
      <c r="N1352" s="4" t="b">
        <f aca="false">FALSE()</f>
        <v>0</v>
      </c>
      <c r="O1352" s="1" t="s">
        <v>3718</v>
      </c>
      <c r="P1352" s="4" t="b">
        <f aca="false">TRUE()</f>
        <v>1</v>
      </c>
      <c r="Q1352" s="1" t="s">
        <v>1840</v>
      </c>
      <c r="R1352" s="1" t="s">
        <v>4434</v>
      </c>
      <c r="S1352" s="1" t="s">
        <v>3719</v>
      </c>
      <c r="T1352" s="1" t="s">
        <v>222</v>
      </c>
      <c r="U1352" s="1" t="s">
        <v>2102</v>
      </c>
    </row>
    <row r="1353" customFormat="false" ht="48" hidden="false" customHeight="true" outlineLevel="0" collapsed="false">
      <c r="A1353" s="1" t="s">
        <v>41</v>
      </c>
      <c r="B1353" s="1" t="s">
        <v>3712</v>
      </c>
      <c r="C1353" s="1" t="s">
        <v>1100</v>
      </c>
      <c r="D1353" s="1" t="s">
        <v>1101</v>
      </c>
      <c r="E1353" s="1" t="n">
        <v>34</v>
      </c>
      <c r="F1353" s="1" t="s">
        <v>1188</v>
      </c>
      <c r="G1353" s="1" t="s">
        <v>236</v>
      </c>
      <c r="H1353" s="1" t="s">
        <v>1189</v>
      </c>
      <c r="I1353" s="1" t="s">
        <v>218</v>
      </c>
      <c r="J1353" s="1" t="s">
        <v>1104</v>
      </c>
      <c r="K1353" s="1" t="n">
        <v>89.99</v>
      </c>
      <c r="L1353" s="1" t="n">
        <v>4.5</v>
      </c>
      <c r="M1353" s="1" t="n">
        <v>48</v>
      </c>
      <c r="N1353" s="4" t="b">
        <f aca="false">FALSE()</f>
        <v>0</v>
      </c>
      <c r="P1353" s="4" t="b">
        <f aca="false">TRUE()</f>
        <v>1</v>
      </c>
      <c r="R1353" s="1" t="s">
        <v>4434</v>
      </c>
      <c r="S1353" s="1" t="s">
        <v>4510</v>
      </c>
      <c r="T1353" s="1" t="s">
        <v>222</v>
      </c>
      <c r="U1353" s="1" t="s">
        <v>2102</v>
      </c>
    </row>
    <row r="1354" customFormat="false" ht="48" hidden="false" customHeight="true" outlineLevel="0" collapsed="false">
      <c r="A1354" s="1" t="s">
        <v>41</v>
      </c>
      <c r="B1354" s="1" t="s">
        <v>3712</v>
      </c>
      <c r="C1354" s="1" t="s">
        <v>1100</v>
      </c>
      <c r="D1354" s="1" t="s">
        <v>1101</v>
      </c>
      <c r="E1354" s="1" t="n">
        <v>35</v>
      </c>
      <c r="F1354" s="1" t="s">
        <v>4511</v>
      </c>
      <c r="G1354" s="1" t="s">
        <v>236</v>
      </c>
      <c r="H1354" s="1" t="s">
        <v>4512</v>
      </c>
      <c r="I1354" s="1" t="s">
        <v>218</v>
      </c>
      <c r="J1354" s="1" t="s">
        <v>1104</v>
      </c>
      <c r="K1354" s="1" t="n">
        <v>94.99</v>
      </c>
      <c r="L1354" s="1" t="n">
        <v>4.3</v>
      </c>
      <c r="M1354" s="1" t="n">
        <v>236</v>
      </c>
      <c r="N1354" s="4" t="b">
        <f aca="false">FALSE()</f>
        <v>0</v>
      </c>
      <c r="P1354" s="4" t="b">
        <f aca="false">TRUE()</f>
        <v>1</v>
      </c>
      <c r="R1354" s="1" t="s">
        <v>4434</v>
      </c>
      <c r="S1354" s="1" t="s">
        <v>4513</v>
      </c>
      <c r="T1354" s="1" t="s">
        <v>222</v>
      </c>
      <c r="U1354" s="1" t="s">
        <v>2102</v>
      </c>
    </row>
    <row r="1355" customFormat="false" ht="48" hidden="false" customHeight="true" outlineLevel="0" collapsed="false">
      <c r="A1355" s="1" t="s">
        <v>41</v>
      </c>
      <c r="B1355" s="1" t="s">
        <v>3712</v>
      </c>
      <c r="C1355" s="1" t="s">
        <v>1100</v>
      </c>
      <c r="D1355" s="1" t="s">
        <v>1101</v>
      </c>
      <c r="E1355" s="1" t="n">
        <v>36</v>
      </c>
      <c r="F1355" s="1" t="s">
        <v>4514</v>
      </c>
      <c r="G1355" s="1" t="s">
        <v>1242</v>
      </c>
      <c r="H1355" s="1" t="s">
        <v>4515</v>
      </c>
      <c r="I1355" s="1" t="s">
        <v>231</v>
      </c>
      <c r="J1355" s="1" t="s">
        <v>1104</v>
      </c>
      <c r="K1355" s="1" t="n">
        <v>110.5</v>
      </c>
      <c r="L1355" s="1" t="n">
        <v>4.2</v>
      </c>
      <c r="M1355" s="1" t="n">
        <v>140</v>
      </c>
      <c r="N1355" s="4" t="b">
        <f aca="false">FALSE()</f>
        <v>0</v>
      </c>
      <c r="O1355" s="1" t="s">
        <v>4516</v>
      </c>
      <c r="P1355" s="4" t="b">
        <f aca="false">TRUE()</f>
        <v>1</v>
      </c>
      <c r="R1355" s="1" t="s">
        <v>4434</v>
      </c>
      <c r="S1355" s="1" t="s">
        <v>4517</v>
      </c>
      <c r="T1355" s="1" t="s">
        <v>222</v>
      </c>
      <c r="U1355" s="1" t="s">
        <v>2102</v>
      </c>
    </row>
    <row r="1356" customFormat="false" ht="48" hidden="false" customHeight="true" outlineLevel="0" collapsed="false">
      <c r="A1356" s="1" t="s">
        <v>41</v>
      </c>
      <c r="B1356" s="1" t="s">
        <v>3712</v>
      </c>
      <c r="C1356" s="1" t="s">
        <v>1100</v>
      </c>
      <c r="D1356" s="1" t="s">
        <v>1101</v>
      </c>
      <c r="E1356" s="1" t="n">
        <v>37</v>
      </c>
      <c r="F1356" s="1" t="s">
        <v>4518</v>
      </c>
      <c r="G1356" s="1" t="s">
        <v>236</v>
      </c>
      <c r="H1356" s="1" t="s">
        <v>4519</v>
      </c>
      <c r="I1356" s="1" t="s">
        <v>218</v>
      </c>
      <c r="J1356" s="1" t="s">
        <v>1104</v>
      </c>
      <c r="K1356" s="1" t="n">
        <v>84.99</v>
      </c>
      <c r="L1356" s="1" t="n">
        <v>4.4</v>
      </c>
      <c r="M1356" s="1" t="n">
        <v>20</v>
      </c>
      <c r="N1356" s="4" t="b">
        <f aca="false">FALSE()</f>
        <v>0</v>
      </c>
      <c r="P1356" s="4" t="b">
        <f aca="false">TRUE()</f>
        <v>1</v>
      </c>
      <c r="R1356" s="1" t="s">
        <v>4434</v>
      </c>
      <c r="S1356" s="1" t="s">
        <v>4520</v>
      </c>
      <c r="T1356" s="1" t="s">
        <v>222</v>
      </c>
      <c r="U1356" s="1" t="s">
        <v>2102</v>
      </c>
    </row>
    <row r="1357" customFormat="false" ht="48" hidden="false" customHeight="true" outlineLevel="0" collapsed="false">
      <c r="A1357" s="1" t="s">
        <v>41</v>
      </c>
      <c r="B1357" s="1" t="s">
        <v>3712</v>
      </c>
      <c r="C1357" s="1" t="s">
        <v>1100</v>
      </c>
      <c r="D1357" s="1" t="s">
        <v>1101</v>
      </c>
      <c r="E1357" s="1" t="n">
        <v>38</v>
      </c>
      <c r="F1357" s="1" t="s">
        <v>4521</v>
      </c>
      <c r="G1357" s="1" t="s">
        <v>236</v>
      </c>
      <c r="H1357" s="1" t="s">
        <v>4522</v>
      </c>
      <c r="I1357" s="1" t="s">
        <v>231</v>
      </c>
      <c r="J1357" s="1" t="s">
        <v>1104</v>
      </c>
      <c r="K1357" s="1" t="n">
        <v>89.99</v>
      </c>
      <c r="L1357" s="1" t="n">
        <v>4.3</v>
      </c>
      <c r="M1357" s="1" t="n">
        <v>1000</v>
      </c>
      <c r="N1357" s="4" t="b">
        <f aca="false">FALSE()</f>
        <v>0</v>
      </c>
      <c r="P1357" s="4" t="b">
        <f aca="false">TRUE()</f>
        <v>1</v>
      </c>
      <c r="R1357" s="1" t="s">
        <v>4434</v>
      </c>
      <c r="S1357" s="1" t="s">
        <v>4523</v>
      </c>
      <c r="T1357" s="1" t="s">
        <v>222</v>
      </c>
      <c r="U1357" s="1" t="s">
        <v>2102</v>
      </c>
    </row>
    <row r="1358" customFormat="false" ht="48" hidden="false" customHeight="true" outlineLevel="0" collapsed="false">
      <c r="A1358" s="1" t="s">
        <v>41</v>
      </c>
      <c r="B1358" s="1" t="s">
        <v>3712</v>
      </c>
      <c r="C1358" s="1" t="s">
        <v>1100</v>
      </c>
      <c r="D1358" s="1" t="s">
        <v>1101</v>
      </c>
      <c r="E1358" s="1" t="n">
        <v>39</v>
      </c>
      <c r="F1358" s="1" t="s">
        <v>4524</v>
      </c>
      <c r="G1358" s="1" t="s">
        <v>236</v>
      </c>
      <c r="H1358" s="1" t="s">
        <v>4525</v>
      </c>
      <c r="I1358" s="1" t="s">
        <v>218</v>
      </c>
      <c r="J1358" s="1" t="s">
        <v>1104</v>
      </c>
      <c r="K1358" s="1" t="n">
        <v>125.99</v>
      </c>
      <c r="L1358" s="1" t="n">
        <v>4.8</v>
      </c>
      <c r="M1358" s="1" t="n">
        <v>257</v>
      </c>
      <c r="N1358" s="4" t="b">
        <f aca="false">FALSE()</f>
        <v>0</v>
      </c>
      <c r="P1358" s="4" t="b">
        <f aca="false">TRUE()</f>
        <v>1</v>
      </c>
      <c r="R1358" s="1" t="s">
        <v>4434</v>
      </c>
      <c r="S1358" s="1" t="s">
        <v>4526</v>
      </c>
      <c r="T1358" s="1" t="s">
        <v>222</v>
      </c>
      <c r="U1358" s="1" t="s">
        <v>2102</v>
      </c>
    </row>
    <row r="1359" customFormat="false" ht="48" hidden="false" customHeight="true" outlineLevel="0" collapsed="false">
      <c r="A1359" s="1" t="s">
        <v>41</v>
      </c>
      <c r="B1359" s="1" t="s">
        <v>3712</v>
      </c>
      <c r="C1359" s="1" t="s">
        <v>1100</v>
      </c>
      <c r="D1359" s="1" t="s">
        <v>1101</v>
      </c>
      <c r="E1359" s="1" t="n">
        <v>40</v>
      </c>
      <c r="F1359" s="1" t="s">
        <v>245</v>
      </c>
      <c r="G1359" s="1" t="s">
        <v>236</v>
      </c>
      <c r="H1359" s="1" t="s">
        <v>3724</v>
      </c>
      <c r="I1359" s="1" t="s">
        <v>218</v>
      </c>
      <c r="J1359" s="1" t="s">
        <v>219</v>
      </c>
      <c r="K1359" s="1" t="n">
        <v>62.99</v>
      </c>
      <c r="L1359" s="1" t="n">
        <v>4.4</v>
      </c>
      <c r="M1359" s="1" t="n">
        <v>311</v>
      </c>
      <c r="N1359" s="4" t="b">
        <f aca="false">FALSE()</f>
        <v>0</v>
      </c>
      <c r="O1359" s="1" t="s">
        <v>3725</v>
      </c>
      <c r="P1359" s="4" t="b">
        <f aca="false">TRUE()</f>
        <v>1</v>
      </c>
      <c r="Q1359" s="1" t="s">
        <v>439</v>
      </c>
      <c r="R1359" s="1" t="s">
        <v>4434</v>
      </c>
      <c r="S1359" s="1" t="s">
        <v>3726</v>
      </c>
      <c r="T1359" s="1" t="s">
        <v>222</v>
      </c>
      <c r="U1359" s="1" t="s">
        <v>2102</v>
      </c>
    </row>
    <row r="1360" customFormat="false" ht="48" hidden="false" customHeight="true" outlineLevel="0" collapsed="false">
      <c r="A1360" s="1" t="s">
        <v>41</v>
      </c>
      <c r="B1360" s="1" t="s">
        <v>3712</v>
      </c>
      <c r="C1360" s="1" t="s">
        <v>1100</v>
      </c>
      <c r="D1360" s="1" t="s">
        <v>1101</v>
      </c>
      <c r="E1360" s="1" t="n">
        <v>41</v>
      </c>
      <c r="F1360" s="1" t="s">
        <v>4527</v>
      </c>
      <c r="G1360" s="1" t="s">
        <v>236</v>
      </c>
      <c r="H1360" s="1" t="s">
        <v>4528</v>
      </c>
      <c r="I1360" s="1" t="s">
        <v>218</v>
      </c>
      <c r="J1360" s="1" t="s">
        <v>1104</v>
      </c>
      <c r="K1360" s="1" t="n">
        <v>69.99</v>
      </c>
      <c r="N1360" s="4" t="b">
        <f aca="false">FALSE()</f>
        <v>0</v>
      </c>
      <c r="P1360" s="4" t="b">
        <f aca="false">TRUE()</f>
        <v>1</v>
      </c>
      <c r="R1360" s="1" t="s">
        <v>4434</v>
      </c>
      <c r="S1360" s="1" t="s">
        <v>4529</v>
      </c>
      <c r="T1360" s="1" t="s">
        <v>222</v>
      </c>
      <c r="U1360" s="1" t="s">
        <v>2102</v>
      </c>
    </row>
    <row r="1361" customFormat="false" ht="48" hidden="false" customHeight="true" outlineLevel="0" collapsed="false">
      <c r="A1361" s="1" t="s">
        <v>41</v>
      </c>
      <c r="B1361" s="1" t="s">
        <v>3712</v>
      </c>
      <c r="C1361" s="1" t="s">
        <v>1100</v>
      </c>
      <c r="D1361" s="1" t="s">
        <v>1101</v>
      </c>
      <c r="E1361" s="1" t="n">
        <v>42</v>
      </c>
      <c r="F1361" s="1" t="s">
        <v>4530</v>
      </c>
      <c r="G1361" s="1" t="s">
        <v>236</v>
      </c>
      <c r="H1361" s="1" t="s">
        <v>4531</v>
      </c>
      <c r="I1361" s="1" t="s">
        <v>378</v>
      </c>
      <c r="J1361" s="1" t="s">
        <v>1104</v>
      </c>
      <c r="L1361" s="1" t="n">
        <v>3.3</v>
      </c>
      <c r="M1361" s="1" t="n">
        <v>6</v>
      </c>
      <c r="N1361" s="4" t="b">
        <f aca="false">FALSE()</f>
        <v>0</v>
      </c>
      <c r="P1361" s="4" t="b">
        <f aca="false">TRUE()</f>
        <v>1</v>
      </c>
      <c r="R1361" s="1" t="s">
        <v>4434</v>
      </c>
      <c r="S1361" s="1" t="s">
        <v>4532</v>
      </c>
      <c r="T1361" s="1" t="s">
        <v>222</v>
      </c>
      <c r="U1361" s="1" t="s">
        <v>2102</v>
      </c>
    </row>
    <row r="1362" customFormat="false" ht="48" hidden="false" customHeight="true" outlineLevel="0" collapsed="false">
      <c r="A1362" s="1" t="s">
        <v>41</v>
      </c>
      <c r="B1362" s="1" t="s">
        <v>3712</v>
      </c>
      <c r="C1362" s="1" t="s">
        <v>1100</v>
      </c>
      <c r="D1362" s="1" t="s">
        <v>1101</v>
      </c>
      <c r="E1362" s="1" t="n">
        <v>43</v>
      </c>
      <c r="F1362" s="1" t="s">
        <v>4533</v>
      </c>
      <c r="G1362" s="1" t="s">
        <v>236</v>
      </c>
      <c r="H1362" s="1" t="s">
        <v>4534</v>
      </c>
      <c r="I1362" s="1" t="s">
        <v>218</v>
      </c>
      <c r="J1362" s="1" t="s">
        <v>1104</v>
      </c>
      <c r="K1362" s="1" t="n">
        <v>59.99</v>
      </c>
      <c r="L1362" s="1" t="n">
        <v>4.1</v>
      </c>
      <c r="M1362" s="1" t="n">
        <v>158</v>
      </c>
      <c r="N1362" s="4" t="b">
        <f aca="false">FALSE()</f>
        <v>0</v>
      </c>
      <c r="P1362" s="4" t="b">
        <f aca="false">TRUE()</f>
        <v>1</v>
      </c>
      <c r="R1362" s="1" t="s">
        <v>4434</v>
      </c>
      <c r="S1362" s="1" t="s">
        <v>4535</v>
      </c>
      <c r="T1362" s="1" t="s">
        <v>222</v>
      </c>
      <c r="U1362" s="1" t="s">
        <v>2102</v>
      </c>
    </row>
    <row r="1363" customFormat="false" ht="48" hidden="false" customHeight="true" outlineLevel="0" collapsed="false">
      <c r="A1363" s="1" t="s">
        <v>41</v>
      </c>
      <c r="B1363" s="1" t="s">
        <v>3712</v>
      </c>
      <c r="C1363" s="1" t="s">
        <v>1100</v>
      </c>
      <c r="D1363" s="1" t="s">
        <v>1101</v>
      </c>
      <c r="E1363" s="1" t="n">
        <v>44</v>
      </c>
      <c r="F1363" s="1" t="s">
        <v>4536</v>
      </c>
      <c r="G1363" s="1" t="s">
        <v>236</v>
      </c>
      <c r="H1363" s="1" t="s">
        <v>4537</v>
      </c>
      <c r="I1363" s="1" t="s">
        <v>218</v>
      </c>
      <c r="J1363" s="1" t="s">
        <v>310</v>
      </c>
      <c r="K1363" s="1" t="n">
        <v>26.79</v>
      </c>
      <c r="L1363" s="1" t="n">
        <v>4.6</v>
      </c>
      <c r="M1363" s="1" t="n">
        <v>42</v>
      </c>
      <c r="N1363" s="4" t="b">
        <f aca="false">FALSE()</f>
        <v>0</v>
      </c>
      <c r="O1363" s="1" t="s">
        <v>746</v>
      </c>
      <c r="P1363" s="4" t="b">
        <f aca="false">TRUE()</f>
        <v>1</v>
      </c>
      <c r="R1363" s="1" t="s">
        <v>4434</v>
      </c>
      <c r="S1363" s="1" t="s">
        <v>4538</v>
      </c>
      <c r="T1363" s="1" t="s">
        <v>222</v>
      </c>
      <c r="U1363" s="1" t="s">
        <v>2102</v>
      </c>
    </row>
    <row r="1364" customFormat="false" ht="48" hidden="false" customHeight="true" outlineLevel="0" collapsed="false">
      <c r="A1364" s="1" t="s">
        <v>41</v>
      </c>
      <c r="B1364" s="1" t="s">
        <v>3712</v>
      </c>
      <c r="C1364" s="1" t="s">
        <v>1100</v>
      </c>
      <c r="D1364" s="1" t="s">
        <v>1101</v>
      </c>
      <c r="E1364" s="1" t="n">
        <v>45</v>
      </c>
      <c r="F1364" s="1" t="s">
        <v>3781</v>
      </c>
      <c r="G1364" s="1" t="s">
        <v>236</v>
      </c>
      <c r="H1364" s="1" t="s">
        <v>3782</v>
      </c>
      <c r="I1364" s="1" t="s">
        <v>306</v>
      </c>
      <c r="J1364" s="1" t="s">
        <v>219</v>
      </c>
      <c r="K1364" s="1" t="n">
        <v>56.24</v>
      </c>
      <c r="L1364" s="1" t="n">
        <v>4.6</v>
      </c>
      <c r="M1364" s="1" t="n">
        <v>128</v>
      </c>
      <c r="N1364" s="4" t="b">
        <f aca="false">FALSE()</f>
        <v>0</v>
      </c>
      <c r="O1364" s="1" t="s">
        <v>1904</v>
      </c>
      <c r="P1364" s="4" t="b">
        <f aca="false">TRUE()</f>
        <v>1</v>
      </c>
      <c r="Q1364" s="1" t="s">
        <v>435</v>
      </c>
      <c r="R1364" s="1" t="s">
        <v>4434</v>
      </c>
      <c r="S1364" s="1" t="s">
        <v>3783</v>
      </c>
      <c r="T1364" s="1" t="s">
        <v>222</v>
      </c>
      <c r="U1364" s="1" t="s">
        <v>2102</v>
      </c>
    </row>
    <row r="1365" customFormat="false" ht="48" hidden="false" customHeight="true" outlineLevel="0" collapsed="false">
      <c r="A1365" s="1" t="s">
        <v>41</v>
      </c>
      <c r="B1365" s="1" t="s">
        <v>3712</v>
      </c>
      <c r="C1365" s="1" t="s">
        <v>1100</v>
      </c>
      <c r="D1365" s="1" t="s">
        <v>1101</v>
      </c>
      <c r="E1365" s="1" t="n">
        <v>46</v>
      </c>
      <c r="F1365" s="1" t="s">
        <v>4539</v>
      </c>
      <c r="G1365" s="1" t="s">
        <v>236</v>
      </c>
      <c r="H1365" s="1" t="s">
        <v>4540</v>
      </c>
      <c r="I1365" s="1" t="s">
        <v>218</v>
      </c>
      <c r="J1365" s="1" t="s">
        <v>310</v>
      </c>
      <c r="K1365" s="1" t="n">
        <v>74.99</v>
      </c>
      <c r="L1365" s="1" t="n">
        <v>4.4</v>
      </c>
      <c r="M1365" s="1" t="n">
        <v>17</v>
      </c>
      <c r="N1365" s="4" t="b">
        <f aca="false">FALSE()</f>
        <v>0</v>
      </c>
      <c r="P1365" s="4" t="b">
        <f aca="false">TRUE()</f>
        <v>1</v>
      </c>
      <c r="R1365" s="1" t="s">
        <v>4434</v>
      </c>
      <c r="S1365" s="1" t="s">
        <v>4541</v>
      </c>
      <c r="T1365" s="1" t="s">
        <v>222</v>
      </c>
      <c r="U1365" s="1" t="s">
        <v>2102</v>
      </c>
    </row>
    <row r="1366" customFormat="false" ht="48" hidden="false" customHeight="true" outlineLevel="0" collapsed="false">
      <c r="A1366" s="1" t="s">
        <v>41</v>
      </c>
      <c r="B1366" s="1" t="s">
        <v>3712</v>
      </c>
      <c r="C1366" s="1" t="s">
        <v>1100</v>
      </c>
      <c r="D1366" s="1" t="s">
        <v>1101</v>
      </c>
      <c r="E1366" s="1" t="n">
        <v>47</v>
      </c>
      <c r="F1366" s="1" t="s">
        <v>4542</v>
      </c>
      <c r="G1366" s="1" t="s">
        <v>236</v>
      </c>
      <c r="H1366" s="1" t="s">
        <v>4543</v>
      </c>
      <c r="I1366" s="1" t="s">
        <v>218</v>
      </c>
      <c r="J1366" s="1" t="s">
        <v>219</v>
      </c>
      <c r="K1366" s="1" t="n">
        <v>129.99</v>
      </c>
      <c r="L1366" s="1" t="n">
        <v>4.4</v>
      </c>
      <c r="M1366" s="1" t="n">
        <v>5900</v>
      </c>
      <c r="N1366" s="4" t="b">
        <f aca="false">FALSE()</f>
        <v>0</v>
      </c>
      <c r="P1366" s="4" t="b">
        <f aca="false">TRUE()</f>
        <v>1</v>
      </c>
      <c r="Q1366" s="1" t="s">
        <v>233</v>
      </c>
      <c r="R1366" s="1" t="s">
        <v>4434</v>
      </c>
      <c r="S1366" s="1" t="s">
        <v>4544</v>
      </c>
      <c r="T1366" s="1" t="s">
        <v>222</v>
      </c>
      <c r="U1366" s="1" t="s">
        <v>2102</v>
      </c>
    </row>
    <row r="1367" customFormat="false" ht="48" hidden="false" customHeight="true" outlineLevel="0" collapsed="false">
      <c r="A1367" s="1" t="s">
        <v>41</v>
      </c>
      <c r="B1367" s="1" t="s">
        <v>3712</v>
      </c>
      <c r="C1367" s="1" t="s">
        <v>1100</v>
      </c>
      <c r="D1367" s="1" t="s">
        <v>1101</v>
      </c>
      <c r="E1367" s="1" t="n">
        <v>48</v>
      </c>
      <c r="F1367" s="1" t="s">
        <v>4545</v>
      </c>
      <c r="G1367" s="1" t="s">
        <v>934</v>
      </c>
      <c r="H1367" s="1" t="s">
        <v>4546</v>
      </c>
      <c r="I1367" s="1" t="s">
        <v>289</v>
      </c>
      <c r="J1367" s="1" t="s">
        <v>1104</v>
      </c>
      <c r="K1367" s="1" t="n">
        <v>43.99</v>
      </c>
      <c r="L1367" s="1" t="n">
        <v>3.6</v>
      </c>
      <c r="M1367" s="1" t="n">
        <v>26</v>
      </c>
      <c r="N1367" s="4" t="b">
        <f aca="false">FALSE()</f>
        <v>0</v>
      </c>
      <c r="O1367" s="1" t="s">
        <v>4547</v>
      </c>
      <c r="P1367" s="4" t="b">
        <f aca="false">TRUE()</f>
        <v>1</v>
      </c>
      <c r="R1367" s="1" t="s">
        <v>4434</v>
      </c>
      <c r="S1367" s="1" t="s">
        <v>4548</v>
      </c>
      <c r="T1367" s="1" t="s">
        <v>222</v>
      </c>
      <c r="U1367" s="1" t="s">
        <v>2102</v>
      </c>
    </row>
    <row r="1368" customFormat="false" ht="48" hidden="false" customHeight="true" outlineLevel="0" collapsed="false">
      <c r="A1368" s="1" t="s">
        <v>41</v>
      </c>
      <c r="B1368" s="1" t="s">
        <v>3712</v>
      </c>
      <c r="C1368" s="1" t="s">
        <v>75</v>
      </c>
      <c r="D1368" s="1" t="s">
        <v>1259</v>
      </c>
      <c r="E1368" s="1" t="n">
        <v>1</v>
      </c>
      <c r="F1368" s="1" t="s">
        <v>4549</v>
      </c>
      <c r="G1368" s="1" t="s">
        <v>4550</v>
      </c>
      <c r="H1368" s="1" t="s">
        <v>4551</v>
      </c>
      <c r="I1368" s="1" t="s">
        <v>1267</v>
      </c>
      <c r="J1368" s="1" t="s">
        <v>597</v>
      </c>
      <c r="K1368" s="1" t="n">
        <v>19.99</v>
      </c>
      <c r="L1368" s="1" t="n">
        <v>4.7</v>
      </c>
      <c r="M1368" s="1" t="n">
        <v>21</v>
      </c>
      <c r="N1368" s="4" t="b">
        <f aca="false">TRUE()</f>
        <v>1</v>
      </c>
      <c r="O1368" s="1" t="s">
        <v>4552</v>
      </c>
      <c r="P1368" s="4" t="b">
        <f aca="false">TRUE()</f>
        <v>1</v>
      </c>
      <c r="R1368" s="1" t="s">
        <v>4553</v>
      </c>
      <c r="S1368" s="1" t="s">
        <v>4554</v>
      </c>
      <c r="T1368" s="1" t="s">
        <v>222</v>
      </c>
      <c r="U1368" s="1" t="s">
        <v>2102</v>
      </c>
    </row>
    <row r="1369" customFormat="false" ht="48" hidden="false" customHeight="true" outlineLevel="0" collapsed="false">
      <c r="A1369" s="1" t="s">
        <v>41</v>
      </c>
      <c r="B1369" s="1" t="s">
        <v>3712</v>
      </c>
      <c r="C1369" s="1" t="s">
        <v>75</v>
      </c>
      <c r="D1369" s="1" t="s">
        <v>1259</v>
      </c>
      <c r="E1369" s="1" t="n">
        <v>2</v>
      </c>
      <c r="F1369" s="1" t="s">
        <v>4555</v>
      </c>
      <c r="G1369" s="1" t="s">
        <v>677</v>
      </c>
      <c r="H1369" s="1" t="s">
        <v>4556</v>
      </c>
      <c r="I1369" s="1" t="s">
        <v>1267</v>
      </c>
      <c r="J1369" s="1" t="s">
        <v>310</v>
      </c>
      <c r="K1369" s="1" t="n">
        <v>22.94</v>
      </c>
      <c r="L1369" s="1" t="n">
        <v>4.6</v>
      </c>
      <c r="M1369" s="1" t="n">
        <v>1500</v>
      </c>
      <c r="N1369" s="4" t="b">
        <f aca="false">TRUE()</f>
        <v>1</v>
      </c>
      <c r="P1369" s="4" t="b">
        <f aca="false">TRUE()</f>
        <v>1</v>
      </c>
      <c r="R1369" s="1" t="s">
        <v>4553</v>
      </c>
      <c r="S1369" s="1" t="s">
        <v>4557</v>
      </c>
      <c r="T1369" s="1" t="s">
        <v>222</v>
      </c>
      <c r="U1369" s="1" t="s">
        <v>2102</v>
      </c>
    </row>
    <row r="1370" customFormat="false" ht="48" hidden="false" customHeight="true" outlineLevel="0" collapsed="false">
      <c r="A1370" s="1" t="s">
        <v>41</v>
      </c>
      <c r="B1370" s="1" t="s">
        <v>3712</v>
      </c>
      <c r="C1370" s="1" t="s">
        <v>75</v>
      </c>
      <c r="D1370" s="1" t="s">
        <v>1259</v>
      </c>
      <c r="E1370" s="1" t="n">
        <v>3</v>
      </c>
      <c r="F1370" s="1" t="s">
        <v>4558</v>
      </c>
      <c r="G1370" s="1" t="s">
        <v>236</v>
      </c>
      <c r="H1370" s="1" t="s">
        <v>4559</v>
      </c>
      <c r="I1370" s="1" t="s">
        <v>231</v>
      </c>
      <c r="J1370" s="1" t="s">
        <v>597</v>
      </c>
      <c r="K1370" s="1" t="n">
        <v>24.99</v>
      </c>
      <c r="L1370" s="1" t="n">
        <v>4.6</v>
      </c>
      <c r="M1370" s="1" t="n">
        <v>7000</v>
      </c>
      <c r="N1370" s="4" t="b">
        <f aca="false">TRUE()</f>
        <v>1</v>
      </c>
      <c r="P1370" s="4" t="b">
        <f aca="false">TRUE()</f>
        <v>1</v>
      </c>
      <c r="Q1370" s="1" t="s">
        <v>451</v>
      </c>
      <c r="R1370" s="1" t="s">
        <v>4553</v>
      </c>
      <c r="S1370" s="1" t="s">
        <v>4560</v>
      </c>
      <c r="T1370" s="1" t="s">
        <v>222</v>
      </c>
      <c r="U1370" s="1" t="s">
        <v>2102</v>
      </c>
    </row>
    <row r="1371" customFormat="false" ht="48" hidden="false" customHeight="true" outlineLevel="0" collapsed="false">
      <c r="A1371" s="1" t="s">
        <v>41</v>
      </c>
      <c r="B1371" s="1" t="s">
        <v>3712</v>
      </c>
      <c r="C1371" s="1" t="s">
        <v>75</v>
      </c>
      <c r="D1371" s="1" t="s">
        <v>1259</v>
      </c>
      <c r="E1371" s="1" t="n">
        <v>4</v>
      </c>
      <c r="F1371" s="1" t="s">
        <v>4561</v>
      </c>
      <c r="G1371" s="1" t="s">
        <v>1401</v>
      </c>
      <c r="H1371" s="1" t="s">
        <v>4562</v>
      </c>
      <c r="I1371" s="1" t="s">
        <v>218</v>
      </c>
      <c r="J1371" s="1" t="s">
        <v>597</v>
      </c>
      <c r="K1371" s="1" t="n">
        <v>17.09</v>
      </c>
      <c r="L1371" s="1" t="n">
        <v>4.4</v>
      </c>
      <c r="M1371" s="1" t="n">
        <v>6700</v>
      </c>
      <c r="N1371" s="4" t="b">
        <f aca="false">TRUE()</f>
        <v>1</v>
      </c>
      <c r="O1371" s="1" t="s">
        <v>776</v>
      </c>
      <c r="P1371" s="4" t="b">
        <f aca="false">TRUE()</f>
        <v>1</v>
      </c>
      <c r="Q1371" s="1" t="s">
        <v>451</v>
      </c>
      <c r="R1371" s="1" t="s">
        <v>4553</v>
      </c>
      <c r="S1371" s="1" t="s">
        <v>4563</v>
      </c>
      <c r="T1371" s="1" t="s">
        <v>222</v>
      </c>
      <c r="U1371" s="1" t="s">
        <v>2102</v>
      </c>
    </row>
    <row r="1372" customFormat="false" ht="48" hidden="false" customHeight="true" outlineLevel="0" collapsed="false">
      <c r="A1372" s="1" t="s">
        <v>41</v>
      </c>
      <c r="B1372" s="1" t="s">
        <v>3712</v>
      </c>
      <c r="C1372" s="1" t="s">
        <v>75</v>
      </c>
      <c r="D1372" s="1" t="s">
        <v>1259</v>
      </c>
      <c r="E1372" s="1" t="n">
        <v>5</v>
      </c>
      <c r="F1372" s="1" t="s">
        <v>4564</v>
      </c>
      <c r="G1372" s="1" t="s">
        <v>236</v>
      </c>
      <c r="H1372" s="1" t="s">
        <v>4565</v>
      </c>
      <c r="I1372" s="1" t="s">
        <v>218</v>
      </c>
      <c r="J1372" s="1" t="s">
        <v>597</v>
      </c>
      <c r="K1372" s="1" t="n">
        <v>12.99</v>
      </c>
      <c r="L1372" s="1" t="n">
        <v>4.5</v>
      </c>
      <c r="M1372" s="1" t="n">
        <v>8600</v>
      </c>
      <c r="N1372" s="4" t="b">
        <f aca="false">FALSE()</f>
        <v>0</v>
      </c>
      <c r="O1372" s="1" t="s">
        <v>4566</v>
      </c>
      <c r="P1372" s="4" t="b">
        <f aca="false">TRUE()</f>
        <v>1</v>
      </c>
      <c r="R1372" s="1" t="s">
        <v>4553</v>
      </c>
      <c r="S1372" s="1" t="s">
        <v>4567</v>
      </c>
      <c r="T1372" s="1" t="s">
        <v>222</v>
      </c>
      <c r="U1372" s="1" t="s">
        <v>2102</v>
      </c>
    </row>
    <row r="1373" customFormat="false" ht="48" hidden="false" customHeight="true" outlineLevel="0" collapsed="false">
      <c r="A1373" s="1" t="s">
        <v>41</v>
      </c>
      <c r="B1373" s="1" t="s">
        <v>3712</v>
      </c>
      <c r="C1373" s="1" t="s">
        <v>75</v>
      </c>
      <c r="D1373" s="1" t="s">
        <v>1259</v>
      </c>
      <c r="E1373" s="1" t="n">
        <v>6</v>
      </c>
      <c r="F1373" s="1" t="s">
        <v>1400</v>
      </c>
      <c r="G1373" s="1" t="s">
        <v>1401</v>
      </c>
      <c r="H1373" s="1" t="s">
        <v>4568</v>
      </c>
      <c r="I1373" s="1" t="s">
        <v>218</v>
      </c>
      <c r="J1373" s="1" t="s">
        <v>597</v>
      </c>
      <c r="K1373" s="1" t="n">
        <v>11.69</v>
      </c>
      <c r="L1373" s="1" t="n">
        <v>4.5</v>
      </c>
      <c r="M1373" s="1" t="n">
        <v>1800</v>
      </c>
      <c r="N1373" s="4" t="b">
        <f aca="false">FALSE()</f>
        <v>0</v>
      </c>
      <c r="O1373" s="1" t="s">
        <v>4569</v>
      </c>
      <c r="P1373" s="4" t="b">
        <f aca="false">TRUE()</f>
        <v>1</v>
      </c>
      <c r="Q1373" s="1" t="s">
        <v>766</v>
      </c>
      <c r="R1373" s="1" t="s">
        <v>4553</v>
      </c>
      <c r="S1373" s="1" t="s">
        <v>4570</v>
      </c>
      <c r="T1373" s="1" t="s">
        <v>222</v>
      </c>
      <c r="U1373" s="1" t="s">
        <v>2102</v>
      </c>
    </row>
    <row r="1374" customFormat="false" ht="48" hidden="false" customHeight="true" outlineLevel="0" collapsed="false">
      <c r="A1374" s="1" t="s">
        <v>41</v>
      </c>
      <c r="B1374" s="1" t="s">
        <v>3712</v>
      </c>
      <c r="C1374" s="1" t="s">
        <v>75</v>
      </c>
      <c r="D1374" s="1" t="s">
        <v>1259</v>
      </c>
      <c r="E1374" s="1" t="n">
        <v>7</v>
      </c>
      <c r="F1374" s="1" t="s">
        <v>4571</v>
      </c>
      <c r="G1374" s="1" t="s">
        <v>236</v>
      </c>
      <c r="H1374" s="1" t="s">
        <v>4572</v>
      </c>
      <c r="I1374" s="1" t="s">
        <v>1267</v>
      </c>
      <c r="J1374" s="1" t="s">
        <v>310</v>
      </c>
      <c r="K1374" s="1" t="n">
        <v>65.99</v>
      </c>
      <c r="N1374" s="4" t="b">
        <f aca="false">FALSE()</f>
        <v>0</v>
      </c>
      <c r="P1374" s="4" t="b">
        <f aca="false">TRUE()</f>
        <v>1</v>
      </c>
      <c r="R1374" s="1" t="s">
        <v>4553</v>
      </c>
      <c r="S1374" s="1" t="s">
        <v>4573</v>
      </c>
      <c r="T1374" s="1" t="s">
        <v>222</v>
      </c>
      <c r="U1374" s="1" t="s">
        <v>2102</v>
      </c>
    </row>
    <row r="1375" customFormat="false" ht="48" hidden="false" customHeight="true" outlineLevel="0" collapsed="false">
      <c r="A1375" s="1" t="s">
        <v>41</v>
      </c>
      <c r="B1375" s="1" t="s">
        <v>3712</v>
      </c>
      <c r="C1375" s="1" t="s">
        <v>75</v>
      </c>
      <c r="D1375" s="1" t="s">
        <v>1259</v>
      </c>
      <c r="E1375" s="1" t="n">
        <v>8</v>
      </c>
      <c r="F1375" s="1" t="s">
        <v>4574</v>
      </c>
      <c r="G1375" s="1" t="s">
        <v>236</v>
      </c>
      <c r="H1375" s="1" t="s">
        <v>4575</v>
      </c>
      <c r="I1375" s="1" t="s">
        <v>218</v>
      </c>
      <c r="J1375" s="1" t="s">
        <v>597</v>
      </c>
      <c r="K1375" s="1" t="n">
        <v>8.99</v>
      </c>
      <c r="L1375" s="1" t="n">
        <v>4.1</v>
      </c>
      <c r="M1375" s="1" t="n">
        <v>646</v>
      </c>
      <c r="N1375" s="4" t="b">
        <f aca="false">FALSE()</f>
        <v>0</v>
      </c>
      <c r="O1375" s="1" t="s">
        <v>4576</v>
      </c>
      <c r="P1375" s="4" t="b">
        <f aca="false">TRUE()</f>
        <v>1</v>
      </c>
      <c r="Q1375" s="1" t="s">
        <v>618</v>
      </c>
      <c r="R1375" s="1" t="s">
        <v>4553</v>
      </c>
      <c r="S1375" s="1" t="s">
        <v>4577</v>
      </c>
      <c r="T1375" s="1" t="s">
        <v>222</v>
      </c>
      <c r="U1375" s="1" t="s">
        <v>2102</v>
      </c>
    </row>
    <row r="1376" customFormat="false" ht="48" hidden="false" customHeight="true" outlineLevel="0" collapsed="false">
      <c r="A1376" s="1" t="s">
        <v>41</v>
      </c>
      <c r="B1376" s="1" t="s">
        <v>3712</v>
      </c>
      <c r="C1376" s="1" t="s">
        <v>75</v>
      </c>
      <c r="D1376" s="1" t="s">
        <v>1259</v>
      </c>
      <c r="E1376" s="1" t="n">
        <v>9</v>
      </c>
      <c r="F1376" s="1" t="s">
        <v>1353</v>
      </c>
      <c r="G1376" s="1" t="s">
        <v>236</v>
      </c>
      <c r="H1376" s="1" t="s">
        <v>4578</v>
      </c>
      <c r="I1376" s="1" t="s">
        <v>1267</v>
      </c>
      <c r="J1376" s="1" t="s">
        <v>597</v>
      </c>
      <c r="K1376" s="1" t="n">
        <v>31.99</v>
      </c>
      <c r="L1376" s="1" t="n">
        <v>4.4</v>
      </c>
      <c r="M1376" s="1" t="n">
        <v>2400</v>
      </c>
      <c r="N1376" s="4" t="b">
        <f aca="false">FALSE()</f>
        <v>0</v>
      </c>
      <c r="P1376" s="4" t="b">
        <f aca="false">TRUE()</f>
        <v>1</v>
      </c>
      <c r="Q1376" s="1" t="s">
        <v>711</v>
      </c>
      <c r="R1376" s="1" t="s">
        <v>4553</v>
      </c>
      <c r="S1376" s="1" t="s">
        <v>4579</v>
      </c>
      <c r="T1376" s="1" t="s">
        <v>222</v>
      </c>
      <c r="U1376" s="1" t="s">
        <v>2102</v>
      </c>
    </row>
    <row r="1377" customFormat="false" ht="48" hidden="false" customHeight="true" outlineLevel="0" collapsed="false">
      <c r="A1377" s="1" t="s">
        <v>41</v>
      </c>
      <c r="B1377" s="1" t="s">
        <v>3712</v>
      </c>
      <c r="C1377" s="1" t="s">
        <v>75</v>
      </c>
      <c r="D1377" s="1" t="s">
        <v>1259</v>
      </c>
      <c r="E1377" s="1" t="n">
        <v>10</v>
      </c>
      <c r="F1377" s="1" t="s">
        <v>4580</v>
      </c>
      <c r="G1377" s="1" t="s">
        <v>236</v>
      </c>
      <c r="H1377" s="1" t="s">
        <v>4581</v>
      </c>
      <c r="I1377" s="1" t="s">
        <v>1267</v>
      </c>
      <c r="J1377" s="1" t="s">
        <v>597</v>
      </c>
      <c r="K1377" s="1" t="n">
        <v>24.99</v>
      </c>
      <c r="L1377" s="1" t="n">
        <v>4.6</v>
      </c>
      <c r="M1377" s="1" t="n">
        <v>7500</v>
      </c>
      <c r="N1377" s="4" t="b">
        <f aca="false">FALSE()</f>
        <v>0</v>
      </c>
      <c r="O1377" s="1" t="s">
        <v>4076</v>
      </c>
      <c r="P1377" s="4" t="b">
        <f aca="false">TRUE()</f>
        <v>1</v>
      </c>
      <c r="Q1377" s="1" t="s">
        <v>1429</v>
      </c>
      <c r="R1377" s="1" t="s">
        <v>4553</v>
      </c>
      <c r="S1377" s="1" t="s">
        <v>4582</v>
      </c>
      <c r="T1377" s="1" t="s">
        <v>222</v>
      </c>
      <c r="U1377" s="1" t="s">
        <v>2102</v>
      </c>
    </row>
    <row r="1378" customFormat="false" ht="48" hidden="false" customHeight="true" outlineLevel="0" collapsed="false">
      <c r="A1378" s="1" t="s">
        <v>41</v>
      </c>
      <c r="B1378" s="1" t="s">
        <v>3712</v>
      </c>
      <c r="C1378" s="1" t="s">
        <v>75</v>
      </c>
      <c r="D1378" s="1" t="s">
        <v>1259</v>
      </c>
      <c r="E1378" s="1" t="n">
        <v>11</v>
      </c>
      <c r="F1378" s="1" t="s">
        <v>4583</v>
      </c>
      <c r="G1378" s="1" t="s">
        <v>236</v>
      </c>
      <c r="H1378" s="1" t="s">
        <v>4584</v>
      </c>
      <c r="I1378" s="1" t="s">
        <v>218</v>
      </c>
      <c r="J1378" s="1" t="s">
        <v>597</v>
      </c>
      <c r="K1378" s="1" t="n">
        <v>15.99</v>
      </c>
      <c r="L1378" s="1" t="n">
        <v>4.2</v>
      </c>
      <c r="M1378" s="1" t="n">
        <v>79</v>
      </c>
      <c r="N1378" s="4" t="b">
        <f aca="false">TRUE()</f>
        <v>1</v>
      </c>
      <c r="O1378" s="1" t="s">
        <v>3725</v>
      </c>
      <c r="P1378" s="4" t="b">
        <f aca="false">TRUE()</f>
        <v>1</v>
      </c>
      <c r="R1378" s="1" t="s">
        <v>4553</v>
      </c>
      <c r="S1378" s="1" t="s">
        <v>4585</v>
      </c>
      <c r="T1378" s="1" t="s">
        <v>222</v>
      </c>
      <c r="U1378" s="1" t="s">
        <v>2102</v>
      </c>
    </row>
    <row r="1379" customFormat="false" ht="48" hidden="false" customHeight="true" outlineLevel="0" collapsed="false">
      <c r="A1379" s="1" t="s">
        <v>41</v>
      </c>
      <c r="B1379" s="1" t="s">
        <v>3712</v>
      </c>
      <c r="C1379" s="1" t="s">
        <v>75</v>
      </c>
      <c r="D1379" s="1" t="s">
        <v>1259</v>
      </c>
      <c r="E1379" s="1" t="n">
        <v>12</v>
      </c>
      <c r="F1379" s="1" t="s">
        <v>4586</v>
      </c>
      <c r="G1379" s="1" t="s">
        <v>236</v>
      </c>
      <c r="H1379" s="1" t="s">
        <v>4587</v>
      </c>
      <c r="I1379" s="1" t="s">
        <v>218</v>
      </c>
      <c r="J1379" s="1" t="s">
        <v>597</v>
      </c>
      <c r="K1379" s="1" t="n">
        <v>21.84</v>
      </c>
      <c r="L1379" s="1" t="n">
        <v>4.4</v>
      </c>
      <c r="M1379" s="1" t="n">
        <v>2000</v>
      </c>
      <c r="N1379" s="4" t="b">
        <f aca="false">TRUE()</f>
        <v>1</v>
      </c>
      <c r="O1379" s="1" t="s">
        <v>4588</v>
      </c>
      <c r="P1379" s="4" t="b">
        <f aca="false">TRUE()</f>
        <v>1</v>
      </c>
      <c r="Q1379" s="1" t="s">
        <v>435</v>
      </c>
      <c r="R1379" s="1" t="s">
        <v>4553</v>
      </c>
      <c r="S1379" s="1" t="s">
        <v>4589</v>
      </c>
      <c r="T1379" s="1" t="s">
        <v>222</v>
      </c>
      <c r="U1379" s="1" t="s">
        <v>2102</v>
      </c>
    </row>
    <row r="1380" customFormat="false" ht="48" hidden="false" customHeight="true" outlineLevel="0" collapsed="false">
      <c r="A1380" s="1" t="s">
        <v>41</v>
      </c>
      <c r="B1380" s="1" t="s">
        <v>3712</v>
      </c>
      <c r="C1380" s="1" t="s">
        <v>75</v>
      </c>
      <c r="D1380" s="1" t="s">
        <v>1259</v>
      </c>
      <c r="E1380" s="1" t="n">
        <v>13</v>
      </c>
      <c r="F1380" s="1" t="s">
        <v>4590</v>
      </c>
      <c r="G1380" s="1" t="s">
        <v>236</v>
      </c>
      <c r="H1380" s="1" t="s">
        <v>4591</v>
      </c>
      <c r="I1380" s="1" t="s">
        <v>1267</v>
      </c>
      <c r="J1380" s="1" t="s">
        <v>597</v>
      </c>
      <c r="K1380" s="1" t="n">
        <v>39.99</v>
      </c>
      <c r="L1380" s="1" t="n">
        <v>3.8</v>
      </c>
      <c r="M1380" s="1" t="n">
        <v>29</v>
      </c>
      <c r="N1380" s="4" t="b">
        <f aca="false">TRUE()</f>
        <v>1</v>
      </c>
      <c r="P1380" s="4" t="b">
        <f aca="false">TRUE()</f>
        <v>1</v>
      </c>
      <c r="R1380" s="1" t="s">
        <v>4553</v>
      </c>
      <c r="S1380" s="1" t="s">
        <v>4592</v>
      </c>
      <c r="T1380" s="1" t="s">
        <v>222</v>
      </c>
      <c r="U1380" s="1" t="s">
        <v>2102</v>
      </c>
    </row>
    <row r="1381" customFormat="false" ht="48" hidden="false" customHeight="true" outlineLevel="0" collapsed="false">
      <c r="A1381" s="1" t="s">
        <v>41</v>
      </c>
      <c r="B1381" s="1" t="s">
        <v>3712</v>
      </c>
      <c r="C1381" s="1" t="s">
        <v>75</v>
      </c>
      <c r="D1381" s="1" t="s">
        <v>1259</v>
      </c>
      <c r="E1381" s="1" t="n">
        <v>14</v>
      </c>
      <c r="F1381" s="1" t="s">
        <v>1269</v>
      </c>
      <c r="G1381" s="1" t="s">
        <v>1261</v>
      </c>
      <c r="H1381" s="1" t="s">
        <v>4593</v>
      </c>
      <c r="I1381" s="1" t="s">
        <v>1267</v>
      </c>
      <c r="J1381" s="1" t="s">
        <v>597</v>
      </c>
      <c r="K1381" s="1" t="n">
        <v>11.18</v>
      </c>
      <c r="L1381" s="1" t="n">
        <v>4.4</v>
      </c>
      <c r="M1381" s="1" t="n">
        <v>1700</v>
      </c>
      <c r="N1381" s="4" t="b">
        <f aca="false">TRUE()</f>
        <v>1</v>
      </c>
      <c r="P1381" s="4" t="b">
        <f aca="false">TRUE()</f>
        <v>1</v>
      </c>
      <c r="R1381" s="1" t="s">
        <v>4553</v>
      </c>
      <c r="S1381" s="1" t="s">
        <v>4594</v>
      </c>
      <c r="T1381" s="1" t="s">
        <v>222</v>
      </c>
      <c r="U1381" s="1" t="s">
        <v>2102</v>
      </c>
    </row>
    <row r="1382" customFormat="false" ht="48" hidden="false" customHeight="true" outlineLevel="0" collapsed="false">
      <c r="A1382" s="1" t="s">
        <v>41</v>
      </c>
      <c r="B1382" s="1" t="s">
        <v>3712</v>
      </c>
      <c r="C1382" s="1" t="s">
        <v>75</v>
      </c>
      <c r="D1382" s="1" t="s">
        <v>1259</v>
      </c>
      <c r="E1382" s="1" t="n">
        <v>15</v>
      </c>
      <c r="F1382" s="1" t="s">
        <v>4595</v>
      </c>
      <c r="G1382" s="1" t="s">
        <v>1401</v>
      </c>
      <c r="H1382" s="1" t="s">
        <v>4596</v>
      </c>
      <c r="I1382" s="1" t="s">
        <v>218</v>
      </c>
      <c r="J1382" s="1" t="s">
        <v>597</v>
      </c>
      <c r="K1382" s="1" t="n">
        <v>22.49</v>
      </c>
      <c r="L1382" s="1" t="n">
        <v>4.5</v>
      </c>
      <c r="M1382" s="1" t="n">
        <v>1800</v>
      </c>
      <c r="N1382" s="4" t="b">
        <f aca="false">FALSE()</f>
        <v>0</v>
      </c>
      <c r="O1382" s="1" t="s">
        <v>4141</v>
      </c>
      <c r="P1382" s="4" t="b">
        <f aca="false">TRUE()</f>
        <v>1</v>
      </c>
      <c r="Q1382" s="1" t="s">
        <v>409</v>
      </c>
      <c r="R1382" s="1" t="s">
        <v>4553</v>
      </c>
      <c r="S1382" s="1" t="s">
        <v>4597</v>
      </c>
      <c r="T1382" s="1" t="s">
        <v>222</v>
      </c>
      <c r="U1382" s="1" t="s">
        <v>2102</v>
      </c>
    </row>
    <row r="1383" customFormat="false" ht="48" hidden="false" customHeight="true" outlineLevel="0" collapsed="false">
      <c r="A1383" s="1" t="s">
        <v>41</v>
      </c>
      <c r="B1383" s="1" t="s">
        <v>3712</v>
      </c>
      <c r="C1383" s="1" t="s">
        <v>75</v>
      </c>
      <c r="D1383" s="1" t="s">
        <v>1259</v>
      </c>
      <c r="E1383" s="1" t="n">
        <v>16</v>
      </c>
      <c r="F1383" s="1" t="s">
        <v>4598</v>
      </c>
      <c r="G1383" s="1" t="s">
        <v>236</v>
      </c>
      <c r="H1383" s="1" t="s">
        <v>4599</v>
      </c>
      <c r="I1383" s="1" t="s">
        <v>218</v>
      </c>
      <c r="J1383" s="1" t="s">
        <v>597</v>
      </c>
      <c r="K1383" s="1" t="n">
        <v>11.04</v>
      </c>
      <c r="L1383" s="1" t="n">
        <v>4.4</v>
      </c>
      <c r="M1383" s="1" t="n">
        <v>2000</v>
      </c>
      <c r="N1383" s="4" t="b">
        <f aca="false">FALSE()</f>
        <v>0</v>
      </c>
      <c r="P1383" s="4" t="b">
        <f aca="false">TRUE()</f>
        <v>1</v>
      </c>
      <c r="Q1383" s="1" t="s">
        <v>777</v>
      </c>
      <c r="R1383" s="1" t="s">
        <v>4553</v>
      </c>
      <c r="S1383" s="1" t="s">
        <v>4600</v>
      </c>
      <c r="T1383" s="1" t="s">
        <v>222</v>
      </c>
      <c r="U1383" s="1" t="s">
        <v>2102</v>
      </c>
    </row>
    <row r="1384" customFormat="false" ht="48" hidden="false" customHeight="true" outlineLevel="0" collapsed="false">
      <c r="A1384" s="1" t="s">
        <v>41</v>
      </c>
      <c r="B1384" s="1" t="s">
        <v>3712</v>
      </c>
      <c r="C1384" s="1" t="s">
        <v>75</v>
      </c>
      <c r="D1384" s="1" t="s">
        <v>1259</v>
      </c>
      <c r="E1384" s="1" t="n">
        <v>17</v>
      </c>
      <c r="F1384" s="1" t="s">
        <v>4601</v>
      </c>
      <c r="G1384" s="1" t="s">
        <v>236</v>
      </c>
      <c r="H1384" s="1" t="s">
        <v>4602</v>
      </c>
      <c r="I1384" s="1" t="s">
        <v>1267</v>
      </c>
      <c r="J1384" s="1" t="s">
        <v>597</v>
      </c>
      <c r="K1384" s="1" t="n">
        <v>9.99</v>
      </c>
      <c r="L1384" s="1" t="n">
        <v>4.3</v>
      </c>
      <c r="M1384" s="1" t="n">
        <v>1700</v>
      </c>
      <c r="N1384" s="4" t="b">
        <f aca="false">FALSE()</f>
        <v>0</v>
      </c>
      <c r="P1384" s="4" t="b">
        <f aca="false">TRUE()</f>
        <v>1</v>
      </c>
      <c r="R1384" s="1" t="s">
        <v>4553</v>
      </c>
      <c r="S1384" s="1" t="s">
        <v>4603</v>
      </c>
      <c r="T1384" s="1" t="s">
        <v>222</v>
      </c>
      <c r="U1384" s="1" t="s">
        <v>2102</v>
      </c>
    </row>
    <row r="1385" customFormat="false" ht="48" hidden="false" customHeight="true" outlineLevel="0" collapsed="false">
      <c r="A1385" s="1" t="s">
        <v>41</v>
      </c>
      <c r="B1385" s="1" t="s">
        <v>3712</v>
      </c>
      <c r="C1385" s="1" t="s">
        <v>75</v>
      </c>
      <c r="D1385" s="1" t="s">
        <v>1259</v>
      </c>
      <c r="E1385" s="1" t="n">
        <v>18</v>
      </c>
      <c r="F1385" s="1" t="s">
        <v>4604</v>
      </c>
      <c r="G1385" s="1" t="s">
        <v>236</v>
      </c>
      <c r="H1385" s="1" t="s">
        <v>4605</v>
      </c>
      <c r="I1385" s="1" t="s">
        <v>218</v>
      </c>
      <c r="J1385" s="1" t="s">
        <v>597</v>
      </c>
      <c r="K1385" s="1" t="n">
        <v>13.99</v>
      </c>
      <c r="L1385" s="1" t="n">
        <v>4.5</v>
      </c>
      <c r="M1385" s="1" t="n">
        <v>8600</v>
      </c>
      <c r="N1385" s="4" t="b">
        <f aca="false">FALSE()</f>
        <v>0</v>
      </c>
      <c r="P1385" s="4" t="b">
        <f aca="false">TRUE()</f>
        <v>1</v>
      </c>
      <c r="Q1385" s="1" t="s">
        <v>435</v>
      </c>
      <c r="R1385" s="1" t="s">
        <v>4553</v>
      </c>
      <c r="S1385" s="1" t="s">
        <v>4606</v>
      </c>
      <c r="T1385" s="1" t="s">
        <v>222</v>
      </c>
      <c r="U1385" s="1" t="s">
        <v>2102</v>
      </c>
    </row>
    <row r="1386" customFormat="false" ht="48" hidden="false" customHeight="true" outlineLevel="0" collapsed="false">
      <c r="A1386" s="1" t="s">
        <v>41</v>
      </c>
      <c r="B1386" s="1" t="s">
        <v>3712</v>
      </c>
      <c r="C1386" s="1" t="s">
        <v>75</v>
      </c>
      <c r="D1386" s="1" t="s">
        <v>1259</v>
      </c>
      <c r="E1386" s="1" t="n">
        <v>19</v>
      </c>
      <c r="F1386" s="1" t="s">
        <v>4607</v>
      </c>
      <c r="G1386" s="1" t="s">
        <v>236</v>
      </c>
      <c r="H1386" s="1" t="s">
        <v>4608</v>
      </c>
      <c r="I1386" s="1" t="s">
        <v>1267</v>
      </c>
      <c r="J1386" s="1" t="s">
        <v>597</v>
      </c>
      <c r="K1386" s="1" t="n">
        <v>20.99</v>
      </c>
      <c r="L1386" s="1" t="n">
        <v>4.8</v>
      </c>
      <c r="M1386" s="1" t="n">
        <v>34</v>
      </c>
      <c r="N1386" s="4" t="b">
        <f aca="false">TRUE()</f>
        <v>1</v>
      </c>
      <c r="P1386" s="4" t="b">
        <f aca="false">TRUE()</f>
        <v>1</v>
      </c>
      <c r="R1386" s="1" t="s">
        <v>4553</v>
      </c>
      <c r="S1386" s="1" t="s">
        <v>4609</v>
      </c>
      <c r="T1386" s="1" t="s">
        <v>222</v>
      </c>
      <c r="U1386" s="1" t="s">
        <v>2102</v>
      </c>
    </row>
    <row r="1387" customFormat="false" ht="48" hidden="false" customHeight="true" outlineLevel="0" collapsed="false">
      <c r="A1387" s="1" t="s">
        <v>41</v>
      </c>
      <c r="B1387" s="1" t="s">
        <v>3712</v>
      </c>
      <c r="C1387" s="1" t="s">
        <v>75</v>
      </c>
      <c r="D1387" s="1" t="s">
        <v>1259</v>
      </c>
      <c r="E1387" s="1" t="n">
        <v>20</v>
      </c>
      <c r="F1387" s="1" t="s">
        <v>4610</v>
      </c>
      <c r="G1387" s="1" t="s">
        <v>236</v>
      </c>
      <c r="H1387" s="1" t="s">
        <v>4611</v>
      </c>
      <c r="I1387" s="1" t="s">
        <v>1267</v>
      </c>
      <c r="J1387" s="1" t="s">
        <v>310</v>
      </c>
      <c r="K1387" s="1" t="n">
        <v>30.99</v>
      </c>
      <c r="L1387" s="1" t="n">
        <v>4.6</v>
      </c>
      <c r="M1387" s="1" t="n">
        <v>1400</v>
      </c>
      <c r="N1387" s="4" t="b">
        <f aca="false">TRUE()</f>
        <v>1</v>
      </c>
      <c r="O1387" s="1" t="s">
        <v>4612</v>
      </c>
      <c r="P1387" s="4" t="b">
        <f aca="false">TRUE()</f>
        <v>1</v>
      </c>
      <c r="Q1387" s="1" t="s">
        <v>711</v>
      </c>
      <c r="R1387" s="1" t="s">
        <v>4553</v>
      </c>
      <c r="S1387" s="1" t="s">
        <v>4613</v>
      </c>
      <c r="T1387" s="1" t="s">
        <v>222</v>
      </c>
      <c r="U1387" s="1" t="s">
        <v>2102</v>
      </c>
    </row>
    <row r="1388" customFormat="false" ht="48" hidden="false" customHeight="true" outlineLevel="0" collapsed="false">
      <c r="A1388" s="1" t="s">
        <v>41</v>
      </c>
      <c r="B1388" s="1" t="s">
        <v>3712</v>
      </c>
      <c r="C1388" s="1" t="s">
        <v>75</v>
      </c>
      <c r="D1388" s="1" t="s">
        <v>1259</v>
      </c>
      <c r="E1388" s="1" t="n">
        <v>21</v>
      </c>
      <c r="F1388" s="1" t="s">
        <v>4614</v>
      </c>
      <c r="G1388" s="1" t="s">
        <v>236</v>
      </c>
      <c r="H1388" s="1" t="s">
        <v>4615</v>
      </c>
      <c r="I1388" s="1" t="s">
        <v>1267</v>
      </c>
      <c r="J1388" s="1" t="s">
        <v>597</v>
      </c>
      <c r="K1388" s="1" t="n">
        <v>23.99</v>
      </c>
      <c r="L1388" s="1" t="n">
        <v>4.4</v>
      </c>
      <c r="M1388" s="1" t="n">
        <v>90</v>
      </c>
      <c r="N1388" s="4" t="b">
        <f aca="false">TRUE()</f>
        <v>1</v>
      </c>
      <c r="O1388" s="1" t="s">
        <v>4616</v>
      </c>
      <c r="P1388" s="4" t="b">
        <f aca="false">TRUE()</f>
        <v>1</v>
      </c>
      <c r="R1388" s="1" t="s">
        <v>4553</v>
      </c>
      <c r="S1388" s="1" t="s">
        <v>4617</v>
      </c>
      <c r="T1388" s="1" t="s">
        <v>222</v>
      </c>
      <c r="U1388" s="1" t="s">
        <v>2102</v>
      </c>
    </row>
    <row r="1389" customFormat="false" ht="48" hidden="false" customHeight="true" outlineLevel="0" collapsed="false">
      <c r="A1389" s="1" t="s">
        <v>41</v>
      </c>
      <c r="B1389" s="1" t="s">
        <v>3712</v>
      </c>
      <c r="C1389" s="1" t="s">
        <v>75</v>
      </c>
      <c r="D1389" s="1" t="s">
        <v>1259</v>
      </c>
      <c r="E1389" s="1" t="n">
        <v>22</v>
      </c>
      <c r="F1389" s="1" t="s">
        <v>4618</v>
      </c>
      <c r="G1389" s="1" t="s">
        <v>979</v>
      </c>
      <c r="H1389" s="1" t="s">
        <v>4619</v>
      </c>
      <c r="I1389" s="1" t="s">
        <v>231</v>
      </c>
      <c r="J1389" s="1" t="s">
        <v>689</v>
      </c>
      <c r="K1389" s="1" t="n">
        <v>19.99</v>
      </c>
      <c r="L1389" s="1" t="n">
        <v>4.4</v>
      </c>
      <c r="M1389" s="1" t="n">
        <v>1900</v>
      </c>
      <c r="N1389" s="4" t="b">
        <f aca="false">TRUE()</f>
        <v>1</v>
      </c>
      <c r="P1389" s="4" t="b">
        <f aca="false">TRUE()</f>
        <v>1</v>
      </c>
      <c r="Q1389" s="1" t="s">
        <v>233</v>
      </c>
      <c r="R1389" s="1" t="s">
        <v>4553</v>
      </c>
      <c r="S1389" s="1" t="s">
        <v>4620</v>
      </c>
      <c r="T1389" s="1" t="s">
        <v>222</v>
      </c>
      <c r="U1389" s="1" t="s">
        <v>2102</v>
      </c>
    </row>
    <row r="1390" customFormat="false" ht="48" hidden="false" customHeight="true" outlineLevel="0" collapsed="false">
      <c r="A1390" s="1" t="s">
        <v>41</v>
      </c>
      <c r="B1390" s="1" t="s">
        <v>3712</v>
      </c>
      <c r="C1390" s="1" t="s">
        <v>75</v>
      </c>
      <c r="D1390" s="1" t="s">
        <v>1259</v>
      </c>
      <c r="E1390" s="1" t="n">
        <v>24</v>
      </c>
      <c r="F1390" s="1" t="s">
        <v>4621</v>
      </c>
      <c r="G1390" s="1" t="s">
        <v>236</v>
      </c>
      <c r="H1390" s="1" t="s">
        <v>4622</v>
      </c>
      <c r="I1390" s="1" t="s">
        <v>218</v>
      </c>
      <c r="J1390" s="1" t="s">
        <v>597</v>
      </c>
      <c r="K1390" s="1" t="n">
        <v>22.99</v>
      </c>
      <c r="L1390" s="1" t="n">
        <v>4.5</v>
      </c>
      <c r="M1390" s="1" t="n">
        <v>528</v>
      </c>
      <c r="N1390" s="4" t="b">
        <f aca="false">FALSE()</f>
        <v>0</v>
      </c>
      <c r="P1390" s="4" t="b">
        <f aca="false">TRUE()</f>
        <v>1</v>
      </c>
      <c r="Q1390" s="1" t="s">
        <v>451</v>
      </c>
      <c r="R1390" s="1" t="s">
        <v>4553</v>
      </c>
      <c r="S1390" s="1" t="s">
        <v>4623</v>
      </c>
      <c r="T1390" s="1" t="s">
        <v>222</v>
      </c>
      <c r="U1390" s="1" t="s">
        <v>2102</v>
      </c>
    </row>
    <row r="1391" customFormat="false" ht="48" hidden="false" customHeight="true" outlineLevel="0" collapsed="false">
      <c r="A1391" s="1" t="s">
        <v>41</v>
      </c>
      <c r="B1391" s="1" t="s">
        <v>3712</v>
      </c>
      <c r="C1391" s="1" t="s">
        <v>75</v>
      </c>
      <c r="D1391" s="1" t="s">
        <v>1259</v>
      </c>
      <c r="E1391" s="1" t="n">
        <v>25</v>
      </c>
      <c r="F1391" s="1" t="s">
        <v>3085</v>
      </c>
      <c r="G1391" s="1" t="s">
        <v>236</v>
      </c>
      <c r="H1391" s="1" t="s">
        <v>4624</v>
      </c>
      <c r="I1391" s="1" t="s">
        <v>218</v>
      </c>
      <c r="J1391" s="1" t="s">
        <v>597</v>
      </c>
      <c r="K1391" s="1" t="n">
        <v>15.97</v>
      </c>
      <c r="L1391" s="1" t="n">
        <v>4.4</v>
      </c>
      <c r="M1391" s="1" t="n">
        <v>1700</v>
      </c>
      <c r="N1391" s="4" t="b">
        <f aca="false">FALSE()</f>
        <v>0</v>
      </c>
      <c r="P1391" s="4" t="b">
        <f aca="false">TRUE()</f>
        <v>1</v>
      </c>
      <c r="Q1391" s="1" t="s">
        <v>435</v>
      </c>
      <c r="R1391" s="1" t="s">
        <v>4553</v>
      </c>
      <c r="S1391" s="1" t="s">
        <v>4625</v>
      </c>
      <c r="T1391" s="1" t="s">
        <v>222</v>
      </c>
      <c r="U1391" s="1" t="s">
        <v>2102</v>
      </c>
    </row>
    <row r="1392" customFormat="false" ht="48" hidden="false" customHeight="true" outlineLevel="0" collapsed="false">
      <c r="A1392" s="1" t="s">
        <v>41</v>
      </c>
      <c r="B1392" s="1" t="s">
        <v>3712</v>
      </c>
      <c r="C1392" s="1" t="s">
        <v>75</v>
      </c>
      <c r="D1392" s="1" t="s">
        <v>1259</v>
      </c>
      <c r="E1392" s="1" t="n">
        <v>26</v>
      </c>
      <c r="F1392" s="1" t="s">
        <v>4626</v>
      </c>
      <c r="G1392" s="1" t="s">
        <v>677</v>
      </c>
      <c r="H1392" s="1" t="s">
        <v>4627</v>
      </c>
      <c r="I1392" s="1" t="s">
        <v>218</v>
      </c>
      <c r="J1392" s="1" t="s">
        <v>597</v>
      </c>
      <c r="K1392" s="1" t="n">
        <v>17.99</v>
      </c>
      <c r="L1392" s="1" t="n">
        <v>4.4</v>
      </c>
      <c r="M1392" s="1" t="n">
        <v>1200</v>
      </c>
      <c r="N1392" s="4" t="b">
        <f aca="false">FALSE()</f>
        <v>0</v>
      </c>
      <c r="O1392" s="1" t="s">
        <v>776</v>
      </c>
      <c r="P1392" s="4" t="b">
        <f aca="false">TRUE()</f>
        <v>1</v>
      </c>
      <c r="Q1392" s="1" t="s">
        <v>711</v>
      </c>
      <c r="R1392" s="1" t="s">
        <v>4553</v>
      </c>
      <c r="S1392" s="1" t="s">
        <v>4628</v>
      </c>
      <c r="T1392" s="1" t="s">
        <v>222</v>
      </c>
      <c r="U1392" s="1" t="s">
        <v>2102</v>
      </c>
    </row>
    <row r="1393" customFormat="false" ht="48" hidden="false" customHeight="true" outlineLevel="0" collapsed="false">
      <c r="A1393" s="1" t="s">
        <v>41</v>
      </c>
      <c r="B1393" s="1" t="s">
        <v>3712</v>
      </c>
      <c r="C1393" s="1" t="s">
        <v>75</v>
      </c>
      <c r="D1393" s="1" t="s">
        <v>1259</v>
      </c>
      <c r="E1393" s="1" t="n">
        <v>27</v>
      </c>
      <c r="F1393" s="1" t="s">
        <v>3109</v>
      </c>
      <c r="G1393" s="1" t="s">
        <v>236</v>
      </c>
      <c r="H1393" s="1" t="s">
        <v>4629</v>
      </c>
      <c r="I1393" s="1" t="s">
        <v>1267</v>
      </c>
      <c r="J1393" s="1" t="s">
        <v>597</v>
      </c>
      <c r="K1393" s="1" t="n">
        <v>21.99</v>
      </c>
      <c r="L1393" s="1" t="n">
        <v>4.4</v>
      </c>
      <c r="M1393" s="1" t="n">
        <v>2400</v>
      </c>
      <c r="N1393" s="4" t="b">
        <f aca="false">FALSE()</f>
        <v>0</v>
      </c>
      <c r="P1393" s="4" t="b">
        <f aca="false">TRUE()</f>
        <v>1</v>
      </c>
      <c r="Q1393" s="1" t="s">
        <v>423</v>
      </c>
      <c r="R1393" s="1" t="s">
        <v>4553</v>
      </c>
      <c r="S1393" s="1" t="s">
        <v>4630</v>
      </c>
      <c r="T1393" s="1" t="s">
        <v>222</v>
      </c>
      <c r="U1393" s="1" t="s">
        <v>2102</v>
      </c>
    </row>
    <row r="1394" customFormat="false" ht="48" hidden="false" customHeight="true" outlineLevel="0" collapsed="false">
      <c r="A1394" s="1" t="s">
        <v>41</v>
      </c>
      <c r="B1394" s="1" t="s">
        <v>3712</v>
      </c>
      <c r="C1394" s="1" t="s">
        <v>75</v>
      </c>
      <c r="D1394" s="1" t="s">
        <v>1259</v>
      </c>
      <c r="E1394" s="1" t="n">
        <v>28</v>
      </c>
      <c r="F1394" s="1" t="s">
        <v>1386</v>
      </c>
      <c r="G1394" s="1" t="s">
        <v>236</v>
      </c>
      <c r="H1394" s="1" t="s">
        <v>4631</v>
      </c>
      <c r="I1394" s="1" t="s">
        <v>1267</v>
      </c>
      <c r="J1394" s="1" t="s">
        <v>597</v>
      </c>
      <c r="K1394" s="1" t="n">
        <v>19.99</v>
      </c>
      <c r="L1394" s="1" t="n">
        <v>4.6</v>
      </c>
      <c r="M1394" s="1" t="n">
        <v>623</v>
      </c>
      <c r="N1394" s="4" t="b">
        <f aca="false">FALSE()</f>
        <v>0</v>
      </c>
      <c r="P1394" s="4" t="b">
        <f aca="false">TRUE()</f>
        <v>1</v>
      </c>
      <c r="Q1394" s="1" t="s">
        <v>251</v>
      </c>
      <c r="R1394" s="1" t="s">
        <v>4553</v>
      </c>
      <c r="S1394" s="1" t="s">
        <v>4632</v>
      </c>
      <c r="T1394" s="1" t="s">
        <v>222</v>
      </c>
      <c r="U1394" s="1" t="s">
        <v>2102</v>
      </c>
    </row>
    <row r="1395" customFormat="false" ht="48" hidden="false" customHeight="true" outlineLevel="0" collapsed="false">
      <c r="A1395" s="1" t="s">
        <v>41</v>
      </c>
      <c r="B1395" s="1" t="s">
        <v>3712</v>
      </c>
      <c r="C1395" s="1" t="s">
        <v>75</v>
      </c>
      <c r="D1395" s="1" t="s">
        <v>1259</v>
      </c>
      <c r="E1395" s="1" t="n">
        <v>29</v>
      </c>
      <c r="F1395" s="1" t="s">
        <v>4633</v>
      </c>
      <c r="G1395" s="1" t="s">
        <v>677</v>
      </c>
      <c r="H1395" s="1" t="s">
        <v>4634</v>
      </c>
      <c r="I1395" s="1" t="s">
        <v>218</v>
      </c>
      <c r="J1395" s="1" t="s">
        <v>597</v>
      </c>
      <c r="K1395" s="1" t="n">
        <v>19.54</v>
      </c>
      <c r="L1395" s="1" t="n">
        <v>4.5</v>
      </c>
      <c r="M1395" s="1" t="n">
        <v>5500</v>
      </c>
      <c r="N1395" s="4" t="b">
        <f aca="false">FALSE()</f>
        <v>0</v>
      </c>
      <c r="P1395" s="4" t="b">
        <f aca="false">TRUE()</f>
        <v>1</v>
      </c>
      <c r="Q1395" s="1" t="s">
        <v>711</v>
      </c>
      <c r="R1395" s="1" t="s">
        <v>4553</v>
      </c>
      <c r="S1395" s="1" t="s">
        <v>4635</v>
      </c>
      <c r="T1395" s="1" t="s">
        <v>222</v>
      </c>
      <c r="U1395" s="1" t="s">
        <v>2102</v>
      </c>
    </row>
    <row r="1396" customFormat="false" ht="48" hidden="false" customHeight="true" outlineLevel="0" collapsed="false">
      <c r="A1396" s="1" t="s">
        <v>41</v>
      </c>
      <c r="B1396" s="1" t="s">
        <v>3712</v>
      </c>
      <c r="C1396" s="1" t="s">
        <v>75</v>
      </c>
      <c r="D1396" s="1" t="s">
        <v>1259</v>
      </c>
      <c r="E1396" s="1" t="n">
        <v>30</v>
      </c>
      <c r="F1396" s="1" t="s">
        <v>4636</v>
      </c>
      <c r="G1396" s="1" t="s">
        <v>236</v>
      </c>
      <c r="H1396" s="1" t="s">
        <v>4637</v>
      </c>
      <c r="I1396" s="1" t="s">
        <v>1267</v>
      </c>
      <c r="J1396" s="1" t="s">
        <v>597</v>
      </c>
      <c r="K1396" s="1" t="n">
        <v>16.19</v>
      </c>
      <c r="L1396" s="1" t="n">
        <v>4.5</v>
      </c>
      <c r="M1396" s="1" t="n">
        <v>1400</v>
      </c>
      <c r="N1396" s="4" t="b">
        <f aca="false">FALSE()</f>
        <v>0</v>
      </c>
      <c r="O1396" s="1" t="s">
        <v>3725</v>
      </c>
      <c r="P1396" s="4" t="b">
        <f aca="false">TRUE()</f>
        <v>1</v>
      </c>
      <c r="Q1396" s="1" t="s">
        <v>251</v>
      </c>
      <c r="R1396" s="1" t="s">
        <v>4553</v>
      </c>
      <c r="S1396" s="1" t="s">
        <v>4638</v>
      </c>
      <c r="T1396" s="1" t="s">
        <v>222</v>
      </c>
      <c r="U1396" s="1" t="s">
        <v>2102</v>
      </c>
    </row>
    <row r="1397" customFormat="false" ht="48" hidden="false" customHeight="true" outlineLevel="0" collapsed="false">
      <c r="A1397" s="1" t="s">
        <v>41</v>
      </c>
      <c r="B1397" s="1" t="s">
        <v>3712</v>
      </c>
      <c r="C1397" s="1" t="s">
        <v>75</v>
      </c>
      <c r="D1397" s="1" t="s">
        <v>1259</v>
      </c>
      <c r="E1397" s="1" t="n">
        <v>31</v>
      </c>
      <c r="F1397" s="1" t="s">
        <v>4639</v>
      </c>
      <c r="G1397" s="1" t="s">
        <v>677</v>
      </c>
      <c r="H1397" s="1" t="s">
        <v>4640</v>
      </c>
      <c r="I1397" s="1" t="s">
        <v>218</v>
      </c>
      <c r="J1397" s="1" t="s">
        <v>310</v>
      </c>
      <c r="K1397" s="1" t="n">
        <v>29.99</v>
      </c>
      <c r="L1397" s="1" t="n">
        <v>4.5</v>
      </c>
      <c r="M1397" s="1" t="n">
        <v>1300</v>
      </c>
      <c r="N1397" s="4" t="b">
        <f aca="false">FALSE()</f>
        <v>0</v>
      </c>
      <c r="O1397" s="1" t="s">
        <v>1345</v>
      </c>
      <c r="P1397" s="4" t="b">
        <f aca="false">TRUE()</f>
        <v>1</v>
      </c>
      <c r="Q1397" s="1" t="s">
        <v>777</v>
      </c>
      <c r="R1397" s="1" t="s">
        <v>4553</v>
      </c>
      <c r="S1397" s="1" t="s">
        <v>4641</v>
      </c>
      <c r="T1397" s="1" t="s">
        <v>222</v>
      </c>
      <c r="U1397" s="1" t="s">
        <v>2102</v>
      </c>
    </row>
    <row r="1398" customFormat="false" ht="48" hidden="false" customHeight="true" outlineLevel="0" collapsed="false">
      <c r="A1398" s="1" t="s">
        <v>41</v>
      </c>
      <c r="B1398" s="1" t="s">
        <v>3712</v>
      </c>
      <c r="C1398" s="1" t="s">
        <v>75</v>
      </c>
      <c r="D1398" s="1" t="s">
        <v>1259</v>
      </c>
      <c r="E1398" s="1" t="n">
        <v>32</v>
      </c>
      <c r="F1398" s="1" t="s">
        <v>4642</v>
      </c>
      <c r="G1398" s="1" t="s">
        <v>236</v>
      </c>
      <c r="H1398" s="1" t="s">
        <v>4643</v>
      </c>
      <c r="I1398" s="1" t="s">
        <v>1267</v>
      </c>
      <c r="J1398" s="1" t="s">
        <v>689</v>
      </c>
      <c r="K1398" s="1" t="n">
        <v>9.49</v>
      </c>
      <c r="L1398" s="1" t="n">
        <v>3.9</v>
      </c>
      <c r="M1398" s="1" t="n">
        <v>341</v>
      </c>
      <c r="N1398" s="4" t="b">
        <f aca="false">FALSE()</f>
        <v>0</v>
      </c>
      <c r="O1398" s="1" t="s">
        <v>4644</v>
      </c>
      <c r="P1398" s="4" t="b">
        <f aca="false">TRUE()</f>
        <v>1</v>
      </c>
      <c r="Q1398" s="1" t="s">
        <v>233</v>
      </c>
      <c r="R1398" s="1" t="s">
        <v>4553</v>
      </c>
      <c r="S1398" s="1" t="s">
        <v>4645</v>
      </c>
      <c r="T1398" s="1" t="s">
        <v>222</v>
      </c>
      <c r="U1398" s="1" t="s">
        <v>2102</v>
      </c>
    </row>
    <row r="1399" customFormat="false" ht="48" hidden="false" customHeight="true" outlineLevel="0" collapsed="false">
      <c r="A1399" s="1" t="s">
        <v>41</v>
      </c>
      <c r="B1399" s="1" t="s">
        <v>3712</v>
      </c>
      <c r="C1399" s="1" t="s">
        <v>75</v>
      </c>
      <c r="D1399" s="1" t="s">
        <v>1259</v>
      </c>
      <c r="E1399" s="1" t="n">
        <v>33</v>
      </c>
      <c r="F1399" s="1" t="s">
        <v>4646</v>
      </c>
      <c r="G1399" s="1" t="s">
        <v>677</v>
      </c>
      <c r="H1399" s="1" t="s">
        <v>4647</v>
      </c>
      <c r="I1399" s="1" t="s">
        <v>1267</v>
      </c>
      <c r="J1399" s="1" t="s">
        <v>310</v>
      </c>
      <c r="K1399" s="1" t="n">
        <v>26.99</v>
      </c>
      <c r="L1399" s="1" t="n">
        <v>4.6</v>
      </c>
      <c r="M1399" s="1" t="n">
        <v>1500</v>
      </c>
      <c r="N1399" s="4" t="b">
        <f aca="false">FALSE()</f>
        <v>0</v>
      </c>
      <c r="O1399" s="1" t="s">
        <v>1345</v>
      </c>
      <c r="P1399" s="4" t="b">
        <f aca="false">TRUE()</f>
        <v>1</v>
      </c>
      <c r="Q1399" s="1" t="s">
        <v>439</v>
      </c>
      <c r="R1399" s="1" t="s">
        <v>4553</v>
      </c>
      <c r="S1399" s="1" t="s">
        <v>4648</v>
      </c>
      <c r="T1399" s="1" t="s">
        <v>222</v>
      </c>
      <c r="U1399" s="1" t="s">
        <v>2102</v>
      </c>
    </row>
    <row r="1400" customFormat="false" ht="48" hidden="false" customHeight="true" outlineLevel="0" collapsed="false">
      <c r="A1400" s="1" t="s">
        <v>41</v>
      </c>
      <c r="B1400" s="1" t="s">
        <v>3712</v>
      </c>
      <c r="C1400" s="1" t="s">
        <v>75</v>
      </c>
      <c r="D1400" s="1" t="s">
        <v>1259</v>
      </c>
      <c r="E1400" s="1" t="n">
        <v>34</v>
      </c>
      <c r="F1400" s="1" t="s">
        <v>4649</v>
      </c>
      <c r="G1400" s="1" t="s">
        <v>236</v>
      </c>
      <c r="H1400" s="1" t="s">
        <v>4650</v>
      </c>
      <c r="I1400" s="1" t="s">
        <v>218</v>
      </c>
      <c r="J1400" s="1" t="s">
        <v>310</v>
      </c>
      <c r="K1400" s="1" t="n">
        <v>24.49</v>
      </c>
      <c r="L1400" s="1" t="n">
        <v>4.8</v>
      </c>
      <c r="M1400" s="1" t="n">
        <v>4500</v>
      </c>
      <c r="N1400" s="4" t="b">
        <f aca="false">FALSE()</f>
        <v>0</v>
      </c>
      <c r="P1400" s="4" t="b">
        <f aca="false">TRUE()</f>
        <v>1</v>
      </c>
      <c r="Q1400" s="1" t="s">
        <v>3863</v>
      </c>
      <c r="R1400" s="1" t="s">
        <v>4553</v>
      </c>
      <c r="S1400" s="1" t="s">
        <v>4651</v>
      </c>
      <c r="T1400" s="1" t="s">
        <v>222</v>
      </c>
      <c r="U1400" s="1" t="s">
        <v>2102</v>
      </c>
    </row>
    <row r="1401" customFormat="false" ht="48" hidden="false" customHeight="true" outlineLevel="0" collapsed="false">
      <c r="A1401" s="1" t="s">
        <v>41</v>
      </c>
      <c r="B1401" s="1" t="s">
        <v>3712</v>
      </c>
      <c r="C1401" s="1" t="s">
        <v>75</v>
      </c>
      <c r="D1401" s="1" t="s">
        <v>1259</v>
      </c>
      <c r="E1401" s="1" t="n">
        <v>35</v>
      </c>
      <c r="F1401" s="1" t="s">
        <v>1289</v>
      </c>
      <c r="G1401" s="1" t="s">
        <v>236</v>
      </c>
      <c r="H1401" s="1" t="s">
        <v>4652</v>
      </c>
      <c r="I1401" s="1" t="s">
        <v>1267</v>
      </c>
      <c r="J1401" s="1" t="s">
        <v>597</v>
      </c>
      <c r="K1401" s="1" t="n">
        <v>10.65</v>
      </c>
      <c r="L1401" s="1" t="n">
        <v>4.4</v>
      </c>
      <c r="M1401" s="1" t="n">
        <v>4200</v>
      </c>
      <c r="N1401" s="4" t="b">
        <f aca="false">FALSE()</f>
        <v>0</v>
      </c>
      <c r="P1401" s="4" t="b">
        <f aca="false">TRUE()</f>
        <v>1</v>
      </c>
      <c r="R1401" s="1" t="s">
        <v>4553</v>
      </c>
      <c r="S1401" s="1" t="s">
        <v>4653</v>
      </c>
      <c r="T1401" s="1" t="s">
        <v>222</v>
      </c>
      <c r="U1401" s="1" t="s">
        <v>2102</v>
      </c>
    </row>
    <row r="1402" customFormat="false" ht="48" hidden="false" customHeight="true" outlineLevel="0" collapsed="false">
      <c r="A1402" s="1" t="s">
        <v>41</v>
      </c>
      <c r="B1402" s="1" t="s">
        <v>3712</v>
      </c>
      <c r="C1402" s="1" t="s">
        <v>75</v>
      </c>
      <c r="D1402" s="1" t="s">
        <v>1259</v>
      </c>
      <c r="E1402" s="1" t="n">
        <v>36</v>
      </c>
      <c r="F1402" s="1" t="s">
        <v>4654</v>
      </c>
      <c r="G1402" s="1" t="s">
        <v>677</v>
      </c>
      <c r="H1402" s="1" t="s">
        <v>4655</v>
      </c>
      <c r="I1402" s="1" t="s">
        <v>1267</v>
      </c>
      <c r="J1402" s="1" t="s">
        <v>597</v>
      </c>
      <c r="K1402" s="1" t="n">
        <v>18.99</v>
      </c>
      <c r="L1402" s="1" t="n">
        <v>4.6</v>
      </c>
      <c r="M1402" s="1" t="n">
        <v>21200</v>
      </c>
      <c r="N1402" s="4" t="b">
        <f aca="false">FALSE()</f>
        <v>0</v>
      </c>
      <c r="O1402" s="1" t="s">
        <v>4656</v>
      </c>
      <c r="P1402" s="4" t="b">
        <f aca="false">TRUE()</f>
        <v>1</v>
      </c>
      <c r="R1402" s="1" t="s">
        <v>4553</v>
      </c>
      <c r="S1402" s="1" t="s">
        <v>4657</v>
      </c>
      <c r="T1402" s="1" t="s">
        <v>222</v>
      </c>
      <c r="U1402" s="1" t="s">
        <v>2102</v>
      </c>
    </row>
    <row r="1403" customFormat="false" ht="48" hidden="false" customHeight="true" outlineLevel="0" collapsed="false">
      <c r="A1403" s="1" t="s">
        <v>41</v>
      </c>
      <c r="B1403" s="1" t="s">
        <v>3712</v>
      </c>
      <c r="C1403" s="1" t="s">
        <v>75</v>
      </c>
      <c r="D1403" s="1" t="s">
        <v>1259</v>
      </c>
      <c r="E1403" s="1" t="n">
        <v>37</v>
      </c>
      <c r="F1403" s="1" t="s">
        <v>4658</v>
      </c>
      <c r="G1403" s="1" t="s">
        <v>236</v>
      </c>
      <c r="H1403" s="1" t="s">
        <v>4659</v>
      </c>
      <c r="I1403" s="1" t="s">
        <v>231</v>
      </c>
      <c r="J1403" s="1" t="s">
        <v>597</v>
      </c>
      <c r="K1403" s="1" t="n">
        <v>14.99</v>
      </c>
      <c r="L1403" s="1" t="n">
        <v>4.5</v>
      </c>
      <c r="M1403" s="1" t="n">
        <v>8600</v>
      </c>
      <c r="N1403" s="4" t="b">
        <f aca="false">FALSE()</f>
        <v>0</v>
      </c>
      <c r="O1403" s="1" t="s">
        <v>4566</v>
      </c>
      <c r="P1403" s="4" t="b">
        <f aca="false">TRUE()</f>
        <v>1</v>
      </c>
      <c r="Q1403" s="1" t="s">
        <v>711</v>
      </c>
      <c r="R1403" s="1" t="s">
        <v>4553</v>
      </c>
      <c r="S1403" s="1" t="s">
        <v>4660</v>
      </c>
      <c r="T1403" s="1" t="s">
        <v>222</v>
      </c>
      <c r="U1403" s="1" t="s">
        <v>2102</v>
      </c>
    </row>
    <row r="1404" customFormat="false" ht="48" hidden="false" customHeight="true" outlineLevel="0" collapsed="false">
      <c r="A1404" s="1" t="s">
        <v>41</v>
      </c>
      <c r="B1404" s="1" t="s">
        <v>3712</v>
      </c>
      <c r="C1404" s="1" t="s">
        <v>75</v>
      </c>
      <c r="D1404" s="1" t="s">
        <v>1259</v>
      </c>
      <c r="E1404" s="1" t="n">
        <v>38</v>
      </c>
      <c r="F1404" s="1" t="s">
        <v>4661</v>
      </c>
      <c r="G1404" s="1" t="s">
        <v>236</v>
      </c>
      <c r="H1404" s="1" t="s">
        <v>4662</v>
      </c>
      <c r="I1404" s="1" t="s">
        <v>1267</v>
      </c>
      <c r="J1404" s="1" t="s">
        <v>597</v>
      </c>
      <c r="K1404" s="1" t="n">
        <v>17.2</v>
      </c>
      <c r="L1404" s="1" t="n">
        <v>4.5</v>
      </c>
      <c r="M1404" s="1" t="n">
        <v>944</v>
      </c>
      <c r="N1404" s="4" t="b">
        <f aca="false">FALSE()</f>
        <v>0</v>
      </c>
      <c r="P1404" s="4" t="b">
        <f aca="false">TRUE()</f>
        <v>1</v>
      </c>
      <c r="Q1404" s="1" t="s">
        <v>251</v>
      </c>
      <c r="R1404" s="1" t="s">
        <v>4553</v>
      </c>
      <c r="S1404" s="1" t="s">
        <v>4663</v>
      </c>
      <c r="T1404" s="1" t="s">
        <v>222</v>
      </c>
      <c r="U1404" s="1" t="s">
        <v>2102</v>
      </c>
    </row>
    <row r="1405" customFormat="false" ht="48" hidden="false" customHeight="true" outlineLevel="0" collapsed="false">
      <c r="A1405" s="1" t="s">
        <v>41</v>
      </c>
      <c r="B1405" s="1" t="s">
        <v>3712</v>
      </c>
      <c r="C1405" s="1" t="s">
        <v>75</v>
      </c>
      <c r="D1405" s="1" t="s">
        <v>1259</v>
      </c>
      <c r="E1405" s="1" t="n">
        <v>39</v>
      </c>
      <c r="F1405" s="1" t="s">
        <v>4664</v>
      </c>
      <c r="G1405" s="1" t="s">
        <v>979</v>
      </c>
      <c r="H1405" s="1" t="s">
        <v>4665</v>
      </c>
      <c r="I1405" s="1" t="s">
        <v>1267</v>
      </c>
      <c r="J1405" s="1" t="s">
        <v>689</v>
      </c>
      <c r="K1405" s="1" t="n">
        <v>16.99</v>
      </c>
      <c r="L1405" s="1" t="n">
        <v>4.4</v>
      </c>
      <c r="M1405" s="1" t="n">
        <v>1900</v>
      </c>
      <c r="N1405" s="4" t="b">
        <f aca="false">FALSE()</f>
        <v>0</v>
      </c>
      <c r="P1405" s="4" t="b">
        <f aca="false">TRUE()</f>
        <v>1</v>
      </c>
      <c r="Q1405" s="1" t="s">
        <v>439</v>
      </c>
      <c r="R1405" s="1" t="s">
        <v>4553</v>
      </c>
      <c r="S1405" s="1" t="s">
        <v>4666</v>
      </c>
      <c r="T1405" s="1" t="s">
        <v>222</v>
      </c>
      <c r="U1405" s="1" t="s">
        <v>2102</v>
      </c>
    </row>
    <row r="1406" customFormat="false" ht="48" hidden="false" customHeight="true" outlineLevel="0" collapsed="false">
      <c r="A1406" s="1" t="s">
        <v>41</v>
      </c>
      <c r="B1406" s="1" t="s">
        <v>3712</v>
      </c>
      <c r="C1406" s="1" t="s">
        <v>75</v>
      </c>
      <c r="D1406" s="1" t="s">
        <v>1259</v>
      </c>
      <c r="E1406" s="1" t="n">
        <v>40</v>
      </c>
      <c r="F1406" s="1" t="s">
        <v>4667</v>
      </c>
      <c r="G1406" s="1" t="s">
        <v>236</v>
      </c>
      <c r="H1406" s="1" t="s">
        <v>4668</v>
      </c>
      <c r="I1406" s="1" t="s">
        <v>218</v>
      </c>
      <c r="J1406" s="1" t="s">
        <v>310</v>
      </c>
      <c r="K1406" s="1" t="n">
        <v>18.99</v>
      </c>
      <c r="L1406" s="1" t="n">
        <v>4.6</v>
      </c>
      <c r="M1406" s="1" t="n">
        <v>60800</v>
      </c>
      <c r="N1406" s="4" t="b">
        <f aca="false">FALSE()</f>
        <v>0</v>
      </c>
      <c r="O1406" s="1" t="s">
        <v>765</v>
      </c>
      <c r="P1406" s="4" t="b">
        <f aca="false">TRUE()</f>
        <v>1</v>
      </c>
      <c r="Q1406" s="1" t="s">
        <v>711</v>
      </c>
      <c r="R1406" s="1" t="s">
        <v>4553</v>
      </c>
      <c r="S1406" s="1" t="s">
        <v>4669</v>
      </c>
      <c r="T1406" s="1" t="s">
        <v>222</v>
      </c>
      <c r="U1406" s="1" t="s">
        <v>2102</v>
      </c>
    </row>
    <row r="1407" customFormat="false" ht="48" hidden="false" customHeight="true" outlineLevel="0" collapsed="false">
      <c r="A1407" s="1" t="s">
        <v>41</v>
      </c>
      <c r="B1407" s="1" t="s">
        <v>3712</v>
      </c>
      <c r="C1407" s="1" t="s">
        <v>75</v>
      </c>
      <c r="D1407" s="1" t="s">
        <v>1259</v>
      </c>
      <c r="E1407" s="1" t="n">
        <v>41</v>
      </c>
      <c r="F1407" s="1" t="s">
        <v>4670</v>
      </c>
      <c r="G1407" s="1" t="s">
        <v>236</v>
      </c>
      <c r="H1407" s="1" t="s">
        <v>4671</v>
      </c>
      <c r="I1407" s="1" t="s">
        <v>231</v>
      </c>
      <c r="J1407" s="1" t="s">
        <v>584</v>
      </c>
      <c r="K1407" s="1" t="n">
        <v>25.19</v>
      </c>
      <c r="L1407" s="1" t="n">
        <v>4.3</v>
      </c>
      <c r="M1407" s="1" t="n">
        <v>204</v>
      </c>
      <c r="N1407" s="4" t="b">
        <f aca="false">FALSE()</f>
        <v>0</v>
      </c>
      <c r="P1407" s="4" t="b">
        <f aca="false">TRUE()</f>
        <v>1</v>
      </c>
      <c r="R1407" s="1" t="s">
        <v>4553</v>
      </c>
      <c r="S1407" s="1" t="s">
        <v>4672</v>
      </c>
      <c r="T1407" s="1" t="s">
        <v>222</v>
      </c>
      <c r="U1407" s="1" t="s">
        <v>2102</v>
      </c>
    </row>
    <row r="1408" customFormat="false" ht="48" hidden="false" customHeight="true" outlineLevel="0" collapsed="false">
      <c r="A1408" s="1" t="s">
        <v>41</v>
      </c>
      <c r="B1408" s="1" t="s">
        <v>3712</v>
      </c>
      <c r="C1408" s="1" t="s">
        <v>75</v>
      </c>
      <c r="D1408" s="1" t="s">
        <v>1259</v>
      </c>
      <c r="E1408" s="1" t="n">
        <v>42</v>
      </c>
      <c r="F1408" s="1" t="s">
        <v>1272</v>
      </c>
      <c r="G1408" s="1" t="s">
        <v>677</v>
      </c>
      <c r="H1408" s="1" t="s">
        <v>4673</v>
      </c>
      <c r="I1408" s="1" t="s">
        <v>1267</v>
      </c>
      <c r="J1408" s="1" t="s">
        <v>597</v>
      </c>
      <c r="K1408" s="1" t="n">
        <v>17.99</v>
      </c>
      <c r="L1408" s="1" t="n">
        <v>4.6</v>
      </c>
      <c r="M1408" s="1" t="n">
        <v>21200</v>
      </c>
      <c r="N1408" s="4" t="b">
        <f aca="false">FALSE()</f>
        <v>0</v>
      </c>
      <c r="P1408" s="4" t="b">
        <f aca="false">TRUE()</f>
        <v>1</v>
      </c>
      <c r="Q1408" s="1" t="s">
        <v>766</v>
      </c>
      <c r="R1408" s="1" t="s">
        <v>4553</v>
      </c>
      <c r="S1408" s="1" t="s">
        <v>4674</v>
      </c>
      <c r="T1408" s="1" t="s">
        <v>222</v>
      </c>
      <c r="U1408" s="1" t="s">
        <v>2102</v>
      </c>
    </row>
    <row r="1409" customFormat="false" ht="48" hidden="false" customHeight="true" outlineLevel="0" collapsed="false">
      <c r="A1409" s="1" t="s">
        <v>41</v>
      </c>
      <c r="B1409" s="1" t="s">
        <v>3712</v>
      </c>
      <c r="C1409" s="1" t="s">
        <v>75</v>
      </c>
      <c r="D1409" s="1" t="s">
        <v>1259</v>
      </c>
      <c r="E1409" s="1" t="n">
        <v>43</v>
      </c>
      <c r="F1409" s="1" t="s">
        <v>4675</v>
      </c>
      <c r="G1409" s="1" t="s">
        <v>677</v>
      </c>
      <c r="H1409" s="1" t="s">
        <v>4676</v>
      </c>
      <c r="I1409" s="1" t="s">
        <v>1267</v>
      </c>
      <c r="J1409" s="1" t="s">
        <v>597</v>
      </c>
      <c r="K1409" s="1" t="n">
        <v>19.99</v>
      </c>
      <c r="L1409" s="1" t="n">
        <v>4.3</v>
      </c>
      <c r="M1409" s="1" t="n">
        <v>92</v>
      </c>
      <c r="N1409" s="4" t="b">
        <f aca="false">FALSE()</f>
        <v>0</v>
      </c>
      <c r="P1409" s="4" t="b">
        <f aca="false">TRUE()</f>
        <v>1</v>
      </c>
      <c r="Q1409" s="1" t="s">
        <v>233</v>
      </c>
      <c r="R1409" s="1" t="s">
        <v>4553</v>
      </c>
      <c r="S1409" s="1" t="s">
        <v>4677</v>
      </c>
      <c r="T1409" s="1" t="s">
        <v>222</v>
      </c>
      <c r="U1409" s="1" t="s">
        <v>2102</v>
      </c>
    </row>
    <row r="1410" customFormat="false" ht="48" hidden="false" customHeight="true" outlineLevel="0" collapsed="false">
      <c r="A1410" s="1" t="s">
        <v>41</v>
      </c>
      <c r="B1410" s="1" t="s">
        <v>3712</v>
      </c>
      <c r="C1410" s="1" t="s">
        <v>75</v>
      </c>
      <c r="D1410" s="1" t="s">
        <v>1259</v>
      </c>
      <c r="E1410" s="1" t="n">
        <v>44</v>
      </c>
      <c r="F1410" s="1" t="s">
        <v>4678</v>
      </c>
      <c r="G1410" s="1" t="s">
        <v>677</v>
      </c>
      <c r="H1410" s="1" t="s">
        <v>4679</v>
      </c>
      <c r="I1410" s="1" t="s">
        <v>218</v>
      </c>
      <c r="J1410" s="1" t="s">
        <v>597</v>
      </c>
      <c r="K1410" s="1" t="n">
        <v>19.99</v>
      </c>
      <c r="L1410" s="1" t="n">
        <v>4.6</v>
      </c>
      <c r="M1410" s="1" t="n">
        <v>21200</v>
      </c>
      <c r="N1410" s="4" t="b">
        <f aca="false">FALSE()</f>
        <v>0</v>
      </c>
      <c r="P1410" s="4" t="b">
        <f aca="false">TRUE()</f>
        <v>1</v>
      </c>
      <c r="Q1410" s="1" t="s">
        <v>451</v>
      </c>
      <c r="R1410" s="1" t="s">
        <v>4553</v>
      </c>
      <c r="S1410" s="1" t="s">
        <v>4680</v>
      </c>
      <c r="T1410" s="1" t="s">
        <v>222</v>
      </c>
      <c r="U1410" s="1" t="s">
        <v>2102</v>
      </c>
    </row>
    <row r="1411" customFormat="false" ht="48" hidden="false" customHeight="true" outlineLevel="0" collapsed="false">
      <c r="A1411" s="1" t="s">
        <v>41</v>
      </c>
      <c r="B1411" s="1" t="s">
        <v>3712</v>
      </c>
      <c r="C1411" s="1" t="s">
        <v>75</v>
      </c>
      <c r="D1411" s="1" t="s">
        <v>1259</v>
      </c>
      <c r="E1411" s="1" t="n">
        <v>45</v>
      </c>
      <c r="F1411" s="1" t="s">
        <v>4681</v>
      </c>
      <c r="G1411" s="1" t="s">
        <v>677</v>
      </c>
      <c r="H1411" s="1" t="s">
        <v>4682</v>
      </c>
      <c r="I1411" s="1" t="s">
        <v>218</v>
      </c>
      <c r="J1411" s="1" t="s">
        <v>597</v>
      </c>
      <c r="K1411" s="1" t="n">
        <v>25.49</v>
      </c>
      <c r="L1411" s="1" t="n">
        <v>4.5</v>
      </c>
      <c r="M1411" s="1" t="n">
        <v>445</v>
      </c>
      <c r="N1411" s="4" t="b">
        <f aca="false">FALSE()</f>
        <v>0</v>
      </c>
      <c r="P1411" s="4" t="b">
        <f aca="false">TRUE()</f>
        <v>1</v>
      </c>
      <c r="Q1411" s="1" t="s">
        <v>451</v>
      </c>
      <c r="R1411" s="1" t="s">
        <v>4553</v>
      </c>
      <c r="S1411" s="1" t="s">
        <v>4683</v>
      </c>
      <c r="T1411" s="1" t="s">
        <v>222</v>
      </c>
      <c r="U1411" s="1" t="s">
        <v>2102</v>
      </c>
    </row>
    <row r="1412" customFormat="false" ht="48" hidden="false" customHeight="true" outlineLevel="0" collapsed="false">
      <c r="A1412" s="1" t="s">
        <v>41</v>
      </c>
      <c r="B1412" s="1" t="s">
        <v>3712</v>
      </c>
      <c r="C1412" s="1" t="s">
        <v>75</v>
      </c>
      <c r="D1412" s="1" t="s">
        <v>1259</v>
      </c>
      <c r="E1412" s="1" t="n">
        <v>46</v>
      </c>
      <c r="F1412" s="1" t="s">
        <v>4684</v>
      </c>
      <c r="G1412" s="1" t="s">
        <v>677</v>
      </c>
      <c r="H1412" s="1" t="s">
        <v>4685</v>
      </c>
      <c r="I1412" s="1" t="s">
        <v>231</v>
      </c>
      <c r="J1412" s="1" t="s">
        <v>597</v>
      </c>
      <c r="K1412" s="1" t="n">
        <v>19.99</v>
      </c>
      <c r="L1412" s="1" t="n">
        <v>4.4</v>
      </c>
      <c r="M1412" s="1" t="n">
        <v>1200</v>
      </c>
      <c r="N1412" s="4" t="b">
        <f aca="false">FALSE()</f>
        <v>0</v>
      </c>
      <c r="P1412" s="4" t="b">
        <f aca="false">TRUE()</f>
        <v>1</v>
      </c>
      <c r="Q1412" s="1" t="s">
        <v>435</v>
      </c>
      <c r="R1412" s="1" t="s">
        <v>4553</v>
      </c>
      <c r="S1412" s="1" t="s">
        <v>4686</v>
      </c>
      <c r="T1412" s="1" t="s">
        <v>222</v>
      </c>
      <c r="U1412" s="1" t="s">
        <v>2102</v>
      </c>
    </row>
    <row r="1413" customFormat="false" ht="48" hidden="false" customHeight="true" outlineLevel="0" collapsed="false">
      <c r="A1413" s="1" t="s">
        <v>41</v>
      </c>
      <c r="B1413" s="1" t="s">
        <v>3712</v>
      </c>
      <c r="C1413" s="1" t="s">
        <v>75</v>
      </c>
      <c r="D1413" s="1" t="s">
        <v>1259</v>
      </c>
      <c r="E1413" s="1" t="n">
        <v>47</v>
      </c>
      <c r="F1413" s="1" t="s">
        <v>4687</v>
      </c>
      <c r="G1413" s="1" t="s">
        <v>774</v>
      </c>
      <c r="H1413" s="1" t="s">
        <v>4688</v>
      </c>
      <c r="I1413" s="1" t="s">
        <v>218</v>
      </c>
      <c r="J1413" s="1" t="s">
        <v>310</v>
      </c>
      <c r="L1413" s="1" t="n">
        <v>4.5</v>
      </c>
      <c r="M1413" s="1" t="n">
        <v>80400</v>
      </c>
      <c r="N1413" s="4" t="b">
        <f aca="false">FALSE()</f>
        <v>0</v>
      </c>
      <c r="P1413" s="4" t="b">
        <f aca="false">TRUE()</f>
        <v>1</v>
      </c>
      <c r="Q1413" s="1" t="s">
        <v>3863</v>
      </c>
      <c r="R1413" s="1" t="s">
        <v>4553</v>
      </c>
      <c r="S1413" s="1" t="s">
        <v>4689</v>
      </c>
      <c r="T1413" s="1" t="s">
        <v>222</v>
      </c>
      <c r="U1413" s="1" t="s">
        <v>2102</v>
      </c>
    </row>
    <row r="1414" customFormat="false" ht="48" hidden="false" customHeight="true" outlineLevel="0" collapsed="false">
      <c r="A1414" s="1" t="s">
        <v>41</v>
      </c>
      <c r="B1414" s="1" t="s">
        <v>3712</v>
      </c>
      <c r="C1414" s="1" t="s">
        <v>75</v>
      </c>
      <c r="D1414" s="1" t="s">
        <v>1259</v>
      </c>
      <c r="E1414" s="1" t="n">
        <v>48</v>
      </c>
      <c r="F1414" s="1" t="s">
        <v>1306</v>
      </c>
      <c r="G1414" s="1" t="s">
        <v>236</v>
      </c>
      <c r="H1414" s="1" t="s">
        <v>4690</v>
      </c>
      <c r="I1414" s="1" t="s">
        <v>218</v>
      </c>
      <c r="J1414" s="1" t="s">
        <v>597</v>
      </c>
      <c r="K1414" s="1" t="n">
        <v>9.99</v>
      </c>
      <c r="L1414" s="1" t="n">
        <v>4.3</v>
      </c>
      <c r="M1414" s="1" t="n">
        <v>1700</v>
      </c>
      <c r="N1414" s="4" t="b">
        <f aca="false">FALSE()</f>
        <v>0</v>
      </c>
      <c r="P1414" s="4" t="b">
        <f aca="false">TRUE()</f>
        <v>1</v>
      </c>
      <c r="R1414" s="1" t="s">
        <v>4553</v>
      </c>
      <c r="S1414" s="1" t="s">
        <v>4691</v>
      </c>
      <c r="T1414" s="1" t="s">
        <v>222</v>
      </c>
      <c r="U1414" s="1" t="s">
        <v>2102</v>
      </c>
    </row>
    <row r="1415" customFormat="false" ht="48" hidden="false" customHeight="true" outlineLevel="0" collapsed="false">
      <c r="A1415" s="1" t="s">
        <v>41</v>
      </c>
      <c r="B1415" s="1" t="s">
        <v>3712</v>
      </c>
      <c r="C1415" s="1" t="s">
        <v>75</v>
      </c>
      <c r="D1415" s="1" t="s">
        <v>1259</v>
      </c>
      <c r="E1415" s="1" t="n">
        <v>49</v>
      </c>
      <c r="F1415" s="1" t="s">
        <v>4692</v>
      </c>
      <c r="G1415" s="1" t="s">
        <v>236</v>
      </c>
      <c r="H1415" s="1" t="s">
        <v>4693</v>
      </c>
      <c r="I1415" s="1" t="s">
        <v>1267</v>
      </c>
      <c r="J1415" s="1" t="s">
        <v>597</v>
      </c>
      <c r="K1415" s="1" t="n">
        <v>14.99</v>
      </c>
      <c r="L1415" s="1" t="n">
        <v>4.6</v>
      </c>
      <c r="M1415" s="1" t="n">
        <v>6100</v>
      </c>
      <c r="N1415" s="4" t="b">
        <f aca="false">FALSE()</f>
        <v>0</v>
      </c>
      <c r="O1415" s="1" t="s">
        <v>3725</v>
      </c>
      <c r="P1415" s="4" t="b">
        <f aca="false">TRUE()</f>
        <v>1</v>
      </c>
      <c r="Q1415" s="1" t="s">
        <v>418</v>
      </c>
      <c r="R1415" s="1" t="s">
        <v>4553</v>
      </c>
      <c r="S1415" s="1" t="s">
        <v>4694</v>
      </c>
      <c r="T1415" s="1" t="s">
        <v>222</v>
      </c>
      <c r="U1415" s="1" t="s">
        <v>2102</v>
      </c>
    </row>
    <row r="1416" customFormat="false" ht="48" hidden="false" customHeight="true" outlineLevel="0" collapsed="false">
      <c r="A1416" s="1" t="s">
        <v>41</v>
      </c>
      <c r="B1416" s="1" t="s">
        <v>3712</v>
      </c>
      <c r="C1416" s="1" t="s">
        <v>75</v>
      </c>
      <c r="D1416" s="1" t="s">
        <v>1259</v>
      </c>
      <c r="E1416" s="1" t="n">
        <v>50</v>
      </c>
      <c r="F1416" s="1" t="s">
        <v>4695</v>
      </c>
      <c r="G1416" s="1" t="s">
        <v>604</v>
      </c>
      <c r="H1416" s="1" t="s">
        <v>4696</v>
      </c>
      <c r="I1416" s="1" t="s">
        <v>1267</v>
      </c>
      <c r="J1416" s="1" t="s">
        <v>597</v>
      </c>
      <c r="K1416" s="1" t="n">
        <v>14.99</v>
      </c>
      <c r="L1416" s="1" t="n">
        <v>4.5</v>
      </c>
      <c r="M1416" s="1" t="n">
        <v>2600</v>
      </c>
      <c r="N1416" s="4" t="b">
        <f aca="false">FALSE()</f>
        <v>0</v>
      </c>
      <c r="O1416" s="1" t="s">
        <v>3725</v>
      </c>
      <c r="P1416" s="4" t="b">
        <f aca="false">TRUE()</f>
        <v>1</v>
      </c>
      <c r="Q1416" s="1" t="s">
        <v>251</v>
      </c>
      <c r="R1416" s="1" t="s">
        <v>4553</v>
      </c>
      <c r="S1416" s="1" t="s">
        <v>4697</v>
      </c>
      <c r="T1416" s="1" t="s">
        <v>222</v>
      </c>
      <c r="U1416" s="1" t="s">
        <v>2102</v>
      </c>
    </row>
    <row r="1417" customFormat="false" ht="48" hidden="false" customHeight="true" outlineLevel="0" collapsed="false">
      <c r="A1417" s="1" t="s">
        <v>41</v>
      </c>
      <c r="B1417" s="1" t="s">
        <v>3712</v>
      </c>
      <c r="C1417" s="1" t="s">
        <v>75</v>
      </c>
      <c r="D1417" s="1" t="s">
        <v>1259</v>
      </c>
      <c r="E1417" s="1" t="n">
        <v>51</v>
      </c>
      <c r="F1417" s="1" t="s">
        <v>4698</v>
      </c>
      <c r="G1417" s="1" t="s">
        <v>236</v>
      </c>
      <c r="H1417" s="1" t="s">
        <v>4699</v>
      </c>
      <c r="I1417" s="1" t="s">
        <v>218</v>
      </c>
      <c r="J1417" s="1" t="s">
        <v>597</v>
      </c>
      <c r="K1417" s="1" t="n">
        <v>19.99</v>
      </c>
      <c r="L1417" s="1" t="n">
        <v>4.4</v>
      </c>
      <c r="M1417" s="1" t="n">
        <v>780</v>
      </c>
      <c r="N1417" s="4" t="b">
        <f aca="false">FALSE()</f>
        <v>0</v>
      </c>
      <c r="P1417" s="4" t="b">
        <f aca="false">TRUE()</f>
        <v>1</v>
      </c>
      <c r="Q1417" s="1" t="s">
        <v>233</v>
      </c>
      <c r="R1417" s="1" t="s">
        <v>4553</v>
      </c>
      <c r="S1417" s="1" t="s">
        <v>4700</v>
      </c>
      <c r="T1417" s="1" t="s">
        <v>222</v>
      </c>
      <c r="U1417" s="1" t="s">
        <v>2102</v>
      </c>
    </row>
    <row r="1418" customFormat="false" ht="48" hidden="false" customHeight="true" outlineLevel="0" collapsed="false">
      <c r="A1418" s="1" t="s">
        <v>41</v>
      </c>
      <c r="B1418" s="1" t="s">
        <v>3712</v>
      </c>
      <c r="C1418" s="1" t="s">
        <v>75</v>
      </c>
      <c r="D1418" s="1" t="s">
        <v>1259</v>
      </c>
      <c r="E1418" s="1" t="n">
        <v>52</v>
      </c>
      <c r="F1418" s="1" t="s">
        <v>4701</v>
      </c>
      <c r="G1418" s="1" t="s">
        <v>677</v>
      </c>
      <c r="H1418" s="1" t="s">
        <v>4702</v>
      </c>
      <c r="I1418" s="1" t="s">
        <v>218</v>
      </c>
      <c r="J1418" s="1" t="s">
        <v>310</v>
      </c>
      <c r="K1418" s="1" t="n">
        <v>22.99</v>
      </c>
      <c r="L1418" s="1" t="n">
        <v>4.5</v>
      </c>
      <c r="M1418" s="1" t="n">
        <v>5500</v>
      </c>
      <c r="N1418" s="4" t="b">
        <f aca="false">FALSE()</f>
        <v>0</v>
      </c>
      <c r="O1418" s="1" t="s">
        <v>4616</v>
      </c>
      <c r="P1418" s="4" t="b">
        <f aca="false">TRUE()</f>
        <v>1</v>
      </c>
      <c r="R1418" s="1" t="s">
        <v>4553</v>
      </c>
      <c r="S1418" s="1" t="s">
        <v>4703</v>
      </c>
      <c r="T1418" s="1" t="s">
        <v>222</v>
      </c>
      <c r="U1418" s="1" t="s">
        <v>2102</v>
      </c>
    </row>
    <row r="1419" customFormat="false" ht="48" hidden="false" customHeight="true" outlineLevel="0" collapsed="false">
      <c r="A1419" s="1" t="s">
        <v>41</v>
      </c>
      <c r="B1419" s="1" t="s">
        <v>3712</v>
      </c>
      <c r="C1419" s="1" t="s">
        <v>75</v>
      </c>
      <c r="D1419" s="1" t="s">
        <v>1259</v>
      </c>
      <c r="E1419" s="1" t="n">
        <v>53</v>
      </c>
      <c r="F1419" s="1" t="s">
        <v>4704</v>
      </c>
      <c r="G1419" s="1" t="s">
        <v>236</v>
      </c>
      <c r="H1419" s="1" t="s">
        <v>4705</v>
      </c>
      <c r="I1419" s="1" t="s">
        <v>218</v>
      </c>
      <c r="J1419" s="1" t="s">
        <v>597</v>
      </c>
      <c r="K1419" s="1" t="n">
        <v>35.01</v>
      </c>
      <c r="L1419" s="1" t="n">
        <v>4.4</v>
      </c>
      <c r="M1419" s="1" t="n">
        <v>107</v>
      </c>
      <c r="N1419" s="4" t="b">
        <f aca="false">FALSE()</f>
        <v>0</v>
      </c>
      <c r="O1419" s="1" t="s">
        <v>311</v>
      </c>
      <c r="P1419" s="4" t="b">
        <f aca="false">TRUE()</f>
        <v>1</v>
      </c>
      <c r="Q1419" s="1" t="s">
        <v>451</v>
      </c>
      <c r="R1419" s="1" t="s">
        <v>4553</v>
      </c>
      <c r="S1419" s="1" t="s">
        <v>4706</v>
      </c>
      <c r="T1419" s="1" t="s">
        <v>222</v>
      </c>
      <c r="U1419" s="1" t="s">
        <v>2102</v>
      </c>
    </row>
    <row r="1420" customFormat="false" ht="48" hidden="false" customHeight="true" outlineLevel="0" collapsed="false">
      <c r="A1420" s="1" t="s">
        <v>41</v>
      </c>
      <c r="B1420" s="1" t="s">
        <v>3712</v>
      </c>
      <c r="C1420" s="1" t="s">
        <v>75</v>
      </c>
      <c r="D1420" s="1" t="s">
        <v>1259</v>
      </c>
      <c r="E1420" s="1" t="n">
        <v>54</v>
      </c>
      <c r="F1420" s="1" t="s">
        <v>4707</v>
      </c>
      <c r="G1420" s="1" t="s">
        <v>1401</v>
      </c>
      <c r="H1420" s="1" t="s">
        <v>4708</v>
      </c>
      <c r="I1420" s="1" t="s">
        <v>218</v>
      </c>
      <c r="J1420" s="1" t="s">
        <v>597</v>
      </c>
      <c r="K1420" s="1" t="n">
        <v>9.34</v>
      </c>
      <c r="L1420" s="1" t="n">
        <v>4.2</v>
      </c>
      <c r="M1420" s="1" t="n">
        <v>336</v>
      </c>
      <c r="N1420" s="4" t="b">
        <f aca="false">FALSE()</f>
        <v>0</v>
      </c>
      <c r="P1420" s="4" t="b">
        <f aca="false">TRUE()</f>
        <v>1</v>
      </c>
      <c r="Q1420" s="1" t="s">
        <v>233</v>
      </c>
      <c r="R1420" s="1" t="s">
        <v>4553</v>
      </c>
      <c r="S1420" s="1" t="s">
        <v>4709</v>
      </c>
      <c r="T1420" s="1" t="s">
        <v>222</v>
      </c>
      <c r="U1420" s="1" t="s">
        <v>2102</v>
      </c>
    </row>
    <row r="1421" customFormat="false" ht="48" hidden="false" customHeight="true" outlineLevel="0" collapsed="false">
      <c r="A1421" s="1" t="s">
        <v>41</v>
      </c>
      <c r="B1421" s="1" t="s">
        <v>3712</v>
      </c>
      <c r="C1421" s="1" t="s">
        <v>75</v>
      </c>
      <c r="D1421" s="1" t="s">
        <v>1259</v>
      </c>
      <c r="E1421" s="1" t="n">
        <v>55</v>
      </c>
      <c r="F1421" s="1" t="s">
        <v>4710</v>
      </c>
      <c r="G1421" s="1" t="s">
        <v>236</v>
      </c>
      <c r="H1421" s="1" t="s">
        <v>4711</v>
      </c>
      <c r="I1421" s="1" t="s">
        <v>1267</v>
      </c>
      <c r="J1421" s="1" t="s">
        <v>310</v>
      </c>
      <c r="K1421" s="1" t="n">
        <v>16.99</v>
      </c>
      <c r="L1421" s="1" t="n">
        <v>4.6</v>
      </c>
      <c r="M1421" s="1" t="n">
        <v>492</v>
      </c>
      <c r="N1421" s="4" t="b">
        <f aca="false">FALSE()</f>
        <v>0</v>
      </c>
      <c r="P1421" s="4" t="b">
        <f aca="false">TRUE()</f>
        <v>1</v>
      </c>
      <c r="Q1421" s="1" t="s">
        <v>251</v>
      </c>
      <c r="R1421" s="1" t="s">
        <v>4553</v>
      </c>
      <c r="S1421" s="1" t="s">
        <v>4712</v>
      </c>
      <c r="T1421" s="1" t="s">
        <v>222</v>
      </c>
      <c r="U1421" s="1" t="s">
        <v>2102</v>
      </c>
    </row>
    <row r="1422" customFormat="false" ht="48" hidden="false" customHeight="true" outlineLevel="0" collapsed="false">
      <c r="A1422" s="1" t="s">
        <v>41</v>
      </c>
      <c r="B1422" s="1" t="s">
        <v>3712</v>
      </c>
      <c r="C1422" s="1" t="s">
        <v>75</v>
      </c>
      <c r="D1422" s="1" t="s">
        <v>1259</v>
      </c>
      <c r="E1422" s="1" t="n">
        <v>56</v>
      </c>
      <c r="F1422" s="1" t="s">
        <v>4713</v>
      </c>
      <c r="G1422" s="1" t="s">
        <v>236</v>
      </c>
      <c r="H1422" s="1" t="s">
        <v>4714</v>
      </c>
      <c r="I1422" s="1" t="s">
        <v>1267</v>
      </c>
      <c r="J1422" s="1" t="s">
        <v>597</v>
      </c>
      <c r="K1422" s="1" t="n">
        <v>23.95</v>
      </c>
      <c r="L1422" s="1" t="n">
        <v>4.6</v>
      </c>
      <c r="M1422" s="1" t="n">
        <v>10700</v>
      </c>
      <c r="N1422" s="4" t="b">
        <f aca="false">FALSE()</f>
        <v>0</v>
      </c>
      <c r="O1422" s="1" t="s">
        <v>3725</v>
      </c>
      <c r="P1422" s="4" t="b">
        <f aca="false">TRUE()</f>
        <v>1</v>
      </c>
      <c r="Q1422" s="1" t="s">
        <v>618</v>
      </c>
      <c r="R1422" s="1" t="s">
        <v>4553</v>
      </c>
      <c r="S1422" s="1" t="s">
        <v>4715</v>
      </c>
      <c r="T1422" s="1" t="s">
        <v>222</v>
      </c>
      <c r="U1422" s="1" t="s">
        <v>2102</v>
      </c>
    </row>
    <row r="1423" customFormat="false" ht="48" hidden="false" customHeight="true" outlineLevel="0" collapsed="false">
      <c r="A1423" s="1" t="s">
        <v>41</v>
      </c>
      <c r="B1423" s="1" t="s">
        <v>3712</v>
      </c>
      <c r="C1423" s="1" t="s">
        <v>75</v>
      </c>
      <c r="D1423" s="1" t="s">
        <v>1259</v>
      </c>
      <c r="E1423" s="1" t="n">
        <v>57</v>
      </c>
      <c r="F1423" s="1" t="s">
        <v>4716</v>
      </c>
      <c r="G1423" s="1" t="s">
        <v>677</v>
      </c>
      <c r="H1423" s="1" t="s">
        <v>4717</v>
      </c>
      <c r="I1423" s="1" t="s">
        <v>231</v>
      </c>
      <c r="J1423" s="1" t="s">
        <v>597</v>
      </c>
      <c r="K1423" s="1" t="n">
        <v>19.99</v>
      </c>
      <c r="L1423" s="1" t="n">
        <v>4.6</v>
      </c>
      <c r="M1423" s="1" t="n">
        <v>21200</v>
      </c>
      <c r="N1423" s="4" t="b">
        <f aca="false">FALSE()</f>
        <v>0</v>
      </c>
      <c r="O1423" s="1" t="s">
        <v>4254</v>
      </c>
      <c r="P1423" s="4" t="b">
        <f aca="false">TRUE()</f>
        <v>1</v>
      </c>
      <c r="Q1423" s="1" t="s">
        <v>711</v>
      </c>
      <c r="R1423" s="1" t="s">
        <v>4553</v>
      </c>
      <c r="S1423" s="1" t="s">
        <v>4718</v>
      </c>
      <c r="T1423" s="1" t="s">
        <v>222</v>
      </c>
      <c r="U1423" s="1" t="s">
        <v>2102</v>
      </c>
    </row>
    <row r="1424" customFormat="false" ht="48" hidden="false" customHeight="true" outlineLevel="0" collapsed="false">
      <c r="A1424" s="1" t="s">
        <v>41</v>
      </c>
      <c r="B1424" s="1" t="s">
        <v>3712</v>
      </c>
      <c r="C1424" s="1" t="s">
        <v>75</v>
      </c>
      <c r="D1424" s="1" t="s">
        <v>1259</v>
      </c>
      <c r="E1424" s="1" t="n">
        <v>58</v>
      </c>
      <c r="F1424" s="1" t="s">
        <v>4719</v>
      </c>
      <c r="G1424" s="1" t="s">
        <v>236</v>
      </c>
      <c r="H1424" s="1" t="s">
        <v>4720</v>
      </c>
      <c r="I1424" s="1" t="s">
        <v>231</v>
      </c>
      <c r="J1424" s="1" t="s">
        <v>597</v>
      </c>
      <c r="K1424" s="1" t="n">
        <v>12.74</v>
      </c>
      <c r="L1424" s="1" t="n">
        <v>4.4</v>
      </c>
      <c r="M1424" s="1" t="n">
        <v>2000</v>
      </c>
      <c r="N1424" s="4" t="b">
        <f aca="false">FALSE()</f>
        <v>0</v>
      </c>
      <c r="P1424" s="4" t="b">
        <f aca="false">TRUE()</f>
        <v>1</v>
      </c>
      <c r="Q1424" s="1" t="s">
        <v>451</v>
      </c>
      <c r="R1424" s="1" t="s">
        <v>4553</v>
      </c>
      <c r="S1424" s="1" t="s">
        <v>4721</v>
      </c>
      <c r="T1424" s="1" t="s">
        <v>222</v>
      </c>
      <c r="U1424" s="1" t="s">
        <v>2102</v>
      </c>
    </row>
    <row r="1425" customFormat="false" ht="48" hidden="false" customHeight="true" outlineLevel="0" collapsed="false">
      <c r="A1425" s="1" t="s">
        <v>41</v>
      </c>
      <c r="B1425" s="1" t="s">
        <v>3712</v>
      </c>
      <c r="C1425" s="1" t="s">
        <v>75</v>
      </c>
      <c r="D1425" s="1" t="s">
        <v>1259</v>
      </c>
      <c r="E1425" s="1" t="n">
        <v>59</v>
      </c>
      <c r="F1425" s="1" t="s">
        <v>4722</v>
      </c>
      <c r="G1425" s="1" t="s">
        <v>236</v>
      </c>
      <c r="H1425" s="1" t="s">
        <v>4723</v>
      </c>
      <c r="I1425" s="1" t="s">
        <v>218</v>
      </c>
      <c r="J1425" s="1" t="s">
        <v>597</v>
      </c>
      <c r="K1425" s="1" t="n">
        <v>12.59</v>
      </c>
      <c r="L1425" s="1" t="n">
        <v>4.4</v>
      </c>
      <c r="M1425" s="1" t="n">
        <v>2000</v>
      </c>
      <c r="N1425" s="4" t="b">
        <f aca="false">FALSE()</f>
        <v>0</v>
      </c>
      <c r="P1425" s="4" t="b">
        <f aca="false">TRUE()</f>
        <v>1</v>
      </c>
      <c r="Q1425" s="1" t="s">
        <v>251</v>
      </c>
      <c r="R1425" s="1" t="s">
        <v>4553</v>
      </c>
      <c r="S1425" s="1" t="s">
        <v>4724</v>
      </c>
      <c r="T1425" s="1" t="s">
        <v>222</v>
      </c>
      <c r="U1425" s="1" t="s">
        <v>2102</v>
      </c>
    </row>
    <row r="1426" customFormat="false" ht="48" hidden="false" customHeight="true" outlineLevel="0" collapsed="false">
      <c r="A1426" s="1" t="s">
        <v>41</v>
      </c>
      <c r="B1426" s="1" t="s">
        <v>3712</v>
      </c>
      <c r="C1426" s="1" t="s">
        <v>75</v>
      </c>
      <c r="D1426" s="1" t="s">
        <v>1259</v>
      </c>
      <c r="E1426" s="1" t="n">
        <v>60</v>
      </c>
      <c r="F1426" s="1" t="s">
        <v>4725</v>
      </c>
      <c r="G1426" s="1" t="s">
        <v>236</v>
      </c>
      <c r="H1426" s="1" t="s">
        <v>4726</v>
      </c>
      <c r="I1426" s="1" t="s">
        <v>218</v>
      </c>
      <c r="J1426" s="1" t="s">
        <v>310</v>
      </c>
      <c r="K1426" s="1" t="n">
        <v>23.91</v>
      </c>
      <c r="L1426" s="1" t="n">
        <v>4.6</v>
      </c>
      <c r="M1426" s="1" t="n">
        <v>52200</v>
      </c>
      <c r="N1426" s="4" t="b">
        <f aca="false">FALSE()</f>
        <v>0</v>
      </c>
      <c r="O1426" s="1" t="s">
        <v>4727</v>
      </c>
      <c r="P1426" s="4" t="b">
        <f aca="false">TRUE()</f>
        <v>1</v>
      </c>
      <c r="Q1426" s="1" t="s">
        <v>766</v>
      </c>
      <c r="R1426" s="1" t="s">
        <v>4553</v>
      </c>
      <c r="S1426" s="1" t="s">
        <v>4728</v>
      </c>
      <c r="T1426" s="1" t="s">
        <v>222</v>
      </c>
      <c r="U1426" s="1" t="s">
        <v>2102</v>
      </c>
    </row>
    <row r="1427" customFormat="false" ht="48" hidden="false" customHeight="true" outlineLevel="0" collapsed="false">
      <c r="A1427" s="1" t="s">
        <v>41</v>
      </c>
      <c r="B1427" s="1" t="s">
        <v>3712</v>
      </c>
      <c r="C1427" s="1" t="s">
        <v>111</v>
      </c>
      <c r="D1427" s="1" t="s">
        <v>1425</v>
      </c>
      <c r="E1427" s="1" t="n">
        <v>1</v>
      </c>
      <c r="F1427" s="1" t="s">
        <v>1450</v>
      </c>
      <c r="G1427" s="1" t="s">
        <v>1451</v>
      </c>
      <c r="H1427" s="1" t="s">
        <v>4729</v>
      </c>
      <c r="I1427" s="1" t="s">
        <v>218</v>
      </c>
      <c r="J1427" s="1" t="s">
        <v>219</v>
      </c>
      <c r="K1427" s="1" t="n">
        <v>37.99</v>
      </c>
      <c r="L1427" s="1" t="n">
        <v>4.6</v>
      </c>
      <c r="M1427" s="1" t="n">
        <v>43700</v>
      </c>
      <c r="N1427" s="4" t="b">
        <f aca="false">FALSE()</f>
        <v>0</v>
      </c>
      <c r="P1427" s="4" t="b">
        <f aca="false">TRUE()</f>
        <v>1</v>
      </c>
      <c r="Q1427" s="1" t="s">
        <v>4209</v>
      </c>
      <c r="R1427" s="1" t="s">
        <v>4730</v>
      </c>
      <c r="S1427" s="1" t="s">
        <v>4731</v>
      </c>
      <c r="T1427" s="1" t="s">
        <v>222</v>
      </c>
      <c r="U1427" s="1" t="s">
        <v>2102</v>
      </c>
    </row>
    <row r="1428" customFormat="false" ht="48" hidden="false" customHeight="true" outlineLevel="0" collapsed="false">
      <c r="A1428" s="1" t="s">
        <v>41</v>
      </c>
      <c r="B1428" s="1" t="s">
        <v>3712</v>
      </c>
      <c r="C1428" s="1" t="s">
        <v>111</v>
      </c>
      <c r="D1428" s="1" t="s">
        <v>1425</v>
      </c>
      <c r="E1428" s="1" t="n">
        <v>2</v>
      </c>
      <c r="F1428" s="1" t="s">
        <v>4732</v>
      </c>
      <c r="G1428" s="1" t="s">
        <v>4733</v>
      </c>
      <c r="H1428" s="1" t="s">
        <v>4734</v>
      </c>
      <c r="I1428" s="1" t="s">
        <v>218</v>
      </c>
      <c r="J1428" s="1" t="s">
        <v>310</v>
      </c>
      <c r="K1428" s="1" t="n">
        <v>34.99</v>
      </c>
      <c r="L1428" s="1" t="n">
        <v>4.6</v>
      </c>
      <c r="M1428" s="1" t="n">
        <v>280600</v>
      </c>
      <c r="N1428" s="4" t="b">
        <f aca="false">FALSE()</f>
        <v>0</v>
      </c>
      <c r="O1428" s="1" t="s">
        <v>4735</v>
      </c>
      <c r="P1428" s="4" t="b">
        <f aca="false">TRUE()</f>
        <v>1</v>
      </c>
      <c r="Q1428" s="1" t="s">
        <v>4209</v>
      </c>
      <c r="R1428" s="1" t="s">
        <v>4730</v>
      </c>
      <c r="S1428" s="1" t="s">
        <v>4736</v>
      </c>
      <c r="T1428" s="1" t="s">
        <v>222</v>
      </c>
      <c r="U1428" s="1" t="s">
        <v>2102</v>
      </c>
    </row>
    <row r="1429" customFormat="false" ht="48" hidden="false" customHeight="true" outlineLevel="0" collapsed="false">
      <c r="A1429" s="1" t="s">
        <v>41</v>
      </c>
      <c r="B1429" s="1" t="s">
        <v>3712</v>
      </c>
      <c r="C1429" s="1" t="s">
        <v>111</v>
      </c>
      <c r="D1429" s="1" t="s">
        <v>1425</v>
      </c>
      <c r="E1429" s="1" t="n">
        <v>3</v>
      </c>
      <c r="F1429" s="1" t="s">
        <v>4737</v>
      </c>
      <c r="G1429" s="1" t="s">
        <v>1451</v>
      </c>
      <c r="H1429" s="1" t="s">
        <v>4738</v>
      </c>
      <c r="I1429" s="1" t="s">
        <v>231</v>
      </c>
      <c r="J1429" s="1" t="s">
        <v>219</v>
      </c>
      <c r="K1429" s="1" t="n">
        <v>39.99</v>
      </c>
      <c r="L1429" s="1" t="n">
        <v>4.6</v>
      </c>
      <c r="M1429" s="1" t="n">
        <v>43700</v>
      </c>
      <c r="N1429" s="4" t="b">
        <f aca="false">FALSE()</f>
        <v>0</v>
      </c>
      <c r="P1429" s="4" t="b">
        <f aca="false">TRUE()</f>
        <v>1</v>
      </c>
      <c r="Q1429" s="1" t="s">
        <v>3772</v>
      </c>
      <c r="R1429" s="1" t="s">
        <v>4730</v>
      </c>
      <c r="S1429" s="1" t="s">
        <v>4739</v>
      </c>
      <c r="T1429" s="1" t="s">
        <v>222</v>
      </c>
      <c r="U1429" s="1" t="s">
        <v>2102</v>
      </c>
    </row>
    <row r="1430" customFormat="false" ht="48" hidden="false" customHeight="true" outlineLevel="0" collapsed="false">
      <c r="A1430" s="1" t="s">
        <v>41</v>
      </c>
      <c r="B1430" s="1" t="s">
        <v>3712</v>
      </c>
      <c r="C1430" s="1" t="s">
        <v>111</v>
      </c>
      <c r="D1430" s="1" t="s">
        <v>1425</v>
      </c>
      <c r="E1430" s="1" t="n">
        <v>4</v>
      </c>
      <c r="F1430" s="1" t="s">
        <v>1439</v>
      </c>
      <c r="G1430" s="1" t="s">
        <v>774</v>
      </c>
      <c r="H1430" s="1" t="s">
        <v>4740</v>
      </c>
      <c r="I1430" s="1" t="s">
        <v>218</v>
      </c>
      <c r="J1430" s="1" t="s">
        <v>310</v>
      </c>
      <c r="L1430" s="1" t="n">
        <v>4.5</v>
      </c>
      <c r="M1430" s="1" t="n">
        <v>108300</v>
      </c>
      <c r="N1430" s="4" t="b">
        <f aca="false">FALSE()</f>
        <v>0</v>
      </c>
      <c r="P1430" s="4" t="b">
        <f aca="false">TRUE()</f>
        <v>1</v>
      </c>
      <c r="Q1430" s="1" t="s">
        <v>3863</v>
      </c>
      <c r="R1430" s="1" t="s">
        <v>4730</v>
      </c>
      <c r="S1430" s="1" t="s">
        <v>4741</v>
      </c>
      <c r="T1430" s="1" t="s">
        <v>222</v>
      </c>
      <c r="U1430" s="1" t="s">
        <v>2102</v>
      </c>
    </row>
    <row r="1431" customFormat="false" ht="48" hidden="false" customHeight="true" outlineLevel="0" collapsed="false">
      <c r="A1431" s="1" t="s">
        <v>41</v>
      </c>
      <c r="B1431" s="1" t="s">
        <v>3712</v>
      </c>
      <c r="C1431" s="1" t="s">
        <v>111</v>
      </c>
      <c r="D1431" s="1" t="s">
        <v>1425</v>
      </c>
      <c r="E1431" s="1" t="n">
        <v>5</v>
      </c>
      <c r="F1431" s="1" t="s">
        <v>4742</v>
      </c>
      <c r="G1431" s="1" t="s">
        <v>236</v>
      </c>
      <c r="H1431" s="1" t="s">
        <v>4743</v>
      </c>
      <c r="I1431" s="1" t="s">
        <v>231</v>
      </c>
      <c r="J1431" s="1" t="s">
        <v>310</v>
      </c>
      <c r="K1431" s="1" t="n">
        <v>18.99</v>
      </c>
      <c r="L1431" s="1" t="n">
        <v>4.5</v>
      </c>
      <c r="M1431" s="1" t="n">
        <v>9400</v>
      </c>
      <c r="N1431" s="4" t="b">
        <f aca="false">FALSE()</f>
        <v>0</v>
      </c>
      <c r="O1431" s="1" t="s">
        <v>4276</v>
      </c>
      <c r="P1431" s="4" t="b">
        <f aca="false">TRUE()</f>
        <v>1</v>
      </c>
      <c r="Q1431" s="1" t="s">
        <v>1429</v>
      </c>
      <c r="R1431" s="1" t="s">
        <v>4730</v>
      </c>
      <c r="S1431" s="1" t="s">
        <v>4744</v>
      </c>
      <c r="T1431" s="1" t="s">
        <v>222</v>
      </c>
      <c r="U1431" s="1" t="s">
        <v>2102</v>
      </c>
    </row>
    <row r="1432" customFormat="false" ht="48" hidden="false" customHeight="true" outlineLevel="0" collapsed="false">
      <c r="A1432" s="1" t="s">
        <v>41</v>
      </c>
      <c r="B1432" s="1" t="s">
        <v>3712</v>
      </c>
      <c r="C1432" s="1" t="s">
        <v>111</v>
      </c>
      <c r="D1432" s="1" t="s">
        <v>1425</v>
      </c>
      <c r="E1432" s="1" t="n">
        <v>6</v>
      </c>
      <c r="F1432" s="1" t="s">
        <v>4745</v>
      </c>
      <c r="G1432" s="1" t="s">
        <v>567</v>
      </c>
      <c r="H1432" s="1" t="s">
        <v>4746</v>
      </c>
      <c r="I1432" s="1" t="s">
        <v>242</v>
      </c>
      <c r="J1432" s="1" t="s">
        <v>310</v>
      </c>
      <c r="K1432" s="1" t="n">
        <v>14.28</v>
      </c>
      <c r="L1432" s="1" t="n">
        <v>4.5</v>
      </c>
      <c r="M1432" s="1" t="n">
        <v>1600</v>
      </c>
      <c r="N1432" s="4" t="b">
        <f aca="false">FALSE()</f>
        <v>0</v>
      </c>
      <c r="P1432" s="4" t="b">
        <f aca="false">TRUE()</f>
        <v>1</v>
      </c>
      <c r="Q1432" s="1" t="s">
        <v>766</v>
      </c>
      <c r="R1432" s="1" t="s">
        <v>4730</v>
      </c>
      <c r="S1432" s="1" t="s">
        <v>4747</v>
      </c>
      <c r="T1432" s="1" t="s">
        <v>222</v>
      </c>
      <c r="U1432" s="1" t="s">
        <v>2102</v>
      </c>
    </row>
    <row r="1433" customFormat="false" ht="48" hidden="false" customHeight="true" outlineLevel="0" collapsed="false">
      <c r="A1433" s="1" t="s">
        <v>41</v>
      </c>
      <c r="B1433" s="1" t="s">
        <v>3712</v>
      </c>
      <c r="C1433" s="1" t="s">
        <v>111</v>
      </c>
      <c r="D1433" s="1" t="s">
        <v>1425</v>
      </c>
      <c r="E1433" s="1" t="n">
        <v>7</v>
      </c>
      <c r="F1433" s="1" t="s">
        <v>4748</v>
      </c>
      <c r="G1433" s="1" t="s">
        <v>236</v>
      </c>
      <c r="H1433" s="1" t="s">
        <v>4749</v>
      </c>
      <c r="I1433" s="1" t="s">
        <v>218</v>
      </c>
      <c r="J1433" s="1" t="s">
        <v>310</v>
      </c>
      <c r="K1433" s="1" t="n">
        <v>18.99</v>
      </c>
      <c r="L1433" s="1" t="n">
        <v>5</v>
      </c>
      <c r="M1433" s="1" t="n">
        <v>5</v>
      </c>
      <c r="N1433" s="4" t="b">
        <f aca="false">FALSE()</f>
        <v>0</v>
      </c>
      <c r="O1433" s="1" t="s">
        <v>3725</v>
      </c>
      <c r="P1433" s="4" t="b">
        <f aca="false">TRUE()</f>
        <v>1</v>
      </c>
      <c r="R1433" s="1" t="s">
        <v>4730</v>
      </c>
      <c r="S1433" s="1" t="s">
        <v>4750</v>
      </c>
      <c r="T1433" s="1" t="s">
        <v>222</v>
      </c>
      <c r="U1433" s="1" t="s">
        <v>2102</v>
      </c>
    </row>
    <row r="1434" customFormat="false" ht="48" hidden="false" customHeight="true" outlineLevel="0" collapsed="false">
      <c r="A1434" s="1" t="s">
        <v>41</v>
      </c>
      <c r="B1434" s="1" t="s">
        <v>3712</v>
      </c>
      <c r="C1434" s="1" t="s">
        <v>111</v>
      </c>
      <c r="D1434" s="1" t="s">
        <v>1425</v>
      </c>
      <c r="E1434" s="1" t="n">
        <v>8</v>
      </c>
      <c r="F1434" s="1" t="s">
        <v>4751</v>
      </c>
      <c r="G1434" s="1" t="s">
        <v>236</v>
      </c>
      <c r="H1434" s="1" t="s">
        <v>4752</v>
      </c>
      <c r="I1434" s="1" t="s">
        <v>218</v>
      </c>
      <c r="J1434" s="1" t="s">
        <v>310</v>
      </c>
      <c r="K1434" s="1" t="n">
        <v>15.99</v>
      </c>
      <c r="L1434" s="1" t="n">
        <v>4.5</v>
      </c>
      <c r="M1434" s="1" t="n">
        <v>9400</v>
      </c>
      <c r="N1434" s="4" t="b">
        <f aca="false">FALSE()</f>
        <v>0</v>
      </c>
      <c r="O1434" s="1" t="s">
        <v>776</v>
      </c>
      <c r="P1434" s="4" t="b">
        <f aca="false">TRUE()</f>
        <v>1</v>
      </c>
      <c r="Q1434" s="1" t="s">
        <v>1840</v>
      </c>
      <c r="R1434" s="1" t="s">
        <v>4730</v>
      </c>
      <c r="S1434" s="1" t="s">
        <v>4753</v>
      </c>
      <c r="T1434" s="1" t="s">
        <v>222</v>
      </c>
      <c r="U1434" s="1" t="s">
        <v>2102</v>
      </c>
    </row>
    <row r="1435" customFormat="false" ht="48" hidden="false" customHeight="true" outlineLevel="0" collapsed="false">
      <c r="A1435" s="1" t="s">
        <v>41</v>
      </c>
      <c r="B1435" s="1" t="s">
        <v>3712</v>
      </c>
      <c r="C1435" s="1" t="s">
        <v>111</v>
      </c>
      <c r="D1435" s="1" t="s">
        <v>1425</v>
      </c>
      <c r="E1435" s="1" t="n">
        <v>9</v>
      </c>
      <c r="F1435" s="1" t="s">
        <v>4754</v>
      </c>
      <c r="G1435" s="1" t="s">
        <v>4733</v>
      </c>
      <c r="H1435" s="1" t="s">
        <v>4755</v>
      </c>
      <c r="I1435" s="1" t="s">
        <v>231</v>
      </c>
      <c r="J1435" s="1" t="s">
        <v>310</v>
      </c>
      <c r="K1435" s="1" t="n">
        <v>49.99</v>
      </c>
      <c r="L1435" s="1" t="n">
        <v>4.6</v>
      </c>
      <c r="M1435" s="1" t="n">
        <v>280600</v>
      </c>
      <c r="N1435" s="4" t="b">
        <f aca="false">FALSE()</f>
        <v>0</v>
      </c>
      <c r="O1435" s="1" t="s">
        <v>4756</v>
      </c>
      <c r="P1435" s="4" t="b">
        <f aca="false">TRUE()</f>
        <v>1</v>
      </c>
      <c r="Q1435" s="1" t="s">
        <v>4757</v>
      </c>
      <c r="R1435" s="1" t="s">
        <v>4730</v>
      </c>
      <c r="S1435" s="1" t="s">
        <v>4758</v>
      </c>
      <c r="T1435" s="1" t="s">
        <v>222</v>
      </c>
      <c r="U1435" s="1" t="s">
        <v>2102</v>
      </c>
    </row>
    <row r="1436" customFormat="false" ht="48" hidden="false" customHeight="true" outlineLevel="0" collapsed="false">
      <c r="A1436" s="1" t="s">
        <v>41</v>
      </c>
      <c r="B1436" s="1" t="s">
        <v>3712</v>
      </c>
      <c r="C1436" s="1" t="s">
        <v>111</v>
      </c>
      <c r="D1436" s="1" t="s">
        <v>1425</v>
      </c>
      <c r="E1436" s="1" t="n">
        <v>10</v>
      </c>
      <c r="F1436" s="1" t="s">
        <v>4759</v>
      </c>
      <c r="G1436" s="1" t="s">
        <v>774</v>
      </c>
      <c r="H1436" s="1" t="s">
        <v>4760</v>
      </c>
      <c r="I1436" s="1" t="s">
        <v>218</v>
      </c>
      <c r="J1436" s="1" t="s">
        <v>310</v>
      </c>
      <c r="K1436" s="1" t="n">
        <v>37.99</v>
      </c>
      <c r="L1436" s="1" t="n">
        <v>4.6</v>
      </c>
      <c r="M1436" s="1" t="n">
        <v>134400</v>
      </c>
      <c r="N1436" s="4" t="b">
        <f aca="false">FALSE()</f>
        <v>0</v>
      </c>
      <c r="P1436" s="4" t="b">
        <f aca="false">TRUE()</f>
        <v>1</v>
      </c>
      <c r="Q1436" s="1" t="s">
        <v>4209</v>
      </c>
      <c r="R1436" s="1" t="s">
        <v>4730</v>
      </c>
      <c r="S1436" s="1" t="s">
        <v>4761</v>
      </c>
      <c r="T1436" s="1" t="s">
        <v>222</v>
      </c>
      <c r="U1436" s="1" t="s">
        <v>2102</v>
      </c>
    </row>
    <row r="1437" customFormat="false" ht="48" hidden="false" customHeight="true" outlineLevel="0" collapsed="false">
      <c r="A1437" s="1" t="s">
        <v>41</v>
      </c>
      <c r="B1437" s="1" t="s">
        <v>3712</v>
      </c>
      <c r="C1437" s="1" t="s">
        <v>111</v>
      </c>
      <c r="D1437" s="1" t="s">
        <v>1425</v>
      </c>
      <c r="E1437" s="1" t="n">
        <v>11</v>
      </c>
      <c r="F1437" s="1" t="s">
        <v>4762</v>
      </c>
      <c r="G1437" s="1" t="s">
        <v>1451</v>
      </c>
      <c r="H1437" s="1" t="s">
        <v>4763</v>
      </c>
      <c r="I1437" s="1" t="s">
        <v>242</v>
      </c>
      <c r="J1437" s="1" t="s">
        <v>219</v>
      </c>
      <c r="K1437" s="1" t="n">
        <v>35.99</v>
      </c>
      <c r="L1437" s="1" t="n">
        <v>4.6</v>
      </c>
      <c r="M1437" s="1" t="n">
        <v>43700</v>
      </c>
      <c r="N1437" s="4" t="b">
        <f aca="false">FALSE()</f>
        <v>0</v>
      </c>
      <c r="P1437" s="4" t="b">
        <f aca="false">TRUE()</f>
        <v>1</v>
      </c>
      <c r="Q1437" s="1" t="s">
        <v>3858</v>
      </c>
      <c r="R1437" s="1" t="s">
        <v>4730</v>
      </c>
      <c r="S1437" s="1" t="s">
        <v>4764</v>
      </c>
      <c r="T1437" s="1" t="s">
        <v>222</v>
      </c>
      <c r="U1437" s="1" t="s">
        <v>2102</v>
      </c>
    </row>
    <row r="1438" customFormat="false" ht="48" hidden="false" customHeight="true" outlineLevel="0" collapsed="false">
      <c r="A1438" s="1" t="s">
        <v>41</v>
      </c>
      <c r="B1438" s="1" t="s">
        <v>3712</v>
      </c>
      <c r="C1438" s="1" t="s">
        <v>111</v>
      </c>
      <c r="D1438" s="1" t="s">
        <v>1425</v>
      </c>
      <c r="E1438" s="1" t="n">
        <v>12</v>
      </c>
      <c r="F1438" s="1" t="s">
        <v>1486</v>
      </c>
      <c r="G1438" s="1" t="s">
        <v>236</v>
      </c>
      <c r="H1438" s="1" t="s">
        <v>4765</v>
      </c>
      <c r="I1438" s="1" t="s">
        <v>242</v>
      </c>
      <c r="J1438" s="1" t="s">
        <v>310</v>
      </c>
      <c r="K1438" s="1" t="n">
        <v>13.98</v>
      </c>
      <c r="L1438" s="1" t="n">
        <v>4.5</v>
      </c>
      <c r="M1438" s="1" t="n">
        <v>17300</v>
      </c>
      <c r="N1438" s="4" t="b">
        <f aca="false">FALSE()</f>
        <v>0</v>
      </c>
      <c r="P1438" s="4" t="b">
        <f aca="false">TRUE()</f>
        <v>1</v>
      </c>
      <c r="Q1438" s="1" t="s">
        <v>1840</v>
      </c>
      <c r="R1438" s="1" t="s">
        <v>4730</v>
      </c>
      <c r="S1438" s="1" t="s">
        <v>4766</v>
      </c>
      <c r="T1438" s="1" t="s">
        <v>222</v>
      </c>
      <c r="U1438" s="1" t="s">
        <v>2102</v>
      </c>
    </row>
    <row r="1439" customFormat="false" ht="48" hidden="false" customHeight="true" outlineLevel="0" collapsed="false">
      <c r="A1439" s="1" t="s">
        <v>41</v>
      </c>
      <c r="B1439" s="1" t="s">
        <v>3712</v>
      </c>
      <c r="C1439" s="1" t="s">
        <v>111</v>
      </c>
      <c r="D1439" s="1" t="s">
        <v>1425</v>
      </c>
      <c r="E1439" s="1" t="n">
        <v>13</v>
      </c>
      <c r="F1439" s="1" t="s">
        <v>4767</v>
      </c>
      <c r="G1439" s="1" t="s">
        <v>2023</v>
      </c>
      <c r="H1439" s="1" t="s">
        <v>4768</v>
      </c>
      <c r="I1439" s="1" t="s">
        <v>242</v>
      </c>
      <c r="J1439" s="1" t="s">
        <v>310</v>
      </c>
      <c r="K1439" s="1" t="n">
        <v>14.11</v>
      </c>
      <c r="L1439" s="1" t="n">
        <v>4.6</v>
      </c>
      <c r="M1439" s="1" t="n">
        <v>114600</v>
      </c>
      <c r="N1439" s="4" t="b">
        <f aca="false">FALSE()</f>
        <v>0</v>
      </c>
      <c r="O1439" s="1" t="s">
        <v>4769</v>
      </c>
      <c r="P1439" s="4" t="b">
        <f aca="false">TRUE()</f>
        <v>1</v>
      </c>
      <c r="Q1439" s="1" t="s">
        <v>711</v>
      </c>
      <c r="R1439" s="1" t="s">
        <v>4730</v>
      </c>
      <c r="S1439" s="1" t="s">
        <v>4770</v>
      </c>
      <c r="T1439" s="1" t="s">
        <v>222</v>
      </c>
      <c r="U1439" s="1" t="s">
        <v>2102</v>
      </c>
    </row>
    <row r="1440" customFormat="false" ht="48" hidden="false" customHeight="true" outlineLevel="0" collapsed="false">
      <c r="A1440" s="1" t="s">
        <v>41</v>
      </c>
      <c r="B1440" s="1" t="s">
        <v>3712</v>
      </c>
      <c r="C1440" s="1" t="s">
        <v>111</v>
      </c>
      <c r="D1440" s="1" t="s">
        <v>1425</v>
      </c>
      <c r="E1440" s="1" t="n">
        <v>14</v>
      </c>
      <c r="F1440" s="1" t="s">
        <v>4771</v>
      </c>
      <c r="G1440" s="1" t="s">
        <v>236</v>
      </c>
      <c r="H1440" s="1" t="s">
        <v>4772</v>
      </c>
      <c r="I1440" s="1" t="s">
        <v>289</v>
      </c>
      <c r="J1440" s="1" t="s">
        <v>310</v>
      </c>
      <c r="K1440" s="1" t="n">
        <v>22.46</v>
      </c>
      <c r="L1440" s="1" t="n">
        <v>4.6</v>
      </c>
      <c r="M1440" s="1" t="n">
        <v>6700</v>
      </c>
      <c r="N1440" s="4" t="b">
        <f aca="false">FALSE()</f>
        <v>0</v>
      </c>
      <c r="O1440" s="1" t="s">
        <v>4773</v>
      </c>
      <c r="P1440" s="4" t="b">
        <f aca="false">TRUE()</f>
        <v>1</v>
      </c>
      <c r="Q1440" s="1" t="s">
        <v>3863</v>
      </c>
      <c r="R1440" s="1" t="s">
        <v>4730</v>
      </c>
      <c r="S1440" s="1" t="s">
        <v>4774</v>
      </c>
      <c r="T1440" s="1" t="s">
        <v>222</v>
      </c>
      <c r="U1440" s="1" t="s">
        <v>2102</v>
      </c>
    </row>
    <row r="1441" customFormat="false" ht="48" hidden="false" customHeight="true" outlineLevel="0" collapsed="false">
      <c r="A1441" s="1" t="s">
        <v>41</v>
      </c>
      <c r="B1441" s="1" t="s">
        <v>3712</v>
      </c>
      <c r="C1441" s="1" t="s">
        <v>111</v>
      </c>
      <c r="D1441" s="1" t="s">
        <v>1425</v>
      </c>
      <c r="E1441" s="1" t="n">
        <v>15</v>
      </c>
      <c r="F1441" s="1" t="s">
        <v>4775</v>
      </c>
      <c r="G1441" s="1" t="s">
        <v>236</v>
      </c>
      <c r="H1441" s="1" t="s">
        <v>4776</v>
      </c>
      <c r="I1441" s="1" t="s">
        <v>306</v>
      </c>
      <c r="J1441" s="1" t="s">
        <v>310</v>
      </c>
      <c r="K1441" s="1" t="n">
        <v>24.99</v>
      </c>
      <c r="L1441" s="1" t="n">
        <v>4.6</v>
      </c>
      <c r="M1441" s="1" t="n">
        <v>1600</v>
      </c>
      <c r="N1441" s="4" t="b">
        <f aca="false">FALSE()</f>
        <v>0</v>
      </c>
      <c r="O1441" s="1" t="s">
        <v>4777</v>
      </c>
      <c r="P1441" s="4" t="b">
        <f aca="false">TRUE()</f>
        <v>1</v>
      </c>
      <c r="Q1441" s="1" t="s">
        <v>766</v>
      </c>
      <c r="R1441" s="1" t="s">
        <v>4730</v>
      </c>
      <c r="S1441" s="1" t="s">
        <v>4778</v>
      </c>
      <c r="T1441" s="1" t="s">
        <v>222</v>
      </c>
      <c r="U1441" s="1" t="s">
        <v>2102</v>
      </c>
    </row>
    <row r="1442" customFormat="false" ht="48" hidden="false" customHeight="true" outlineLevel="0" collapsed="false">
      <c r="A1442" s="1" t="s">
        <v>41</v>
      </c>
      <c r="B1442" s="1" t="s">
        <v>3712</v>
      </c>
      <c r="C1442" s="1" t="s">
        <v>111</v>
      </c>
      <c r="D1442" s="1" t="s">
        <v>1425</v>
      </c>
      <c r="E1442" s="1" t="n">
        <v>16</v>
      </c>
      <c r="F1442" s="1" t="s">
        <v>3243</v>
      </c>
      <c r="G1442" s="1" t="s">
        <v>2023</v>
      </c>
      <c r="H1442" s="1" t="s">
        <v>4779</v>
      </c>
      <c r="I1442" s="1" t="s">
        <v>218</v>
      </c>
      <c r="J1442" s="1" t="s">
        <v>310</v>
      </c>
      <c r="K1442" s="1" t="n">
        <v>18.12</v>
      </c>
      <c r="L1442" s="1" t="n">
        <v>4.6</v>
      </c>
      <c r="M1442" s="1" t="n">
        <v>114600</v>
      </c>
      <c r="N1442" s="4" t="b">
        <f aca="false">FALSE()</f>
        <v>0</v>
      </c>
      <c r="O1442" s="1" t="s">
        <v>776</v>
      </c>
      <c r="P1442" s="4" t="b">
        <f aca="false">TRUE()</f>
        <v>1</v>
      </c>
      <c r="Q1442" s="1" t="s">
        <v>711</v>
      </c>
      <c r="R1442" s="1" t="s">
        <v>4730</v>
      </c>
      <c r="S1442" s="1" t="s">
        <v>4780</v>
      </c>
      <c r="T1442" s="1" t="s">
        <v>222</v>
      </c>
      <c r="U1442" s="1" t="s">
        <v>2102</v>
      </c>
    </row>
    <row r="1443" customFormat="false" ht="48" hidden="false" customHeight="true" outlineLevel="0" collapsed="false">
      <c r="A1443" s="1" t="s">
        <v>41</v>
      </c>
      <c r="B1443" s="1" t="s">
        <v>3712</v>
      </c>
      <c r="C1443" s="1" t="s">
        <v>111</v>
      </c>
      <c r="D1443" s="1" t="s">
        <v>1425</v>
      </c>
      <c r="E1443" s="1" t="n">
        <v>17</v>
      </c>
      <c r="F1443" s="1" t="s">
        <v>4781</v>
      </c>
      <c r="G1443" s="1" t="s">
        <v>4733</v>
      </c>
      <c r="H1443" s="1" t="s">
        <v>4782</v>
      </c>
      <c r="I1443" s="1" t="s">
        <v>242</v>
      </c>
      <c r="J1443" s="1" t="s">
        <v>310</v>
      </c>
      <c r="K1443" s="1" t="n">
        <v>34.99</v>
      </c>
      <c r="L1443" s="1" t="n">
        <v>4.6</v>
      </c>
      <c r="M1443" s="1" t="n">
        <v>280600</v>
      </c>
      <c r="N1443" s="4" t="b">
        <f aca="false">FALSE()</f>
        <v>0</v>
      </c>
      <c r="O1443" s="1" t="s">
        <v>4783</v>
      </c>
      <c r="P1443" s="4" t="b">
        <f aca="false">TRUE()</f>
        <v>1</v>
      </c>
      <c r="Q1443" s="1" t="s">
        <v>1429</v>
      </c>
      <c r="R1443" s="1" t="s">
        <v>4730</v>
      </c>
      <c r="S1443" s="1" t="s">
        <v>4784</v>
      </c>
      <c r="T1443" s="1" t="s">
        <v>222</v>
      </c>
      <c r="U1443" s="1" t="s">
        <v>2102</v>
      </c>
    </row>
    <row r="1444" customFormat="false" ht="48" hidden="false" customHeight="true" outlineLevel="0" collapsed="false">
      <c r="A1444" s="1" t="s">
        <v>41</v>
      </c>
      <c r="B1444" s="1" t="s">
        <v>3712</v>
      </c>
      <c r="C1444" s="1" t="s">
        <v>111</v>
      </c>
      <c r="D1444" s="1" t="s">
        <v>1425</v>
      </c>
      <c r="E1444" s="1" t="n">
        <v>18</v>
      </c>
      <c r="F1444" s="1" t="s">
        <v>4785</v>
      </c>
      <c r="G1444" s="1" t="s">
        <v>236</v>
      </c>
      <c r="H1444" s="1" t="s">
        <v>4786</v>
      </c>
      <c r="I1444" s="1" t="s">
        <v>218</v>
      </c>
      <c r="J1444" s="1" t="s">
        <v>310</v>
      </c>
      <c r="K1444" s="1" t="n">
        <v>39.99</v>
      </c>
      <c r="L1444" s="1" t="n">
        <v>4.6</v>
      </c>
      <c r="M1444" s="1" t="n">
        <v>611</v>
      </c>
      <c r="N1444" s="4" t="b">
        <f aca="false">FALSE()</f>
        <v>0</v>
      </c>
      <c r="P1444" s="4" t="b">
        <f aca="false">TRUE()</f>
        <v>1</v>
      </c>
      <c r="Q1444" s="1" t="s">
        <v>711</v>
      </c>
      <c r="R1444" s="1" t="s">
        <v>4730</v>
      </c>
      <c r="S1444" s="1" t="s">
        <v>4787</v>
      </c>
      <c r="T1444" s="1" t="s">
        <v>222</v>
      </c>
      <c r="U1444" s="1" t="s">
        <v>2102</v>
      </c>
    </row>
    <row r="1445" customFormat="false" ht="48" hidden="false" customHeight="true" outlineLevel="0" collapsed="false">
      <c r="A1445" s="1" t="s">
        <v>41</v>
      </c>
      <c r="B1445" s="1" t="s">
        <v>3712</v>
      </c>
      <c r="C1445" s="1" t="s">
        <v>111</v>
      </c>
      <c r="D1445" s="1" t="s">
        <v>1425</v>
      </c>
      <c r="E1445" s="1" t="n">
        <v>19</v>
      </c>
      <c r="F1445" s="1" t="s">
        <v>1542</v>
      </c>
      <c r="G1445" s="1" t="s">
        <v>236</v>
      </c>
      <c r="H1445" s="1" t="s">
        <v>4788</v>
      </c>
      <c r="I1445" s="1" t="s">
        <v>218</v>
      </c>
      <c r="J1445" s="1" t="s">
        <v>597</v>
      </c>
      <c r="K1445" s="1" t="n">
        <v>18.36</v>
      </c>
      <c r="L1445" s="1" t="n">
        <v>4.6</v>
      </c>
      <c r="M1445" s="1" t="n">
        <v>20300</v>
      </c>
      <c r="N1445" s="4" t="b">
        <f aca="false">FALSE()</f>
        <v>0</v>
      </c>
      <c r="O1445" s="1" t="s">
        <v>4789</v>
      </c>
      <c r="P1445" s="4" t="b">
        <f aca="false">TRUE()</f>
        <v>1</v>
      </c>
      <c r="Q1445" s="1" t="s">
        <v>766</v>
      </c>
      <c r="R1445" s="1" t="s">
        <v>4730</v>
      </c>
      <c r="S1445" s="1" t="s">
        <v>4790</v>
      </c>
      <c r="T1445" s="1" t="s">
        <v>222</v>
      </c>
      <c r="U1445" s="1" t="s">
        <v>2102</v>
      </c>
    </row>
    <row r="1446" customFormat="false" ht="48" hidden="false" customHeight="true" outlineLevel="0" collapsed="false">
      <c r="A1446" s="1" t="s">
        <v>41</v>
      </c>
      <c r="B1446" s="1" t="s">
        <v>3712</v>
      </c>
      <c r="C1446" s="1" t="s">
        <v>111</v>
      </c>
      <c r="D1446" s="1" t="s">
        <v>1425</v>
      </c>
      <c r="E1446" s="1" t="n">
        <v>20</v>
      </c>
      <c r="F1446" s="1" t="s">
        <v>4791</v>
      </c>
      <c r="G1446" s="1" t="s">
        <v>236</v>
      </c>
      <c r="H1446" s="1" t="s">
        <v>4792</v>
      </c>
      <c r="I1446" s="1" t="s">
        <v>218</v>
      </c>
      <c r="J1446" s="1" t="s">
        <v>310</v>
      </c>
      <c r="K1446" s="1" t="n">
        <v>47.97</v>
      </c>
      <c r="L1446" s="1" t="n">
        <v>4.6</v>
      </c>
      <c r="M1446" s="1" t="n">
        <v>6500</v>
      </c>
      <c r="N1446" s="4" t="b">
        <f aca="false">FALSE()</f>
        <v>0</v>
      </c>
      <c r="P1446" s="4" t="b">
        <f aca="false">TRUE()</f>
        <v>1</v>
      </c>
      <c r="Q1446" s="1" t="s">
        <v>711</v>
      </c>
      <c r="R1446" s="1" t="s">
        <v>4730</v>
      </c>
      <c r="S1446" s="1" t="s">
        <v>4793</v>
      </c>
      <c r="T1446" s="1" t="s">
        <v>222</v>
      </c>
      <c r="U1446" s="1" t="s">
        <v>2102</v>
      </c>
    </row>
    <row r="1447" customFormat="false" ht="48" hidden="false" customHeight="true" outlineLevel="0" collapsed="false">
      <c r="A1447" s="1" t="s">
        <v>41</v>
      </c>
      <c r="B1447" s="1" t="s">
        <v>3712</v>
      </c>
      <c r="C1447" s="1" t="s">
        <v>111</v>
      </c>
      <c r="D1447" s="1" t="s">
        <v>1425</v>
      </c>
      <c r="E1447" s="1" t="n">
        <v>21</v>
      </c>
      <c r="F1447" s="1" t="s">
        <v>4794</v>
      </c>
      <c r="G1447" s="1" t="s">
        <v>4733</v>
      </c>
      <c r="H1447" s="1" t="s">
        <v>4734</v>
      </c>
      <c r="I1447" s="1" t="s">
        <v>218</v>
      </c>
      <c r="J1447" s="1" t="s">
        <v>310</v>
      </c>
      <c r="K1447" s="1" t="n">
        <v>39.99</v>
      </c>
      <c r="L1447" s="1" t="n">
        <v>4.6</v>
      </c>
      <c r="M1447" s="1" t="n">
        <v>280600</v>
      </c>
      <c r="N1447" s="4" t="b">
        <f aca="false">FALSE()</f>
        <v>0</v>
      </c>
      <c r="O1447" s="1" t="s">
        <v>4756</v>
      </c>
      <c r="P1447" s="4" t="b">
        <f aca="false">TRUE()</f>
        <v>1</v>
      </c>
      <c r="Q1447" s="1" t="s">
        <v>766</v>
      </c>
      <c r="R1447" s="1" t="s">
        <v>4730</v>
      </c>
      <c r="S1447" s="1" t="s">
        <v>4795</v>
      </c>
      <c r="T1447" s="1" t="s">
        <v>222</v>
      </c>
      <c r="U1447" s="1" t="s">
        <v>2102</v>
      </c>
    </row>
    <row r="1448" customFormat="false" ht="48" hidden="false" customHeight="true" outlineLevel="0" collapsed="false">
      <c r="A1448" s="1" t="s">
        <v>41</v>
      </c>
      <c r="B1448" s="1" t="s">
        <v>3712</v>
      </c>
      <c r="C1448" s="1" t="s">
        <v>111</v>
      </c>
      <c r="D1448" s="1" t="s">
        <v>1425</v>
      </c>
      <c r="E1448" s="1" t="n">
        <v>22</v>
      </c>
      <c r="F1448" s="1" t="s">
        <v>4796</v>
      </c>
      <c r="G1448" s="1" t="s">
        <v>1447</v>
      </c>
      <c r="H1448" s="1" t="s">
        <v>4797</v>
      </c>
      <c r="I1448" s="1" t="s">
        <v>218</v>
      </c>
      <c r="J1448" s="1" t="s">
        <v>310</v>
      </c>
      <c r="K1448" s="1" t="n">
        <v>29.99</v>
      </c>
      <c r="L1448" s="1" t="n">
        <v>4.7</v>
      </c>
      <c r="M1448" s="1" t="n">
        <v>81</v>
      </c>
      <c r="N1448" s="4" t="b">
        <f aca="false">FALSE()</f>
        <v>0</v>
      </c>
      <c r="O1448" s="1" t="s">
        <v>4099</v>
      </c>
      <c r="P1448" s="4" t="b">
        <f aca="false">TRUE()</f>
        <v>1</v>
      </c>
      <c r="Q1448" s="1" t="s">
        <v>451</v>
      </c>
      <c r="R1448" s="1" t="s">
        <v>4730</v>
      </c>
      <c r="S1448" s="1" t="s">
        <v>4798</v>
      </c>
      <c r="T1448" s="1" t="s">
        <v>222</v>
      </c>
      <c r="U1448" s="1" t="s">
        <v>2102</v>
      </c>
    </row>
    <row r="1449" customFormat="false" ht="48" hidden="false" customHeight="true" outlineLevel="0" collapsed="false">
      <c r="A1449" s="1" t="s">
        <v>41</v>
      </c>
      <c r="B1449" s="1" t="s">
        <v>3712</v>
      </c>
      <c r="C1449" s="1" t="s">
        <v>111</v>
      </c>
      <c r="D1449" s="1" t="s">
        <v>1425</v>
      </c>
      <c r="E1449" s="1" t="n">
        <v>23</v>
      </c>
      <c r="F1449" s="1" t="s">
        <v>4799</v>
      </c>
      <c r="G1449" s="1" t="s">
        <v>236</v>
      </c>
      <c r="H1449" s="1" t="s">
        <v>4800</v>
      </c>
      <c r="I1449" s="1" t="s">
        <v>218</v>
      </c>
      <c r="J1449" s="1" t="s">
        <v>310</v>
      </c>
      <c r="K1449" s="1" t="n">
        <v>20.99</v>
      </c>
      <c r="L1449" s="1" t="n">
        <v>4.6</v>
      </c>
      <c r="M1449" s="1" t="n">
        <v>600</v>
      </c>
      <c r="N1449" s="4" t="b">
        <f aca="false">FALSE()</f>
        <v>0</v>
      </c>
      <c r="P1449" s="4" t="b">
        <f aca="false">TRUE()</f>
        <v>1</v>
      </c>
      <c r="Q1449" s="1" t="s">
        <v>711</v>
      </c>
      <c r="R1449" s="1" t="s">
        <v>4730</v>
      </c>
      <c r="S1449" s="1" t="s">
        <v>4801</v>
      </c>
      <c r="T1449" s="1" t="s">
        <v>222</v>
      </c>
      <c r="U1449" s="1" t="s">
        <v>2102</v>
      </c>
    </row>
    <row r="1450" customFormat="false" ht="48" hidden="false" customHeight="true" outlineLevel="0" collapsed="false">
      <c r="A1450" s="1" t="s">
        <v>41</v>
      </c>
      <c r="B1450" s="1" t="s">
        <v>3712</v>
      </c>
      <c r="C1450" s="1" t="s">
        <v>111</v>
      </c>
      <c r="D1450" s="1" t="s">
        <v>1425</v>
      </c>
      <c r="E1450" s="1" t="n">
        <v>24</v>
      </c>
      <c r="F1450" s="1" t="s">
        <v>4802</v>
      </c>
      <c r="G1450" s="1" t="s">
        <v>774</v>
      </c>
      <c r="H1450" s="1" t="s">
        <v>4803</v>
      </c>
      <c r="I1450" s="1" t="s">
        <v>289</v>
      </c>
      <c r="J1450" s="1" t="s">
        <v>310</v>
      </c>
      <c r="K1450" s="1" t="n">
        <v>41.51</v>
      </c>
      <c r="L1450" s="1" t="n">
        <v>4.6</v>
      </c>
      <c r="M1450" s="1" t="n">
        <v>134400</v>
      </c>
      <c r="N1450" s="4" t="b">
        <f aca="false">FALSE()</f>
        <v>0</v>
      </c>
      <c r="P1450" s="4" t="b">
        <f aca="false">TRUE()</f>
        <v>1</v>
      </c>
      <c r="Q1450" s="1" t="s">
        <v>3863</v>
      </c>
      <c r="R1450" s="1" t="s">
        <v>4730</v>
      </c>
      <c r="S1450" s="1" t="s">
        <v>4804</v>
      </c>
      <c r="T1450" s="1" t="s">
        <v>222</v>
      </c>
      <c r="U1450" s="1" t="s">
        <v>2102</v>
      </c>
    </row>
    <row r="1451" customFormat="false" ht="48" hidden="false" customHeight="true" outlineLevel="0" collapsed="false">
      <c r="A1451" s="1" t="s">
        <v>41</v>
      </c>
      <c r="B1451" s="1" t="s">
        <v>3712</v>
      </c>
      <c r="C1451" s="1" t="s">
        <v>111</v>
      </c>
      <c r="D1451" s="1" t="s">
        <v>1425</v>
      </c>
      <c r="E1451" s="1" t="n">
        <v>25</v>
      </c>
      <c r="F1451" s="1" t="s">
        <v>4805</v>
      </c>
      <c r="G1451" s="1" t="s">
        <v>337</v>
      </c>
      <c r="H1451" s="1" t="s">
        <v>4806</v>
      </c>
      <c r="I1451" s="1" t="s">
        <v>218</v>
      </c>
      <c r="J1451" s="1" t="s">
        <v>219</v>
      </c>
      <c r="K1451" s="1" t="n">
        <v>28.99</v>
      </c>
      <c r="L1451" s="1" t="n">
        <v>4.7</v>
      </c>
      <c r="M1451" s="1" t="n">
        <v>893</v>
      </c>
      <c r="N1451" s="4" t="b">
        <f aca="false">FALSE()</f>
        <v>0</v>
      </c>
      <c r="P1451" s="4" t="b">
        <f aca="false">TRUE()</f>
        <v>1</v>
      </c>
      <c r="Q1451" s="1" t="s">
        <v>435</v>
      </c>
      <c r="R1451" s="1" t="s">
        <v>4730</v>
      </c>
      <c r="S1451" s="1" t="s">
        <v>4807</v>
      </c>
      <c r="T1451" s="1" t="s">
        <v>222</v>
      </c>
      <c r="U1451" s="1" t="s">
        <v>2102</v>
      </c>
    </row>
    <row r="1452" customFormat="false" ht="48" hidden="false" customHeight="true" outlineLevel="0" collapsed="false">
      <c r="A1452" s="1" t="s">
        <v>41</v>
      </c>
      <c r="B1452" s="1" t="s">
        <v>3712</v>
      </c>
      <c r="C1452" s="1" t="s">
        <v>111</v>
      </c>
      <c r="D1452" s="1" t="s">
        <v>1425</v>
      </c>
      <c r="E1452" s="1" t="n">
        <v>26</v>
      </c>
      <c r="F1452" s="1" t="s">
        <v>4808</v>
      </c>
      <c r="G1452" s="1" t="s">
        <v>236</v>
      </c>
      <c r="H1452" s="1" t="s">
        <v>4809</v>
      </c>
      <c r="I1452" s="1" t="s">
        <v>231</v>
      </c>
      <c r="J1452" s="1" t="s">
        <v>310</v>
      </c>
      <c r="K1452" s="1" t="n">
        <v>53.99</v>
      </c>
      <c r="L1452" s="1" t="n">
        <v>4.7</v>
      </c>
      <c r="M1452" s="1" t="n">
        <v>526</v>
      </c>
      <c r="N1452" s="4" t="b">
        <f aca="false">FALSE()</f>
        <v>0</v>
      </c>
      <c r="O1452" s="1" t="s">
        <v>4810</v>
      </c>
      <c r="P1452" s="4" t="b">
        <f aca="false">TRUE()</f>
        <v>1</v>
      </c>
      <c r="Q1452" s="1" t="s">
        <v>451</v>
      </c>
      <c r="R1452" s="1" t="s">
        <v>4730</v>
      </c>
      <c r="S1452" s="1" t="s">
        <v>4811</v>
      </c>
      <c r="T1452" s="1" t="s">
        <v>222</v>
      </c>
      <c r="U1452" s="1" t="s">
        <v>2102</v>
      </c>
    </row>
    <row r="1453" customFormat="false" ht="48" hidden="false" customHeight="true" outlineLevel="0" collapsed="false">
      <c r="A1453" s="1" t="s">
        <v>41</v>
      </c>
      <c r="B1453" s="1" t="s">
        <v>3712</v>
      </c>
      <c r="C1453" s="1" t="s">
        <v>111</v>
      </c>
      <c r="D1453" s="1" t="s">
        <v>1425</v>
      </c>
      <c r="E1453" s="1" t="n">
        <v>27</v>
      </c>
      <c r="F1453" s="1" t="s">
        <v>4812</v>
      </c>
      <c r="G1453" s="1" t="s">
        <v>236</v>
      </c>
      <c r="H1453" s="1" t="s">
        <v>4813</v>
      </c>
      <c r="I1453" s="1" t="s">
        <v>218</v>
      </c>
      <c r="J1453" s="1" t="s">
        <v>310</v>
      </c>
      <c r="K1453" s="1" t="n">
        <v>11.99</v>
      </c>
      <c r="L1453" s="1" t="n">
        <v>5</v>
      </c>
      <c r="M1453" s="1" t="n">
        <v>2</v>
      </c>
      <c r="N1453" s="4" t="b">
        <f aca="false">FALSE()</f>
        <v>0</v>
      </c>
      <c r="O1453" s="1" t="s">
        <v>4814</v>
      </c>
      <c r="P1453" s="4" t="b">
        <f aca="false">TRUE()</f>
        <v>1</v>
      </c>
      <c r="Q1453" s="1" t="s">
        <v>451</v>
      </c>
      <c r="R1453" s="1" t="s">
        <v>4730</v>
      </c>
      <c r="S1453" s="1" t="s">
        <v>4815</v>
      </c>
      <c r="T1453" s="1" t="s">
        <v>222</v>
      </c>
      <c r="U1453" s="1" t="s">
        <v>2102</v>
      </c>
    </row>
    <row r="1454" customFormat="false" ht="48" hidden="false" customHeight="true" outlineLevel="0" collapsed="false">
      <c r="A1454" s="1" t="s">
        <v>41</v>
      </c>
      <c r="B1454" s="1" t="s">
        <v>3712</v>
      </c>
      <c r="C1454" s="1" t="s">
        <v>111</v>
      </c>
      <c r="D1454" s="1" t="s">
        <v>1425</v>
      </c>
      <c r="E1454" s="1" t="n">
        <v>28</v>
      </c>
      <c r="F1454" s="1" t="s">
        <v>4816</v>
      </c>
      <c r="G1454" s="1" t="s">
        <v>4733</v>
      </c>
      <c r="H1454" s="1" t="s">
        <v>4817</v>
      </c>
      <c r="I1454" s="1" t="s">
        <v>378</v>
      </c>
      <c r="J1454" s="1" t="s">
        <v>310</v>
      </c>
      <c r="K1454" s="1" t="n">
        <v>49.99</v>
      </c>
      <c r="L1454" s="1" t="n">
        <v>4.6</v>
      </c>
      <c r="M1454" s="1" t="n">
        <v>280600</v>
      </c>
      <c r="N1454" s="4" t="b">
        <f aca="false">FALSE()</f>
        <v>0</v>
      </c>
      <c r="O1454" s="1" t="s">
        <v>4756</v>
      </c>
      <c r="P1454" s="4" t="b">
        <f aca="false">TRUE()</f>
        <v>1</v>
      </c>
      <c r="Q1454" s="1" t="s">
        <v>439</v>
      </c>
      <c r="R1454" s="1" t="s">
        <v>4730</v>
      </c>
      <c r="S1454" s="1" t="s">
        <v>4818</v>
      </c>
      <c r="T1454" s="1" t="s">
        <v>222</v>
      </c>
      <c r="U1454" s="1" t="s">
        <v>2102</v>
      </c>
    </row>
    <row r="1455" customFormat="false" ht="48" hidden="false" customHeight="true" outlineLevel="0" collapsed="false">
      <c r="A1455" s="1" t="s">
        <v>41</v>
      </c>
      <c r="B1455" s="1" t="s">
        <v>3712</v>
      </c>
      <c r="C1455" s="1" t="s">
        <v>111</v>
      </c>
      <c r="D1455" s="1" t="s">
        <v>1425</v>
      </c>
      <c r="E1455" s="1" t="n">
        <v>29</v>
      </c>
      <c r="F1455" s="1" t="s">
        <v>4819</v>
      </c>
      <c r="G1455" s="1" t="s">
        <v>236</v>
      </c>
      <c r="H1455" s="1" t="s">
        <v>4820</v>
      </c>
      <c r="I1455" s="1" t="s">
        <v>306</v>
      </c>
      <c r="J1455" s="1" t="s">
        <v>310</v>
      </c>
      <c r="K1455" s="1" t="n">
        <v>35.99</v>
      </c>
      <c r="L1455" s="1" t="n">
        <v>4.7</v>
      </c>
      <c r="M1455" s="1" t="n">
        <v>18000</v>
      </c>
      <c r="N1455" s="4" t="b">
        <f aca="false">FALSE()</f>
        <v>0</v>
      </c>
      <c r="O1455" s="1" t="s">
        <v>842</v>
      </c>
      <c r="P1455" s="4" t="b">
        <f aca="false">TRUE()</f>
        <v>1</v>
      </c>
      <c r="Q1455" s="1" t="s">
        <v>618</v>
      </c>
      <c r="R1455" s="1" t="s">
        <v>4730</v>
      </c>
      <c r="S1455" s="1" t="s">
        <v>4821</v>
      </c>
      <c r="T1455" s="1" t="s">
        <v>222</v>
      </c>
      <c r="U1455" s="1" t="s">
        <v>2102</v>
      </c>
    </row>
    <row r="1456" customFormat="false" ht="48" hidden="false" customHeight="true" outlineLevel="0" collapsed="false">
      <c r="A1456" s="1" t="s">
        <v>41</v>
      </c>
      <c r="B1456" s="1" t="s">
        <v>3712</v>
      </c>
      <c r="C1456" s="1" t="s">
        <v>111</v>
      </c>
      <c r="D1456" s="1" t="s">
        <v>1425</v>
      </c>
      <c r="E1456" s="1" t="n">
        <v>30</v>
      </c>
      <c r="F1456" s="1" t="s">
        <v>4822</v>
      </c>
      <c r="G1456" s="1" t="s">
        <v>236</v>
      </c>
      <c r="H1456" s="1" t="s">
        <v>4823</v>
      </c>
      <c r="I1456" s="1" t="s">
        <v>218</v>
      </c>
      <c r="J1456" s="1" t="s">
        <v>310</v>
      </c>
      <c r="K1456" s="1" t="n">
        <v>119</v>
      </c>
      <c r="L1456" s="1" t="n">
        <v>4.6</v>
      </c>
      <c r="M1456" s="1" t="n">
        <v>1500</v>
      </c>
      <c r="N1456" s="4" t="b">
        <f aca="false">FALSE()</f>
        <v>0</v>
      </c>
      <c r="P1456" s="4" t="b">
        <f aca="false">TRUE()</f>
        <v>1</v>
      </c>
      <c r="Q1456" s="1" t="s">
        <v>233</v>
      </c>
      <c r="R1456" s="1" t="s">
        <v>4730</v>
      </c>
      <c r="S1456" s="1" t="s">
        <v>4824</v>
      </c>
      <c r="T1456" s="1" t="s">
        <v>222</v>
      </c>
      <c r="U1456" s="1" t="s">
        <v>2102</v>
      </c>
    </row>
    <row r="1457" customFormat="false" ht="48" hidden="false" customHeight="true" outlineLevel="0" collapsed="false">
      <c r="A1457" s="1" t="s">
        <v>41</v>
      </c>
      <c r="B1457" s="1" t="s">
        <v>3712</v>
      </c>
      <c r="C1457" s="1" t="s">
        <v>111</v>
      </c>
      <c r="D1457" s="1" t="s">
        <v>1425</v>
      </c>
      <c r="E1457" s="1" t="n">
        <v>31</v>
      </c>
      <c r="F1457" s="1" t="s">
        <v>4825</v>
      </c>
      <c r="G1457" s="1" t="s">
        <v>4733</v>
      </c>
      <c r="H1457" s="1" t="s">
        <v>4826</v>
      </c>
      <c r="I1457" s="1" t="s">
        <v>231</v>
      </c>
      <c r="J1457" s="1" t="s">
        <v>310</v>
      </c>
      <c r="K1457" s="1" t="n">
        <v>49.99</v>
      </c>
      <c r="L1457" s="1" t="n">
        <v>4.6</v>
      </c>
      <c r="M1457" s="1" t="n">
        <v>280600</v>
      </c>
      <c r="N1457" s="4" t="b">
        <f aca="false">FALSE()</f>
        <v>0</v>
      </c>
      <c r="O1457" s="1" t="s">
        <v>4756</v>
      </c>
      <c r="P1457" s="4" t="b">
        <f aca="false">TRUE()</f>
        <v>1</v>
      </c>
      <c r="Q1457" s="1" t="s">
        <v>766</v>
      </c>
      <c r="R1457" s="1" t="s">
        <v>4730</v>
      </c>
      <c r="S1457" s="1" t="s">
        <v>4827</v>
      </c>
      <c r="T1457" s="1" t="s">
        <v>222</v>
      </c>
      <c r="U1457" s="1" t="s">
        <v>2102</v>
      </c>
    </row>
    <row r="1458" customFormat="false" ht="48" hidden="false" customHeight="true" outlineLevel="0" collapsed="false">
      <c r="A1458" s="1" t="s">
        <v>41</v>
      </c>
      <c r="B1458" s="1" t="s">
        <v>3712</v>
      </c>
      <c r="C1458" s="1" t="s">
        <v>111</v>
      </c>
      <c r="D1458" s="1" t="s">
        <v>1425</v>
      </c>
      <c r="E1458" s="1" t="n">
        <v>32</v>
      </c>
      <c r="F1458" s="1" t="s">
        <v>4828</v>
      </c>
      <c r="G1458" s="1" t="s">
        <v>1451</v>
      </c>
      <c r="H1458" s="1" t="s">
        <v>4829</v>
      </c>
      <c r="I1458" s="1" t="s">
        <v>299</v>
      </c>
      <c r="J1458" s="1" t="s">
        <v>219</v>
      </c>
      <c r="K1458" s="1" t="n">
        <v>34.99</v>
      </c>
      <c r="L1458" s="1" t="n">
        <v>4.6</v>
      </c>
      <c r="M1458" s="1" t="n">
        <v>43700</v>
      </c>
      <c r="N1458" s="4" t="b">
        <f aca="false">FALSE()</f>
        <v>0</v>
      </c>
      <c r="P1458" s="4" t="b">
        <f aca="false">TRUE()</f>
        <v>1</v>
      </c>
      <c r="Q1458" s="1" t="s">
        <v>711</v>
      </c>
      <c r="R1458" s="1" t="s">
        <v>4730</v>
      </c>
      <c r="S1458" s="1" t="s">
        <v>4830</v>
      </c>
      <c r="T1458" s="1" t="s">
        <v>222</v>
      </c>
      <c r="U1458" s="1" t="s">
        <v>2102</v>
      </c>
    </row>
    <row r="1459" customFormat="false" ht="48" hidden="false" customHeight="true" outlineLevel="0" collapsed="false">
      <c r="A1459" s="1" t="s">
        <v>41</v>
      </c>
      <c r="B1459" s="1" t="s">
        <v>3712</v>
      </c>
      <c r="C1459" s="1" t="s">
        <v>111</v>
      </c>
      <c r="D1459" s="1" t="s">
        <v>1425</v>
      </c>
      <c r="E1459" s="1" t="n">
        <v>33</v>
      </c>
      <c r="F1459" s="1" t="s">
        <v>4831</v>
      </c>
      <c r="G1459" s="1" t="s">
        <v>229</v>
      </c>
      <c r="H1459" s="1" t="s">
        <v>4832</v>
      </c>
      <c r="I1459" s="1" t="s">
        <v>231</v>
      </c>
      <c r="J1459" s="1" t="s">
        <v>310</v>
      </c>
      <c r="K1459" s="1" t="n">
        <v>65.99</v>
      </c>
      <c r="L1459" s="1" t="n">
        <v>4.6</v>
      </c>
      <c r="M1459" s="1" t="n">
        <v>1400</v>
      </c>
      <c r="N1459" s="4" t="b">
        <f aca="false">FALSE()</f>
        <v>0</v>
      </c>
      <c r="O1459" s="1" t="s">
        <v>4833</v>
      </c>
      <c r="P1459" s="4" t="b">
        <f aca="false">TRUE()</f>
        <v>1</v>
      </c>
      <c r="R1459" s="1" t="s">
        <v>4730</v>
      </c>
      <c r="S1459" s="1" t="s">
        <v>4834</v>
      </c>
      <c r="T1459" s="1" t="s">
        <v>222</v>
      </c>
      <c r="U1459" s="1" t="s">
        <v>2102</v>
      </c>
    </row>
    <row r="1460" customFormat="false" ht="48" hidden="false" customHeight="true" outlineLevel="0" collapsed="false">
      <c r="A1460" s="1" t="s">
        <v>41</v>
      </c>
      <c r="B1460" s="1" t="s">
        <v>3712</v>
      </c>
      <c r="C1460" s="1" t="s">
        <v>111</v>
      </c>
      <c r="D1460" s="1" t="s">
        <v>1425</v>
      </c>
      <c r="E1460" s="1" t="n">
        <v>34</v>
      </c>
      <c r="F1460" s="1" t="s">
        <v>4835</v>
      </c>
      <c r="G1460" s="1" t="s">
        <v>236</v>
      </c>
      <c r="H1460" s="1" t="s">
        <v>4836</v>
      </c>
      <c r="I1460" s="1" t="s">
        <v>306</v>
      </c>
      <c r="J1460" s="1" t="s">
        <v>310</v>
      </c>
      <c r="K1460" s="1" t="n">
        <v>17.99</v>
      </c>
      <c r="L1460" s="1" t="n">
        <v>4.6</v>
      </c>
      <c r="M1460" s="1" t="n">
        <v>12600</v>
      </c>
      <c r="N1460" s="4" t="b">
        <f aca="false">FALSE()</f>
        <v>0</v>
      </c>
      <c r="O1460" s="1" t="s">
        <v>3935</v>
      </c>
      <c r="P1460" s="4" t="b">
        <f aca="false">TRUE()</f>
        <v>1</v>
      </c>
      <c r="Q1460" s="1" t="s">
        <v>711</v>
      </c>
      <c r="R1460" s="1" t="s">
        <v>4730</v>
      </c>
      <c r="S1460" s="1" t="s">
        <v>4837</v>
      </c>
      <c r="T1460" s="1" t="s">
        <v>222</v>
      </c>
      <c r="U1460" s="1" t="s">
        <v>2102</v>
      </c>
    </row>
    <row r="1461" customFormat="false" ht="48" hidden="false" customHeight="true" outlineLevel="0" collapsed="false">
      <c r="A1461" s="1" t="s">
        <v>41</v>
      </c>
      <c r="B1461" s="1" t="s">
        <v>3712</v>
      </c>
      <c r="C1461" s="1" t="s">
        <v>111</v>
      </c>
      <c r="D1461" s="1" t="s">
        <v>1425</v>
      </c>
      <c r="E1461" s="1" t="n">
        <v>35</v>
      </c>
      <c r="F1461" s="1" t="s">
        <v>4838</v>
      </c>
      <c r="G1461" s="1" t="s">
        <v>236</v>
      </c>
      <c r="H1461" s="1" t="s">
        <v>4839</v>
      </c>
      <c r="I1461" s="1" t="s">
        <v>218</v>
      </c>
      <c r="J1461" s="1" t="s">
        <v>310</v>
      </c>
      <c r="K1461" s="1" t="n">
        <v>22.55</v>
      </c>
      <c r="L1461" s="1" t="n">
        <v>4.3</v>
      </c>
      <c r="M1461" s="1" t="n">
        <v>129</v>
      </c>
      <c r="N1461" s="4" t="b">
        <f aca="false">FALSE()</f>
        <v>0</v>
      </c>
      <c r="P1461" s="4" t="b">
        <f aca="false">TRUE()</f>
        <v>1</v>
      </c>
      <c r="Q1461" s="1" t="s">
        <v>439</v>
      </c>
      <c r="R1461" s="1" t="s">
        <v>4730</v>
      </c>
      <c r="S1461" s="1" t="s">
        <v>4840</v>
      </c>
      <c r="T1461" s="1" t="s">
        <v>222</v>
      </c>
      <c r="U1461" s="1" t="s">
        <v>2102</v>
      </c>
    </row>
    <row r="1462" customFormat="false" ht="48" hidden="false" customHeight="true" outlineLevel="0" collapsed="false">
      <c r="A1462" s="1" t="s">
        <v>41</v>
      </c>
      <c r="B1462" s="1" t="s">
        <v>3712</v>
      </c>
      <c r="C1462" s="1" t="s">
        <v>111</v>
      </c>
      <c r="D1462" s="1" t="s">
        <v>1425</v>
      </c>
      <c r="E1462" s="1" t="n">
        <v>36</v>
      </c>
      <c r="F1462" s="1" t="s">
        <v>4841</v>
      </c>
      <c r="G1462" s="1" t="s">
        <v>236</v>
      </c>
      <c r="H1462" s="1" t="s">
        <v>4842</v>
      </c>
      <c r="I1462" s="1" t="s">
        <v>218</v>
      </c>
      <c r="J1462" s="1" t="s">
        <v>219</v>
      </c>
      <c r="K1462" s="1" t="n">
        <v>23.99</v>
      </c>
      <c r="L1462" s="1" t="n">
        <v>4.6</v>
      </c>
      <c r="M1462" s="1" t="n">
        <v>3800</v>
      </c>
      <c r="N1462" s="4" t="b">
        <f aca="false">FALSE()</f>
        <v>0</v>
      </c>
      <c r="P1462" s="4" t="b">
        <f aca="false">TRUE()</f>
        <v>1</v>
      </c>
      <c r="R1462" s="1" t="s">
        <v>4730</v>
      </c>
      <c r="S1462" s="1" t="s">
        <v>4843</v>
      </c>
      <c r="T1462" s="1" t="s">
        <v>222</v>
      </c>
      <c r="U1462" s="1" t="s">
        <v>2102</v>
      </c>
    </row>
    <row r="1463" customFormat="false" ht="48" hidden="false" customHeight="true" outlineLevel="0" collapsed="false">
      <c r="A1463" s="1" t="s">
        <v>41</v>
      </c>
      <c r="B1463" s="1" t="s">
        <v>3712</v>
      </c>
      <c r="C1463" s="1" t="s">
        <v>111</v>
      </c>
      <c r="D1463" s="1" t="s">
        <v>1425</v>
      </c>
      <c r="E1463" s="1" t="n">
        <v>37</v>
      </c>
      <c r="F1463" s="1" t="s">
        <v>4844</v>
      </c>
      <c r="G1463" s="1" t="s">
        <v>229</v>
      </c>
      <c r="H1463" s="1" t="s">
        <v>4845</v>
      </c>
      <c r="I1463" s="1" t="s">
        <v>218</v>
      </c>
      <c r="J1463" s="1" t="s">
        <v>310</v>
      </c>
      <c r="K1463" s="1" t="n">
        <v>29.99</v>
      </c>
      <c r="L1463" s="1" t="n">
        <v>4.6</v>
      </c>
      <c r="M1463" s="1" t="n">
        <v>1400</v>
      </c>
      <c r="N1463" s="4" t="b">
        <f aca="false">FALSE()</f>
        <v>0</v>
      </c>
      <c r="O1463" s="1" t="s">
        <v>4846</v>
      </c>
      <c r="P1463" s="4" t="b">
        <f aca="false">TRUE()</f>
        <v>1</v>
      </c>
      <c r="Q1463" s="1" t="s">
        <v>711</v>
      </c>
      <c r="R1463" s="1" t="s">
        <v>4730</v>
      </c>
      <c r="S1463" s="1" t="s">
        <v>4847</v>
      </c>
      <c r="T1463" s="1" t="s">
        <v>222</v>
      </c>
      <c r="U1463" s="1" t="s">
        <v>2102</v>
      </c>
    </row>
    <row r="1464" customFormat="false" ht="48" hidden="false" customHeight="true" outlineLevel="0" collapsed="false">
      <c r="A1464" s="1" t="s">
        <v>41</v>
      </c>
      <c r="B1464" s="1" t="s">
        <v>3712</v>
      </c>
      <c r="C1464" s="1" t="s">
        <v>111</v>
      </c>
      <c r="D1464" s="1" t="s">
        <v>1425</v>
      </c>
      <c r="E1464" s="1" t="n">
        <v>38</v>
      </c>
      <c r="F1464" s="1" t="s">
        <v>4848</v>
      </c>
      <c r="G1464" s="1" t="s">
        <v>236</v>
      </c>
      <c r="H1464" s="1" t="s">
        <v>4849</v>
      </c>
      <c r="I1464" s="1" t="s">
        <v>218</v>
      </c>
      <c r="J1464" s="1" t="s">
        <v>310</v>
      </c>
      <c r="L1464" s="1" t="n">
        <v>4.1</v>
      </c>
      <c r="M1464" s="1" t="n">
        <v>2400</v>
      </c>
      <c r="N1464" s="4" t="b">
        <f aca="false">FALSE()</f>
        <v>0</v>
      </c>
      <c r="P1464" s="4" t="b">
        <f aca="false">TRUE()</f>
        <v>1</v>
      </c>
      <c r="Q1464" s="1" t="s">
        <v>777</v>
      </c>
      <c r="R1464" s="1" t="s">
        <v>4730</v>
      </c>
      <c r="S1464" s="1" t="s">
        <v>4850</v>
      </c>
      <c r="T1464" s="1" t="s">
        <v>222</v>
      </c>
      <c r="U1464" s="1" t="s">
        <v>2102</v>
      </c>
    </row>
    <row r="1465" customFormat="false" ht="48" hidden="false" customHeight="true" outlineLevel="0" collapsed="false">
      <c r="A1465" s="1" t="s">
        <v>41</v>
      </c>
      <c r="B1465" s="1" t="s">
        <v>3712</v>
      </c>
      <c r="C1465" s="1" t="s">
        <v>111</v>
      </c>
      <c r="D1465" s="1" t="s">
        <v>1425</v>
      </c>
      <c r="E1465" s="1" t="n">
        <v>39</v>
      </c>
      <c r="F1465" s="1" t="s">
        <v>4851</v>
      </c>
      <c r="G1465" s="1" t="s">
        <v>236</v>
      </c>
      <c r="H1465" s="1" t="s">
        <v>4852</v>
      </c>
      <c r="I1465" s="1" t="s">
        <v>231</v>
      </c>
      <c r="J1465" s="1" t="s">
        <v>1104</v>
      </c>
      <c r="K1465" s="1" t="n">
        <v>86.95</v>
      </c>
      <c r="L1465" s="1" t="n">
        <v>5</v>
      </c>
      <c r="M1465" s="1" t="n">
        <v>41</v>
      </c>
      <c r="N1465" s="4" t="b">
        <f aca="false">FALSE()</f>
        <v>0</v>
      </c>
      <c r="O1465" s="1" t="s">
        <v>4370</v>
      </c>
      <c r="P1465" s="4" t="b">
        <f aca="false">TRUE()</f>
        <v>1</v>
      </c>
      <c r="Q1465" s="1" t="s">
        <v>251</v>
      </c>
      <c r="R1465" s="1" t="s">
        <v>4730</v>
      </c>
      <c r="S1465" s="1" t="s">
        <v>4853</v>
      </c>
      <c r="T1465" s="1" t="s">
        <v>222</v>
      </c>
      <c r="U1465" s="1" t="s">
        <v>2102</v>
      </c>
    </row>
    <row r="1466" customFormat="false" ht="48" hidden="false" customHeight="true" outlineLevel="0" collapsed="false">
      <c r="A1466" s="1" t="s">
        <v>41</v>
      </c>
      <c r="B1466" s="1" t="s">
        <v>3712</v>
      </c>
      <c r="C1466" s="1" t="s">
        <v>111</v>
      </c>
      <c r="D1466" s="1" t="s">
        <v>1425</v>
      </c>
      <c r="E1466" s="1" t="n">
        <v>40</v>
      </c>
      <c r="F1466" s="1" t="s">
        <v>4854</v>
      </c>
      <c r="G1466" s="1" t="s">
        <v>1451</v>
      </c>
      <c r="H1466" s="1" t="s">
        <v>4855</v>
      </c>
      <c r="I1466" s="1" t="s">
        <v>231</v>
      </c>
      <c r="J1466" s="1" t="s">
        <v>219</v>
      </c>
      <c r="K1466" s="1" t="n">
        <v>46.99</v>
      </c>
      <c r="L1466" s="1" t="n">
        <v>4.6</v>
      </c>
      <c r="M1466" s="1" t="n">
        <v>43700</v>
      </c>
      <c r="N1466" s="4" t="b">
        <f aca="false">FALSE()</f>
        <v>0</v>
      </c>
      <c r="P1466" s="4" t="b">
        <f aca="false">TRUE()</f>
        <v>1</v>
      </c>
      <c r="Q1466" s="1" t="s">
        <v>711</v>
      </c>
      <c r="R1466" s="1" t="s">
        <v>4730</v>
      </c>
      <c r="S1466" s="1" t="s">
        <v>4856</v>
      </c>
      <c r="T1466" s="1" t="s">
        <v>222</v>
      </c>
      <c r="U1466" s="1" t="s">
        <v>2102</v>
      </c>
    </row>
    <row r="1467" customFormat="false" ht="48" hidden="false" customHeight="true" outlineLevel="0" collapsed="false">
      <c r="A1467" s="1" t="s">
        <v>41</v>
      </c>
      <c r="B1467" s="1" t="s">
        <v>3712</v>
      </c>
      <c r="C1467" s="1" t="s">
        <v>111</v>
      </c>
      <c r="D1467" s="1" t="s">
        <v>1425</v>
      </c>
      <c r="E1467" s="1" t="n">
        <v>41</v>
      </c>
      <c r="F1467" s="1" t="s">
        <v>4857</v>
      </c>
      <c r="G1467" s="1" t="s">
        <v>236</v>
      </c>
      <c r="H1467" s="1" t="s">
        <v>4858</v>
      </c>
      <c r="I1467" s="1" t="s">
        <v>218</v>
      </c>
      <c r="J1467" s="1" t="s">
        <v>310</v>
      </c>
      <c r="K1467" s="1" t="n">
        <v>67.99</v>
      </c>
      <c r="L1467" s="1" t="n">
        <v>4.6</v>
      </c>
      <c r="M1467" s="1" t="n">
        <v>2500</v>
      </c>
      <c r="N1467" s="4" t="b">
        <f aca="false">FALSE()</f>
        <v>0</v>
      </c>
      <c r="P1467" s="4" t="b">
        <f aca="false">TRUE()</f>
        <v>1</v>
      </c>
      <c r="Q1467" s="1" t="s">
        <v>435</v>
      </c>
      <c r="R1467" s="1" t="s">
        <v>4730</v>
      </c>
      <c r="S1467" s="1" t="s">
        <v>4859</v>
      </c>
      <c r="T1467" s="1" t="s">
        <v>222</v>
      </c>
      <c r="U1467" s="1" t="s">
        <v>2102</v>
      </c>
    </row>
    <row r="1468" customFormat="false" ht="48" hidden="false" customHeight="true" outlineLevel="0" collapsed="false">
      <c r="A1468" s="1" t="s">
        <v>41</v>
      </c>
      <c r="B1468" s="1" t="s">
        <v>3712</v>
      </c>
      <c r="C1468" s="1" t="s">
        <v>111</v>
      </c>
      <c r="D1468" s="1" t="s">
        <v>1425</v>
      </c>
      <c r="E1468" s="1" t="n">
        <v>42</v>
      </c>
      <c r="F1468" s="1" t="s">
        <v>4860</v>
      </c>
      <c r="G1468" s="1" t="s">
        <v>236</v>
      </c>
      <c r="H1468" s="1" t="s">
        <v>4861</v>
      </c>
      <c r="I1468" s="1" t="s">
        <v>218</v>
      </c>
      <c r="J1468" s="1" t="s">
        <v>310</v>
      </c>
      <c r="K1468" s="1" t="n">
        <v>52.94</v>
      </c>
      <c r="L1468" s="1" t="n">
        <v>4.2</v>
      </c>
      <c r="M1468" s="1" t="n">
        <v>1100</v>
      </c>
      <c r="N1468" s="4" t="b">
        <f aca="false">FALSE()</f>
        <v>0</v>
      </c>
      <c r="P1468" s="4" t="b">
        <f aca="false">TRUE()</f>
        <v>1</v>
      </c>
      <c r="Q1468" s="1" t="s">
        <v>711</v>
      </c>
      <c r="R1468" s="1" t="s">
        <v>4730</v>
      </c>
      <c r="S1468" s="1" t="s">
        <v>4862</v>
      </c>
      <c r="T1468" s="1" t="s">
        <v>222</v>
      </c>
      <c r="U1468" s="1" t="s">
        <v>2102</v>
      </c>
    </row>
    <row r="1469" customFormat="false" ht="48" hidden="false" customHeight="true" outlineLevel="0" collapsed="false">
      <c r="A1469" s="1" t="s">
        <v>41</v>
      </c>
      <c r="B1469" s="1" t="s">
        <v>3712</v>
      </c>
      <c r="C1469" s="1" t="s">
        <v>111</v>
      </c>
      <c r="D1469" s="1" t="s">
        <v>1425</v>
      </c>
      <c r="E1469" s="1" t="n">
        <v>43</v>
      </c>
      <c r="F1469" s="1" t="s">
        <v>4863</v>
      </c>
      <c r="G1469" s="1" t="s">
        <v>236</v>
      </c>
      <c r="H1469" s="1" t="s">
        <v>4864</v>
      </c>
      <c r="I1469" s="1" t="s">
        <v>306</v>
      </c>
      <c r="J1469" s="1" t="s">
        <v>310</v>
      </c>
      <c r="K1469" s="1" t="n">
        <v>29.99</v>
      </c>
      <c r="L1469" s="1" t="n">
        <v>4.7</v>
      </c>
      <c r="M1469" s="1" t="n">
        <v>10000</v>
      </c>
      <c r="N1469" s="4" t="b">
        <f aca="false">FALSE()</f>
        <v>0</v>
      </c>
      <c r="P1469" s="4" t="b">
        <f aca="false">TRUE()</f>
        <v>1</v>
      </c>
      <c r="Q1469" s="1" t="s">
        <v>423</v>
      </c>
      <c r="R1469" s="1" t="s">
        <v>4730</v>
      </c>
      <c r="S1469" s="1" t="s">
        <v>4865</v>
      </c>
      <c r="T1469" s="1" t="s">
        <v>222</v>
      </c>
      <c r="U1469" s="1" t="s">
        <v>2102</v>
      </c>
    </row>
    <row r="1470" customFormat="false" ht="48" hidden="false" customHeight="true" outlineLevel="0" collapsed="false">
      <c r="A1470" s="1" t="s">
        <v>41</v>
      </c>
      <c r="B1470" s="1" t="s">
        <v>3712</v>
      </c>
      <c r="C1470" s="1" t="s">
        <v>111</v>
      </c>
      <c r="D1470" s="1" t="s">
        <v>1425</v>
      </c>
      <c r="E1470" s="1" t="n">
        <v>44</v>
      </c>
      <c r="F1470" s="1" t="s">
        <v>4866</v>
      </c>
      <c r="G1470" s="1" t="s">
        <v>4733</v>
      </c>
      <c r="H1470" s="1" t="s">
        <v>4867</v>
      </c>
      <c r="I1470" s="1" t="s">
        <v>289</v>
      </c>
      <c r="J1470" s="1" t="s">
        <v>310</v>
      </c>
      <c r="K1470" s="1" t="n">
        <v>29.99</v>
      </c>
      <c r="L1470" s="1" t="n">
        <v>4.6</v>
      </c>
      <c r="M1470" s="1" t="n">
        <v>280600</v>
      </c>
      <c r="N1470" s="4" t="b">
        <f aca="false">FALSE()</f>
        <v>0</v>
      </c>
      <c r="O1470" s="1" t="s">
        <v>4868</v>
      </c>
      <c r="P1470" s="4" t="b">
        <f aca="false">TRUE()</f>
        <v>1</v>
      </c>
      <c r="Q1470" s="1" t="s">
        <v>1840</v>
      </c>
      <c r="R1470" s="1" t="s">
        <v>4730</v>
      </c>
      <c r="S1470" s="1" t="s">
        <v>4869</v>
      </c>
      <c r="T1470" s="1" t="s">
        <v>222</v>
      </c>
      <c r="U1470" s="1" t="s">
        <v>2102</v>
      </c>
    </row>
    <row r="1471" customFormat="false" ht="48" hidden="false" customHeight="true" outlineLevel="0" collapsed="false">
      <c r="A1471" s="1" t="s">
        <v>41</v>
      </c>
      <c r="B1471" s="1" t="s">
        <v>3712</v>
      </c>
      <c r="C1471" s="1" t="s">
        <v>111</v>
      </c>
      <c r="D1471" s="1" t="s">
        <v>1425</v>
      </c>
      <c r="E1471" s="1" t="n">
        <v>45</v>
      </c>
      <c r="F1471" s="1" t="s">
        <v>4870</v>
      </c>
      <c r="G1471" s="1" t="s">
        <v>236</v>
      </c>
      <c r="H1471" s="1" t="s">
        <v>4871</v>
      </c>
      <c r="I1471" s="1" t="s">
        <v>218</v>
      </c>
      <c r="J1471" s="1" t="s">
        <v>597</v>
      </c>
      <c r="K1471" s="1" t="n">
        <v>39.99</v>
      </c>
      <c r="L1471" s="1" t="n">
        <v>4.4</v>
      </c>
      <c r="M1471" s="1" t="n">
        <v>3000</v>
      </c>
      <c r="N1471" s="4" t="b">
        <f aca="false">FALSE()</f>
        <v>0</v>
      </c>
      <c r="P1471" s="4" t="b">
        <f aca="false">TRUE()</f>
        <v>1</v>
      </c>
      <c r="Q1471" s="1" t="s">
        <v>451</v>
      </c>
      <c r="R1471" s="1" t="s">
        <v>4730</v>
      </c>
      <c r="S1471" s="1" t="s">
        <v>4872</v>
      </c>
      <c r="T1471" s="1" t="s">
        <v>222</v>
      </c>
      <c r="U1471" s="1" t="s">
        <v>2102</v>
      </c>
    </row>
    <row r="1472" customFormat="false" ht="48" hidden="false" customHeight="true" outlineLevel="0" collapsed="false">
      <c r="A1472" s="1" t="s">
        <v>41</v>
      </c>
      <c r="B1472" s="1" t="s">
        <v>3712</v>
      </c>
      <c r="C1472" s="1" t="s">
        <v>111</v>
      </c>
      <c r="D1472" s="1" t="s">
        <v>1425</v>
      </c>
      <c r="E1472" s="1" t="n">
        <v>46</v>
      </c>
      <c r="F1472" s="1" t="s">
        <v>4873</v>
      </c>
      <c r="G1472" s="1" t="s">
        <v>1451</v>
      </c>
      <c r="H1472" s="1" t="s">
        <v>4874</v>
      </c>
      <c r="I1472" s="1" t="s">
        <v>289</v>
      </c>
      <c r="J1472" s="1" t="s">
        <v>219</v>
      </c>
      <c r="K1472" s="1" t="n">
        <v>29.99</v>
      </c>
      <c r="L1472" s="1" t="n">
        <v>4.6</v>
      </c>
      <c r="M1472" s="1" t="n">
        <v>43700</v>
      </c>
      <c r="N1472" s="4" t="b">
        <f aca="false">FALSE()</f>
        <v>0</v>
      </c>
      <c r="O1472" s="1" t="s">
        <v>3980</v>
      </c>
      <c r="P1472" s="4" t="b">
        <f aca="false">TRUE()</f>
        <v>1</v>
      </c>
      <c r="Q1472" s="1" t="s">
        <v>312</v>
      </c>
      <c r="R1472" s="1" t="s">
        <v>4730</v>
      </c>
      <c r="S1472" s="1" t="s">
        <v>4875</v>
      </c>
      <c r="T1472" s="1" t="s">
        <v>222</v>
      </c>
      <c r="U1472" s="1" t="s">
        <v>2102</v>
      </c>
    </row>
    <row r="1473" customFormat="false" ht="48" hidden="false" customHeight="true" outlineLevel="0" collapsed="false">
      <c r="A1473" s="1" t="s">
        <v>41</v>
      </c>
      <c r="B1473" s="1" t="s">
        <v>3712</v>
      </c>
      <c r="C1473" s="1" t="s">
        <v>111</v>
      </c>
      <c r="D1473" s="1" t="s">
        <v>1425</v>
      </c>
      <c r="E1473" s="1" t="n">
        <v>47</v>
      </c>
      <c r="F1473" s="1" t="s">
        <v>4876</v>
      </c>
      <c r="G1473" s="1" t="s">
        <v>236</v>
      </c>
      <c r="H1473" s="1" t="s">
        <v>4877</v>
      </c>
      <c r="I1473" s="1" t="s">
        <v>289</v>
      </c>
      <c r="J1473" s="1" t="s">
        <v>310</v>
      </c>
      <c r="K1473" s="1" t="n">
        <v>11.99</v>
      </c>
      <c r="L1473" s="1" t="n">
        <v>3.6</v>
      </c>
      <c r="M1473" s="1" t="n">
        <v>31700</v>
      </c>
      <c r="N1473" s="4" t="b">
        <f aca="false">FALSE()</f>
        <v>0</v>
      </c>
      <c r="P1473" s="4" t="b">
        <f aca="false">TRUE()</f>
        <v>1</v>
      </c>
      <c r="Q1473" s="1" t="s">
        <v>1840</v>
      </c>
      <c r="R1473" s="1" t="s">
        <v>4730</v>
      </c>
      <c r="S1473" s="1" t="s">
        <v>4878</v>
      </c>
      <c r="T1473" s="1" t="s">
        <v>222</v>
      </c>
      <c r="U1473" s="1" t="s">
        <v>2102</v>
      </c>
    </row>
    <row r="1474" customFormat="false" ht="48" hidden="false" customHeight="true" outlineLevel="0" collapsed="false">
      <c r="A1474" s="1" t="s">
        <v>41</v>
      </c>
      <c r="B1474" s="1" t="s">
        <v>3712</v>
      </c>
      <c r="C1474" s="1" t="s">
        <v>111</v>
      </c>
      <c r="D1474" s="1" t="s">
        <v>1425</v>
      </c>
      <c r="E1474" s="1" t="n">
        <v>48</v>
      </c>
      <c r="F1474" s="1" t="s">
        <v>4879</v>
      </c>
      <c r="G1474" s="1" t="s">
        <v>236</v>
      </c>
      <c r="H1474" s="1" t="s">
        <v>4880</v>
      </c>
      <c r="I1474" s="1" t="s">
        <v>306</v>
      </c>
      <c r="J1474" s="1" t="s">
        <v>310</v>
      </c>
      <c r="K1474" s="1" t="n">
        <v>29.98</v>
      </c>
      <c r="L1474" s="1" t="n">
        <v>4.6</v>
      </c>
      <c r="M1474" s="1" t="n">
        <v>3200</v>
      </c>
      <c r="N1474" s="4" t="b">
        <f aca="false">FALSE()</f>
        <v>0</v>
      </c>
      <c r="O1474" s="1" t="s">
        <v>1013</v>
      </c>
      <c r="P1474" s="4" t="b">
        <f aca="false">TRUE()</f>
        <v>1</v>
      </c>
      <c r="Q1474" s="1" t="s">
        <v>711</v>
      </c>
      <c r="R1474" s="1" t="s">
        <v>4730</v>
      </c>
      <c r="S1474" s="1" t="s">
        <v>4881</v>
      </c>
      <c r="T1474" s="1" t="s">
        <v>222</v>
      </c>
      <c r="U1474" s="1" t="s">
        <v>2102</v>
      </c>
    </row>
    <row r="1475" customFormat="false" ht="48" hidden="false" customHeight="true" outlineLevel="0" collapsed="false">
      <c r="A1475" s="1" t="s">
        <v>41</v>
      </c>
      <c r="B1475" s="1" t="s">
        <v>3712</v>
      </c>
      <c r="C1475" s="1" t="s">
        <v>102</v>
      </c>
      <c r="D1475" s="1" t="s">
        <v>1586</v>
      </c>
      <c r="E1475" s="1" t="n">
        <v>1</v>
      </c>
      <c r="F1475" s="1" t="s">
        <v>4882</v>
      </c>
      <c r="G1475" s="1" t="s">
        <v>236</v>
      </c>
      <c r="H1475" s="1" t="s">
        <v>4883</v>
      </c>
      <c r="I1475" s="1" t="s">
        <v>231</v>
      </c>
      <c r="J1475" s="1" t="s">
        <v>597</v>
      </c>
      <c r="K1475" s="1" t="n">
        <v>84.86</v>
      </c>
      <c r="L1475" s="1" t="n">
        <v>4.5</v>
      </c>
      <c r="M1475" s="1" t="n">
        <v>370</v>
      </c>
      <c r="N1475" s="4" t="b">
        <f aca="false">TRUE()</f>
        <v>1</v>
      </c>
      <c r="P1475" s="4" t="b">
        <f aca="false">TRUE()</f>
        <v>1</v>
      </c>
      <c r="Q1475" s="1" t="s">
        <v>233</v>
      </c>
      <c r="R1475" s="1" t="s">
        <v>4884</v>
      </c>
      <c r="S1475" s="1" t="s">
        <v>4885</v>
      </c>
      <c r="T1475" s="1" t="s">
        <v>222</v>
      </c>
      <c r="U1475" s="1" t="s">
        <v>2102</v>
      </c>
    </row>
    <row r="1476" customFormat="false" ht="48" hidden="false" customHeight="true" outlineLevel="0" collapsed="false">
      <c r="A1476" s="1" t="s">
        <v>41</v>
      </c>
      <c r="B1476" s="1" t="s">
        <v>3712</v>
      </c>
      <c r="C1476" s="1" t="s">
        <v>102</v>
      </c>
      <c r="D1476" s="1" t="s">
        <v>1586</v>
      </c>
      <c r="E1476" s="1" t="n">
        <v>2</v>
      </c>
      <c r="F1476" s="1" t="s">
        <v>4886</v>
      </c>
      <c r="G1476" s="1" t="s">
        <v>236</v>
      </c>
      <c r="H1476" s="1" t="s">
        <v>4887</v>
      </c>
      <c r="I1476" s="1" t="s">
        <v>218</v>
      </c>
      <c r="J1476" s="1" t="s">
        <v>597</v>
      </c>
      <c r="K1476" s="1" t="n">
        <v>69.99</v>
      </c>
      <c r="L1476" s="1" t="n">
        <v>4.4</v>
      </c>
      <c r="M1476" s="1" t="n">
        <v>696</v>
      </c>
      <c r="N1476" s="4" t="b">
        <f aca="false">TRUE()</f>
        <v>1</v>
      </c>
      <c r="P1476" s="4" t="b">
        <f aca="false">TRUE()</f>
        <v>1</v>
      </c>
      <c r="Q1476" s="1" t="s">
        <v>233</v>
      </c>
      <c r="R1476" s="1" t="s">
        <v>4884</v>
      </c>
      <c r="S1476" s="1" t="s">
        <v>4888</v>
      </c>
      <c r="T1476" s="1" t="s">
        <v>222</v>
      </c>
      <c r="U1476" s="1" t="s">
        <v>2102</v>
      </c>
    </row>
    <row r="1477" customFormat="false" ht="48" hidden="false" customHeight="true" outlineLevel="0" collapsed="false">
      <c r="A1477" s="1" t="s">
        <v>41</v>
      </c>
      <c r="B1477" s="1" t="s">
        <v>3712</v>
      </c>
      <c r="C1477" s="1" t="s">
        <v>102</v>
      </c>
      <c r="D1477" s="1" t="s">
        <v>1586</v>
      </c>
      <c r="E1477" s="1" t="n">
        <v>3</v>
      </c>
      <c r="F1477" s="1" t="s">
        <v>4889</v>
      </c>
      <c r="G1477" s="1" t="s">
        <v>236</v>
      </c>
      <c r="H1477" s="1" t="s">
        <v>4890</v>
      </c>
      <c r="I1477" s="1" t="s">
        <v>218</v>
      </c>
      <c r="J1477" s="1" t="s">
        <v>597</v>
      </c>
      <c r="K1477" s="1" t="n">
        <v>119.99</v>
      </c>
      <c r="L1477" s="1" t="n">
        <v>4.4</v>
      </c>
      <c r="M1477" s="1" t="n">
        <v>413</v>
      </c>
      <c r="N1477" s="4" t="b">
        <f aca="false">TRUE()</f>
        <v>1</v>
      </c>
      <c r="O1477" s="1" t="s">
        <v>3725</v>
      </c>
      <c r="P1477" s="4" t="b">
        <f aca="false">TRUE()</f>
        <v>1</v>
      </c>
      <c r="R1477" s="1" t="s">
        <v>4884</v>
      </c>
      <c r="S1477" s="1" t="s">
        <v>4891</v>
      </c>
      <c r="T1477" s="1" t="s">
        <v>222</v>
      </c>
      <c r="U1477" s="1" t="s">
        <v>2102</v>
      </c>
    </row>
    <row r="1478" customFormat="false" ht="48" hidden="false" customHeight="true" outlineLevel="0" collapsed="false">
      <c r="A1478" s="1" t="s">
        <v>41</v>
      </c>
      <c r="B1478" s="1" t="s">
        <v>3712</v>
      </c>
      <c r="C1478" s="1" t="s">
        <v>102</v>
      </c>
      <c r="D1478" s="1" t="s">
        <v>1586</v>
      </c>
      <c r="E1478" s="1" t="n">
        <v>4</v>
      </c>
      <c r="F1478" s="1" t="s">
        <v>4892</v>
      </c>
      <c r="G1478" s="1" t="s">
        <v>236</v>
      </c>
      <c r="H1478" s="1" t="s">
        <v>4893</v>
      </c>
      <c r="I1478" s="1" t="s">
        <v>378</v>
      </c>
      <c r="J1478" s="1" t="s">
        <v>597</v>
      </c>
      <c r="K1478" s="1" t="n">
        <v>118.99</v>
      </c>
      <c r="L1478" s="1" t="n">
        <v>4.5</v>
      </c>
      <c r="M1478" s="1" t="n">
        <v>276</v>
      </c>
      <c r="N1478" s="4" t="b">
        <f aca="false">TRUE()</f>
        <v>1</v>
      </c>
      <c r="P1478" s="4" t="b">
        <f aca="false">TRUE()</f>
        <v>1</v>
      </c>
      <c r="R1478" s="1" t="s">
        <v>4884</v>
      </c>
      <c r="S1478" s="1" t="s">
        <v>4894</v>
      </c>
      <c r="T1478" s="1" t="s">
        <v>222</v>
      </c>
      <c r="U1478" s="1" t="s">
        <v>2102</v>
      </c>
    </row>
    <row r="1479" customFormat="false" ht="48" hidden="false" customHeight="true" outlineLevel="0" collapsed="false">
      <c r="A1479" s="1" t="s">
        <v>41</v>
      </c>
      <c r="B1479" s="1" t="s">
        <v>3712</v>
      </c>
      <c r="C1479" s="1" t="s">
        <v>102</v>
      </c>
      <c r="D1479" s="1" t="s">
        <v>1586</v>
      </c>
      <c r="E1479" s="1" t="n">
        <v>5</v>
      </c>
      <c r="F1479" s="1" t="s">
        <v>1626</v>
      </c>
      <c r="G1479" s="1" t="s">
        <v>236</v>
      </c>
      <c r="H1479" s="1" t="s">
        <v>1627</v>
      </c>
      <c r="I1479" s="1" t="s">
        <v>231</v>
      </c>
      <c r="J1479" s="1" t="s">
        <v>597</v>
      </c>
      <c r="K1479" s="1" t="n">
        <v>99.99</v>
      </c>
      <c r="L1479" s="1" t="n">
        <v>4.4</v>
      </c>
      <c r="M1479" s="1" t="n">
        <v>487</v>
      </c>
      <c r="N1479" s="4" t="b">
        <f aca="false">FALSE()</f>
        <v>0</v>
      </c>
      <c r="O1479" s="1" t="s">
        <v>1147</v>
      </c>
      <c r="P1479" s="4" t="b">
        <f aca="false">TRUE()</f>
        <v>1</v>
      </c>
      <c r="Q1479" s="1" t="s">
        <v>618</v>
      </c>
      <c r="R1479" s="1" t="s">
        <v>4884</v>
      </c>
      <c r="S1479" s="1" t="s">
        <v>4101</v>
      </c>
      <c r="T1479" s="1" t="s">
        <v>222</v>
      </c>
      <c r="U1479" s="1" t="s">
        <v>2102</v>
      </c>
    </row>
    <row r="1480" customFormat="false" ht="48" hidden="false" customHeight="true" outlineLevel="0" collapsed="false">
      <c r="A1480" s="1" t="s">
        <v>41</v>
      </c>
      <c r="B1480" s="1" t="s">
        <v>3712</v>
      </c>
      <c r="C1480" s="1" t="s">
        <v>102</v>
      </c>
      <c r="D1480" s="1" t="s">
        <v>1586</v>
      </c>
      <c r="E1480" s="1" t="n">
        <v>6</v>
      </c>
      <c r="F1480" s="1" t="s">
        <v>1729</v>
      </c>
      <c r="G1480" s="1" t="s">
        <v>236</v>
      </c>
      <c r="H1480" s="1" t="s">
        <v>4895</v>
      </c>
      <c r="I1480" s="1" t="s">
        <v>218</v>
      </c>
      <c r="J1480" s="1" t="s">
        <v>597</v>
      </c>
      <c r="K1480" s="1" t="n">
        <v>72.99</v>
      </c>
      <c r="L1480" s="1" t="n">
        <v>4.5</v>
      </c>
      <c r="M1480" s="1" t="n">
        <v>1700</v>
      </c>
      <c r="N1480" s="4" t="b">
        <f aca="false">FALSE()</f>
        <v>0</v>
      </c>
      <c r="P1480" s="4" t="b">
        <f aca="false">TRUE()</f>
        <v>1</v>
      </c>
      <c r="Q1480" s="1" t="s">
        <v>435</v>
      </c>
      <c r="R1480" s="1" t="s">
        <v>4884</v>
      </c>
      <c r="S1480" s="1" t="s">
        <v>4896</v>
      </c>
      <c r="T1480" s="1" t="s">
        <v>222</v>
      </c>
      <c r="U1480" s="1" t="s">
        <v>2102</v>
      </c>
    </row>
    <row r="1481" customFormat="false" ht="48" hidden="false" customHeight="true" outlineLevel="0" collapsed="false">
      <c r="A1481" s="1" t="s">
        <v>41</v>
      </c>
      <c r="B1481" s="1" t="s">
        <v>3712</v>
      </c>
      <c r="C1481" s="1" t="s">
        <v>102</v>
      </c>
      <c r="D1481" s="1" t="s">
        <v>1586</v>
      </c>
      <c r="E1481" s="1" t="n">
        <v>7</v>
      </c>
      <c r="F1481" s="1" t="s">
        <v>4897</v>
      </c>
      <c r="G1481" s="1" t="s">
        <v>236</v>
      </c>
      <c r="H1481" s="1" t="s">
        <v>4898</v>
      </c>
      <c r="I1481" s="1" t="s">
        <v>218</v>
      </c>
      <c r="J1481" s="1" t="s">
        <v>597</v>
      </c>
      <c r="K1481" s="1" t="n">
        <v>135.99</v>
      </c>
      <c r="L1481" s="1" t="n">
        <v>4.7</v>
      </c>
      <c r="M1481" s="1" t="n">
        <v>7</v>
      </c>
      <c r="N1481" s="4" t="b">
        <f aca="false">FALSE()</f>
        <v>0</v>
      </c>
      <c r="P1481" s="4" t="b">
        <f aca="false">TRUE()</f>
        <v>1</v>
      </c>
      <c r="R1481" s="1" t="s">
        <v>4884</v>
      </c>
      <c r="S1481" s="1" t="s">
        <v>4899</v>
      </c>
      <c r="T1481" s="1" t="s">
        <v>222</v>
      </c>
      <c r="U1481" s="1" t="s">
        <v>2102</v>
      </c>
    </row>
    <row r="1482" customFormat="false" ht="48" hidden="false" customHeight="true" outlineLevel="0" collapsed="false">
      <c r="A1482" s="1" t="s">
        <v>41</v>
      </c>
      <c r="B1482" s="1" t="s">
        <v>3712</v>
      </c>
      <c r="C1482" s="1" t="s">
        <v>102</v>
      </c>
      <c r="D1482" s="1" t="s">
        <v>1586</v>
      </c>
      <c r="E1482" s="1" t="n">
        <v>8</v>
      </c>
      <c r="F1482" s="1" t="s">
        <v>4900</v>
      </c>
      <c r="G1482" s="1" t="s">
        <v>1707</v>
      </c>
      <c r="H1482" s="1" t="s">
        <v>4901</v>
      </c>
      <c r="I1482" s="1" t="s">
        <v>218</v>
      </c>
      <c r="J1482" s="1" t="s">
        <v>597</v>
      </c>
      <c r="K1482" s="1" t="n">
        <v>47.99</v>
      </c>
      <c r="L1482" s="1" t="n">
        <v>4.4</v>
      </c>
      <c r="M1482" s="1" t="n">
        <v>144</v>
      </c>
      <c r="N1482" s="4" t="b">
        <f aca="false">FALSE()</f>
        <v>0</v>
      </c>
      <c r="O1482" s="1" t="s">
        <v>4902</v>
      </c>
      <c r="P1482" s="4" t="b">
        <f aca="false">TRUE()</f>
        <v>1</v>
      </c>
      <c r="Q1482" s="1" t="s">
        <v>451</v>
      </c>
      <c r="R1482" s="1" t="s">
        <v>4884</v>
      </c>
      <c r="S1482" s="1" t="s">
        <v>4903</v>
      </c>
      <c r="T1482" s="1" t="s">
        <v>222</v>
      </c>
      <c r="U1482" s="1" t="s">
        <v>2102</v>
      </c>
    </row>
    <row r="1483" customFormat="false" ht="48" hidden="false" customHeight="true" outlineLevel="0" collapsed="false">
      <c r="A1483" s="1" t="s">
        <v>41</v>
      </c>
      <c r="B1483" s="1" t="s">
        <v>3712</v>
      </c>
      <c r="C1483" s="1" t="s">
        <v>102</v>
      </c>
      <c r="D1483" s="1" t="s">
        <v>1586</v>
      </c>
      <c r="E1483" s="1" t="n">
        <v>9</v>
      </c>
      <c r="F1483" s="1" t="s">
        <v>4904</v>
      </c>
      <c r="G1483" s="1" t="s">
        <v>236</v>
      </c>
      <c r="H1483" s="1" t="s">
        <v>4905</v>
      </c>
      <c r="I1483" s="1" t="s">
        <v>218</v>
      </c>
      <c r="J1483" s="1" t="s">
        <v>597</v>
      </c>
      <c r="K1483" s="1" t="n">
        <v>69.99</v>
      </c>
      <c r="L1483" s="1" t="n">
        <v>4.5</v>
      </c>
      <c r="M1483" s="1" t="n">
        <v>3600</v>
      </c>
      <c r="N1483" s="4" t="b">
        <f aca="false">FALSE()</f>
        <v>0</v>
      </c>
      <c r="P1483" s="4" t="b">
        <f aca="false">TRUE()</f>
        <v>1</v>
      </c>
      <c r="Q1483" s="1" t="s">
        <v>435</v>
      </c>
      <c r="R1483" s="1" t="s">
        <v>4884</v>
      </c>
      <c r="S1483" s="1" t="s">
        <v>4906</v>
      </c>
      <c r="T1483" s="1" t="s">
        <v>222</v>
      </c>
      <c r="U1483" s="1" t="s">
        <v>2102</v>
      </c>
    </row>
    <row r="1484" customFormat="false" ht="48" hidden="false" customHeight="true" outlineLevel="0" collapsed="false">
      <c r="A1484" s="1" t="s">
        <v>41</v>
      </c>
      <c r="B1484" s="1" t="s">
        <v>3712</v>
      </c>
      <c r="C1484" s="1" t="s">
        <v>102</v>
      </c>
      <c r="D1484" s="1" t="s">
        <v>1586</v>
      </c>
      <c r="E1484" s="1" t="n">
        <v>10</v>
      </c>
      <c r="F1484" s="1" t="s">
        <v>4907</v>
      </c>
      <c r="G1484" s="1" t="s">
        <v>236</v>
      </c>
      <c r="H1484" s="1" t="s">
        <v>4908</v>
      </c>
      <c r="I1484" s="1" t="s">
        <v>218</v>
      </c>
      <c r="J1484" s="1" t="s">
        <v>597</v>
      </c>
      <c r="K1484" s="1" t="n">
        <v>72.99</v>
      </c>
      <c r="L1484" s="1" t="n">
        <v>4.4</v>
      </c>
      <c r="M1484" s="1" t="n">
        <v>1300</v>
      </c>
      <c r="N1484" s="4" t="b">
        <f aca="false">FALSE()</f>
        <v>0</v>
      </c>
      <c r="P1484" s="4" t="b">
        <f aca="false">TRUE()</f>
        <v>1</v>
      </c>
      <c r="Q1484" s="1" t="s">
        <v>233</v>
      </c>
      <c r="R1484" s="1" t="s">
        <v>4884</v>
      </c>
      <c r="S1484" s="1" t="s">
        <v>4909</v>
      </c>
      <c r="T1484" s="1" t="s">
        <v>222</v>
      </c>
      <c r="U1484" s="1" t="s">
        <v>2102</v>
      </c>
    </row>
    <row r="1485" customFormat="false" ht="48" hidden="false" customHeight="true" outlineLevel="0" collapsed="false">
      <c r="A1485" s="1" t="s">
        <v>41</v>
      </c>
      <c r="B1485" s="1" t="s">
        <v>3712</v>
      </c>
      <c r="C1485" s="1" t="s">
        <v>102</v>
      </c>
      <c r="D1485" s="1" t="s">
        <v>1586</v>
      </c>
      <c r="E1485" s="1" t="n">
        <v>11</v>
      </c>
      <c r="F1485" s="1" t="s">
        <v>4910</v>
      </c>
      <c r="G1485" s="1" t="s">
        <v>236</v>
      </c>
      <c r="H1485" s="1" t="s">
        <v>4911</v>
      </c>
      <c r="I1485" s="1" t="s">
        <v>289</v>
      </c>
      <c r="J1485" s="1" t="s">
        <v>597</v>
      </c>
      <c r="K1485" s="1" t="n">
        <v>33.24</v>
      </c>
      <c r="L1485" s="1" t="n">
        <v>4.5</v>
      </c>
      <c r="M1485" s="1" t="n">
        <v>273</v>
      </c>
      <c r="N1485" s="4" t="b">
        <f aca="false">TRUE()</f>
        <v>1</v>
      </c>
      <c r="P1485" s="4" t="b">
        <f aca="false">TRUE()</f>
        <v>1</v>
      </c>
      <c r="Q1485" s="1" t="s">
        <v>233</v>
      </c>
      <c r="R1485" s="1" t="s">
        <v>4884</v>
      </c>
      <c r="S1485" s="1" t="s">
        <v>4912</v>
      </c>
      <c r="T1485" s="1" t="s">
        <v>222</v>
      </c>
      <c r="U1485" s="1" t="s">
        <v>2102</v>
      </c>
    </row>
    <row r="1486" customFormat="false" ht="48" hidden="false" customHeight="true" outlineLevel="0" collapsed="false">
      <c r="A1486" s="1" t="s">
        <v>41</v>
      </c>
      <c r="B1486" s="1" t="s">
        <v>3712</v>
      </c>
      <c r="C1486" s="1" t="s">
        <v>102</v>
      </c>
      <c r="D1486" s="1" t="s">
        <v>1586</v>
      </c>
      <c r="E1486" s="1" t="n">
        <v>12</v>
      </c>
      <c r="F1486" s="1" t="s">
        <v>4913</v>
      </c>
      <c r="G1486" s="1" t="s">
        <v>236</v>
      </c>
      <c r="H1486" s="1" t="s">
        <v>4914</v>
      </c>
      <c r="I1486" s="1" t="s">
        <v>231</v>
      </c>
      <c r="J1486" s="1" t="s">
        <v>597</v>
      </c>
      <c r="K1486" s="1" t="n">
        <v>74.99</v>
      </c>
      <c r="L1486" s="1" t="n">
        <v>4.5</v>
      </c>
      <c r="M1486" s="1" t="n">
        <v>3600</v>
      </c>
      <c r="N1486" s="4" t="b">
        <f aca="false">TRUE()</f>
        <v>1</v>
      </c>
      <c r="P1486" s="4" t="b">
        <f aca="false">TRUE()</f>
        <v>1</v>
      </c>
      <c r="Q1486" s="1" t="s">
        <v>251</v>
      </c>
      <c r="R1486" s="1" t="s">
        <v>4884</v>
      </c>
      <c r="S1486" s="1" t="s">
        <v>4915</v>
      </c>
      <c r="T1486" s="1" t="s">
        <v>222</v>
      </c>
      <c r="U1486" s="1" t="s">
        <v>2102</v>
      </c>
    </row>
    <row r="1487" customFormat="false" ht="48" hidden="false" customHeight="true" outlineLevel="0" collapsed="false">
      <c r="A1487" s="1" t="s">
        <v>41</v>
      </c>
      <c r="B1487" s="1" t="s">
        <v>3712</v>
      </c>
      <c r="C1487" s="1" t="s">
        <v>102</v>
      </c>
      <c r="D1487" s="1" t="s">
        <v>1586</v>
      </c>
      <c r="E1487" s="1" t="n">
        <v>13</v>
      </c>
      <c r="F1487" s="1" t="s">
        <v>4916</v>
      </c>
      <c r="G1487" s="1" t="s">
        <v>236</v>
      </c>
      <c r="H1487" s="1" t="s">
        <v>4917</v>
      </c>
      <c r="I1487" s="1" t="s">
        <v>231</v>
      </c>
      <c r="J1487" s="1" t="s">
        <v>597</v>
      </c>
      <c r="K1487" s="1" t="n">
        <v>62.99</v>
      </c>
      <c r="L1487" s="1" t="n">
        <v>4.4</v>
      </c>
      <c r="M1487" s="1" t="n">
        <v>211</v>
      </c>
      <c r="N1487" s="4" t="b">
        <f aca="false">TRUE()</f>
        <v>1</v>
      </c>
      <c r="P1487" s="4" t="b">
        <f aca="false">TRUE()</f>
        <v>1</v>
      </c>
      <c r="R1487" s="1" t="s">
        <v>4884</v>
      </c>
      <c r="S1487" s="1" t="s">
        <v>4918</v>
      </c>
      <c r="T1487" s="1" t="s">
        <v>222</v>
      </c>
      <c r="U1487" s="1" t="s">
        <v>2102</v>
      </c>
    </row>
    <row r="1488" customFormat="false" ht="48" hidden="false" customHeight="true" outlineLevel="0" collapsed="false">
      <c r="A1488" s="1" t="s">
        <v>41</v>
      </c>
      <c r="B1488" s="1" t="s">
        <v>3712</v>
      </c>
      <c r="C1488" s="1" t="s">
        <v>102</v>
      </c>
      <c r="D1488" s="1" t="s">
        <v>1586</v>
      </c>
      <c r="E1488" s="1" t="n">
        <v>14</v>
      </c>
      <c r="F1488" s="1" t="s">
        <v>4919</v>
      </c>
      <c r="G1488" s="1" t="s">
        <v>236</v>
      </c>
      <c r="H1488" s="1" t="s">
        <v>4920</v>
      </c>
      <c r="I1488" s="1" t="s">
        <v>289</v>
      </c>
      <c r="J1488" s="1" t="s">
        <v>597</v>
      </c>
      <c r="K1488" s="1" t="n">
        <v>36.99</v>
      </c>
      <c r="L1488" s="1" t="n">
        <v>4.6</v>
      </c>
      <c r="M1488" s="1" t="n">
        <v>449</v>
      </c>
      <c r="N1488" s="4" t="b">
        <f aca="false">TRUE()</f>
        <v>1</v>
      </c>
      <c r="P1488" s="4" t="b">
        <f aca="false">TRUE()</f>
        <v>1</v>
      </c>
      <c r="R1488" s="1" t="s">
        <v>4884</v>
      </c>
      <c r="S1488" s="1" t="s">
        <v>4921</v>
      </c>
      <c r="T1488" s="1" t="s">
        <v>222</v>
      </c>
      <c r="U1488" s="1" t="s">
        <v>2102</v>
      </c>
    </row>
    <row r="1489" customFormat="false" ht="48" hidden="false" customHeight="true" outlineLevel="0" collapsed="false">
      <c r="A1489" s="1" t="s">
        <v>41</v>
      </c>
      <c r="B1489" s="1" t="s">
        <v>3712</v>
      </c>
      <c r="C1489" s="1" t="s">
        <v>102</v>
      </c>
      <c r="D1489" s="1" t="s">
        <v>1586</v>
      </c>
      <c r="E1489" s="1" t="n">
        <v>15</v>
      </c>
      <c r="F1489" s="1" t="s">
        <v>4922</v>
      </c>
      <c r="G1489" s="1" t="s">
        <v>236</v>
      </c>
      <c r="H1489" s="1" t="s">
        <v>4923</v>
      </c>
      <c r="I1489" s="1" t="s">
        <v>218</v>
      </c>
      <c r="J1489" s="1" t="s">
        <v>597</v>
      </c>
      <c r="K1489" s="1" t="n">
        <v>69.99</v>
      </c>
      <c r="L1489" s="1" t="n">
        <v>4.4</v>
      </c>
      <c r="M1489" s="1" t="n">
        <v>696</v>
      </c>
      <c r="N1489" s="4" t="b">
        <f aca="false">FALSE()</f>
        <v>0</v>
      </c>
      <c r="P1489" s="4" t="b">
        <f aca="false">TRUE()</f>
        <v>1</v>
      </c>
      <c r="Q1489" s="1" t="s">
        <v>451</v>
      </c>
      <c r="R1489" s="1" t="s">
        <v>4884</v>
      </c>
      <c r="S1489" s="1" t="s">
        <v>4924</v>
      </c>
      <c r="T1489" s="1" t="s">
        <v>222</v>
      </c>
      <c r="U1489" s="1" t="s">
        <v>2102</v>
      </c>
    </row>
    <row r="1490" customFormat="false" ht="48" hidden="false" customHeight="true" outlineLevel="0" collapsed="false">
      <c r="A1490" s="1" t="s">
        <v>41</v>
      </c>
      <c r="B1490" s="1" t="s">
        <v>3712</v>
      </c>
      <c r="C1490" s="1" t="s">
        <v>102</v>
      </c>
      <c r="D1490" s="1" t="s">
        <v>1586</v>
      </c>
      <c r="E1490" s="1" t="n">
        <v>16</v>
      </c>
      <c r="F1490" s="1" t="s">
        <v>4925</v>
      </c>
      <c r="G1490" s="1" t="s">
        <v>236</v>
      </c>
      <c r="H1490" s="1" t="s">
        <v>4926</v>
      </c>
      <c r="I1490" s="1" t="s">
        <v>218</v>
      </c>
      <c r="J1490" s="1" t="s">
        <v>597</v>
      </c>
      <c r="K1490" s="1" t="n">
        <v>76.49</v>
      </c>
      <c r="L1490" s="1" t="n">
        <v>4.6</v>
      </c>
      <c r="M1490" s="1" t="n">
        <v>7000</v>
      </c>
      <c r="N1490" s="4" t="b">
        <f aca="false">FALSE()</f>
        <v>0</v>
      </c>
      <c r="P1490" s="4" t="b">
        <f aca="false">TRUE()</f>
        <v>1</v>
      </c>
      <c r="Q1490" s="1" t="s">
        <v>423</v>
      </c>
      <c r="R1490" s="1" t="s">
        <v>4884</v>
      </c>
      <c r="S1490" s="1" t="s">
        <v>4927</v>
      </c>
      <c r="T1490" s="1" t="s">
        <v>222</v>
      </c>
      <c r="U1490" s="1" t="s">
        <v>2102</v>
      </c>
    </row>
    <row r="1491" customFormat="false" ht="48" hidden="false" customHeight="true" outlineLevel="0" collapsed="false">
      <c r="A1491" s="1" t="s">
        <v>41</v>
      </c>
      <c r="B1491" s="1" t="s">
        <v>3712</v>
      </c>
      <c r="C1491" s="1" t="s">
        <v>102</v>
      </c>
      <c r="D1491" s="1" t="s">
        <v>1586</v>
      </c>
      <c r="E1491" s="1" t="n">
        <v>17</v>
      </c>
      <c r="F1491" s="1" t="s">
        <v>1706</v>
      </c>
      <c r="G1491" s="1" t="s">
        <v>1707</v>
      </c>
      <c r="H1491" s="1" t="s">
        <v>3979</v>
      </c>
      <c r="I1491" s="1" t="s">
        <v>218</v>
      </c>
      <c r="J1491" s="1" t="s">
        <v>310</v>
      </c>
      <c r="K1491" s="1" t="n">
        <v>26.99</v>
      </c>
      <c r="L1491" s="1" t="n">
        <v>4.6</v>
      </c>
      <c r="M1491" s="1" t="n">
        <v>9500</v>
      </c>
      <c r="N1491" s="4" t="b">
        <f aca="false">FALSE()</f>
        <v>0</v>
      </c>
      <c r="O1491" s="1" t="s">
        <v>3980</v>
      </c>
      <c r="P1491" s="4" t="b">
        <f aca="false">TRUE()</f>
        <v>1</v>
      </c>
      <c r="Q1491" s="1" t="s">
        <v>766</v>
      </c>
      <c r="R1491" s="1" t="s">
        <v>4884</v>
      </c>
      <c r="S1491" s="1" t="s">
        <v>3981</v>
      </c>
      <c r="T1491" s="1" t="s">
        <v>222</v>
      </c>
      <c r="U1491" s="1" t="s">
        <v>2102</v>
      </c>
    </row>
    <row r="1492" customFormat="false" ht="48" hidden="false" customHeight="true" outlineLevel="0" collapsed="false">
      <c r="A1492" s="1" t="s">
        <v>41</v>
      </c>
      <c r="B1492" s="1" t="s">
        <v>3712</v>
      </c>
      <c r="C1492" s="1" t="s">
        <v>102</v>
      </c>
      <c r="D1492" s="1" t="s">
        <v>1586</v>
      </c>
      <c r="E1492" s="1" t="n">
        <v>18</v>
      </c>
      <c r="F1492" s="1" t="s">
        <v>4928</v>
      </c>
      <c r="G1492" s="1" t="s">
        <v>236</v>
      </c>
      <c r="H1492" s="1" t="s">
        <v>4929</v>
      </c>
      <c r="I1492" s="1" t="s">
        <v>218</v>
      </c>
      <c r="J1492" s="1" t="s">
        <v>597</v>
      </c>
      <c r="K1492" s="1" t="n">
        <v>72.99</v>
      </c>
      <c r="L1492" s="1" t="n">
        <v>4.5</v>
      </c>
      <c r="M1492" s="1" t="n">
        <v>1700</v>
      </c>
      <c r="N1492" s="4" t="b">
        <f aca="false">FALSE()</f>
        <v>0</v>
      </c>
      <c r="P1492" s="4" t="b">
        <f aca="false">TRUE()</f>
        <v>1</v>
      </c>
      <c r="Q1492" s="1" t="s">
        <v>233</v>
      </c>
      <c r="R1492" s="1" t="s">
        <v>4884</v>
      </c>
      <c r="S1492" s="1" t="s">
        <v>4930</v>
      </c>
      <c r="T1492" s="1" t="s">
        <v>222</v>
      </c>
      <c r="U1492" s="1" t="s">
        <v>2102</v>
      </c>
    </row>
    <row r="1493" customFormat="false" ht="48" hidden="false" customHeight="true" outlineLevel="0" collapsed="false">
      <c r="A1493" s="1" t="s">
        <v>41</v>
      </c>
      <c r="B1493" s="1" t="s">
        <v>3712</v>
      </c>
      <c r="C1493" s="1" t="s">
        <v>102</v>
      </c>
      <c r="D1493" s="1" t="s">
        <v>1586</v>
      </c>
      <c r="E1493" s="1" t="n">
        <v>19</v>
      </c>
      <c r="F1493" s="1" t="s">
        <v>4931</v>
      </c>
      <c r="G1493" s="1" t="s">
        <v>236</v>
      </c>
      <c r="H1493" s="1" t="s">
        <v>4932</v>
      </c>
      <c r="I1493" s="1" t="s">
        <v>218</v>
      </c>
      <c r="J1493" s="1" t="s">
        <v>597</v>
      </c>
      <c r="K1493" s="1" t="n">
        <v>69.99</v>
      </c>
      <c r="L1493" s="1" t="n">
        <v>4.5</v>
      </c>
      <c r="M1493" s="1" t="n">
        <v>1000</v>
      </c>
      <c r="N1493" s="4" t="b">
        <f aca="false">TRUE()</f>
        <v>1</v>
      </c>
      <c r="P1493" s="4" t="b">
        <f aca="false">TRUE()</f>
        <v>1</v>
      </c>
      <c r="Q1493" s="1" t="s">
        <v>251</v>
      </c>
      <c r="R1493" s="1" t="s">
        <v>4884</v>
      </c>
      <c r="S1493" s="1" t="s">
        <v>4933</v>
      </c>
      <c r="T1493" s="1" t="s">
        <v>222</v>
      </c>
      <c r="U1493" s="1" t="s">
        <v>2102</v>
      </c>
    </row>
    <row r="1494" customFormat="false" ht="48" hidden="false" customHeight="true" outlineLevel="0" collapsed="false">
      <c r="A1494" s="1" t="s">
        <v>41</v>
      </c>
      <c r="B1494" s="1" t="s">
        <v>3712</v>
      </c>
      <c r="C1494" s="1" t="s">
        <v>102</v>
      </c>
      <c r="D1494" s="1" t="s">
        <v>1586</v>
      </c>
      <c r="E1494" s="1" t="n">
        <v>20</v>
      </c>
      <c r="F1494" s="1" t="s">
        <v>1617</v>
      </c>
      <c r="G1494" s="1" t="s">
        <v>236</v>
      </c>
      <c r="H1494" s="1" t="s">
        <v>1618</v>
      </c>
      <c r="I1494" s="1" t="s">
        <v>218</v>
      </c>
      <c r="J1494" s="1" t="s">
        <v>597</v>
      </c>
      <c r="K1494" s="1" t="n">
        <v>85.49</v>
      </c>
      <c r="L1494" s="1" t="n">
        <v>4.8</v>
      </c>
      <c r="M1494" s="1" t="n">
        <v>44</v>
      </c>
      <c r="N1494" s="4" t="b">
        <f aca="false">TRUE()</f>
        <v>1</v>
      </c>
      <c r="O1494" s="1" t="s">
        <v>367</v>
      </c>
      <c r="P1494" s="4" t="b">
        <f aca="false">TRUE()</f>
        <v>1</v>
      </c>
      <c r="Q1494" s="1" t="s">
        <v>251</v>
      </c>
      <c r="R1494" s="1" t="s">
        <v>4884</v>
      </c>
      <c r="S1494" s="1" t="s">
        <v>4934</v>
      </c>
      <c r="T1494" s="1" t="s">
        <v>222</v>
      </c>
      <c r="U1494" s="1" t="s">
        <v>2102</v>
      </c>
    </row>
    <row r="1495" customFormat="false" ht="48" hidden="false" customHeight="true" outlineLevel="0" collapsed="false">
      <c r="A1495" s="1" t="s">
        <v>41</v>
      </c>
      <c r="B1495" s="1" t="s">
        <v>3712</v>
      </c>
      <c r="C1495" s="1" t="s">
        <v>102</v>
      </c>
      <c r="D1495" s="1" t="s">
        <v>1586</v>
      </c>
      <c r="E1495" s="1" t="n">
        <v>21</v>
      </c>
      <c r="F1495" s="1" t="s">
        <v>4935</v>
      </c>
      <c r="G1495" s="1" t="s">
        <v>236</v>
      </c>
      <c r="H1495" s="1" t="s">
        <v>4936</v>
      </c>
      <c r="I1495" s="1" t="s">
        <v>231</v>
      </c>
      <c r="J1495" s="1" t="s">
        <v>597</v>
      </c>
      <c r="K1495" s="1" t="n">
        <v>94.99</v>
      </c>
      <c r="L1495" s="1" t="n">
        <v>4.5</v>
      </c>
      <c r="M1495" s="1" t="n">
        <v>83</v>
      </c>
      <c r="N1495" s="4" t="b">
        <f aca="false">TRUE()</f>
        <v>1</v>
      </c>
      <c r="P1495" s="4" t="b">
        <f aca="false">TRUE()</f>
        <v>1</v>
      </c>
      <c r="R1495" s="1" t="s">
        <v>4884</v>
      </c>
      <c r="S1495" s="1" t="s">
        <v>4937</v>
      </c>
      <c r="T1495" s="1" t="s">
        <v>222</v>
      </c>
      <c r="U1495" s="1" t="s">
        <v>2102</v>
      </c>
    </row>
    <row r="1496" customFormat="false" ht="48" hidden="false" customHeight="true" outlineLevel="0" collapsed="false">
      <c r="A1496" s="1" t="s">
        <v>41</v>
      </c>
      <c r="B1496" s="1" t="s">
        <v>3712</v>
      </c>
      <c r="C1496" s="1" t="s">
        <v>102</v>
      </c>
      <c r="D1496" s="1" t="s">
        <v>1586</v>
      </c>
      <c r="E1496" s="1" t="n">
        <v>22</v>
      </c>
      <c r="F1496" s="1" t="s">
        <v>4938</v>
      </c>
      <c r="G1496" s="1" t="s">
        <v>236</v>
      </c>
      <c r="H1496" s="1" t="s">
        <v>4939</v>
      </c>
      <c r="I1496" s="1" t="s">
        <v>218</v>
      </c>
      <c r="J1496" s="1" t="s">
        <v>597</v>
      </c>
      <c r="K1496" s="1" t="n">
        <v>89.99</v>
      </c>
      <c r="L1496" s="1" t="n">
        <v>5</v>
      </c>
      <c r="M1496" s="1" t="n">
        <v>1</v>
      </c>
      <c r="N1496" s="4" t="b">
        <f aca="false">TRUE()</f>
        <v>1</v>
      </c>
      <c r="P1496" s="4" t="b">
        <f aca="false">TRUE()</f>
        <v>1</v>
      </c>
      <c r="R1496" s="1" t="s">
        <v>4884</v>
      </c>
      <c r="S1496" s="1" t="s">
        <v>4940</v>
      </c>
      <c r="T1496" s="1" t="s">
        <v>222</v>
      </c>
      <c r="U1496" s="1" t="s">
        <v>2102</v>
      </c>
    </row>
    <row r="1497" customFormat="false" ht="48" hidden="false" customHeight="true" outlineLevel="0" collapsed="false">
      <c r="A1497" s="1" t="s">
        <v>41</v>
      </c>
      <c r="B1497" s="1" t="s">
        <v>3712</v>
      </c>
      <c r="C1497" s="1" t="s">
        <v>102</v>
      </c>
      <c r="D1497" s="1" t="s">
        <v>1586</v>
      </c>
      <c r="E1497" s="1" t="n">
        <v>23</v>
      </c>
      <c r="F1497" s="1" t="s">
        <v>4941</v>
      </c>
      <c r="G1497" s="1" t="s">
        <v>229</v>
      </c>
      <c r="H1497" s="1" t="s">
        <v>4942</v>
      </c>
      <c r="I1497" s="1" t="s">
        <v>218</v>
      </c>
      <c r="J1497" s="1" t="s">
        <v>689</v>
      </c>
      <c r="K1497" s="1" t="n">
        <v>30.99</v>
      </c>
      <c r="L1497" s="1" t="n">
        <v>4.4</v>
      </c>
      <c r="M1497" s="1" t="n">
        <v>3800</v>
      </c>
      <c r="N1497" s="4" t="b">
        <f aca="false">FALSE()</f>
        <v>0</v>
      </c>
      <c r="O1497" s="1" t="s">
        <v>4943</v>
      </c>
      <c r="P1497" s="4" t="b">
        <f aca="false">TRUE()</f>
        <v>1</v>
      </c>
      <c r="Q1497" s="1" t="s">
        <v>766</v>
      </c>
      <c r="R1497" s="1" t="s">
        <v>4884</v>
      </c>
      <c r="S1497" s="1" t="s">
        <v>4944</v>
      </c>
      <c r="T1497" s="1" t="s">
        <v>222</v>
      </c>
      <c r="U1497" s="1" t="s">
        <v>2102</v>
      </c>
    </row>
    <row r="1498" customFormat="false" ht="48" hidden="false" customHeight="true" outlineLevel="0" collapsed="false">
      <c r="A1498" s="1" t="s">
        <v>41</v>
      </c>
      <c r="B1498" s="1" t="s">
        <v>3712</v>
      </c>
      <c r="C1498" s="1" t="s">
        <v>102</v>
      </c>
      <c r="D1498" s="1" t="s">
        <v>1586</v>
      </c>
      <c r="E1498" s="1" t="n">
        <v>24</v>
      </c>
      <c r="F1498" s="1" t="s">
        <v>4945</v>
      </c>
      <c r="G1498" s="1" t="s">
        <v>236</v>
      </c>
      <c r="H1498" s="1" t="s">
        <v>4946</v>
      </c>
      <c r="I1498" s="1" t="s">
        <v>218</v>
      </c>
      <c r="J1498" s="1" t="s">
        <v>597</v>
      </c>
      <c r="K1498" s="1" t="n">
        <v>63.45</v>
      </c>
      <c r="L1498" s="1" t="n">
        <v>4.6</v>
      </c>
      <c r="M1498" s="1" t="n">
        <v>10100</v>
      </c>
      <c r="N1498" s="4" t="b">
        <f aca="false">FALSE()</f>
        <v>0</v>
      </c>
      <c r="P1498" s="4" t="b">
        <f aca="false">TRUE()</f>
        <v>1</v>
      </c>
      <c r="Q1498" s="1" t="s">
        <v>435</v>
      </c>
      <c r="R1498" s="1" t="s">
        <v>4884</v>
      </c>
      <c r="S1498" s="1" t="s">
        <v>4947</v>
      </c>
      <c r="T1498" s="1" t="s">
        <v>222</v>
      </c>
      <c r="U1498" s="1" t="s">
        <v>2102</v>
      </c>
    </row>
    <row r="1499" customFormat="false" ht="48" hidden="false" customHeight="true" outlineLevel="0" collapsed="false">
      <c r="A1499" s="1" t="s">
        <v>41</v>
      </c>
      <c r="B1499" s="1" t="s">
        <v>3712</v>
      </c>
      <c r="C1499" s="1" t="s">
        <v>102</v>
      </c>
      <c r="D1499" s="1" t="s">
        <v>1586</v>
      </c>
      <c r="E1499" s="1" t="n">
        <v>25</v>
      </c>
      <c r="F1499" s="1" t="s">
        <v>4948</v>
      </c>
      <c r="G1499" s="1" t="s">
        <v>236</v>
      </c>
      <c r="H1499" s="1" t="s">
        <v>4949</v>
      </c>
      <c r="I1499" s="1" t="s">
        <v>218</v>
      </c>
      <c r="J1499" s="1" t="s">
        <v>597</v>
      </c>
      <c r="K1499" s="1" t="n">
        <v>69.99</v>
      </c>
      <c r="L1499" s="1" t="n">
        <v>4.4</v>
      </c>
      <c r="M1499" s="1" t="n">
        <v>696</v>
      </c>
      <c r="N1499" s="4" t="b">
        <f aca="false">FALSE()</f>
        <v>0</v>
      </c>
      <c r="P1499" s="4" t="b">
        <f aca="false">TRUE()</f>
        <v>1</v>
      </c>
      <c r="Q1499" s="1" t="s">
        <v>233</v>
      </c>
      <c r="R1499" s="1" t="s">
        <v>4884</v>
      </c>
      <c r="S1499" s="1" t="s">
        <v>4950</v>
      </c>
      <c r="T1499" s="1" t="s">
        <v>222</v>
      </c>
      <c r="U1499" s="1" t="s">
        <v>2102</v>
      </c>
    </row>
    <row r="1500" customFormat="false" ht="48" hidden="false" customHeight="true" outlineLevel="0" collapsed="false">
      <c r="A1500" s="1" t="s">
        <v>41</v>
      </c>
      <c r="B1500" s="1" t="s">
        <v>3712</v>
      </c>
      <c r="C1500" s="1" t="s">
        <v>102</v>
      </c>
      <c r="D1500" s="1" t="s">
        <v>1586</v>
      </c>
      <c r="E1500" s="1" t="n">
        <v>26</v>
      </c>
      <c r="F1500" s="1" t="s">
        <v>4951</v>
      </c>
      <c r="G1500" s="1" t="s">
        <v>229</v>
      </c>
      <c r="H1500" s="1" t="s">
        <v>4952</v>
      </c>
      <c r="I1500" s="1" t="s">
        <v>218</v>
      </c>
      <c r="J1500" s="1" t="s">
        <v>689</v>
      </c>
      <c r="K1500" s="1" t="n">
        <v>99.99</v>
      </c>
      <c r="L1500" s="1" t="n">
        <v>4.6</v>
      </c>
      <c r="M1500" s="1" t="n">
        <v>304</v>
      </c>
      <c r="N1500" s="4" t="b">
        <f aca="false">FALSE()</f>
        <v>0</v>
      </c>
      <c r="O1500" s="1" t="s">
        <v>2009</v>
      </c>
      <c r="P1500" s="4" t="b">
        <f aca="false">TRUE()</f>
        <v>1</v>
      </c>
      <c r="Q1500" s="1" t="s">
        <v>439</v>
      </c>
      <c r="R1500" s="1" t="s">
        <v>4884</v>
      </c>
      <c r="S1500" s="1" t="s">
        <v>4953</v>
      </c>
      <c r="T1500" s="1" t="s">
        <v>222</v>
      </c>
      <c r="U1500" s="1" t="s">
        <v>2102</v>
      </c>
    </row>
    <row r="1501" customFormat="false" ht="48" hidden="false" customHeight="true" outlineLevel="0" collapsed="false">
      <c r="A1501" s="1" t="s">
        <v>41</v>
      </c>
      <c r="B1501" s="1" t="s">
        <v>3712</v>
      </c>
      <c r="C1501" s="1" t="s">
        <v>102</v>
      </c>
      <c r="D1501" s="1" t="s">
        <v>1586</v>
      </c>
      <c r="E1501" s="1" t="n">
        <v>27</v>
      </c>
      <c r="F1501" s="1" t="s">
        <v>4954</v>
      </c>
      <c r="G1501" s="1" t="s">
        <v>236</v>
      </c>
      <c r="H1501" s="1" t="s">
        <v>4955</v>
      </c>
      <c r="I1501" s="1" t="s">
        <v>218</v>
      </c>
      <c r="J1501" s="1" t="s">
        <v>597</v>
      </c>
      <c r="K1501" s="1" t="n">
        <v>27.15</v>
      </c>
      <c r="L1501" s="1" t="n">
        <v>4.2</v>
      </c>
      <c r="M1501" s="1" t="n">
        <v>11</v>
      </c>
      <c r="N1501" s="4" t="b">
        <f aca="false">FALSE()</f>
        <v>0</v>
      </c>
      <c r="P1501" s="4" t="b">
        <f aca="false">TRUE()</f>
        <v>1</v>
      </c>
      <c r="R1501" s="1" t="s">
        <v>4884</v>
      </c>
      <c r="S1501" s="1" t="s">
        <v>4956</v>
      </c>
      <c r="T1501" s="1" t="s">
        <v>222</v>
      </c>
      <c r="U1501" s="1" t="s">
        <v>2102</v>
      </c>
    </row>
    <row r="1502" customFormat="false" ht="48" hidden="false" customHeight="true" outlineLevel="0" collapsed="false">
      <c r="A1502" s="1" t="s">
        <v>41</v>
      </c>
      <c r="B1502" s="1" t="s">
        <v>3712</v>
      </c>
      <c r="C1502" s="1" t="s">
        <v>102</v>
      </c>
      <c r="D1502" s="1" t="s">
        <v>1586</v>
      </c>
      <c r="E1502" s="1" t="n">
        <v>28</v>
      </c>
      <c r="F1502" s="1" t="s">
        <v>4957</v>
      </c>
      <c r="G1502" s="1" t="s">
        <v>236</v>
      </c>
      <c r="H1502" s="1" t="s">
        <v>4958</v>
      </c>
      <c r="I1502" s="1" t="s">
        <v>218</v>
      </c>
      <c r="J1502" s="1" t="s">
        <v>310</v>
      </c>
      <c r="K1502" s="1" t="n">
        <v>95.69</v>
      </c>
      <c r="L1502" s="1" t="n">
        <v>4.6</v>
      </c>
      <c r="M1502" s="1" t="n">
        <v>7200</v>
      </c>
      <c r="N1502" s="4" t="b">
        <f aca="false">FALSE()</f>
        <v>0</v>
      </c>
      <c r="O1502" s="1" t="s">
        <v>1028</v>
      </c>
      <c r="P1502" s="4" t="b">
        <f aca="false">TRUE()</f>
        <v>1</v>
      </c>
      <c r="Q1502" s="1" t="s">
        <v>451</v>
      </c>
      <c r="R1502" s="1" t="s">
        <v>4884</v>
      </c>
      <c r="S1502" s="1" t="s">
        <v>4959</v>
      </c>
      <c r="T1502" s="1" t="s">
        <v>222</v>
      </c>
      <c r="U1502" s="1" t="s">
        <v>2102</v>
      </c>
    </row>
    <row r="1503" customFormat="false" ht="48" hidden="false" customHeight="true" outlineLevel="0" collapsed="false">
      <c r="A1503" s="1" t="s">
        <v>41</v>
      </c>
      <c r="B1503" s="1" t="s">
        <v>3712</v>
      </c>
      <c r="C1503" s="1" t="s">
        <v>102</v>
      </c>
      <c r="D1503" s="1" t="s">
        <v>1586</v>
      </c>
      <c r="E1503" s="1" t="n">
        <v>29</v>
      </c>
      <c r="F1503" s="1" t="s">
        <v>4960</v>
      </c>
      <c r="G1503" s="1" t="s">
        <v>236</v>
      </c>
      <c r="H1503" s="1" t="s">
        <v>4961</v>
      </c>
      <c r="I1503" s="1" t="s">
        <v>218</v>
      </c>
      <c r="J1503" s="1" t="s">
        <v>597</v>
      </c>
      <c r="K1503" s="1" t="n">
        <v>65.99</v>
      </c>
      <c r="L1503" s="1" t="n">
        <v>4.4</v>
      </c>
      <c r="M1503" s="1" t="n">
        <v>58</v>
      </c>
      <c r="N1503" s="4" t="b">
        <f aca="false">FALSE()</f>
        <v>0</v>
      </c>
      <c r="P1503" s="4" t="b">
        <f aca="false">TRUE()</f>
        <v>1</v>
      </c>
      <c r="R1503" s="1" t="s">
        <v>4884</v>
      </c>
      <c r="S1503" s="1" t="s">
        <v>4962</v>
      </c>
      <c r="T1503" s="1" t="s">
        <v>222</v>
      </c>
      <c r="U1503" s="1" t="s">
        <v>2102</v>
      </c>
    </row>
    <row r="1504" customFormat="false" ht="48" hidden="false" customHeight="true" outlineLevel="0" collapsed="false">
      <c r="A1504" s="1" t="s">
        <v>41</v>
      </c>
      <c r="B1504" s="1" t="s">
        <v>3712</v>
      </c>
      <c r="C1504" s="1" t="s">
        <v>102</v>
      </c>
      <c r="D1504" s="1" t="s">
        <v>1586</v>
      </c>
      <c r="E1504" s="1" t="n">
        <v>30</v>
      </c>
      <c r="F1504" s="1" t="s">
        <v>4963</v>
      </c>
      <c r="G1504" s="1" t="s">
        <v>236</v>
      </c>
      <c r="H1504" s="1" t="s">
        <v>4964</v>
      </c>
      <c r="I1504" s="1" t="s">
        <v>231</v>
      </c>
      <c r="J1504" s="1" t="s">
        <v>689</v>
      </c>
      <c r="K1504" s="1" t="n">
        <v>46.98</v>
      </c>
      <c r="L1504" s="1" t="n">
        <v>4.4</v>
      </c>
      <c r="M1504" s="1" t="n">
        <v>2400</v>
      </c>
      <c r="N1504" s="4" t="b">
        <f aca="false">FALSE()</f>
        <v>0</v>
      </c>
      <c r="P1504" s="4" t="b">
        <f aca="false">TRUE()</f>
        <v>1</v>
      </c>
      <c r="Q1504" s="1" t="s">
        <v>439</v>
      </c>
      <c r="R1504" s="1" t="s">
        <v>4884</v>
      </c>
      <c r="S1504" s="1" t="s">
        <v>4965</v>
      </c>
      <c r="T1504" s="1" t="s">
        <v>222</v>
      </c>
      <c r="U1504" s="1" t="s">
        <v>2102</v>
      </c>
    </row>
    <row r="1505" customFormat="false" ht="48" hidden="false" customHeight="true" outlineLevel="0" collapsed="false">
      <c r="A1505" s="1" t="s">
        <v>41</v>
      </c>
      <c r="B1505" s="1" t="s">
        <v>3712</v>
      </c>
      <c r="C1505" s="1" t="s">
        <v>102</v>
      </c>
      <c r="D1505" s="1" t="s">
        <v>1586</v>
      </c>
      <c r="E1505" s="1" t="n">
        <v>31</v>
      </c>
      <c r="F1505" s="1" t="s">
        <v>4966</v>
      </c>
      <c r="G1505" s="1" t="s">
        <v>236</v>
      </c>
      <c r="H1505" s="1" t="s">
        <v>4967</v>
      </c>
      <c r="I1505" s="1" t="s">
        <v>218</v>
      </c>
      <c r="J1505" s="1" t="s">
        <v>597</v>
      </c>
      <c r="K1505" s="1" t="n">
        <v>72.99</v>
      </c>
      <c r="L1505" s="1" t="n">
        <v>4.5</v>
      </c>
      <c r="M1505" s="1" t="n">
        <v>1700</v>
      </c>
      <c r="N1505" s="4" t="b">
        <f aca="false">FALSE()</f>
        <v>0</v>
      </c>
      <c r="P1505" s="4" t="b">
        <f aca="false">TRUE()</f>
        <v>1</v>
      </c>
      <c r="Q1505" s="1" t="s">
        <v>233</v>
      </c>
      <c r="R1505" s="1" t="s">
        <v>4884</v>
      </c>
      <c r="S1505" s="1" t="s">
        <v>4968</v>
      </c>
      <c r="T1505" s="1" t="s">
        <v>222</v>
      </c>
      <c r="U1505" s="1" t="s">
        <v>2102</v>
      </c>
    </row>
    <row r="1506" customFormat="false" ht="48" hidden="false" customHeight="true" outlineLevel="0" collapsed="false">
      <c r="A1506" s="1" t="s">
        <v>41</v>
      </c>
      <c r="B1506" s="1" t="s">
        <v>3712</v>
      </c>
      <c r="C1506" s="1" t="s">
        <v>102</v>
      </c>
      <c r="D1506" s="1" t="s">
        <v>1586</v>
      </c>
      <c r="E1506" s="1" t="n">
        <v>32</v>
      </c>
      <c r="F1506" s="1" t="s">
        <v>4969</v>
      </c>
      <c r="G1506" s="1" t="s">
        <v>236</v>
      </c>
      <c r="H1506" s="1" t="s">
        <v>4970</v>
      </c>
      <c r="I1506" s="1" t="s">
        <v>231</v>
      </c>
      <c r="J1506" s="1" t="s">
        <v>597</v>
      </c>
      <c r="K1506" s="1" t="n">
        <v>109.99</v>
      </c>
      <c r="L1506" s="1" t="n">
        <v>4.5</v>
      </c>
      <c r="M1506" s="1" t="n">
        <v>364</v>
      </c>
      <c r="N1506" s="4" t="b">
        <f aca="false">FALSE()</f>
        <v>0</v>
      </c>
      <c r="P1506" s="4" t="b">
        <f aca="false">TRUE()</f>
        <v>1</v>
      </c>
      <c r="Q1506" s="1" t="s">
        <v>233</v>
      </c>
      <c r="R1506" s="1" t="s">
        <v>4884</v>
      </c>
      <c r="S1506" s="1" t="s">
        <v>4971</v>
      </c>
      <c r="T1506" s="1" t="s">
        <v>222</v>
      </c>
      <c r="U1506" s="1" t="s">
        <v>2102</v>
      </c>
    </row>
    <row r="1507" customFormat="false" ht="48" hidden="false" customHeight="true" outlineLevel="0" collapsed="false">
      <c r="A1507" s="1" t="s">
        <v>41</v>
      </c>
      <c r="B1507" s="1" t="s">
        <v>3712</v>
      </c>
      <c r="C1507" s="1" t="s">
        <v>102</v>
      </c>
      <c r="D1507" s="1" t="s">
        <v>1586</v>
      </c>
      <c r="E1507" s="1" t="n">
        <v>33</v>
      </c>
      <c r="F1507" s="1" t="s">
        <v>4972</v>
      </c>
      <c r="G1507" s="1" t="s">
        <v>236</v>
      </c>
      <c r="H1507" s="1" t="s">
        <v>4973</v>
      </c>
      <c r="I1507" s="1" t="s">
        <v>289</v>
      </c>
      <c r="J1507" s="1" t="s">
        <v>597</v>
      </c>
      <c r="K1507" s="1" t="n">
        <v>59.99</v>
      </c>
      <c r="L1507" s="1" t="n">
        <v>4.5</v>
      </c>
      <c r="M1507" s="1" t="n">
        <v>3600</v>
      </c>
      <c r="N1507" s="4" t="b">
        <f aca="false">FALSE()</f>
        <v>0</v>
      </c>
      <c r="P1507" s="4" t="b">
        <f aca="false">TRUE()</f>
        <v>1</v>
      </c>
      <c r="Q1507" s="1" t="s">
        <v>233</v>
      </c>
      <c r="R1507" s="1" t="s">
        <v>4884</v>
      </c>
      <c r="S1507" s="1" t="s">
        <v>4974</v>
      </c>
      <c r="T1507" s="1" t="s">
        <v>222</v>
      </c>
      <c r="U1507" s="1" t="s">
        <v>2102</v>
      </c>
    </row>
    <row r="1508" customFormat="false" ht="48" hidden="false" customHeight="true" outlineLevel="0" collapsed="false">
      <c r="A1508" s="1" t="s">
        <v>41</v>
      </c>
      <c r="B1508" s="1" t="s">
        <v>3712</v>
      </c>
      <c r="C1508" s="1" t="s">
        <v>102</v>
      </c>
      <c r="D1508" s="1" t="s">
        <v>1586</v>
      </c>
      <c r="E1508" s="1" t="n">
        <v>34</v>
      </c>
      <c r="F1508" s="1" t="s">
        <v>4975</v>
      </c>
      <c r="G1508" s="1" t="s">
        <v>236</v>
      </c>
      <c r="H1508" s="1" t="s">
        <v>4976</v>
      </c>
      <c r="I1508" s="1" t="s">
        <v>231</v>
      </c>
      <c r="J1508" s="1" t="s">
        <v>597</v>
      </c>
      <c r="K1508" s="1" t="n">
        <v>79.99</v>
      </c>
      <c r="L1508" s="1" t="n">
        <v>4.4</v>
      </c>
      <c r="M1508" s="1" t="n">
        <v>1300</v>
      </c>
      <c r="N1508" s="4" t="b">
        <f aca="false">FALSE()</f>
        <v>0</v>
      </c>
      <c r="P1508" s="4" t="b">
        <f aca="false">TRUE()</f>
        <v>1</v>
      </c>
      <c r="Q1508" s="1" t="s">
        <v>233</v>
      </c>
      <c r="R1508" s="1" t="s">
        <v>4884</v>
      </c>
      <c r="S1508" s="1" t="s">
        <v>4977</v>
      </c>
      <c r="T1508" s="1" t="s">
        <v>222</v>
      </c>
      <c r="U1508" s="1" t="s">
        <v>2102</v>
      </c>
    </row>
    <row r="1509" customFormat="false" ht="48" hidden="false" customHeight="true" outlineLevel="0" collapsed="false">
      <c r="A1509" s="1" t="s">
        <v>41</v>
      </c>
      <c r="B1509" s="1" t="s">
        <v>3712</v>
      </c>
      <c r="C1509" s="1" t="s">
        <v>102</v>
      </c>
      <c r="D1509" s="1" t="s">
        <v>1586</v>
      </c>
      <c r="E1509" s="1" t="n">
        <v>35</v>
      </c>
      <c r="F1509" s="1" t="s">
        <v>4978</v>
      </c>
      <c r="G1509" s="1" t="s">
        <v>236</v>
      </c>
      <c r="H1509" s="1" t="s">
        <v>4979</v>
      </c>
      <c r="I1509" s="1" t="s">
        <v>218</v>
      </c>
      <c r="J1509" s="1" t="s">
        <v>597</v>
      </c>
      <c r="K1509" s="1" t="n">
        <v>61.19</v>
      </c>
      <c r="L1509" s="1" t="n">
        <v>4.6</v>
      </c>
      <c r="M1509" s="1" t="n">
        <v>230</v>
      </c>
      <c r="N1509" s="4" t="b">
        <f aca="false">FALSE()</f>
        <v>0</v>
      </c>
      <c r="O1509" s="1" t="s">
        <v>962</v>
      </c>
      <c r="P1509" s="4" t="b">
        <f aca="false">TRUE()</f>
        <v>1</v>
      </c>
      <c r="Q1509" s="1" t="s">
        <v>233</v>
      </c>
      <c r="R1509" s="1" t="s">
        <v>4884</v>
      </c>
      <c r="S1509" s="1" t="s">
        <v>4980</v>
      </c>
      <c r="T1509" s="1" t="s">
        <v>222</v>
      </c>
      <c r="U1509" s="1" t="s">
        <v>2102</v>
      </c>
    </row>
    <row r="1510" customFormat="false" ht="48" hidden="false" customHeight="true" outlineLevel="0" collapsed="false">
      <c r="A1510" s="1" t="s">
        <v>41</v>
      </c>
      <c r="B1510" s="1" t="s">
        <v>3712</v>
      </c>
      <c r="C1510" s="1" t="s">
        <v>102</v>
      </c>
      <c r="D1510" s="1" t="s">
        <v>1586</v>
      </c>
      <c r="E1510" s="1" t="n">
        <v>36</v>
      </c>
      <c r="F1510" s="1" t="s">
        <v>4981</v>
      </c>
      <c r="G1510" s="1" t="s">
        <v>1707</v>
      </c>
      <c r="H1510" s="1" t="s">
        <v>4982</v>
      </c>
      <c r="I1510" s="1" t="s">
        <v>231</v>
      </c>
      <c r="J1510" s="1" t="s">
        <v>597</v>
      </c>
      <c r="K1510" s="1" t="n">
        <v>54.99</v>
      </c>
      <c r="L1510" s="1" t="n">
        <v>4.4</v>
      </c>
      <c r="M1510" s="1" t="n">
        <v>144</v>
      </c>
      <c r="N1510" s="4" t="b">
        <f aca="false">FALSE()</f>
        <v>0</v>
      </c>
      <c r="O1510" s="1" t="s">
        <v>970</v>
      </c>
      <c r="P1510" s="4" t="b">
        <f aca="false">TRUE()</f>
        <v>1</v>
      </c>
      <c r="Q1510" s="1" t="s">
        <v>435</v>
      </c>
      <c r="R1510" s="1" t="s">
        <v>4884</v>
      </c>
      <c r="S1510" s="1" t="s">
        <v>4983</v>
      </c>
      <c r="T1510" s="1" t="s">
        <v>222</v>
      </c>
      <c r="U1510" s="1" t="s">
        <v>2102</v>
      </c>
    </row>
    <row r="1511" customFormat="false" ht="48" hidden="false" customHeight="true" outlineLevel="0" collapsed="false">
      <c r="A1511" s="1" t="s">
        <v>41</v>
      </c>
      <c r="B1511" s="1" t="s">
        <v>3712</v>
      </c>
      <c r="C1511" s="1" t="s">
        <v>102</v>
      </c>
      <c r="D1511" s="1" t="s">
        <v>1586</v>
      </c>
      <c r="E1511" s="1" t="n">
        <v>37</v>
      </c>
      <c r="F1511" s="1" t="s">
        <v>4984</v>
      </c>
      <c r="G1511" s="1" t="s">
        <v>229</v>
      </c>
      <c r="H1511" s="1" t="s">
        <v>4985</v>
      </c>
      <c r="I1511" s="1" t="s">
        <v>218</v>
      </c>
      <c r="J1511" s="1" t="s">
        <v>597</v>
      </c>
      <c r="K1511" s="1" t="n">
        <v>72.19</v>
      </c>
      <c r="L1511" s="1" t="n">
        <v>4.4</v>
      </c>
      <c r="M1511" s="1" t="n">
        <v>800</v>
      </c>
      <c r="N1511" s="4" t="b">
        <f aca="false">FALSE()</f>
        <v>0</v>
      </c>
      <c r="O1511" s="1" t="s">
        <v>4986</v>
      </c>
      <c r="P1511" s="4" t="b">
        <f aca="false">TRUE()</f>
        <v>1</v>
      </c>
      <c r="Q1511" s="1" t="s">
        <v>251</v>
      </c>
      <c r="R1511" s="1" t="s">
        <v>4884</v>
      </c>
      <c r="S1511" s="1" t="s">
        <v>4987</v>
      </c>
      <c r="T1511" s="1" t="s">
        <v>222</v>
      </c>
      <c r="U1511" s="1" t="s">
        <v>2102</v>
      </c>
    </row>
    <row r="1512" customFormat="false" ht="48" hidden="false" customHeight="true" outlineLevel="0" collapsed="false">
      <c r="A1512" s="1" t="s">
        <v>41</v>
      </c>
      <c r="B1512" s="1" t="s">
        <v>3712</v>
      </c>
      <c r="C1512" s="1" t="s">
        <v>102</v>
      </c>
      <c r="D1512" s="1" t="s">
        <v>1586</v>
      </c>
      <c r="E1512" s="1" t="n">
        <v>38</v>
      </c>
      <c r="F1512" s="1" t="s">
        <v>4988</v>
      </c>
      <c r="G1512" s="1" t="s">
        <v>236</v>
      </c>
      <c r="H1512" s="1" t="s">
        <v>4989</v>
      </c>
      <c r="I1512" s="1" t="s">
        <v>306</v>
      </c>
      <c r="J1512" s="1" t="s">
        <v>597</v>
      </c>
      <c r="K1512" s="1" t="n">
        <v>15.29</v>
      </c>
      <c r="L1512" s="1" t="n">
        <v>4.6</v>
      </c>
      <c r="M1512" s="1" t="n">
        <v>1900</v>
      </c>
      <c r="N1512" s="4" t="b">
        <f aca="false">FALSE()</f>
        <v>0</v>
      </c>
      <c r="O1512" s="1" t="s">
        <v>4990</v>
      </c>
      <c r="P1512" s="4" t="b">
        <f aca="false">TRUE()</f>
        <v>1</v>
      </c>
      <c r="Q1512" s="1" t="s">
        <v>418</v>
      </c>
      <c r="R1512" s="1" t="s">
        <v>4884</v>
      </c>
      <c r="S1512" s="1" t="s">
        <v>4991</v>
      </c>
      <c r="T1512" s="1" t="s">
        <v>222</v>
      </c>
      <c r="U1512" s="1" t="s">
        <v>2102</v>
      </c>
    </row>
    <row r="1513" customFormat="false" ht="48" hidden="false" customHeight="true" outlineLevel="0" collapsed="false">
      <c r="A1513" s="1" t="s">
        <v>41</v>
      </c>
      <c r="B1513" s="1" t="s">
        <v>3712</v>
      </c>
      <c r="C1513" s="1" t="s">
        <v>102</v>
      </c>
      <c r="D1513" s="1" t="s">
        <v>1586</v>
      </c>
      <c r="E1513" s="1" t="n">
        <v>39</v>
      </c>
      <c r="F1513" s="1" t="s">
        <v>4992</v>
      </c>
      <c r="G1513" s="1" t="s">
        <v>236</v>
      </c>
      <c r="H1513" s="1" t="s">
        <v>4993</v>
      </c>
      <c r="I1513" s="1" t="s">
        <v>218</v>
      </c>
      <c r="J1513" s="1" t="s">
        <v>597</v>
      </c>
      <c r="K1513" s="1" t="n">
        <v>67.99</v>
      </c>
      <c r="L1513" s="1" t="n">
        <v>4.4</v>
      </c>
      <c r="M1513" s="1" t="n">
        <v>55</v>
      </c>
      <c r="N1513" s="4" t="b">
        <f aca="false">FALSE()</f>
        <v>0</v>
      </c>
      <c r="O1513" s="1" t="s">
        <v>4013</v>
      </c>
      <c r="P1513" s="4" t="b">
        <f aca="false">TRUE()</f>
        <v>1</v>
      </c>
      <c r="R1513" s="1" t="s">
        <v>4884</v>
      </c>
      <c r="S1513" s="1" t="s">
        <v>4994</v>
      </c>
      <c r="T1513" s="1" t="s">
        <v>222</v>
      </c>
      <c r="U1513" s="1" t="s">
        <v>2102</v>
      </c>
    </row>
    <row r="1514" customFormat="false" ht="48" hidden="false" customHeight="true" outlineLevel="0" collapsed="false">
      <c r="A1514" s="1" t="s">
        <v>41</v>
      </c>
      <c r="B1514" s="1" t="s">
        <v>3712</v>
      </c>
      <c r="C1514" s="1" t="s">
        <v>102</v>
      </c>
      <c r="D1514" s="1" t="s">
        <v>1586</v>
      </c>
      <c r="E1514" s="1" t="n">
        <v>40</v>
      </c>
      <c r="F1514" s="1" t="s">
        <v>4995</v>
      </c>
      <c r="G1514" s="1" t="s">
        <v>1707</v>
      </c>
      <c r="H1514" s="1" t="s">
        <v>4996</v>
      </c>
      <c r="I1514" s="1" t="s">
        <v>218</v>
      </c>
      <c r="J1514" s="1" t="s">
        <v>597</v>
      </c>
      <c r="K1514" s="1" t="n">
        <v>51.99</v>
      </c>
      <c r="L1514" s="1" t="n">
        <v>4.4</v>
      </c>
      <c r="M1514" s="1" t="n">
        <v>144</v>
      </c>
      <c r="N1514" s="4" t="b">
        <f aca="false">FALSE()</f>
        <v>0</v>
      </c>
      <c r="O1514" s="1" t="s">
        <v>450</v>
      </c>
      <c r="P1514" s="4" t="b">
        <f aca="false">TRUE()</f>
        <v>1</v>
      </c>
      <c r="Q1514" s="1" t="s">
        <v>251</v>
      </c>
      <c r="R1514" s="1" t="s">
        <v>4884</v>
      </c>
      <c r="S1514" s="1" t="s">
        <v>4997</v>
      </c>
      <c r="T1514" s="1" t="s">
        <v>222</v>
      </c>
      <c r="U1514" s="1" t="s">
        <v>2102</v>
      </c>
    </row>
    <row r="1515" customFormat="false" ht="48" hidden="false" customHeight="true" outlineLevel="0" collapsed="false">
      <c r="A1515" s="1" t="s">
        <v>41</v>
      </c>
      <c r="B1515" s="1" t="s">
        <v>3712</v>
      </c>
      <c r="C1515" s="1" t="s">
        <v>102</v>
      </c>
      <c r="D1515" s="1" t="s">
        <v>1586</v>
      </c>
      <c r="E1515" s="1" t="n">
        <v>41</v>
      </c>
      <c r="F1515" s="1" t="s">
        <v>4998</v>
      </c>
      <c r="G1515" s="1" t="s">
        <v>236</v>
      </c>
      <c r="H1515" s="1" t="s">
        <v>4999</v>
      </c>
      <c r="I1515" s="1" t="s">
        <v>218</v>
      </c>
      <c r="J1515" s="1" t="s">
        <v>597</v>
      </c>
      <c r="K1515" s="1" t="n">
        <v>44.99</v>
      </c>
      <c r="L1515" s="1" t="n">
        <v>4.2</v>
      </c>
      <c r="M1515" s="1" t="n">
        <v>148</v>
      </c>
      <c r="N1515" s="4" t="b">
        <f aca="false">FALSE()</f>
        <v>0</v>
      </c>
      <c r="O1515" s="1" t="s">
        <v>4076</v>
      </c>
      <c r="P1515" s="4" t="b">
        <f aca="false">TRUE()</f>
        <v>1</v>
      </c>
      <c r="R1515" s="1" t="s">
        <v>4884</v>
      </c>
      <c r="S1515" s="1" t="s">
        <v>5000</v>
      </c>
      <c r="T1515" s="1" t="s">
        <v>222</v>
      </c>
      <c r="U1515" s="1" t="s">
        <v>2102</v>
      </c>
    </row>
    <row r="1516" customFormat="false" ht="48" hidden="false" customHeight="true" outlineLevel="0" collapsed="false">
      <c r="A1516" s="1" t="s">
        <v>41</v>
      </c>
      <c r="B1516" s="1" t="s">
        <v>3712</v>
      </c>
      <c r="C1516" s="1" t="s">
        <v>102</v>
      </c>
      <c r="D1516" s="1" t="s">
        <v>1586</v>
      </c>
      <c r="E1516" s="1" t="n">
        <v>42</v>
      </c>
      <c r="F1516" s="1" t="s">
        <v>5001</v>
      </c>
      <c r="G1516" s="1" t="s">
        <v>236</v>
      </c>
      <c r="H1516" s="1" t="s">
        <v>5002</v>
      </c>
      <c r="I1516" s="1" t="s">
        <v>218</v>
      </c>
      <c r="J1516" s="1" t="s">
        <v>597</v>
      </c>
      <c r="K1516" s="1" t="n">
        <v>52.19</v>
      </c>
      <c r="L1516" s="1" t="n">
        <v>4.7</v>
      </c>
      <c r="M1516" s="1" t="n">
        <v>2400</v>
      </c>
      <c r="N1516" s="4" t="b">
        <f aca="false">FALSE()</f>
        <v>0</v>
      </c>
      <c r="P1516" s="4" t="b">
        <f aca="false">TRUE()</f>
        <v>1</v>
      </c>
      <c r="Q1516" s="1" t="s">
        <v>251</v>
      </c>
      <c r="R1516" s="1" t="s">
        <v>4884</v>
      </c>
      <c r="S1516" s="1" t="s">
        <v>5003</v>
      </c>
      <c r="T1516" s="1" t="s">
        <v>222</v>
      </c>
      <c r="U1516" s="1" t="s">
        <v>2102</v>
      </c>
    </row>
    <row r="1517" customFormat="false" ht="48" hidden="false" customHeight="true" outlineLevel="0" collapsed="false">
      <c r="A1517" s="1" t="s">
        <v>41</v>
      </c>
      <c r="B1517" s="1" t="s">
        <v>3712</v>
      </c>
      <c r="C1517" s="1" t="s">
        <v>102</v>
      </c>
      <c r="D1517" s="1" t="s">
        <v>1586</v>
      </c>
      <c r="E1517" s="1" t="n">
        <v>43</v>
      </c>
      <c r="F1517" s="1" t="s">
        <v>5004</v>
      </c>
      <c r="G1517" s="1" t="s">
        <v>1707</v>
      </c>
      <c r="H1517" s="1" t="s">
        <v>5005</v>
      </c>
      <c r="I1517" s="1" t="s">
        <v>218</v>
      </c>
      <c r="J1517" s="1" t="s">
        <v>597</v>
      </c>
      <c r="K1517" s="1" t="n">
        <v>49.99</v>
      </c>
      <c r="L1517" s="1" t="n">
        <v>4.4</v>
      </c>
      <c r="M1517" s="1" t="n">
        <v>144</v>
      </c>
      <c r="N1517" s="4" t="b">
        <f aca="false">FALSE()</f>
        <v>0</v>
      </c>
      <c r="O1517" s="1" t="s">
        <v>450</v>
      </c>
      <c r="P1517" s="4" t="b">
        <f aca="false">TRUE()</f>
        <v>1</v>
      </c>
      <c r="Q1517" s="1" t="s">
        <v>233</v>
      </c>
      <c r="R1517" s="1" t="s">
        <v>4884</v>
      </c>
      <c r="S1517" s="1" t="s">
        <v>5006</v>
      </c>
      <c r="T1517" s="1" t="s">
        <v>222</v>
      </c>
      <c r="U1517" s="1" t="s">
        <v>2102</v>
      </c>
    </row>
    <row r="1518" customFormat="false" ht="48" hidden="false" customHeight="true" outlineLevel="0" collapsed="false">
      <c r="A1518" s="1" t="s">
        <v>41</v>
      </c>
      <c r="B1518" s="1" t="s">
        <v>3712</v>
      </c>
      <c r="C1518" s="1" t="s">
        <v>102</v>
      </c>
      <c r="D1518" s="1" t="s">
        <v>1586</v>
      </c>
      <c r="E1518" s="1" t="n">
        <v>44</v>
      </c>
      <c r="F1518" s="1" t="s">
        <v>5007</v>
      </c>
      <c r="G1518" s="1" t="s">
        <v>236</v>
      </c>
      <c r="H1518" s="1" t="s">
        <v>5008</v>
      </c>
      <c r="I1518" s="1" t="s">
        <v>231</v>
      </c>
      <c r="J1518" s="1" t="s">
        <v>310</v>
      </c>
      <c r="K1518" s="1" t="n">
        <v>49.99</v>
      </c>
      <c r="L1518" s="1" t="n">
        <v>4.3</v>
      </c>
      <c r="M1518" s="1" t="n">
        <v>5900</v>
      </c>
      <c r="N1518" s="4" t="b">
        <f aca="false">FALSE()</f>
        <v>0</v>
      </c>
      <c r="P1518" s="4" t="b">
        <f aca="false">TRUE()</f>
        <v>1</v>
      </c>
      <c r="Q1518" s="1" t="s">
        <v>777</v>
      </c>
      <c r="R1518" s="1" t="s">
        <v>4884</v>
      </c>
      <c r="S1518" s="1" t="s">
        <v>5009</v>
      </c>
      <c r="T1518" s="1" t="s">
        <v>222</v>
      </c>
      <c r="U1518" s="1" t="s">
        <v>2102</v>
      </c>
    </row>
    <row r="1519" customFormat="false" ht="48" hidden="false" customHeight="true" outlineLevel="0" collapsed="false">
      <c r="A1519" s="1" t="s">
        <v>41</v>
      </c>
      <c r="B1519" s="1" t="s">
        <v>3712</v>
      </c>
      <c r="C1519" s="1" t="s">
        <v>102</v>
      </c>
      <c r="D1519" s="1" t="s">
        <v>1586</v>
      </c>
      <c r="E1519" s="1" t="n">
        <v>45</v>
      </c>
      <c r="F1519" s="1" t="s">
        <v>5010</v>
      </c>
      <c r="G1519" s="1" t="s">
        <v>236</v>
      </c>
      <c r="H1519" s="1" t="s">
        <v>5011</v>
      </c>
      <c r="I1519" s="1" t="s">
        <v>231</v>
      </c>
      <c r="J1519" s="1" t="s">
        <v>689</v>
      </c>
      <c r="K1519" s="1" t="n">
        <v>69.69</v>
      </c>
      <c r="L1519" s="1" t="n">
        <v>4.5</v>
      </c>
      <c r="M1519" s="1" t="n">
        <v>846</v>
      </c>
      <c r="N1519" s="4" t="b">
        <f aca="false">FALSE()</f>
        <v>0</v>
      </c>
      <c r="O1519" s="1" t="s">
        <v>5012</v>
      </c>
      <c r="P1519" s="4" t="b">
        <f aca="false">TRUE()</f>
        <v>1</v>
      </c>
      <c r="R1519" s="1" t="s">
        <v>4884</v>
      </c>
      <c r="S1519" s="1" t="s">
        <v>5013</v>
      </c>
      <c r="T1519" s="1" t="s">
        <v>222</v>
      </c>
      <c r="U1519" s="1" t="s">
        <v>2102</v>
      </c>
    </row>
    <row r="1520" customFormat="false" ht="48" hidden="false" customHeight="true" outlineLevel="0" collapsed="false">
      <c r="A1520" s="1" t="s">
        <v>41</v>
      </c>
      <c r="B1520" s="1" t="s">
        <v>3712</v>
      </c>
      <c r="C1520" s="1" t="s">
        <v>102</v>
      </c>
      <c r="D1520" s="1" t="s">
        <v>1586</v>
      </c>
      <c r="E1520" s="1" t="n">
        <v>46</v>
      </c>
      <c r="F1520" s="1" t="s">
        <v>5014</v>
      </c>
      <c r="G1520" s="1" t="s">
        <v>236</v>
      </c>
      <c r="H1520" s="1" t="s">
        <v>5015</v>
      </c>
      <c r="I1520" s="1" t="s">
        <v>218</v>
      </c>
      <c r="J1520" s="1" t="s">
        <v>597</v>
      </c>
      <c r="K1520" s="1" t="n">
        <v>39.99</v>
      </c>
      <c r="L1520" s="1" t="n">
        <v>4.6</v>
      </c>
      <c r="M1520" s="1" t="n">
        <v>18</v>
      </c>
      <c r="N1520" s="4" t="b">
        <f aca="false">FALSE()</f>
        <v>0</v>
      </c>
      <c r="P1520" s="4" t="b">
        <f aca="false">TRUE()</f>
        <v>1</v>
      </c>
      <c r="R1520" s="1" t="s">
        <v>4884</v>
      </c>
      <c r="S1520" s="1" t="s">
        <v>5016</v>
      </c>
      <c r="T1520" s="1" t="s">
        <v>222</v>
      </c>
      <c r="U1520" s="1" t="s">
        <v>2102</v>
      </c>
    </row>
    <row r="1521" customFormat="false" ht="48" hidden="false" customHeight="true" outlineLevel="0" collapsed="false">
      <c r="A1521" s="1" t="s">
        <v>41</v>
      </c>
      <c r="B1521" s="1" t="s">
        <v>3712</v>
      </c>
      <c r="C1521" s="1" t="s">
        <v>102</v>
      </c>
      <c r="D1521" s="1" t="s">
        <v>1586</v>
      </c>
      <c r="E1521" s="1" t="n">
        <v>47</v>
      </c>
      <c r="F1521" s="1" t="s">
        <v>5017</v>
      </c>
      <c r="G1521" s="1" t="s">
        <v>236</v>
      </c>
      <c r="H1521" s="1" t="s">
        <v>5018</v>
      </c>
      <c r="I1521" s="1" t="s">
        <v>231</v>
      </c>
      <c r="J1521" s="1" t="s">
        <v>597</v>
      </c>
      <c r="K1521" s="1" t="n">
        <v>169.99</v>
      </c>
      <c r="L1521" s="1" t="n">
        <v>4.8</v>
      </c>
      <c r="M1521" s="1" t="n">
        <v>252</v>
      </c>
      <c r="N1521" s="4" t="b">
        <f aca="false">FALSE()</f>
        <v>0</v>
      </c>
      <c r="O1521" s="1" t="s">
        <v>3725</v>
      </c>
      <c r="P1521" s="4" t="b">
        <f aca="false">TRUE()</f>
        <v>1</v>
      </c>
      <c r="Q1521" s="1" t="s">
        <v>435</v>
      </c>
      <c r="R1521" s="1" t="s">
        <v>4884</v>
      </c>
      <c r="S1521" s="1" t="s">
        <v>5019</v>
      </c>
      <c r="T1521" s="1" t="s">
        <v>222</v>
      </c>
      <c r="U1521" s="1" t="s">
        <v>2102</v>
      </c>
    </row>
    <row r="1522" customFormat="false" ht="48" hidden="false" customHeight="true" outlineLevel="0" collapsed="false">
      <c r="A1522" s="1" t="s">
        <v>41</v>
      </c>
      <c r="B1522" s="1" t="s">
        <v>3712</v>
      </c>
      <c r="C1522" s="1" t="s">
        <v>102</v>
      </c>
      <c r="D1522" s="1" t="s">
        <v>1586</v>
      </c>
      <c r="E1522" s="1" t="n">
        <v>48</v>
      </c>
      <c r="F1522" s="1" t="s">
        <v>3320</v>
      </c>
      <c r="G1522" s="1" t="s">
        <v>236</v>
      </c>
      <c r="H1522" s="1" t="s">
        <v>3321</v>
      </c>
      <c r="I1522" s="1" t="s">
        <v>306</v>
      </c>
      <c r="J1522" s="1" t="s">
        <v>310</v>
      </c>
      <c r="L1522" s="1" t="n">
        <v>4.6</v>
      </c>
      <c r="M1522" s="1" t="n">
        <v>2500</v>
      </c>
      <c r="N1522" s="4" t="b">
        <f aca="false">FALSE()</f>
        <v>0</v>
      </c>
      <c r="P1522" s="4" t="b">
        <f aca="false">TRUE()</f>
        <v>1</v>
      </c>
      <c r="Q1522" s="1" t="s">
        <v>435</v>
      </c>
      <c r="R1522" s="1" t="s">
        <v>4884</v>
      </c>
      <c r="S1522" s="1" t="s">
        <v>5020</v>
      </c>
      <c r="T1522" s="1" t="s">
        <v>222</v>
      </c>
      <c r="U1522" s="1" t="s">
        <v>2102</v>
      </c>
    </row>
    <row r="1523" customFormat="false" ht="48" hidden="false" customHeight="true" outlineLevel="0" collapsed="false">
      <c r="A1523" s="1" t="s">
        <v>41</v>
      </c>
      <c r="B1523" s="1" t="s">
        <v>3712</v>
      </c>
      <c r="C1523" s="1" t="s">
        <v>102</v>
      </c>
      <c r="D1523" s="1" t="s">
        <v>1586</v>
      </c>
      <c r="E1523" s="1" t="n">
        <v>50</v>
      </c>
      <c r="F1523" s="1" t="s">
        <v>5021</v>
      </c>
      <c r="G1523" s="1" t="s">
        <v>236</v>
      </c>
      <c r="H1523" s="1" t="s">
        <v>5022</v>
      </c>
      <c r="I1523" s="1" t="s">
        <v>231</v>
      </c>
      <c r="J1523" s="1" t="s">
        <v>310</v>
      </c>
      <c r="K1523" s="1" t="n">
        <v>67.73</v>
      </c>
      <c r="L1523" s="1" t="n">
        <v>4.6</v>
      </c>
      <c r="M1523" s="1" t="n">
        <v>7200</v>
      </c>
      <c r="N1523" s="4" t="b">
        <f aca="false">FALSE()</f>
        <v>0</v>
      </c>
      <c r="P1523" s="4" t="b">
        <f aca="false">TRUE()</f>
        <v>1</v>
      </c>
      <c r="R1523" s="1" t="s">
        <v>4884</v>
      </c>
      <c r="S1523" s="1" t="s">
        <v>5023</v>
      </c>
      <c r="T1523" s="1" t="s">
        <v>222</v>
      </c>
      <c r="U1523" s="1" t="s">
        <v>2102</v>
      </c>
    </row>
    <row r="1524" customFormat="false" ht="48" hidden="false" customHeight="true" outlineLevel="0" collapsed="false">
      <c r="A1524" s="1" t="s">
        <v>41</v>
      </c>
      <c r="B1524" s="1" t="s">
        <v>3712</v>
      </c>
      <c r="C1524" s="1" t="s">
        <v>102</v>
      </c>
      <c r="D1524" s="1" t="s">
        <v>1586</v>
      </c>
      <c r="E1524" s="1" t="n">
        <v>51</v>
      </c>
      <c r="F1524" s="1" t="s">
        <v>5024</v>
      </c>
      <c r="G1524" s="1" t="s">
        <v>236</v>
      </c>
      <c r="H1524" s="1" t="s">
        <v>5025</v>
      </c>
      <c r="I1524" s="1" t="s">
        <v>218</v>
      </c>
      <c r="J1524" s="1" t="s">
        <v>597</v>
      </c>
      <c r="K1524" s="1" t="n">
        <v>69.99</v>
      </c>
      <c r="L1524" s="1" t="n">
        <v>4.5</v>
      </c>
      <c r="M1524" s="1" t="n">
        <v>1700</v>
      </c>
      <c r="N1524" s="4" t="b">
        <f aca="false">FALSE()</f>
        <v>0</v>
      </c>
      <c r="P1524" s="4" t="b">
        <f aca="false">TRUE()</f>
        <v>1</v>
      </c>
      <c r="Q1524" s="1" t="s">
        <v>251</v>
      </c>
      <c r="R1524" s="1" t="s">
        <v>4884</v>
      </c>
      <c r="S1524" s="1" t="s">
        <v>5026</v>
      </c>
      <c r="T1524" s="1" t="s">
        <v>222</v>
      </c>
      <c r="U1524" s="1" t="s">
        <v>2102</v>
      </c>
    </row>
    <row r="1525" customFormat="false" ht="48" hidden="false" customHeight="true" outlineLevel="0" collapsed="false">
      <c r="A1525" s="1" t="s">
        <v>41</v>
      </c>
      <c r="B1525" s="1" t="s">
        <v>3712</v>
      </c>
      <c r="C1525" s="1" t="s">
        <v>102</v>
      </c>
      <c r="D1525" s="1" t="s">
        <v>1586</v>
      </c>
      <c r="E1525" s="1" t="n">
        <v>53</v>
      </c>
      <c r="F1525" s="1" t="s">
        <v>5027</v>
      </c>
      <c r="G1525" s="1" t="s">
        <v>236</v>
      </c>
      <c r="H1525" s="1" t="s">
        <v>5028</v>
      </c>
      <c r="I1525" s="1" t="s">
        <v>289</v>
      </c>
      <c r="J1525" s="1" t="s">
        <v>597</v>
      </c>
      <c r="K1525" s="1" t="n">
        <v>68.99</v>
      </c>
      <c r="L1525" s="1" t="n">
        <v>4.6</v>
      </c>
      <c r="M1525" s="1" t="n">
        <v>1200</v>
      </c>
      <c r="N1525" s="4" t="b">
        <f aca="false">FALSE()</f>
        <v>0</v>
      </c>
      <c r="P1525" s="4" t="b">
        <f aca="false">TRUE()</f>
        <v>1</v>
      </c>
      <c r="R1525" s="1" t="s">
        <v>4884</v>
      </c>
      <c r="S1525" s="1" t="s">
        <v>5029</v>
      </c>
      <c r="T1525" s="1" t="s">
        <v>222</v>
      </c>
      <c r="U1525" s="1" t="s">
        <v>2102</v>
      </c>
    </row>
    <row r="1526" customFormat="false" ht="48" hidden="false" customHeight="true" outlineLevel="0" collapsed="false">
      <c r="A1526" s="1" t="s">
        <v>41</v>
      </c>
      <c r="B1526" s="1" t="s">
        <v>3712</v>
      </c>
      <c r="C1526" s="1" t="s">
        <v>102</v>
      </c>
      <c r="D1526" s="1" t="s">
        <v>1586</v>
      </c>
      <c r="E1526" s="1" t="n">
        <v>54</v>
      </c>
      <c r="F1526" s="1" t="s">
        <v>5030</v>
      </c>
      <c r="G1526" s="1" t="s">
        <v>236</v>
      </c>
      <c r="H1526" s="1" t="s">
        <v>5031</v>
      </c>
      <c r="I1526" s="1" t="s">
        <v>218</v>
      </c>
      <c r="J1526" s="1" t="s">
        <v>597</v>
      </c>
      <c r="K1526" s="1" t="n">
        <v>105.99</v>
      </c>
      <c r="L1526" s="1" t="n">
        <v>4.4</v>
      </c>
      <c r="M1526" s="1" t="n">
        <v>146</v>
      </c>
      <c r="N1526" s="4" t="b">
        <f aca="false">FALSE()</f>
        <v>0</v>
      </c>
      <c r="P1526" s="4" t="b">
        <f aca="false">TRUE()</f>
        <v>1</v>
      </c>
      <c r="Q1526" s="1" t="s">
        <v>233</v>
      </c>
      <c r="R1526" s="1" t="s">
        <v>4884</v>
      </c>
      <c r="S1526" s="1" t="s">
        <v>5032</v>
      </c>
      <c r="T1526" s="1" t="s">
        <v>222</v>
      </c>
      <c r="U1526" s="1" t="s">
        <v>2102</v>
      </c>
    </row>
    <row r="1527" customFormat="false" ht="48" hidden="false" customHeight="true" outlineLevel="0" collapsed="false">
      <c r="A1527" s="1" t="s">
        <v>41</v>
      </c>
      <c r="B1527" s="1" t="s">
        <v>3712</v>
      </c>
      <c r="C1527" s="1" t="s">
        <v>102</v>
      </c>
      <c r="D1527" s="1" t="s">
        <v>1586</v>
      </c>
      <c r="E1527" s="1" t="n">
        <v>55</v>
      </c>
      <c r="F1527" s="1" t="s">
        <v>5033</v>
      </c>
      <c r="G1527" s="1" t="s">
        <v>236</v>
      </c>
      <c r="H1527" s="1" t="s">
        <v>5034</v>
      </c>
      <c r="I1527" s="1" t="s">
        <v>231</v>
      </c>
      <c r="J1527" s="1" t="s">
        <v>597</v>
      </c>
      <c r="K1527" s="1" t="n">
        <v>139.99</v>
      </c>
      <c r="L1527" s="1" t="n">
        <v>4.7</v>
      </c>
      <c r="M1527" s="1" t="n">
        <v>134</v>
      </c>
      <c r="N1527" s="4" t="b">
        <f aca="false">FALSE()</f>
        <v>0</v>
      </c>
      <c r="P1527" s="4" t="b">
        <f aca="false">TRUE()</f>
        <v>1</v>
      </c>
      <c r="Q1527" s="1" t="s">
        <v>233</v>
      </c>
      <c r="R1527" s="1" t="s">
        <v>4884</v>
      </c>
      <c r="S1527" s="1" t="s">
        <v>5035</v>
      </c>
      <c r="T1527" s="1" t="s">
        <v>222</v>
      </c>
      <c r="U1527" s="1" t="s">
        <v>2102</v>
      </c>
    </row>
    <row r="1528" customFormat="false" ht="48" hidden="false" customHeight="true" outlineLevel="0" collapsed="false">
      <c r="A1528" s="1" t="s">
        <v>41</v>
      </c>
      <c r="B1528" s="1" t="s">
        <v>3712</v>
      </c>
      <c r="C1528" s="1" t="s">
        <v>102</v>
      </c>
      <c r="D1528" s="1" t="s">
        <v>1586</v>
      </c>
      <c r="E1528" s="1" t="n">
        <v>56</v>
      </c>
      <c r="F1528" s="1" t="s">
        <v>5036</v>
      </c>
      <c r="G1528" s="1" t="s">
        <v>236</v>
      </c>
      <c r="H1528" s="1" t="s">
        <v>5037</v>
      </c>
      <c r="I1528" s="1" t="s">
        <v>231</v>
      </c>
      <c r="J1528" s="1" t="s">
        <v>597</v>
      </c>
      <c r="K1528" s="1" t="n">
        <v>69.99</v>
      </c>
      <c r="L1528" s="1" t="n">
        <v>4.5</v>
      </c>
      <c r="M1528" s="1" t="n">
        <v>456</v>
      </c>
      <c r="N1528" s="4" t="b">
        <f aca="false">FALSE()</f>
        <v>0</v>
      </c>
      <c r="P1528" s="4" t="b">
        <f aca="false">TRUE()</f>
        <v>1</v>
      </c>
      <c r="Q1528" s="1" t="s">
        <v>251</v>
      </c>
      <c r="R1528" s="1" t="s">
        <v>4884</v>
      </c>
      <c r="S1528" s="1" t="s">
        <v>5038</v>
      </c>
      <c r="T1528" s="1" t="s">
        <v>222</v>
      </c>
      <c r="U1528" s="1" t="s">
        <v>2102</v>
      </c>
    </row>
    <row r="1529" customFormat="false" ht="48" hidden="false" customHeight="true" outlineLevel="0" collapsed="false">
      <c r="A1529" s="1" t="s">
        <v>41</v>
      </c>
      <c r="B1529" s="1" t="s">
        <v>3712</v>
      </c>
      <c r="C1529" s="1" t="s">
        <v>102</v>
      </c>
      <c r="D1529" s="1" t="s">
        <v>1586</v>
      </c>
      <c r="E1529" s="1" t="n">
        <v>57</v>
      </c>
      <c r="F1529" s="1" t="s">
        <v>5039</v>
      </c>
      <c r="G1529" s="1" t="s">
        <v>236</v>
      </c>
      <c r="H1529" s="1" t="s">
        <v>5040</v>
      </c>
      <c r="I1529" s="1" t="s">
        <v>231</v>
      </c>
      <c r="J1529" s="1" t="s">
        <v>597</v>
      </c>
      <c r="K1529" s="1" t="n">
        <v>139.99</v>
      </c>
      <c r="L1529" s="1" t="n">
        <v>4.6</v>
      </c>
      <c r="M1529" s="1" t="n">
        <v>97</v>
      </c>
      <c r="N1529" s="4" t="b">
        <f aca="false">FALSE()</f>
        <v>0</v>
      </c>
      <c r="O1529" s="1" t="s">
        <v>5041</v>
      </c>
      <c r="P1529" s="4" t="b">
        <f aca="false">TRUE()</f>
        <v>1</v>
      </c>
      <c r="R1529" s="1" t="s">
        <v>4884</v>
      </c>
      <c r="S1529" s="1" t="s">
        <v>5042</v>
      </c>
      <c r="T1529" s="1" t="s">
        <v>222</v>
      </c>
      <c r="U1529" s="1" t="s">
        <v>2102</v>
      </c>
    </row>
    <row r="1530" customFormat="false" ht="48" hidden="false" customHeight="true" outlineLevel="0" collapsed="false">
      <c r="A1530" s="1" t="s">
        <v>41</v>
      </c>
      <c r="B1530" s="1" t="s">
        <v>3712</v>
      </c>
      <c r="C1530" s="1" t="s">
        <v>102</v>
      </c>
      <c r="D1530" s="1" t="s">
        <v>1586</v>
      </c>
      <c r="E1530" s="1" t="n">
        <v>58</v>
      </c>
      <c r="F1530" s="1" t="s">
        <v>5043</v>
      </c>
      <c r="G1530" s="1" t="s">
        <v>236</v>
      </c>
      <c r="H1530" s="1" t="s">
        <v>5044</v>
      </c>
      <c r="I1530" s="1" t="s">
        <v>289</v>
      </c>
      <c r="J1530" s="1" t="s">
        <v>597</v>
      </c>
      <c r="K1530" s="1" t="n">
        <v>48.37</v>
      </c>
      <c r="L1530" s="1" t="n">
        <v>4.7</v>
      </c>
      <c r="M1530" s="1" t="n">
        <v>2200</v>
      </c>
      <c r="N1530" s="4" t="b">
        <f aca="false">FALSE()</f>
        <v>0</v>
      </c>
      <c r="O1530" s="1" t="s">
        <v>5045</v>
      </c>
      <c r="P1530" s="4" t="b">
        <f aca="false">TRUE()</f>
        <v>1</v>
      </c>
      <c r="Q1530" s="1" t="s">
        <v>451</v>
      </c>
      <c r="R1530" s="1" t="s">
        <v>4884</v>
      </c>
      <c r="S1530" s="1" t="s">
        <v>5046</v>
      </c>
      <c r="T1530" s="1" t="s">
        <v>222</v>
      </c>
      <c r="U1530" s="1" t="s">
        <v>2102</v>
      </c>
    </row>
    <row r="1531" customFormat="false" ht="48" hidden="false" customHeight="true" outlineLevel="0" collapsed="false">
      <c r="A1531" s="1" t="s">
        <v>41</v>
      </c>
      <c r="B1531" s="1" t="s">
        <v>3712</v>
      </c>
      <c r="C1531" s="1" t="s">
        <v>102</v>
      </c>
      <c r="D1531" s="1" t="s">
        <v>1586</v>
      </c>
      <c r="E1531" s="1" t="n">
        <v>59</v>
      </c>
      <c r="F1531" s="1" t="s">
        <v>5047</v>
      </c>
      <c r="G1531" s="1" t="s">
        <v>236</v>
      </c>
      <c r="H1531" s="1" t="s">
        <v>5048</v>
      </c>
      <c r="I1531" s="1" t="s">
        <v>231</v>
      </c>
      <c r="J1531" s="1" t="s">
        <v>597</v>
      </c>
      <c r="K1531" s="1" t="n">
        <v>94.89</v>
      </c>
      <c r="L1531" s="1" t="n">
        <v>4.6</v>
      </c>
      <c r="M1531" s="1" t="n">
        <v>792</v>
      </c>
      <c r="N1531" s="4" t="b">
        <f aca="false">FALSE()</f>
        <v>0</v>
      </c>
      <c r="P1531" s="4" t="b">
        <f aca="false">TRUE()</f>
        <v>1</v>
      </c>
      <c r="Q1531" s="1" t="s">
        <v>435</v>
      </c>
      <c r="R1531" s="1" t="s">
        <v>4884</v>
      </c>
      <c r="S1531" s="1" t="s">
        <v>5049</v>
      </c>
      <c r="T1531" s="1" t="s">
        <v>222</v>
      </c>
      <c r="U1531" s="1" t="s">
        <v>2102</v>
      </c>
    </row>
    <row r="1532" customFormat="false" ht="48" hidden="false" customHeight="true" outlineLevel="0" collapsed="false">
      <c r="A1532" s="1" t="s">
        <v>41</v>
      </c>
      <c r="B1532" s="1" t="s">
        <v>3712</v>
      </c>
      <c r="C1532" s="1" t="s">
        <v>102</v>
      </c>
      <c r="D1532" s="1" t="s">
        <v>1586</v>
      </c>
      <c r="E1532" s="1" t="n">
        <v>60</v>
      </c>
      <c r="F1532" s="1" t="s">
        <v>5050</v>
      </c>
      <c r="G1532" s="1" t="s">
        <v>236</v>
      </c>
      <c r="H1532" s="1" t="s">
        <v>5051</v>
      </c>
      <c r="I1532" s="1" t="s">
        <v>289</v>
      </c>
      <c r="J1532" s="1" t="s">
        <v>597</v>
      </c>
      <c r="K1532" s="1" t="n">
        <v>79.99</v>
      </c>
      <c r="L1532" s="1" t="n">
        <v>4.6</v>
      </c>
      <c r="M1532" s="1" t="n">
        <v>3100</v>
      </c>
      <c r="N1532" s="4" t="b">
        <f aca="false">FALSE()</f>
        <v>0</v>
      </c>
      <c r="P1532" s="4" t="b">
        <f aca="false">TRUE()</f>
        <v>1</v>
      </c>
      <c r="Q1532" s="1" t="s">
        <v>251</v>
      </c>
      <c r="R1532" s="1" t="s">
        <v>4884</v>
      </c>
      <c r="S1532" s="1" t="s">
        <v>5052</v>
      </c>
      <c r="T1532" s="1" t="s">
        <v>222</v>
      </c>
      <c r="U1532" s="1" t="s">
        <v>2102</v>
      </c>
    </row>
    <row r="1533" customFormat="false" ht="48" hidden="false" customHeight="true" outlineLevel="0" collapsed="false">
      <c r="A1533" s="1" t="s">
        <v>41</v>
      </c>
      <c r="B1533" s="1" t="s">
        <v>3712</v>
      </c>
      <c r="C1533" s="1" t="s">
        <v>57</v>
      </c>
      <c r="D1533" s="1" t="s">
        <v>1751</v>
      </c>
      <c r="E1533" s="1" t="n">
        <v>1</v>
      </c>
      <c r="F1533" s="1" t="s">
        <v>708</v>
      </c>
      <c r="G1533" s="1" t="s">
        <v>979</v>
      </c>
      <c r="H1533" s="1" t="s">
        <v>4304</v>
      </c>
      <c r="I1533" s="1" t="s">
        <v>218</v>
      </c>
      <c r="J1533" s="1" t="s">
        <v>689</v>
      </c>
      <c r="K1533" s="1" t="n">
        <v>44.99</v>
      </c>
      <c r="L1533" s="1" t="n">
        <v>4.3</v>
      </c>
      <c r="M1533" s="1" t="n">
        <v>35200</v>
      </c>
      <c r="N1533" s="4" t="b">
        <f aca="false">FALSE()</f>
        <v>0</v>
      </c>
      <c r="P1533" s="4" t="b">
        <f aca="false">TRUE()</f>
        <v>1</v>
      </c>
      <c r="Q1533" s="1" t="s">
        <v>4209</v>
      </c>
      <c r="R1533" s="1" t="s">
        <v>5053</v>
      </c>
      <c r="S1533" s="1" t="s">
        <v>4305</v>
      </c>
      <c r="T1533" s="1" t="s">
        <v>222</v>
      </c>
      <c r="U1533" s="1" t="s">
        <v>2102</v>
      </c>
    </row>
    <row r="1534" customFormat="false" ht="48" hidden="false" customHeight="true" outlineLevel="0" collapsed="false">
      <c r="A1534" s="1" t="s">
        <v>41</v>
      </c>
      <c r="B1534" s="1" t="s">
        <v>3712</v>
      </c>
      <c r="C1534" s="1" t="s">
        <v>57</v>
      </c>
      <c r="D1534" s="1" t="s">
        <v>1751</v>
      </c>
      <c r="E1534" s="1" t="n">
        <v>2</v>
      </c>
      <c r="F1534" s="1" t="s">
        <v>5054</v>
      </c>
      <c r="G1534" s="1" t="s">
        <v>1893</v>
      </c>
      <c r="H1534" s="1" t="s">
        <v>5055</v>
      </c>
      <c r="I1534" s="1" t="s">
        <v>218</v>
      </c>
      <c r="J1534" s="1" t="s">
        <v>597</v>
      </c>
      <c r="K1534" s="1" t="n">
        <v>33.29</v>
      </c>
      <c r="L1534" s="1" t="n">
        <v>4.4</v>
      </c>
      <c r="M1534" s="1" t="n">
        <v>3100</v>
      </c>
      <c r="N1534" s="4" t="b">
        <f aca="false">FALSE()</f>
        <v>0</v>
      </c>
      <c r="P1534" s="4" t="b">
        <f aca="false">TRUE()</f>
        <v>1</v>
      </c>
      <c r="Q1534" s="1" t="s">
        <v>423</v>
      </c>
      <c r="R1534" s="1" t="s">
        <v>5053</v>
      </c>
      <c r="S1534" s="1" t="s">
        <v>5056</v>
      </c>
      <c r="T1534" s="1" t="s">
        <v>222</v>
      </c>
      <c r="U1534" s="1" t="s">
        <v>2102</v>
      </c>
    </row>
    <row r="1535" customFormat="false" ht="48" hidden="false" customHeight="true" outlineLevel="0" collapsed="false">
      <c r="A1535" s="1" t="s">
        <v>41</v>
      </c>
      <c r="B1535" s="1" t="s">
        <v>3712</v>
      </c>
      <c r="C1535" s="1" t="s">
        <v>57</v>
      </c>
      <c r="D1535" s="1" t="s">
        <v>1751</v>
      </c>
      <c r="E1535" s="1" t="n">
        <v>3</v>
      </c>
      <c r="F1535" s="1" t="s">
        <v>5057</v>
      </c>
      <c r="G1535" s="1" t="s">
        <v>677</v>
      </c>
      <c r="H1535" s="1" t="s">
        <v>5058</v>
      </c>
      <c r="I1535" s="1" t="s">
        <v>218</v>
      </c>
      <c r="J1535" s="1" t="s">
        <v>597</v>
      </c>
      <c r="K1535" s="1" t="n">
        <v>52.99</v>
      </c>
      <c r="L1535" s="1" t="n">
        <v>4.5</v>
      </c>
      <c r="M1535" s="1" t="n">
        <v>47800</v>
      </c>
      <c r="N1535" s="4" t="b">
        <f aca="false">FALSE()</f>
        <v>0</v>
      </c>
      <c r="O1535" s="1" t="s">
        <v>864</v>
      </c>
      <c r="P1535" s="4" t="b">
        <f aca="false">TRUE()</f>
        <v>1</v>
      </c>
      <c r="Q1535" s="1" t="s">
        <v>1840</v>
      </c>
      <c r="R1535" s="1" t="s">
        <v>5053</v>
      </c>
      <c r="S1535" s="1" t="s">
        <v>5059</v>
      </c>
      <c r="T1535" s="1" t="s">
        <v>222</v>
      </c>
      <c r="U1535" s="1" t="s">
        <v>2102</v>
      </c>
    </row>
    <row r="1536" customFormat="false" ht="48" hidden="false" customHeight="true" outlineLevel="0" collapsed="false">
      <c r="A1536" s="1" t="s">
        <v>41</v>
      </c>
      <c r="B1536" s="1" t="s">
        <v>3712</v>
      </c>
      <c r="C1536" s="1" t="s">
        <v>57</v>
      </c>
      <c r="D1536" s="1" t="s">
        <v>1751</v>
      </c>
      <c r="E1536" s="1" t="n">
        <v>4</v>
      </c>
      <c r="F1536" s="1" t="s">
        <v>5060</v>
      </c>
      <c r="G1536" s="1" t="s">
        <v>2753</v>
      </c>
      <c r="H1536" s="1" t="s">
        <v>5061</v>
      </c>
      <c r="I1536" s="1" t="s">
        <v>218</v>
      </c>
      <c r="J1536" s="1" t="s">
        <v>689</v>
      </c>
      <c r="K1536" s="1" t="n">
        <v>27.89</v>
      </c>
      <c r="L1536" s="1" t="n">
        <v>4.1</v>
      </c>
      <c r="M1536" s="1" t="n">
        <v>2100</v>
      </c>
      <c r="N1536" s="4" t="b">
        <f aca="false">FALSE()</f>
        <v>0</v>
      </c>
      <c r="O1536" s="1" t="s">
        <v>4205</v>
      </c>
      <c r="P1536" s="4" t="b">
        <f aca="false">TRUE()</f>
        <v>1</v>
      </c>
      <c r="Q1536" s="1" t="s">
        <v>711</v>
      </c>
      <c r="R1536" s="1" t="s">
        <v>5053</v>
      </c>
      <c r="S1536" s="1" t="s">
        <v>5062</v>
      </c>
      <c r="T1536" s="1" t="s">
        <v>222</v>
      </c>
      <c r="U1536" s="1" t="s">
        <v>2102</v>
      </c>
    </row>
    <row r="1537" customFormat="false" ht="48" hidden="false" customHeight="true" outlineLevel="0" collapsed="false">
      <c r="A1537" s="1" t="s">
        <v>41</v>
      </c>
      <c r="B1537" s="1" t="s">
        <v>3712</v>
      </c>
      <c r="C1537" s="1" t="s">
        <v>57</v>
      </c>
      <c r="D1537" s="1" t="s">
        <v>1751</v>
      </c>
      <c r="E1537" s="1" t="n">
        <v>5</v>
      </c>
      <c r="F1537" s="1" t="s">
        <v>960</v>
      </c>
      <c r="G1537" s="1" t="s">
        <v>979</v>
      </c>
      <c r="H1537" s="1" t="s">
        <v>5063</v>
      </c>
      <c r="I1537" s="1" t="s">
        <v>242</v>
      </c>
      <c r="J1537" s="1" t="s">
        <v>689</v>
      </c>
      <c r="K1537" s="1" t="n">
        <v>42.99</v>
      </c>
      <c r="L1537" s="1" t="n">
        <v>4.3</v>
      </c>
      <c r="M1537" s="1" t="n">
        <v>35200</v>
      </c>
      <c r="N1537" s="4" t="b">
        <f aca="false">FALSE()</f>
        <v>0</v>
      </c>
      <c r="P1537" s="4" t="b">
        <f aca="false">TRUE()</f>
        <v>1</v>
      </c>
      <c r="Q1537" s="1" t="s">
        <v>1840</v>
      </c>
      <c r="R1537" s="1" t="s">
        <v>5053</v>
      </c>
      <c r="S1537" s="1" t="s">
        <v>5064</v>
      </c>
      <c r="T1537" s="1" t="s">
        <v>222</v>
      </c>
      <c r="U1537" s="1" t="s">
        <v>2102</v>
      </c>
    </row>
    <row r="1538" customFormat="false" ht="48" hidden="false" customHeight="true" outlineLevel="0" collapsed="false">
      <c r="A1538" s="1" t="s">
        <v>41</v>
      </c>
      <c r="B1538" s="1" t="s">
        <v>3712</v>
      </c>
      <c r="C1538" s="1" t="s">
        <v>57</v>
      </c>
      <c r="D1538" s="1" t="s">
        <v>1751</v>
      </c>
      <c r="E1538" s="1" t="n">
        <v>6</v>
      </c>
      <c r="F1538" s="1" t="s">
        <v>308</v>
      </c>
      <c r="G1538" s="1" t="s">
        <v>236</v>
      </c>
      <c r="H1538" s="1" t="s">
        <v>309</v>
      </c>
      <c r="I1538" s="1" t="s">
        <v>218</v>
      </c>
      <c r="J1538" s="1" t="s">
        <v>310</v>
      </c>
      <c r="K1538" s="1" t="n">
        <v>24.99</v>
      </c>
      <c r="L1538" s="1" t="n">
        <v>4.5</v>
      </c>
      <c r="M1538" s="1" t="n">
        <v>464600</v>
      </c>
      <c r="N1538" s="4" t="b">
        <f aca="false">FALSE()</f>
        <v>0</v>
      </c>
      <c r="O1538" s="1" t="s">
        <v>311</v>
      </c>
      <c r="P1538" s="4" t="b">
        <f aca="false">FALSE()</f>
        <v>0</v>
      </c>
      <c r="Q1538" s="1" t="s">
        <v>3772</v>
      </c>
      <c r="R1538" s="1" t="s">
        <v>5053</v>
      </c>
      <c r="S1538" s="1" t="s">
        <v>3773</v>
      </c>
      <c r="T1538" s="1" t="s">
        <v>222</v>
      </c>
      <c r="U1538" s="1" t="s">
        <v>2102</v>
      </c>
    </row>
    <row r="1539" customFormat="false" ht="48" hidden="false" customHeight="true" outlineLevel="0" collapsed="false">
      <c r="A1539" s="1" t="s">
        <v>41</v>
      </c>
      <c r="B1539" s="1" t="s">
        <v>3712</v>
      </c>
      <c r="C1539" s="1" t="s">
        <v>57</v>
      </c>
      <c r="D1539" s="1" t="s">
        <v>1751</v>
      </c>
      <c r="E1539" s="1" t="n">
        <v>7</v>
      </c>
      <c r="F1539" s="1" t="s">
        <v>4207</v>
      </c>
      <c r="G1539" s="1" t="s">
        <v>236</v>
      </c>
      <c r="H1539" s="1" t="s">
        <v>4208</v>
      </c>
      <c r="I1539" s="1" t="s">
        <v>218</v>
      </c>
      <c r="J1539" s="1" t="s">
        <v>310</v>
      </c>
      <c r="K1539" s="1" t="n">
        <v>24.99</v>
      </c>
      <c r="L1539" s="1" t="n">
        <v>4.5</v>
      </c>
      <c r="M1539" s="1" t="n">
        <v>464600</v>
      </c>
      <c r="N1539" s="4" t="b">
        <f aca="false">FALSE()</f>
        <v>0</v>
      </c>
      <c r="O1539" s="1" t="s">
        <v>311</v>
      </c>
      <c r="P1539" s="4" t="b">
        <f aca="false">FALSE()</f>
        <v>0</v>
      </c>
      <c r="Q1539" s="1" t="s">
        <v>4209</v>
      </c>
      <c r="R1539" s="1" t="s">
        <v>5053</v>
      </c>
      <c r="S1539" s="1" t="s">
        <v>4210</v>
      </c>
      <c r="T1539" s="1" t="s">
        <v>222</v>
      </c>
      <c r="U1539" s="1" t="s">
        <v>2102</v>
      </c>
    </row>
    <row r="1540" customFormat="false" ht="48" hidden="false" customHeight="true" outlineLevel="0" collapsed="false">
      <c r="A1540" s="1" t="s">
        <v>41</v>
      </c>
      <c r="B1540" s="1" t="s">
        <v>3712</v>
      </c>
      <c r="C1540" s="1" t="s">
        <v>57</v>
      </c>
      <c r="D1540" s="1" t="s">
        <v>1751</v>
      </c>
      <c r="E1540" s="1" t="n">
        <v>8</v>
      </c>
      <c r="F1540" s="1" t="s">
        <v>1797</v>
      </c>
      <c r="G1540" s="1" t="s">
        <v>236</v>
      </c>
      <c r="H1540" s="1" t="s">
        <v>5065</v>
      </c>
      <c r="I1540" s="1" t="s">
        <v>218</v>
      </c>
      <c r="J1540" s="1" t="s">
        <v>597</v>
      </c>
      <c r="K1540" s="1" t="n">
        <v>34.99</v>
      </c>
      <c r="L1540" s="1" t="n">
        <v>4.3</v>
      </c>
      <c r="M1540" s="1" t="n">
        <v>12600</v>
      </c>
      <c r="N1540" s="4" t="b">
        <f aca="false">FALSE()</f>
        <v>0</v>
      </c>
      <c r="O1540" s="1" t="s">
        <v>311</v>
      </c>
      <c r="P1540" s="4" t="b">
        <f aca="false">TRUE()</f>
        <v>1</v>
      </c>
      <c r="Q1540" s="1" t="s">
        <v>711</v>
      </c>
      <c r="R1540" s="1" t="s">
        <v>5053</v>
      </c>
      <c r="S1540" s="1" t="s">
        <v>5066</v>
      </c>
      <c r="T1540" s="1" t="s">
        <v>222</v>
      </c>
      <c r="U1540" s="1" t="s">
        <v>2102</v>
      </c>
    </row>
    <row r="1541" customFormat="false" ht="48" hidden="false" customHeight="true" outlineLevel="0" collapsed="false">
      <c r="A1541" s="1" t="s">
        <v>41</v>
      </c>
      <c r="B1541" s="1" t="s">
        <v>3712</v>
      </c>
      <c r="C1541" s="1" t="s">
        <v>57</v>
      </c>
      <c r="D1541" s="1" t="s">
        <v>1751</v>
      </c>
      <c r="E1541" s="1" t="n">
        <v>9</v>
      </c>
      <c r="F1541" s="1" t="s">
        <v>5067</v>
      </c>
      <c r="G1541" s="1" t="s">
        <v>1893</v>
      </c>
      <c r="H1541" s="1" t="s">
        <v>5068</v>
      </c>
      <c r="I1541" s="1" t="s">
        <v>218</v>
      </c>
      <c r="J1541" s="1" t="s">
        <v>597</v>
      </c>
      <c r="K1541" s="1" t="n">
        <v>32.39</v>
      </c>
      <c r="L1541" s="1" t="n">
        <v>4.4</v>
      </c>
      <c r="M1541" s="1" t="n">
        <v>3100</v>
      </c>
      <c r="N1541" s="4" t="b">
        <f aca="false">FALSE()</f>
        <v>0</v>
      </c>
      <c r="P1541" s="4" t="b">
        <f aca="false">TRUE()</f>
        <v>1</v>
      </c>
      <c r="Q1541" s="1" t="s">
        <v>439</v>
      </c>
      <c r="R1541" s="1" t="s">
        <v>5053</v>
      </c>
      <c r="S1541" s="1" t="s">
        <v>5069</v>
      </c>
      <c r="T1541" s="1" t="s">
        <v>222</v>
      </c>
      <c r="U1541" s="1" t="s">
        <v>2102</v>
      </c>
    </row>
    <row r="1542" customFormat="false" ht="48" hidden="false" customHeight="true" outlineLevel="0" collapsed="false">
      <c r="A1542" s="1" t="s">
        <v>41</v>
      </c>
      <c r="B1542" s="1" t="s">
        <v>3712</v>
      </c>
      <c r="C1542" s="1" t="s">
        <v>57</v>
      </c>
      <c r="D1542" s="1" t="s">
        <v>1751</v>
      </c>
      <c r="E1542" s="1" t="n">
        <v>10</v>
      </c>
      <c r="F1542" s="1" t="s">
        <v>5070</v>
      </c>
      <c r="G1542" s="1" t="s">
        <v>236</v>
      </c>
      <c r="H1542" s="1" t="s">
        <v>5071</v>
      </c>
      <c r="I1542" s="1" t="s">
        <v>218</v>
      </c>
      <c r="J1542" s="1" t="s">
        <v>597</v>
      </c>
      <c r="K1542" s="1" t="n">
        <v>27.24</v>
      </c>
      <c r="L1542" s="1" t="n">
        <v>4</v>
      </c>
      <c r="M1542" s="1" t="n">
        <v>14900</v>
      </c>
      <c r="N1542" s="4" t="b">
        <f aca="false">FALSE()</f>
        <v>0</v>
      </c>
      <c r="P1542" s="4" t="b">
        <f aca="false">TRUE()</f>
        <v>1</v>
      </c>
      <c r="Q1542" s="1" t="s">
        <v>409</v>
      </c>
      <c r="R1542" s="1" t="s">
        <v>5053</v>
      </c>
      <c r="S1542" s="1" t="s">
        <v>5072</v>
      </c>
      <c r="T1542" s="1" t="s">
        <v>222</v>
      </c>
      <c r="U1542" s="1" t="s">
        <v>2102</v>
      </c>
    </row>
    <row r="1543" customFormat="false" ht="48" hidden="false" customHeight="true" outlineLevel="0" collapsed="false">
      <c r="A1543" s="1" t="s">
        <v>41</v>
      </c>
      <c r="B1543" s="1" t="s">
        <v>3712</v>
      </c>
      <c r="C1543" s="1" t="s">
        <v>57</v>
      </c>
      <c r="D1543" s="1" t="s">
        <v>1751</v>
      </c>
      <c r="E1543" s="1" t="n">
        <v>11</v>
      </c>
      <c r="F1543" s="1" t="s">
        <v>1874</v>
      </c>
      <c r="G1543" s="1" t="s">
        <v>236</v>
      </c>
      <c r="H1543" s="1" t="s">
        <v>5073</v>
      </c>
      <c r="I1543" s="1" t="s">
        <v>218</v>
      </c>
      <c r="J1543" s="1" t="s">
        <v>597</v>
      </c>
      <c r="K1543" s="1" t="n">
        <v>42.99</v>
      </c>
      <c r="L1543" s="1" t="n">
        <v>4.4</v>
      </c>
      <c r="M1543" s="1" t="n">
        <v>19900</v>
      </c>
      <c r="N1543" s="4" t="b">
        <f aca="false">FALSE()</f>
        <v>0</v>
      </c>
      <c r="O1543" s="1" t="s">
        <v>422</v>
      </c>
      <c r="P1543" s="4" t="b">
        <f aca="false">TRUE()</f>
        <v>1</v>
      </c>
      <c r="Q1543" s="1" t="s">
        <v>711</v>
      </c>
      <c r="R1543" s="1" t="s">
        <v>5053</v>
      </c>
      <c r="S1543" s="1" t="s">
        <v>5074</v>
      </c>
      <c r="T1543" s="1" t="s">
        <v>222</v>
      </c>
      <c r="U1543" s="1" t="s">
        <v>2102</v>
      </c>
    </row>
    <row r="1544" customFormat="false" ht="48" hidden="false" customHeight="true" outlineLevel="0" collapsed="false">
      <c r="A1544" s="1" t="s">
        <v>41</v>
      </c>
      <c r="B1544" s="1" t="s">
        <v>3712</v>
      </c>
      <c r="C1544" s="1" t="s">
        <v>57</v>
      </c>
      <c r="D1544" s="1" t="s">
        <v>1751</v>
      </c>
      <c r="E1544" s="1" t="n">
        <v>12</v>
      </c>
      <c r="F1544" s="1" t="s">
        <v>5075</v>
      </c>
      <c r="G1544" s="1" t="s">
        <v>236</v>
      </c>
      <c r="H1544" s="1" t="s">
        <v>5076</v>
      </c>
      <c r="I1544" s="1" t="s">
        <v>218</v>
      </c>
      <c r="J1544" s="1" t="s">
        <v>597</v>
      </c>
      <c r="K1544" s="1" t="n">
        <v>49.99</v>
      </c>
      <c r="L1544" s="1" t="n">
        <v>4.5</v>
      </c>
      <c r="M1544" s="1" t="n">
        <v>20700</v>
      </c>
      <c r="N1544" s="4" t="b">
        <f aca="false">FALSE()</f>
        <v>0</v>
      </c>
      <c r="O1544" s="1" t="s">
        <v>3714</v>
      </c>
      <c r="P1544" s="4" t="b">
        <f aca="false">TRUE()</f>
        <v>1</v>
      </c>
      <c r="Q1544" s="1" t="s">
        <v>711</v>
      </c>
      <c r="R1544" s="1" t="s">
        <v>5053</v>
      </c>
      <c r="S1544" s="1" t="s">
        <v>5077</v>
      </c>
      <c r="T1544" s="1" t="s">
        <v>222</v>
      </c>
      <c r="U1544" s="1" t="s">
        <v>2102</v>
      </c>
    </row>
    <row r="1545" customFormat="false" ht="48" hidden="false" customHeight="true" outlineLevel="0" collapsed="false">
      <c r="A1545" s="1" t="s">
        <v>41</v>
      </c>
      <c r="B1545" s="1" t="s">
        <v>3712</v>
      </c>
      <c r="C1545" s="1" t="s">
        <v>57</v>
      </c>
      <c r="D1545" s="1" t="s">
        <v>1751</v>
      </c>
      <c r="E1545" s="1" t="n">
        <v>13</v>
      </c>
      <c r="F1545" s="1" t="s">
        <v>4396</v>
      </c>
      <c r="G1545" s="1" t="s">
        <v>979</v>
      </c>
      <c r="H1545" s="1" t="s">
        <v>4397</v>
      </c>
      <c r="I1545" s="1" t="s">
        <v>231</v>
      </c>
      <c r="J1545" s="1" t="s">
        <v>689</v>
      </c>
      <c r="K1545" s="1" t="n">
        <v>149.99</v>
      </c>
      <c r="L1545" s="1" t="n">
        <v>4.4</v>
      </c>
      <c r="M1545" s="1" t="n">
        <v>1500</v>
      </c>
      <c r="N1545" s="4" t="b">
        <f aca="false">FALSE()</f>
        <v>0</v>
      </c>
      <c r="P1545" s="4" t="b">
        <f aca="false">TRUE()</f>
        <v>1</v>
      </c>
      <c r="Q1545" s="1" t="s">
        <v>711</v>
      </c>
      <c r="R1545" s="1" t="s">
        <v>5053</v>
      </c>
      <c r="S1545" s="1" t="s">
        <v>4398</v>
      </c>
      <c r="T1545" s="1" t="s">
        <v>222</v>
      </c>
      <c r="U1545" s="1" t="s">
        <v>2102</v>
      </c>
    </row>
    <row r="1546" customFormat="false" ht="48" hidden="false" customHeight="true" outlineLevel="0" collapsed="false">
      <c r="A1546" s="1" t="s">
        <v>41</v>
      </c>
      <c r="B1546" s="1" t="s">
        <v>3712</v>
      </c>
      <c r="C1546" s="1" t="s">
        <v>57</v>
      </c>
      <c r="D1546" s="1" t="s">
        <v>1751</v>
      </c>
      <c r="E1546" s="1" t="n">
        <v>14</v>
      </c>
      <c r="F1546" s="1" t="s">
        <v>2815</v>
      </c>
      <c r="G1546" s="1" t="s">
        <v>681</v>
      </c>
      <c r="H1546" s="1" t="s">
        <v>4353</v>
      </c>
      <c r="I1546" s="1" t="s">
        <v>218</v>
      </c>
      <c r="J1546" s="1" t="s">
        <v>584</v>
      </c>
      <c r="K1546" s="1" t="n">
        <v>79.99</v>
      </c>
      <c r="L1546" s="1" t="n">
        <v>4.4</v>
      </c>
      <c r="M1546" s="1" t="n">
        <v>1000</v>
      </c>
      <c r="N1546" s="4" t="b">
        <f aca="false">FALSE()</f>
        <v>0</v>
      </c>
      <c r="P1546" s="4" t="b">
        <f aca="false">TRUE()</f>
        <v>1</v>
      </c>
      <c r="Q1546" s="1" t="s">
        <v>423</v>
      </c>
      <c r="R1546" s="1" t="s">
        <v>5053</v>
      </c>
      <c r="S1546" s="1" t="s">
        <v>4388</v>
      </c>
      <c r="T1546" s="1" t="s">
        <v>222</v>
      </c>
      <c r="U1546" s="1" t="s">
        <v>2102</v>
      </c>
    </row>
    <row r="1547" customFormat="false" ht="48" hidden="false" customHeight="true" outlineLevel="0" collapsed="false">
      <c r="A1547" s="1" t="s">
        <v>41</v>
      </c>
      <c r="B1547" s="1" t="s">
        <v>3712</v>
      </c>
      <c r="C1547" s="1" t="s">
        <v>57</v>
      </c>
      <c r="D1547" s="1" t="s">
        <v>1751</v>
      </c>
      <c r="E1547" s="1" t="n">
        <v>15</v>
      </c>
      <c r="F1547" s="1" t="s">
        <v>5078</v>
      </c>
      <c r="G1547" s="1" t="s">
        <v>2753</v>
      </c>
      <c r="H1547" s="1" t="s">
        <v>5079</v>
      </c>
      <c r="I1547" s="1" t="s">
        <v>242</v>
      </c>
      <c r="J1547" s="1" t="s">
        <v>689</v>
      </c>
      <c r="K1547" s="1" t="n">
        <v>26.99</v>
      </c>
      <c r="L1547" s="1" t="n">
        <v>4.1</v>
      </c>
      <c r="M1547" s="1" t="n">
        <v>2100</v>
      </c>
      <c r="N1547" s="4" t="b">
        <f aca="false">FALSE()</f>
        <v>0</v>
      </c>
      <c r="O1547" s="1" t="s">
        <v>4089</v>
      </c>
      <c r="P1547" s="4" t="b">
        <f aca="false">TRUE()</f>
        <v>1</v>
      </c>
      <c r="Q1547" s="1" t="s">
        <v>439</v>
      </c>
      <c r="R1547" s="1" t="s">
        <v>5053</v>
      </c>
      <c r="S1547" s="1" t="s">
        <v>5080</v>
      </c>
      <c r="T1547" s="1" t="s">
        <v>222</v>
      </c>
      <c r="U1547" s="1" t="s">
        <v>2102</v>
      </c>
    </row>
    <row r="1548" customFormat="false" ht="48" hidden="false" customHeight="true" outlineLevel="0" collapsed="false">
      <c r="A1548" s="1" t="s">
        <v>41</v>
      </c>
      <c r="B1548" s="1" t="s">
        <v>3712</v>
      </c>
      <c r="C1548" s="1" t="s">
        <v>57</v>
      </c>
      <c r="D1548" s="1" t="s">
        <v>1751</v>
      </c>
      <c r="E1548" s="1" t="n">
        <v>16</v>
      </c>
      <c r="F1548" s="1" t="s">
        <v>5081</v>
      </c>
      <c r="G1548" s="1" t="s">
        <v>236</v>
      </c>
      <c r="H1548" s="1" t="s">
        <v>5082</v>
      </c>
      <c r="I1548" s="1" t="s">
        <v>306</v>
      </c>
      <c r="J1548" s="1" t="s">
        <v>597</v>
      </c>
      <c r="K1548" s="1" t="n">
        <v>69.99</v>
      </c>
      <c r="L1548" s="1" t="n">
        <v>5</v>
      </c>
      <c r="M1548" s="1" t="n">
        <v>90</v>
      </c>
      <c r="N1548" s="4" t="b">
        <f aca="false">FALSE()</f>
        <v>0</v>
      </c>
      <c r="O1548" s="1" t="s">
        <v>4370</v>
      </c>
      <c r="P1548" s="4" t="b">
        <f aca="false">TRUE()</f>
        <v>1</v>
      </c>
      <c r="R1548" s="1" t="s">
        <v>5053</v>
      </c>
      <c r="S1548" s="1" t="s">
        <v>5083</v>
      </c>
      <c r="T1548" s="1" t="s">
        <v>222</v>
      </c>
      <c r="U1548" s="1" t="s">
        <v>2102</v>
      </c>
    </row>
    <row r="1549" customFormat="false" ht="48" hidden="false" customHeight="true" outlineLevel="0" collapsed="false">
      <c r="A1549" s="1" t="s">
        <v>41</v>
      </c>
      <c r="B1549" s="1" t="s">
        <v>3712</v>
      </c>
      <c r="C1549" s="1" t="s">
        <v>57</v>
      </c>
      <c r="D1549" s="1" t="s">
        <v>1751</v>
      </c>
      <c r="E1549" s="1" t="n">
        <v>17</v>
      </c>
      <c r="F1549" s="1" t="s">
        <v>5084</v>
      </c>
      <c r="G1549" s="1" t="s">
        <v>677</v>
      </c>
      <c r="H1549" s="1" t="s">
        <v>5085</v>
      </c>
      <c r="I1549" s="1" t="s">
        <v>218</v>
      </c>
      <c r="J1549" s="1" t="s">
        <v>597</v>
      </c>
      <c r="K1549" s="1" t="n">
        <v>54.99</v>
      </c>
      <c r="L1549" s="1" t="n">
        <v>4.5</v>
      </c>
      <c r="M1549" s="1" t="n">
        <v>47800</v>
      </c>
      <c r="N1549" s="4" t="b">
        <f aca="false">FALSE()</f>
        <v>0</v>
      </c>
      <c r="P1549" s="4" t="b">
        <f aca="false">TRUE()</f>
        <v>1</v>
      </c>
      <c r="Q1549" s="1" t="s">
        <v>618</v>
      </c>
      <c r="R1549" s="1" t="s">
        <v>5053</v>
      </c>
      <c r="S1549" s="1" t="s">
        <v>5086</v>
      </c>
      <c r="T1549" s="1" t="s">
        <v>222</v>
      </c>
      <c r="U1549" s="1" t="s">
        <v>2102</v>
      </c>
    </row>
    <row r="1550" customFormat="false" ht="48" hidden="false" customHeight="true" outlineLevel="0" collapsed="false">
      <c r="A1550" s="1" t="s">
        <v>41</v>
      </c>
      <c r="B1550" s="1" t="s">
        <v>3712</v>
      </c>
      <c r="C1550" s="1" t="s">
        <v>57</v>
      </c>
      <c r="D1550" s="1" t="s">
        <v>1751</v>
      </c>
      <c r="E1550" s="1" t="n">
        <v>18</v>
      </c>
      <c r="F1550" s="1" t="s">
        <v>4259</v>
      </c>
      <c r="G1550" s="1" t="s">
        <v>236</v>
      </c>
      <c r="H1550" s="1" t="s">
        <v>4260</v>
      </c>
      <c r="I1550" s="1" t="s">
        <v>231</v>
      </c>
      <c r="J1550" s="1" t="s">
        <v>310</v>
      </c>
      <c r="K1550" s="1" t="n">
        <v>29.99</v>
      </c>
      <c r="L1550" s="1" t="n">
        <v>4.5</v>
      </c>
      <c r="M1550" s="1" t="n">
        <v>464600</v>
      </c>
      <c r="N1550" s="4" t="b">
        <f aca="false">FALSE()</f>
        <v>0</v>
      </c>
      <c r="O1550" s="1" t="s">
        <v>3718</v>
      </c>
      <c r="P1550" s="4" t="b">
        <f aca="false">FALSE()</f>
        <v>0</v>
      </c>
      <c r="Q1550" s="1" t="s">
        <v>4209</v>
      </c>
      <c r="R1550" s="1" t="s">
        <v>5053</v>
      </c>
      <c r="S1550" s="1" t="s">
        <v>4261</v>
      </c>
      <c r="T1550" s="1" t="s">
        <v>222</v>
      </c>
      <c r="U1550" s="1" t="s">
        <v>2102</v>
      </c>
    </row>
    <row r="1551" customFormat="false" ht="48" hidden="false" customHeight="true" outlineLevel="0" collapsed="false">
      <c r="A1551" s="1" t="s">
        <v>41</v>
      </c>
      <c r="B1551" s="1" t="s">
        <v>3712</v>
      </c>
      <c r="C1551" s="1" t="s">
        <v>57</v>
      </c>
      <c r="D1551" s="1" t="s">
        <v>1751</v>
      </c>
      <c r="E1551" s="1" t="n">
        <v>19</v>
      </c>
      <c r="F1551" s="1" t="s">
        <v>4410</v>
      </c>
      <c r="G1551" s="1" t="s">
        <v>229</v>
      </c>
      <c r="H1551" s="1" t="s">
        <v>4411</v>
      </c>
      <c r="I1551" s="1" t="s">
        <v>218</v>
      </c>
      <c r="J1551" s="1" t="s">
        <v>597</v>
      </c>
      <c r="K1551" s="1" t="n">
        <v>90.99</v>
      </c>
      <c r="L1551" s="1" t="n">
        <v>4.6</v>
      </c>
      <c r="M1551" s="1" t="n">
        <v>344</v>
      </c>
      <c r="N1551" s="4" t="b">
        <f aca="false">FALSE()</f>
        <v>0</v>
      </c>
      <c r="O1551" s="1" t="s">
        <v>4412</v>
      </c>
      <c r="P1551" s="4" t="b">
        <f aca="false">TRUE()</f>
        <v>1</v>
      </c>
      <c r="Q1551" s="1" t="s">
        <v>618</v>
      </c>
      <c r="R1551" s="1" t="s">
        <v>5053</v>
      </c>
      <c r="S1551" s="1" t="s">
        <v>4413</v>
      </c>
      <c r="T1551" s="1" t="s">
        <v>222</v>
      </c>
      <c r="U1551" s="1" t="s">
        <v>2102</v>
      </c>
    </row>
    <row r="1552" customFormat="false" ht="48" hidden="false" customHeight="true" outlineLevel="0" collapsed="false">
      <c r="A1552" s="1" t="s">
        <v>41</v>
      </c>
      <c r="B1552" s="1" t="s">
        <v>3712</v>
      </c>
      <c r="C1552" s="1" t="s">
        <v>57</v>
      </c>
      <c r="D1552" s="1" t="s">
        <v>1751</v>
      </c>
      <c r="E1552" s="1" t="n">
        <v>20</v>
      </c>
      <c r="F1552" s="1" t="s">
        <v>5087</v>
      </c>
      <c r="G1552" s="1" t="s">
        <v>236</v>
      </c>
      <c r="H1552" s="1" t="s">
        <v>5088</v>
      </c>
      <c r="I1552" s="1" t="s">
        <v>231</v>
      </c>
      <c r="J1552" s="1" t="s">
        <v>597</v>
      </c>
      <c r="K1552" s="1" t="n">
        <v>81.75</v>
      </c>
      <c r="L1552" s="1" t="n">
        <v>4.5</v>
      </c>
      <c r="M1552" s="1" t="n">
        <v>16700</v>
      </c>
      <c r="N1552" s="4" t="b">
        <f aca="false">FALSE()</f>
        <v>0</v>
      </c>
      <c r="P1552" s="4" t="b">
        <f aca="false">TRUE()</f>
        <v>1</v>
      </c>
      <c r="Q1552" s="1" t="s">
        <v>233</v>
      </c>
      <c r="R1552" s="1" t="s">
        <v>5053</v>
      </c>
      <c r="S1552" s="1" t="s">
        <v>5089</v>
      </c>
      <c r="T1552" s="1" t="s">
        <v>222</v>
      </c>
      <c r="U1552" s="1" t="s">
        <v>2102</v>
      </c>
    </row>
    <row r="1553" customFormat="false" ht="48" hidden="false" customHeight="true" outlineLevel="0" collapsed="false">
      <c r="A1553" s="1" t="s">
        <v>41</v>
      </c>
      <c r="B1553" s="1" t="s">
        <v>3712</v>
      </c>
      <c r="C1553" s="1" t="s">
        <v>57</v>
      </c>
      <c r="D1553" s="1" t="s">
        <v>1751</v>
      </c>
      <c r="E1553" s="1" t="n">
        <v>21</v>
      </c>
      <c r="F1553" s="1" t="s">
        <v>5090</v>
      </c>
      <c r="G1553" s="1" t="s">
        <v>236</v>
      </c>
      <c r="H1553" s="1" t="s">
        <v>5091</v>
      </c>
      <c r="I1553" s="1" t="s">
        <v>242</v>
      </c>
      <c r="J1553" s="1" t="s">
        <v>310</v>
      </c>
      <c r="K1553" s="1" t="n">
        <v>22.99</v>
      </c>
      <c r="L1553" s="1" t="n">
        <v>4.5</v>
      </c>
      <c r="M1553" s="1" t="n">
        <v>464600</v>
      </c>
      <c r="N1553" s="4" t="b">
        <f aca="false">FALSE()</f>
        <v>0</v>
      </c>
      <c r="O1553" s="1" t="s">
        <v>3990</v>
      </c>
      <c r="P1553" s="4" t="b">
        <f aca="false">FALSE()</f>
        <v>0</v>
      </c>
      <c r="Q1553" s="1" t="s">
        <v>3858</v>
      </c>
      <c r="R1553" s="1" t="s">
        <v>5053</v>
      </c>
      <c r="S1553" s="1" t="s">
        <v>5092</v>
      </c>
      <c r="T1553" s="1" t="s">
        <v>222</v>
      </c>
      <c r="U1553" s="1" t="s">
        <v>2102</v>
      </c>
    </row>
    <row r="1554" customFormat="false" ht="48" hidden="false" customHeight="true" outlineLevel="0" collapsed="false">
      <c r="A1554" s="1" t="s">
        <v>41</v>
      </c>
      <c r="B1554" s="1" t="s">
        <v>3712</v>
      </c>
      <c r="C1554" s="1" t="s">
        <v>57</v>
      </c>
      <c r="D1554" s="1" t="s">
        <v>1751</v>
      </c>
      <c r="E1554" s="1" t="n">
        <v>22</v>
      </c>
      <c r="F1554" s="1" t="s">
        <v>1868</v>
      </c>
      <c r="G1554" s="1" t="s">
        <v>677</v>
      </c>
      <c r="H1554" s="1" t="s">
        <v>5093</v>
      </c>
      <c r="I1554" s="1" t="s">
        <v>218</v>
      </c>
      <c r="J1554" s="1" t="s">
        <v>310</v>
      </c>
      <c r="K1554" s="1" t="n">
        <v>69.99</v>
      </c>
      <c r="L1554" s="1" t="n">
        <v>4.4</v>
      </c>
      <c r="M1554" s="1" t="n">
        <v>31800</v>
      </c>
      <c r="N1554" s="4" t="b">
        <f aca="false">FALSE()</f>
        <v>0</v>
      </c>
      <c r="O1554" s="1" t="s">
        <v>1886</v>
      </c>
      <c r="P1554" s="4" t="b">
        <f aca="false">FALSE()</f>
        <v>0</v>
      </c>
      <c r="Q1554" s="1" t="s">
        <v>711</v>
      </c>
      <c r="R1554" s="1" t="s">
        <v>5053</v>
      </c>
      <c r="S1554" s="1" t="s">
        <v>5094</v>
      </c>
      <c r="T1554" s="1" t="s">
        <v>222</v>
      </c>
      <c r="U1554" s="1" t="s">
        <v>2102</v>
      </c>
    </row>
    <row r="1555" customFormat="false" ht="48" hidden="false" customHeight="true" outlineLevel="0" collapsed="false">
      <c r="A1555" s="1" t="s">
        <v>41</v>
      </c>
      <c r="B1555" s="1" t="s">
        <v>3712</v>
      </c>
      <c r="C1555" s="1" t="s">
        <v>57</v>
      </c>
      <c r="D1555" s="1" t="s">
        <v>1751</v>
      </c>
      <c r="E1555" s="1" t="n">
        <v>23</v>
      </c>
      <c r="F1555" s="1" t="s">
        <v>5095</v>
      </c>
      <c r="G1555" s="1" t="s">
        <v>567</v>
      </c>
      <c r="H1555" s="1" t="s">
        <v>5096</v>
      </c>
      <c r="I1555" s="1" t="s">
        <v>289</v>
      </c>
      <c r="J1555" s="1" t="s">
        <v>597</v>
      </c>
      <c r="K1555" s="1" t="n">
        <v>24.39</v>
      </c>
      <c r="L1555" s="1" t="n">
        <v>4.2</v>
      </c>
      <c r="M1555" s="1" t="n">
        <v>342</v>
      </c>
      <c r="N1555" s="4" t="b">
        <f aca="false">FALSE()</f>
        <v>0</v>
      </c>
      <c r="P1555" s="4" t="b">
        <f aca="false">TRUE()</f>
        <v>1</v>
      </c>
      <c r="Q1555" s="1" t="s">
        <v>423</v>
      </c>
      <c r="R1555" s="1" t="s">
        <v>5053</v>
      </c>
      <c r="S1555" s="1" t="s">
        <v>5097</v>
      </c>
      <c r="T1555" s="1" t="s">
        <v>222</v>
      </c>
      <c r="U1555" s="1" t="s">
        <v>2102</v>
      </c>
    </row>
    <row r="1556" customFormat="false" ht="48" hidden="false" customHeight="true" outlineLevel="0" collapsed="false">
      <c r="A1556" s="1" t="s">
        <v>41</v>
      </c>
      <c r="B1556" s="1" t="s">
        <v>3712</v>
      </c>
      <c r="C1556" s="1" t="s">
        <v>57</v>
      </c>
      <c r="D1556" s="1" t="s">
        <v>1751</v>
      </c>
      <c r="E1556" s="1" t="n">
        <v>24</v>
      </c>
      <c r="F1556" s="1" t="s">
        <v>5098</v>
      </c>
      <c r="G1556" s="1" t="s">
        <v>567</v>
      </c>
      <c r="H1556" s="1" t="s">
        <v>5099</v>
      </c>
      <c r="I1556" s="1" t="s">
        <v>218</v>
      </c>
      <c r="J1556" s="1" t="s">
        <v>597</v>
      </c>
      <c r="K1556" s="1" t="n">
        <v>33.67</v>
      </c>
      <c r="L1556" s="1" t="n">
        <v>4</v>
      </c>
      <c r="M1556" s="1" t="n">
        <v>266</v>
      </c>
      <c r="N1556" s="4" t="b">
        <f aca="false">FALSE()</f>
        <v>0</v>
      </c>
      <c r="P1556" s="4" t="b">
        <f aca="false">TRUE()</f>
        <v>1</v>
      </c>
      <c r="Q1556" s="1" t="s">
        <v>451</v>
      </c>
      <c r="R1556" s="1" t="s">
        <v>5053</v>
      </c>
      <c r="S1556" s="1" t="s">
        <v>5100</v>
      </c>
      <c r="T1556" s="1" t="s">
        <v>222</v>
      </c>
      <c r="U1556" s="1" t="s">
        <v>2102</v>
      </c>
    </row>
    <row r="1557" customFormat="false" ht="48" hidden="false" customHeight="true" outlineLevel="0" collapsed="false">
      <c r="A1557" s="1" t="s">
        <v>41</v>
      </c>
      <c r="B1557" s="1" t="s">
        <v>3712</v>
      </c>
      <c r="C1557" s="1" t="s">
        <v>57</v>
      </c>
      <c r="D1557" s="1" t="s">
        <v>1751</v>
      </c>
      <c r="E1557" s="1" t="n">
        <v>25</v>
      </c>
      <c r="F1557" s="1" t="s">
        <v>5101</v>
      </c>
      <c r="G1557" s="1" t="s">
        <v>236</v>
      </c>
      <c r="H1557" s="1" t="s">
        <v>5102</v>
      </c>
      <c r="I1557" s="1" t="s">
        <v>306</v>
      </c>
      <c r="J1557" s="1" t="s">
        <v>597</v>
      </c>
      <c r="K1557" s="1" t="n">
        <v>79.79</v>
      </c>
      <c r="L1557" s="1" t="n">
        <v>4.6</v>
      </c>
      <c r="M1557" s="1" t="n">
        <v>1900</v>
      </c>
      <c r="N1557" s="4" t="b">
        <f aca="false">FALSE()</f>
        <v>0</v>
      </c>
      <c r="O1557" s="1" t="s">
        <v>4370</v>
      </c>
      <c r="P1557" s="4" t="b">
        <f aca="false">TRUE()</f>
        <v>1</v>
      </c>
      <c r="Q1557" s="1" t="s">
        <v>418</v>
      </c>
      <c r="R1557" s="1" t="s">
        <v>5053</v>
      </c>
      <c r="S1557" s="1" t="s">
        <v>5103</v>
      </c>
      <c r="T1557" s="1" t="s">
        <v>222</v>
      </c>
      <c r="U1557" s="1" t="s">
        <v>2102</v>
      </c>
    </row>
    <row r="1558" customFormat="false" ht="48" hidden="false" customHeight="true" outlineLevel="0" collapsed="false">
      <c r="A1558" s="1" t="s">
        <v>41</v>
      </c>
      <c r="B1558" s="1" t="s">
        <v>3712</v>
      </c>
      <c r="C1558" s="1" t="s">
        <v>57</v>
      </c>
      <c r="D1558" s="1" t="s">
        <v>1751</v>
      </c>
      <c r="E1558" s="1" t="n">
        <v>26</v>
      </c>
      <c r="F1558" s="1" t="s">
        <v>5104</v>
      </c>
      <c r="G1558" s="1" t="s">
        <v>236</v>
      </c>
      <c r="H1558" s="1" t="s">
        <v>5105</v>
      </c>
      <c r="I1558" s="1" t="s">
        <v>218</v>
      </c>
      <c r="J1558" s="1" t="s">
        <v>597</v>
      </c>
      <c r="K1558" s="1" t="n">
        <v>33.99</v>
      </c>
      <c r="L1558" s="1" t="n">
        <v>4.4</v>
      </c>
      <c r="M1558" s="1" t="n">
        <v>2200</v>
      </c>
      <c r="N1558" s="4" t="b">
        <f aca="false">FALSE()</f>
        <v>0</v>
      </c>
      <c r="P1558" s="4" t="b">
        <f aca="false">TRUE()</f>
        <v>1</v>
      </c>
      <c r="Q1558" s="1" t="s">
        <v>435</v>
      </c>
      <c r="R1558" s="1" t="s">
        <v>5053</v>
      </c>
      <c r="S1558" s="1" t="s">
        <v>5106</v>
      </c>
      <c r="T1558" s="1" t="s">
        <v>222</v>
      </c>
      <c r="U1558" s="1" t="s">
        <v>2102</v>
      </c>
    </row>
    <row r="1559" customFormat="false" ht="48" hidden="false" customHeight="true" outlineLevel="0" collapsed="false">
      <c r="A1559" s="1" t="s">
        <v>41</v>
      </c>
      <c r="B1559" s="1" t="s">
        <v>3712</v>
      </c>
      <c r="C1559" s="1" t="s">
        <v>57</v>
      </c>
      <c r="D1559" s="1" t="s">
        <v>1751</v>
      </c>
      <c r="E1559" s="1" t="n">
        <v>27</v>
      </c>
      <c r="F1559" s="1" t="s">
        <v>5107</v>
      </c>
      <c r="G1559" s="1" t="s">
        <v>236</v>
      </c>
      <c r="H1559" s="1" t="s">
        <v>5108</v>
      </c>
      <c r="I1559" s="1" t="s">
        <v>242</v>
      </c>
      <c r="J1559" s="1" t="s">
        <v>597</v>
      </c>
      <c r="K1559" s="1" t="n">
        <v>28.7</v>
      </c>
      <c r="L1559" s="1" t="n">
        <v>4</v>
      </c>
      <c r="M1559" s="1" t="n">
        <v>14900</v>
      </c>
      <c r="N1559" s="4" t="b">
        <f aca="false">FALSE()</f>
        <v>0</v>
      </c>
      <c r="P1559" s="4" t="b">
        <f aca="false">TRUE()</f>
        <v>1</v>
      </c>
      <c r="R1559" s="1" t="s">
        <v>5053</v>
      </c>
      <c r="S1559" s="1" t="s">
        <v>5109</v>
      </c>
      <c r="T1559" s="1" t="s">
        <v>222</v>
      </c>
      <c r="U1559" s="1" t="s">
        <v>2102</v>
      </c>
    </row>
    <row r="1560" customFormat="false" ht="48" hidden="false" customHeight="true" outlineLevel="0" collapsed="false">
      <c r="A1560" s="1" t="s">
        <v>41</v>
      </c>
      <c r="B1560" s="1" t="s">
        <v>3712</v>
      </c>
      <c r="C1560" s="1" t="s">
        <v>57</v>
      </c>
      <c r="D1560" s="1" t="s">
        <v>1751</v>
      </c>
      <c r="E1560" s="1" t="n">
        <v>28</v>
      </c>
      <c r="F1560" s="1" t="s">
        <v>5110</v>
      </c>
      <c r="G1560" s="1" t="s">
        <v>567</v>
      </c>
      <c r="H1560" s="1" t="s">
        <v>5111</v>
      </c>
      <c r="I1560" s="1" t="s">
        <v>218</v>
      </c>
      <c r="J1560" s="1" t="s">
        <v>597</v>
      </c>
      <c r="K1560" s="1" t="n">
        <v>44.67</v>
      </c>
      <c r="L1560" s="1" t="n">
        <v>4.5</v>
      </c>
      <c r="M1560" s="1" t="n">
        <v>33300</v>
      </c>
      <c r="N1560" s="4" t="b">
        <f aca="false">FALSE()</f>
        <v>0</v>
      </c>
      <c r="P1560" s="4" t="b">
        <f aca="false">TRUE()</f>
        <v>1</v>
      </c>
      <c r="Q1560" s="1" t="s">
        <v>777</v>
      </c>
      <c r="R1560" s="1" t="s">
        <v>5053</v>
      </c>
      <c r="S1560" s="1" t="s">
        <v>5112</v>
      </c>
      <c r="T1560" s="1" t="s">
        <v>222</v>
      </c>
      <c r="U1560" s="1" t="s">
        <v>2102</v>
      </c>
    </row>
    <row r="1561" customFormat="false" ht="48" hidden="false" customHeight="true" outlineLevel="0" collapsed="false">
      <c r="A1561" s="1" t="s">
        <v>41</v>
      </c>
      <c r="B1561" s="1" t="s">
        <v>3712</v>
      </c>
      <c r="C1561" s="1" t="s">
        <v>57</v>
      </c>
      <c r="D1561" s="1" t="s">
        <v>1751</v>
      </c>
      <c r="E1561" s="1" t="n">
        <v>29</v>
      </c>
      <c r="F1561" s="1" t="s">
        <v>4427</v>
      </c>
      <c r="G1561" s="1" t="s">
        <v>979</v>
      </c>
      <c r="H1561" s="1" t="s">
        <v>4428</v>
      </c>
      <c r="I1561" s="1" t="s">
        <v>218</v>
      </c>
      <c r="J1561" s="1" t="s">
        <v>689</v>
      </c>
      <c r="K1561" s="1" t="n">
        <v>75.99</v>
      </c>
      <c r="L1561" s="1" t="n">
        <v>4.4</v>
      </c>
      <c r="M1561" s="1" t="n">
        <v>15300</v>
      </c>
      <c r="N1561" s="4" t="b">
        <f aca="false">FALSE()</f>
        <v>0</v>
      </c>
      <c r="P1561" s="4" t="b">
        <f aca="false">TRUE()</f>
        <v>1</v>
      </c>
      <c r="Q1561" s="1" t="s">
        <v>409</v>
      </c>
      <c r="R1561" s="1" t="s">
        <v>5053</v>
      </c>
      <c r="S1561" s="1" t="s">
        <v>4429</v>
      </c>
      <c r="T1561" s="1" t="s">
        <v>222</v>
      </c>
      <c r="U1561" s="1" t="s">
        <v>2102</v>
      </c>
    </row>
    <row r="1562" customFormat="false" ht="48" hidden="false" customHeight="true" outlineLevel="0" collapsed="false">
      <c r="A1562" s="1" t="s">
        <v>41</v>
      </c>
      <c r="B1562" s="1" t="s">
        <v>3712</v>
      </c>
      <c r="C1562" s="1" t="s">
        <v>57</v>
      </c>
      <c r="D1562" s="1" t="s">
        <v>1751</v>
      </c>
      <c r="E1562" s="1" t="n">
        <v>30</v>
      </c>
      <c r="F1562" s="1" t="s">
        <v>5113</v>
      </c>
      <c r="G1562" s="1" t="s">
        <v>236</v>
      </c>
      <c r="H1562" s="1" t="s">
        <v>5114</v>
      </c>
      <c r="I1562" s="1" t="s">
        <v>242</v>
      </c>
      <c r="J1562" s="1" t="s">
        <v>597</v>
      </c>
      <c r="K1562" s="1" t="n">
        <v>34.99</v>
      </c>
      <c r="L1562" s="1" t="n">
        <v>4.3</v>
      </c>
      <c r="M1562" s="1" t="n">
        <v>12600</v>
      </c>
      <c r="N1562" s="4" t="b">
        <f aca="false">FALSE()</f>
        <v>0</v>
      </c>
      <c r="O1562" s="1" t="s">
        <v>5115</v>
      </c>
      <c r="P1562" s="4" t="b">
        <f aca="false">TRUE()</f>
        <v>1</v>
      </c>
      <c r="Q1562" s="1" t="s">
        <v>451</v>
      </c>
      <c r="R1562" s="1" t="s">
        <v>5053</v>
      </c>
      <c r="S1562" s="1" t="s">
        <v>5116</v>
      </c>
      <c r="T1562" s="1" t="s">
        <v>222</v>
      </c>
      <c r="U1562" s="1" t="s">
        <v>2102</v>
      </c>
    </row>
    <row r="1563" customFormat="false" ht="48" hidden="false" customHeight="true" outlineLevel="0" collapsed="false">
      <c r="A1563" s="1" t="s">
        <v>41</v>
      </c>
      <c r="B1563" s="1" t="s">
        <v>3712</v>
      </c>
      <c r="C1563" s="1" t="s">
        <v>57</v>
      </c>
      <c r="D1563" s="1" t="s">
        <v>1751</v>
      </c>
      <c r="E1563" s="1" t="n">
        <v>31</v>
      </c>
      <c r="F1563" s="1" t="s">
        <v>5117</v>
      </c>
      <c r="G1563" s="1" t="s">
        <v>236</v>
      </c>
      <c r="H1563" s="1" t="s">
        <v>5118</v>
      </c>
      <c r="I1563" s="1" t="s">
        <v>242</v>
      </c>
      <c r="J1563" s="1" t="s">
        <v>310</v>
      </c>
      <c r="K1563" s="1" t="n">
        <v>23.67</v>
      </c>
      <c r="L1563" s="1" t="n">
        <v>4.5</v>
      </c>
      <c r="M1563" s="1" t="n">
        <v>46800</v>
      </c>
      <c r="N1563" s="4" t="b">
        <f aca="false">FALSE()</f>
        <v>0</v>
      </c>
      <c r="P1563" s="4" t="b">
        <f aca="false">FALSE()</f>
        <v>0</v>
      </c>
      <c r="Q1563" s="1" t="s">
        <v>233</v>
      </c>
      <c r="R1563" s="1" t="s">
        <v>5053</v>
      </c>
      <c r="S1563" s="1" t="s">
        <v>5119</v>
      </c>
      <c r="T1563" s="1" t="s">
        <v>222</v>
      </c>
      <c r="U1563" s="1" t="s">
        <v>2102</v>
      </c>
    </row>
    <row r="1564" customFormat="false" ht="48" hidden="false" customHeight="true" outlineLevel="0" collapsed="false">
      <c r="A1564" s="1" t="s">
        <v>41</v>
      </c>
      <c r="B1564" s="1" t="s">
        <v>3712</v>
      </c>
      <c r="C1564" s="1" t="s">
        <v>57</v>
      </c>
      <c r="D1564" s="1" t="s">
        <v>1751</v>
      </c>
      <c r="E1564" s="1" t="n">
        <v>32</v>
      </c>
      <c r="F1564" s="1" t="s">
        <v>5120</v>
      </c>
      <c r="G1564" s="1" t="s">
        <v>1893</v>
      </c>
      <c r="H1564" s="1" t="s">
        <v>5121</v>
      </c>
      <c r="I1564" s="1" t="s">
        <v>218</v>
      </c>
      <c r="J1564" s="1" t="s">
        <v>597</v>
      </c>
      <c r="K1564" s="1" t="n">
        <v>40.49</v>
      </c>
      <c r="L1564" s="1" t="n">
        <v>4.4</v>
      </c>
      <c r="M1564" s="1" t="n">
        <v>3100</v>
      </c>
      <c r="N1564" s="4" t="b">
        <f aca="false">FALSE()</f>
        <v>0</v>
      </c>
      <c r="P1564" s="4" t="b">
        <f aca="false">TRUE()</f>
        <v>1</v>
      </c>
      <c r="Q1564" s="1" t="s">
        <v>233</v>
      </c>
      <c r="R1564" s="1" t="s">
        <v>5053</v>
      </c>
      <c r="S1564" s="1" t="s">
        <v>5122</v>
      </c>
      <c r="T1564" s="1" t="s">
        <v>222</v>
      </c>
      <c r="U1564" s="1" t="s">
        <v>2102</v>
      </c>
    </row>
    <row r="1565" customFormat="false" ht="48" hidden="false" customHeight="true" outlineLevel="0" collapsed="false">
      <c r="A1565" s="1" t="s">
        <v>41</v>
      </c>
      <c r="B1565" s="1" t="s">
        <v>3712</v>
      </c>
      <c r="C1565" s="1" t="s">
        <v>57</v>
      </c>
      <c r="D1565" s="1" t="s">
        <v>1751</v>
      </c>
      <c r="E1565" s="1" t="n">
        <v>33</v>
      </c>
      <c r="F1565" s="1" t="s">
        <v>5123</v>
      </c>
      <c r="G1565" s="1" t="s">
        <v>236</v>
      </c>
      <c r="H1565" s="1" t="s">
        <v>5124</v>
      </c>
      <c r="I1565" s="1" t="s">
        <v>231</v>
      </c>
      <c r="J1565" s="1" t="s">
        <v>597</v>
      </c>
      <c r="K1565" s="1" t="n">
        <v>39.99</v>
      </c>
      <c r="L1565" s="1" t="n">
        <v>4.3</v>
      </c>
      <c r="M1565" s="1" t="n">
        <v>12600</v>
      </c>
      <c r="N1565" s="4" t="b">
        <f aca="false">FALSE()</f>
        <v>0</v>
      </c>
      <c r="O1565" s="1" t="s">
        <v>1836</v>
      </c>
      <c r="P1565" s="4" t="b">
        <f aca="false">TRUE()</f>
        <v>1</v>
      </c>
      <c r="Q1565" s="1" t="s">
        <v>435</v>
      </c>
      <c r="R1565" s="1" t="s">
        <v>5053</v>
      </c>
      <c r="S1565" s="1" t="s">
        <v>5125</v>
      </c>
      <c r="T1565" s="1" t="s">
        <v>222</v>
      </c>
      <c r="U1565" s="1" t="s">
        <v>2102</v>
      </c>
    </row>
    <row r="1566" customFormat="false" ht="48" hidden="false" customHeight="true" outlineLevel="0" collapsed="false">
      <c r="A1566" s="1" t="s">
        <v>41</v>
      </c>
      <c r="B1566" s="1" t="s">
        <v>3712</v>
      </c>
      <c r="C1566" s="1" t="s">
        <v>57</v>
      </c>
      <c r="D1566" s="1" t="s">
        <v>1751</v>
      </c>
      <c r="E1566" s="1" t="n">
        <v>34</v>
      </c>
      <c r="F1566" s="1" t="s">
        <v>2752</v>
      </c>
      <c r="G1566" s="1" t="s">
        <v>2753</v>
      </c>
      <c r="H1566" s="1" t="s">
        <v>5126</v>
      </c>
      <c r="I1566" s="1" t="s">
        <v>231</v>
      </c>
      <c r="J1566" s="1" t="s">
        <v>689</v>
      </c>
      <c r="K1566" s="1" t="n">
        <v>30.59</v>
      </c>
      <c r="L1566" s="1" t="n">
        <v>4.1</v>
      </c>
      <c r="M1566" s="1" t="n">
        <v>2100</v>
      </c>
      <c r="N1566" s="4" t="b">
        <f aca="false">FALSE()</f>
        <v>0</v>
      </c>
      <c r="O1566" s="1" t="s">
        <v>1013</v>
      </c>
      <c r="P1566" s="4" t="b">
        <f aca="false">TRUE()</f>
        <v>1</v>
      </c>
      <c r="Q1566" s="1" t="s">
        <v>711</v>
      </c>
      <c r="R1566" s="1" t="s">
        <v>5053</v>
      </c>
      <c r="S1566" s="1" t="s">
        <v>5127</v>
      </c>
      <c r="T1566" s="1" t="s">
        <v>222</v>
      </c>
      <c r="U1566" s="1" t="s">
        <v>2102</v>
      </c>
    </row>
    <row r="1567" customFormat="false" ht="48" hidden="false" customHeight="true" outlineLevel="0" collapsed="false">
      <c r="A1567" s="1" t="s">
        <v>41</v>
      </c>
      <c r="B1567" s="1" t="s">
        <v>3712</v>
      </c>
      <c r="C1567" s="1" t="s">
        <v>57</v>
      </c>
      <c r="D1567" s="1" t="s">
        <v>1751</v>
      </c>
      <c r="E1567" s="1" t="n">
        <v>35</v>
      </c>
      <c r="F1567" s="1" t="s">
        <v>5128</v>
      </c>
      <c r="G1567" s="1" t="s">
        <v>5129</v>
      </c>
      <c r="H1567" s="1" t="s">
        <v>5130</v>
      </c>
      <c r="I1567" s="1" t="s">
        <v>218</v>
      </c>
      <c r="J1567" s="1" t="s">
        <v>310</v>
      </c>
      <c r="K1567" s="1" t="n">
        <v>36.97</v>
      </c>
      <c r="L1567" s="1" t="n">
        <v>4.4</v>
      </c>
      <c r="M1567" s="1" t="n">
        <v>380200</v>
      </c>
      <c r="N1567" s="4" t="b">
        <f aca="false">FALSE()</f>
        <v>0</v>
      </c>
      <c r="O1567" s="1" t="s">
        <v>5131</v>
      </c>
      <c r="P1567" s="4" t="b">
        <f aca="false">FALSE()</f>
        <v>0</v>
      </c>
      <c r="Q1567" s="1" t="s">
        <v>1429</v>
      </c>
      <c r="R1567" s="1" t="s">
        <v>5053</v>
      </c>
      <c r="S1567" s="1" t="s">
        <v>5132</v>
      </c>
      <c r="T1567" s="1" t="s">
        <v>222</v>
      </c>
      <c r="U1567" s="1" t="s">
        <v>2102</v>
      </c>
    </row>
    <row r="1568" customFormat="false" ht="48" hidden="false" customHeight="true" outlineLevel="0" collapsed="false">
      <c r="A1568" s="1" t="s">
        <v>41</v>
      </c>
      <c r="B1568" s="1" t="s">
        <v>3712</v>
      </c>
      <c r="C1568" s="1" t="s">
        <v>57</v>
      </c>
      <c r="D1568" s="1" t="s">
        <v>1751</v>
      </c>
      <c r="E1568" s="1" t="n">
        <v>36</v>
      </c>
      <c r="F1568" s="1" t="s">
        <v>2812</v>
      </c>
      <c r="G1568" s="1" t="s">
        <v>236</v>
      </c>
      <c r="H1568" s="1" t="s">
        <v>5133</v>
      </c>
      <c r="I1568" s="1" t="s">
        <v>218</v>
      </c>
      <c r="J1568" s="1" t="s">
        <v>310</v>
      </c>
      <c r="K1568" s="1" t="n">
        <v>30.06</v>
      </c>
      <c r="L1568" s="1" t="n">
        <v>4.6</v>
      </c>
      <c r="M1568" s="1" t="n">
        <v>245600</v>
      </c>
      <c r="N1568" s="4" t="b">
        <f aca="false">FALSE()</f>
        <v>0</v>
      </c>
      <c r="P1568" s="4" t="b">
        <f aca="false">FALSE()</f>
        <v>0</v>
      </c>
      <c r="Q1568" s="1" t="s">
        <v>312</v>
      </c>
      <c r="R1568" s="1" t="s">
        <v>5053</v>
      </c>
      <c r="S1568" s="1" t="s">
        <v>5134</v>
      </c>
      <c r="T1568" s="1" t="s">
        <v>222</v>
      </c>
      <c r="U1568" s="1" t="s">
        <v>2102</v>
      </c>
    </row>
    <row r="1569" customFormat="false" ht="48" hidden="false" customHeight="true" outlineLevel="0" collapsed="false">
      <c r="A1569" s="1" t="s">
        <v>41</v>
      </c>
      <c r="B1569" s="1" t="s">
        <v>3712</v>
      </c>
      <c r="C1569" s="1" t="s">
        <v>57</v>
      </c>
      <c r="D1569" s="1" t="s">
        <v>1751</v>
      </c>
      <c r="E1569" s="1" t="n">
        <v>37</v>
      </c>
      <c r="F1569" s="1" t="s">
        <v>5135</v>
      </c>
      <c r="G1569" s="1" t="s">
        <v>236</v>
      </c>
      <c r="H1569" s="1" t="s">
        <v>5136</v>
      </c>
      <c r="I1569" s="1" t="s">
        <v>218</v>
      </c>
      <c r="J1569" s="1" t="s">
        <v>597</v>
      </c>
      <c r="K1569" s="1" t="n">
        <v>69.99</v>
      </c>
      <c r="L1569" s="1" t="n">
        <v>3.5</v>
      </c>
      <c r="M1569" s="1" t="n">
        <v>3</v>
      </c>
      <c r="N1569" s="4" t="b">
        <f aca="false">FALSE()</f>
        <v>0</v>
      </c>
      <c r="P1569" s="4" t="b">
        <f aca="false">TRUE()</f>
        <v>1</v>
      </c>
      <c r="R1569" s="1" t="s">
        <v>5053</v>
      </c>
      <c r="S1569" s="1" t="s">
        <v>5137</v>
      </c>
      <c r="T1569" s="1" t="s">
        <v>222</v>
      </c>
      <c r="U1569" s="1" t="s">
        <v>2102</v>
      </c>
    </row>
    <row r="1570" customFormat="false" ht="48" hidden="false" customHeight="true" outlineLevel="0" collapsed="false">
      <c r="A1570" s="1" t="s">
        <v>41</v>
      </c>
      <c r="B1570" s="1" t="s">
        <v>3712</v>
      </c>
      <c r="C1570" s="1" t="s">
        <v>57</v>
      </c>
      <c r="D1570" s="1" t="s">
        <v>1751</v>
      </c>
      <c r="E1570" s="1" t="n">
        <v>38</v>
      </c>
      <c r="F1570" s="1" t="s">
        <v>5138</v>
      </c>
      <c r="G1570" s="1" t="s">
        <v>236</v>
      </c>
      <c r="H1570" s="1" t="s">
        <v>5139</v>
      </c>
      <c r="I1570" s="1" t="s">
        <v>218</v>
      </c>
      <c r="J1570" s="1" t="s">
        <v>597</v>
      </c>
      <c r="K1570" s="1" t="n">
        <v>40.99</v>
      </c>
      <c r="L1570" s="1" t="n">
        <v>4.2</v>
      </c>
      <c r="M1570" s="1" t="n">
        <v>2400</v>
      </c>
      <c r="N1570" s="4" t="b">
        <f aca="false">FALSE()</f>
        <v>0</v>
      </c>
      <c r="P1570" s="4" t="b">
        <f aca="false">TRUE()</f>
        <v>1</v>
      </c>
      <c r="Q1570" s="1" t="s">
        <v>409</v>
      </c>
      <c r="R1570" s="1" t="s">
        <v>5053</v>
      </c>
      <c r="S1570" s="1" t="s">
        <v>5140</v>
      </c>
      <c r="T1570" s="1" t="s">
        <v>222</v>
      </c>
      <c r="U1570" s="1" t="s">
        <v>2102</v>
      </c>
    </row>
    <row r="1571" customFormat="false" ht="48" hidden="false" customHeight="true" outlineLevel="0" collapsed="false">
      <c r="A1571" s="1" t="s">
        <v>41</v>
      </c>
      <c r="B1571" s="1" t="s">
        <v>3712</v>
      </c>
      <c r="C1571" s="1" t="s">
        <v>57</v>
      </c>
      <c r="D1571" s="1" t="s">
        <v>1751</v>
      </c>
      <c r="E1571" s="1" t="n">
        <v>39</v>
      </c>
      <c r="F1571" s="1" t="s">
        <v>5141</v>
      </c>
      <c r="G1571" s="1" t="s">
        <v>236</v>
      </c>
      <c r="H1571" s="1" t="s">
        <v>5142</v>
      </c>
      <c r="I1571" s="1" t="s">
        <v>218</v>
      </c>
      <c r="J1571" s="1" t="s">
        <v>597</v>
      </c>
      <c r="K1571" s="1" t="n">
        <v>43.15</v>
      </c>
      <c r="L1571" s="1" t="n">
        <v>4.3</v>
      </c>
      <c r="M1571" s="1" t="n">
        <v>4100</v>
      </c>
      <c r="N1571" s="4" t="b">
        <f aca="false">FALSE()</f>
        <v>0</v>
      </c>
      <c r="O1571" s="1" t="s">
        <v>5143</v>
      </c>
      <c r="P1571" s="4" t="b">
        <f aca="false">TRUE()</f>
        <v>1</v>
      </c>
      <c r="Q1571" s="1" t="s">
        <v>418</v>
      </c>
      <c r="R1571" s="1" t="s">
        <v>5053</v>
      </c>
      <c r="S1571" s="1" t="s">
        <v>5144</v>
      </c>
      <c r="T1571" s="1" t="s">
        <v>222</v>
      </c>
      <c r="U1571" s="1" t="s">
        <v>2102</v>
      </c>
    </row>
    <row r="1572" customFormat="false" ht="48" hidden="false" customHeight="true" outlineLevel="0" collapsed="false">
      <c r="A1572" s="1" t="s">
        <v>41</v>
      </c>
      <c r="B1572" s="1" t="s">
        <v>3712</v>
      </c>
      <c r="C1572" s="1" t="s">
        <v>57</v>
      </c>
      <c r="D1572" s="1" t="s">
        <v>1751</v>
      </c>
      <c r="E1572" s="1" t="n">
        <v>40</v>
      </c>
      <c r="F1572" s="1" t="s">
        <v>5145</v>
      </c>
      <c r="G1572" s="1" t="s">
        <v>2753</v>
      </c>
      <c r="H1572" s="1" t="s">
        <v>5146</v>
      </c>
      <c r="I1572" s="1" t="s">
        <v>289</v>
      </c>
      <c r="J1572" s="1" t="s">
        <v>689</v>
      </c>
      <c r="K1572" s="1" t="n">
        <v>24.29</v>
      </c>
      <c r="L1572" s="1" t="n">
        <v>4.1</v>
      </c>
      <c r="M1572" s="1" t="n">
        <v>2100</v>
      </c>
      <c r="N1572" s="4" t="b">
        <f aca="false">FALSE()</f>
        <v>0</v>
      </c>
      <c r="O1572" s="1" t="s">
        <v>5147</v>
      </c>
      <c r="P1572" s="4" t="b">
        <f aca="false">TRUE()</f>
        <v>1</v>
      </c>
      <c r="Q1572" s="1" t="s">
        <v>451</v>
      </c>
      <c r="R1572" s="1" t="s">
        <v>5053</v>
      </c>
      <c r="S1572" s="1" t="s">
        <v>5148</v>
      </c>
      <c r="T1572" s="1" t="s">
        <v>222</v>
      </c>
      <c r="U1572" s="1" t="s">
        <v>2102</v>
      </c>
    </row>
    <row r="1573" customFormat="false" ht="48" hidden="false" customHeight="true" outlineLevel="0" collapsed="false">
      <c r="A1573" s="1" t="s">
        <v>41</v>
      </c>
      <c r="B1573" s="1" t="s">
        <v>3712</v>
      </c>
      <c r="C1573" s="1" t="s">
        <v>57</v>
      </c>
      <c r="D1573" s="1" t="s">
        <v>1751</v>
      </c>
      <c r="E1573" s="1" t="n">
        <v>41</v>
      </c>
      <c r="F1573" s="1" t="s">
        <v>5149</v>
      </c>
      <c r="G1573" s="1" t="s">
        <v>979</v>
      </c>
      <c r="H1573" s="1" t="s">
        <v>5150</v>
      </c>
      <c r="I1573" s="1" t="s">
        <v>218</v>
      </c>
      <c r="J1573" s="1" t="s">
        <v>689</v>
      </c>
      <c r="K1573" s="1" t="n">
        <v>49.99</v>
      </c>
      <c r="L1573" s="1" t="n">
        <v>4.4</v>
      </c>
      <c r="M1573" s="1" t="n">
        <v>5200</v>
      </c>
      <c r="N1573" s="4" t="b">
        <f aca="false">FALSE()</f>
        <v>0</v>
      </c>
      <c r="P1573" s="4" t="b">
        <f aca="false">TRUE()</f>
        <v>1</v>
      </c>
      <c r="Q1573" s="1" t="s">
        <v>439</v>
      </c>
      <c r="R1573" s="1" t="s">
        <v>5053</v>
      </c>
      <c r="S1573" s="1" t="s">
        <v>5151</v>
      </c>
      <c r="T1573" s="1" t="s">
        <v>222</v>
      </c>
      <c r="U1573" s="1" t="s">
        <v>2102</v>
      </c>
    </row>
    <row r="1574" customFormat="false" ht="48" hidden="false" customHeight="true" outlineLevel="0" collapsed="false">
      <c r="A1574" s="1" t="s">
        <v>41</v>
      </c>
      <c r="B1574" s="1" t="s">
        <v>3712</v>
      </c>
      <c r="C1574" s="1" t="s">
        <v>57</v>
      </c>
      <c r="D1574" s="1" t="s">
        <v>1751</v>
      </c>
      <c r="E1574" s="1" t="n">
        <v>42</v>
      </c>
      <c r="F1574" s="1" t="s">
        <v>5152</v>
      </c>
      <c r="G1574" s="1" t="s">
        <v>236</v>
      </c>
      <c r="H1574" s="1" t="s">
        <v>5153</v>
      </c>
      <c r="I1574" s="1" t="s">
        <v>289</v>
      </c>
      <c r="J1574" s="1" t="s">
        <v>310</v>
      </c>
      <c r="L1574" s="1" t="n">
        <v>4.5</v>
      </c>
      <c r="M1574" s="1" t="n">
        <v>11900</v>
      </c>
      <c r="N1574" s="4" t="b">
        <f aca="false">FALSE()</f>
        <v>0</v>
      </c>
      <c r="P1574" s="4" t="b">
        <f aca="false">FALSE()</f>
        <v>0</v>
      </c>
      <c r="Q1574" s="1" t="s">
        <v>451</v>
      </c>
      <c r="R1574" s="1" t="s">
        <v>5053</v>
      </c>
      <c r="S1574" s="1" t="s">
        <v>5154</v>
      </c>
      <c r="T1574" s="1" t="s">
        <v>222</v>
      </c>
      <c r="U1574" s="1" t="s">
        <v>2102</v>
      </c>
    </row>
    <row r="1575" customFormat="false" ht="48" hidden="false" customHeight="true" outlineLevel="0" collapsed="false">
      <c r="A1575" s="1" t="s">
        <v>41</v>
      </c>
      <c r="B1575" s="1" t="s">
        <v>3712</v>
      </c>
      <c r="C1575" s="1" t="s">
        <v>57</v>
      </c>
      <c r="D1575" s="1" t="s">
        <v>1751</v>
      </c>
      <c r="E1575" s="1" t="n">
        <v>43</v>
      </c>
      <c r="F1575" s="1" t="s">
        <v>5155</v>
      </c>
      <c r="G1575" s="1" t="s">
        <v>979</v>
      </c>
      <c r="H1575" s="1" t="s">
        <v>5156</v>
      </c>
      <c r="I1575" s="1" t="s">
        <v>218</v>
      </c>
      <c r="J1575" s="1" t="s">
        <v>689</v>
      </c>
      <c r="K1575" s="1" t="n">
        <v>39.99</v>
      </c>
      <c r="L1575" s="1" t="n">
        <v>4.3</v>
      </c>
      <c r="M1575" s="1" t="n">
        <v>5200</v>
      </c>
      <c r="N1575" s="4" t="b">
        <f aca="false">FALSE()</f>
        <v>0</v>
      </c>
      <c r="P1575" s="4" t="b">
        <f aca="false">TRUE()</f>
        <v>1</v>
      </c>
      <c r="Q1575" s="1" t="s">
        <v>618</v>
      </c>
      <c r="R1575" s="1" t="s">
        <v>5053</v>
      </c>
      <c r="S1575" s="1" t="s">
        <v>5157</v>
      </c>
      <c r="T1575" s="1" t="s">
        <v>222</v>
      </c>
      <c r="U1575" s="1" t="s">
        <v>2102</v>
      </c>
    </row>
    <row r="1576" customFormat="false" ht="48" hidden="false" customHeight="true" outlineLevel="0" collapsed="false">
      <c r="A1576" s="1" t="s">
        <v>41</v>
      </c>
      <c r="B1576" s="1" t="s">
        <v>3712</v>
      </c>
      <c r="C1576" s="1" t="s">
        <v>57</v>
      </c>
      <c r="D1576" s="1" t="s">
        <v>1751</v>
      </c>
      <c r="E1576" s="1" t="n">
        <v>44</v>
      </c>
      <c r="F1576" s="1" t="s">
        <v>5158</v>
      </c>
      <c r="G1576" s="1" t="s">
        <v>1786</v>
      </c>
      <c r="H1576" s="1" t="s">
        <v>5159</v>
      </c>
      <c r="I1576" s="1" t="s">
        <v>289</v>
      </c>
      <c r="J1576" s="1" t="s">
        <v>310</v>
      </c>
      <c r="L1576" s="1" t="n">
        <v>4.5</v>
      </c>
      <c r="M1576" s="1" t="n">
        <v>9600</v>
      </c>
      <c r="N1576" s="4" t="b">
        <f aca="false">FALSE()</f>
        <v>0</v>
      </c>
      <c r="P1576" s="4" t="b">
        <f aca="false">FALSE()</f>
        <v>0</v>
      </c>
      <c r="Q1576" s="1" t="s">
        <v>451</v>
      </c>
      <c r="R1576" s="1" t="s">
        <v>5053</v>
      </c>
      <c r="S1576" s="1" t="s">
        <v>5160</v>
      </c>
      <c r="T1576" s="1" t="s">
        <v>222</v>
      </c>
      <c r="U1576" s="1" t="s">
        <v>2102</v>
      </c>
    </row>
    <row r="1577" customFormat="false" ht="48" hidden="false" customHeight="true" outlineLevel="0" collapsed="false">
      <c r="A1577" s="1" t="s">
        <v>41</v>
      </c>
      <c r="B1577" s="1" t="s">
        <v>3712</v>
      </c>
      <c r="C1577" s="1" t="s">
        <v>57</v>
      </c>
      <c r="D1577" s="1" t="s">
        <v>1751</v>
      </c>
      <c r="E1577" s="1" t="n">
        <v>45</v>
      </c>
      <c r="F1577" s="1" t="s">
        <v>5161</v>
      </c>
      <c r="G1577" s="1" t="s">
        <v>236</v>
      </c>
      <c r="H1577" s="1" t="s">
        <v>5162</v>
      </c>
      <c r="I1577" s="1" t="s">
        <v>231</v>
      </c>
      <c r="J1577" s="1" t="s">
        <v>597</v>
      </c>
      <c r="K1577" s="1" t="n">
        <v>44.99</v>
      </c>
      <c r="L1577" s="1" t="n">
        <v>4.5</v>
      </c>
      <c r="M1577" s="1" t="n">
        <v>2600</v>
      </c>
      <c r="N1577" s="4" t="b">
        <f aca="false">FALSE()</f>
        <v>0</v>
      </c>
      <c r="P1577" s="4" t="b">
        <f aca="false">TRUE()</f>
        <v>1</v>
      </c>
      <c r="Q1577" s="1" t="s">
        <v>435</v>
      </c>
      <c r="R1577" s="1" t="s">
        <v>5053</v>
      </c>
      <c r="S1577" s="1" t="s">
        <v>5163</v>
      </c>
      <c r="T1577" s="1" t="s">
        <v>222</v>
      </c>
      <c r="U1577" s="1" t="s">
        <v>2102</v>
      </c>
    </row>
    <row r="1578" customFormat="false" ht="48" hidden="false" customHeight="true" outlineLevel="0" collapsed="false">
      <c r="A1578" s="1" t="s">
        <v>41</v>
      </c>
      <c r="B1578" s="1" t="s">
        <v>3712</v>
      </c>
      <c r="C1578" s="1" t="s">
        <v>57</v>
      </c>
      <c r="D1578" s="1" t="s">
        <v>1751</v>
      </c>
      <c r="E1578" s="1" t="n">
        <v>46</v>
      </c>
      <c r="F1578" s="1" t="s">
        <v>5164</v>
      </c>
      <c r="G1578" s="1" t="s">
        <v>236</v>
      </c>
      <c r="H1578" s="1" t="s">
        <v>5165</v>
      </c>
      <c r="I1578" s="1" t="s">
        <v>218</v>
      </c>
      <c r="J1578" s="1" t="s">
        <v>597</v>
      </c>
      <c r="K1578" s="1" t="n">
        <v>44.99</v>
      </c>
      <c r="L1578" s="1" t="n">
        <v>4.1</v>
      </c>
      <c r="M1578" s="1" t="n">
        <v>2600</v>
      </c>
      <c r="N1578" s="4" t="b">
        <f aca="false">FALSE()</f>
        <v>0</v>
      </c>
      <c r="P1578" s="4" t="b">
        <f aca="false">TRUE()</f>
        <v>1</v>
      </c>
      <c r="R1578" s="1" t="s">
        <v>5053</v>
      </c>
      <c r="S1578" s="1" t="s">
        <v>5166</v>
      </c>
      <c r="T1578" s="1" t="s">
        <v>222</v>
      </c>
      <c r="U1578" s="1" t="s">
        <v>2102</v>
      </c>
    </row>
    <row r="1579" customFormat="false" ht="48" hidden="false" customHeight="true" outlineLevel="0" collapsed="false">
      <c r="A1579" s="1" t="s">
        <v>41</v>
      </c>
      <c r="B1579" s="1" t="s">
        <v>3712</v>
      </c>
      <c r="C1579" s="1" t="s">
        <v>57</v>
      </c>
      <c r="D1579" s="1" t="s">
        <v>1751</v>
      </c>
      <c r="E1579" s="1" t="n">
        <v>47</v>
      </c>
      <c r="F1579" s="1" t="s">
        <v>5167</v>
      </c>
      <c r="G1579" s="1" t="s">
        <v>384</v>
      </c>
      <c r="H1579" s="1" t="s">
        <v>5168</v>
      </c>
      <c r="I1579" s="1" t="s">
        <v>218</v>
      </c>
      <c r="J1579" s="1" t="s">
        <v>597</v>
      </c>
      <c r="K1579" s="1" t="n">
        <v>15</v>
      </c>
      <c r="L1579" s="1" t="n">
        <v>4</v>
      </c>
      <c r="M1579" s="1" t="n">
        <v>70</v>
      </c>
      <c r="N1579" s="4" t="b">
        <f aca="false">FALSE()</f>
        <v>0</v>
      </c>
      <c r="P1579" s="4" t="b">
        <f aca="false">TRUE()</f>
        <v>1</v>
      </c>
      <c r="R1579" s="1" t="s">
        <v>5053</v>
      </c>
      <c r="S1579" s="1" t="s">
        <v>5169</v>
      </c>
      <c r="T1579" s="1" t="s">
        <v>222</v>
      </c>
      <c r="U1579" s="1" t="s">
        <v>2102</v>
      </c>
    </row>
    <row r="1580" customFormat="false" ht="48" hidden="false" customHeight="true" outlineLevel="0" collapsed="false">
      <c r="A1580" s="1" t="s">
        <v>41</v>
      </c>
      <c r="B1580" s="1" t="s">
        <v>3712</v>
      </c>
      <c r="C1580" s="1" t="s">
        <v>57</v>
      </c>
      <c r="D1580" s="1" t="s">
        <v>1751</v>
      </c>
      <c r="E1580" s="1" t="n">
        <v>48</v>
      </c>
      <c r="F1580" s="1" t="s">
        <v>5170</v>
      </c>
      <c r="G1580" s="1" t="s">
        <v>236</v>
      </c>
      <c r="H1580" s="1" t="s">
        <v>5171</v>
      </c>
      <c r="I1580" s="1" t="s">
        <v>218</v>
      </c>
      <c r="J1580" s="1" t="s">
        <v>597</v>
      </c>
      <c r="K1580" s="1" t="n">
        <v>39.99</v>
      </c>
      <c r="L1580" s="1" t="n">
        <v>4.2</v>
      </c>
      <c r="M1580" s="1" t="n">
        <v>213</v>
      </c>
      <c r="N1580" s="4" t="b">
        <f aca="false">FALSE()</f>
        <v>0</v>
      </c>
      <c r="O1580" s="1" t="s">
        <v>4846</v>
      </c>
      <c r="P1580" s="4" t="b">
        <f aca="false">TRUE()</f>
        <v>1</v>
      </c>
      <c r="Q1580" s="1" t="s">
        <v>233</v>
      </c>
      <c r="R1580" s="1" t="s">
        <v>5053</v>
      </c>
      <c r="S1580" s="1" t="s">
        <v>5172</v>
      </c>
      <c r="T1580" s="1" t="s">
        <v>222</v>
      </c>
      <c r="U1580" s="1" t="s">
        <v>2102</v>
      </c>
    </row>
    <row r="1581" customFormat="false" ht="48" hidden="false" customHeight="true" outlineLevel="0" collapsed="false">
      <c r="A1581" s="1" t="s">
        <v>41</v>
      </c>
      <c r="B1581" s="1" t="s">
        <v>3712</v>
      </c>
      <c r="C1581" s="1" t="s">
        <v>120</v>
      </c>
      <c r="D1581" s="1" t="s">
        <v>1933</v>
      </c>
      <c r="E1581" s="1" t="n">
        <v>1</v>
      </c>
      <c r="F1581" s="1" t="s">
        <v>5173</v>
      </c>
      <c r="G1581" s="1" t="s">
        <v>2054</v>
      </c>
      <c r="H1581" s="1" t="s">
        <v>5174</v>
      </c>
      <c r="I1581" s="1" t="s">
        <v>218</v>
      </c>
      <c r="J1581" s="1" t="s">
        <v>597</v>
      </c>
      <c r="K1581" s="1" t="n">
        <v>35.99</v>
      </c>
      <c r="L1581" s="1" t="n">
        <v>4.5</v>
      </c>
      <c r="M1581" s="1" t="n">
        <v>117800</v>
      </c>
      <c r="N1581" s="4" t="b">
        <f aca="false">FALSE()</f>
        <v>0</v>
      </c>
      <c r="O1581" s="1" t="s">
        <v>842</v>
      </c>
      <c r="P1581" s="4" t="b">
        <f aca="false">TRUE()</f>
        <v>1</v>
      </c>
      <c r="Q1581" s="1" t="s">
        <v>4209</v>
      </c>
      <c r="R1581" s="1" t="s">
        <v>5175</v>
      </c>
      <c r="S1581" s="1" t="s">
        <v>5176</v>
      </c>
      <c r="T1581" s="1" t="s">
        <v>222</v>
      </c>
      <c r="U1581" s="1" t="s">
        <v>2102</v>
      </c>
    </row>
    <row r="1582" customFormat="false" ht="48" hidden="false" customHeight="true" outlineLevel="0" collapsed="false">
      <c r="A1582" s="1" t="s">
        <v>41</v>
      </c>
      <c r="B1582" s="1" t="s">
        <v>3712</v>
      </c>
      <c r="C1582" s="1" t="s">
        <v>120</v>
      </c>
      <c r="D1582" s="1" t="s">
        <v>1933</v>
      </c>
      <c r="E1582" s="1" t="n">
        <v>2</v>
      </c>
      <c r="F1582" s="1" t="s">
        <v>5177</v>
      </c>
      <c r="G1582" s="1" t="s">
        <v>236</v>
      </c>
      <c r="H1582" s="1" t="s">
        <v>5178</v>
      </c>
      <c r="I1582" s="1" t="s">
        <v>231</v>
      </c>
      <c r="J1582" s="1" t="s">
        <v>310</v>
      </c>
      <c r="K1582" s="1" t="n">
        <v>139.99</v>
      </c>
      <c r="L1582" s="1" t="n">
        <v>5</v>
      </c>
      <c r="M1582" s="1" t="n">
        <v>20</v>
      </c>
      <c r="N1582" s="4" t="b">
        <f aca="false">FALSE()</f>
        <v>0</v>
      </c>
      <c r="O1582" s="1" t="s">
        <v>5179</v>
      </c>
      <c r="P1582" s="4" t="b">
        <f aca="false">TRUE()</f>
        <v>1</v>
      </c>
      <c r="Q1582" s="1" t="s">
        <v>233</v>
      </c>
      <c r="R1582" s="1" t="s">
        <v>5175</v>
      </c>
      <c r="S1582" s="1" t="s">
        <v>5180</v>
      </c>
      <c r="T1582" s="1" t="s">
        <v>222</v>
      </c>
      <c r="U1582" s="1" t="s">
        <v>2102</v>
      </c>
    </row>
    <row r="1583" customFormat="false" ht="48" hidden="false" customHeight="true" outlineLevel="0" collapsed="false">
      <c r="A1583" s="1" t="s">
        <v>41</v>
      </c>
      <c r="B1583" s="1" t="s">
        <v>3712</v>
      </c>
      <c r="C1583" s="1" t="s">
        <v>120</v>
      </c>
      <c r="D1583" s="1" t="s">
        <v>1933</v>
      </c>
      <c r="E1583" s="1" t="n">
        <v>3</v>
      </c>
      <c r="F1583" s="1" t="s">
        <v>5181</v>
      </c>
      <c r="G1583" s="1" t="s">
        <v>236</v>
      </c>
      <c r="H1583" s="1" t="s">
        <v>5182</v>
      </c>
      <c r="I1583" s="1" t="s">
        <v>231</v>
      </c>
      <c r="J1583" s="1" t="s">
        <v>310</v>
      </c>
      <c r="K1583" s="1" t="n">
        <v>129.99</v>
      </c>
      <c r="L1583" s="1" t="n">
        <v>4.3</v>
      </c>
      <c r="M1583" s="1" t="n">
        <v>2100</v>
      </c>
      <c r="N1583" s="4" t="b">
        <f aca="false">FALSE()</f>
        <v>0</v>
      </c>
      <c r="P1583" s="4" t="b">
        <f aca="false">TRUE()</f>
        <v>1</v>
      </c>
      <c r="R1583" s="1" t="s">
        <v>5175</v>
      </c>
      <c r="S1583" s="1" t="s">
        <v>5183</v>
      </c>
      <c r="T1583" s="1" t="s">
        <v>222</v>
      </c>
      <c r="U1583" s="1" t="s">
        <v>2102</v>
      </c>
    </row>
    <row r="1584" customFormat="false" ht="48" hidden="false" customHeight="true" outlineLevel="0" collapsed="false">
      <c r="A1584" s="1" t="s">
        <v>41</v>
      </c>
      <c r="B1584" s="1" t="s">
        <v>3712</v>
      </c>
      <c r="C1584" s="1" t="s">
        <v>120</v>
      </c>
      <c r="D1584" s="1" t="s">
        <v>1933</v>
      </c>
      <c r="E1584" s="1" t="n">
        <v>4</v>
      </c>
      <c r="F1584" s="1" t="s">
        <v>5184</v>
      </c>
      <c r="G1584" s="1" t="s">
        <v>2023</v>
      </c>
      <c r="H1584" s="1" t="s">
        <v>5185</v>
      </c>
      <c r="I1584" s="1" t="s">
        <v>218</v>
      </c>
      <c r="J1584" s="1" t="s">
        <v>310</v>
      </c>
      <c r="K1584" s="1" t="n">
        <v>59.97</v>
      </c>
      <c r="L1584" s="1" t="n">
        <v>4.5</v>
      </c>
      <c r="M1584" s="1" t="n">
        <v>75000</v>
      </c>
      <c r="N1584" s="4" t="b">
        <f aca="false">FALSE()</f>
        <v>0</v>
      </c>
      <c r="P1584" s="4" t="b">
        <f aca="false">TRUE()</f>
        <v>1</v>
      </c>
      <c r="Q1584" s="1" t="s">
        <v>1840</v>
      </c>
      <c r="R1584" s="1" t="s">
        <v>5175</v>
      </c>
      <c r="S1584" s="1" t="s">
        <v>5186</v>
      </c>
      <c r="T1584" s="1" t="s">
        <v>222</v>
      </c>
      <c r="U1584" s="1" t="s">
        <v>2102</v>
      </c>
    </row>
    <row r="1585" customFormat="false" ht="48" hidden="false" customHeight="true" outlineLevel="0" collapsed="false">
      <c r="A1585" s="1" t="s">
        <v>41</v>
      </c>
      <c r="B1585" s="1" t="s">
        <v>3712</v>
      </c>
      <c r="C1585" s="1" t="s">
        <v>120</v>
      </c>
      <c r="D1585" s="1" t="s">
        <v>1933</v>
      </c>
      <c r="E1585" s="1" t="n">
        <v>5</v>
      </c>
      <c r="F1585" s="1" t="s">
        <v>5187</v>
      </c>
      <c r="G1585" s="1" t="s">
        <v>236</v>
      </c>
      <c r="H1585" s="1" t="s">
        <v>5188</v>
      </c>
      <c r="I1585" s="1" t="s">
        <v>218</v>
      </c>
      <c r="J1585" s="1" t="s">
        <v>219</v>
      </c>
      <c r="K1585" s="1" t="n">
        <v>25.19</v>
      </c>
      <c r="L1585" s="1" t="n">
        <v>4.3</v>
      </c>
      <c r="M1585" s="1" t="n">
        <v>941</v>
      </c>
      <c r="N1585" s="4" t="b">
        <f aca="false">FALSE()</f>
        <v>0</v>
      </c>
      <c r="O1585" s="1" t="s">
        <v>4588</v>
      </c>
      <c r="P1585" s="4" t="b">
        <f aca="false">TRUE()</f>
        <v>1</v>
      </c>
      <c r="Q1585" s="1" t="s">
        <v>711</v>
      </c>
      <c r="R1585" s="1" t="s">
        <v>5175</v>
      </c>
      <c r="S1585" s="1" t="s">
        <v>5189</v>
      </c>
      <c r="T1585" s="1" t="s">
        <v>222</v>
      </c>
      <c r="U1585" s="1" t="s">
        <v>2102</v>
      </c>
    </row>
    <row r="1586" customFormat="false" ht="48" hidden="false" customHeight="true" outlineLevel="0" collapsed="false">
      <c r="A1586" s="1" t="s">
        <v>41</v>
      </c>
      <c r="B1586" s="1" t="s">
        <v>3712</v>
      </c>
      <c r="C1586" s="1" t="s">
        <v>120</v>
      </c>
      <c r="D1586" s="1" t="s">
        <v>1933</v>
      </c>
      <c r="E1586" s="1" t="n">
        <v>6</v>
      </c>
      <c r="F1586" s="1" t="s">
        <v>5190</v>
      </c>
      <c r="G1586" s="1" t="s">
        <v>236</v>
      </c>
      <c r="H1586" s="1" t="s">
        <v>5191</v>
      </c>
      <c r="I1586" s="1" t="s">
        <v>218</v>
      </c>
      <c r="J1586" s="1" t="s">
        <v>310</v>
      </c>
      <c r="K1586" s="1" t="n">
        <v>59.98</v>
      </c>
      <c r="L1586" s="1" t="n">
        <v>4.3</v>
      </c>
      <c r="M1586" s="1" t="n">
        <v>2400</v>
      </c>
      <c r="N1586" s="4" t="b">
        <f aca="false">FALSE()</f>
        <v>0</v>
      </c>
      <c r="O1586" s="1" t="s">
        <v>3848</v>
      </c>
      <c r="P1586" s="4" t="b">
        <f aca="false">TRUE()</f>
        <v>1</v>
      </c>
      <c r="Q1586" s="1" t="s">
        <v>711</v>
      </c>
      <c r="R1586" s="1" t="s">
        <v>5175</v>
      </c>
      <c r="S1586" s="1" t="s">
        <v>5192</v>
      </c>
      <c r="T1586" s="1" t="s">
        <v>222</v>
      </c>
      <c r="U1586" s="1" t="s">
        <v>2102</v>
      </c>
    </row>
    <row r="1587" customFormat="false" ht="48" hidden="false" customHeight="true" outlineLevel="0" collapsed="false">
      <c r="A1587" s="1" t="s">
        <v>41</v>
      </c>
      <c r="B1587" s="1" t="s">
        <v>3712</v>
      </c>
      <c r="C1587" s="1" t="s">
        <v>120</v>
      </c>
      <c r="D1587" s="1" t="s">
        <v>1933</v>
      </c>
      <c r="E1587" s="1" t="n">
        <v>7</v>
      </c>
      <c r="F1587" s="1" t="s">
        <v>5193</v>
      </c>
      <c r="G1587" s="1" t="s">
        <v>236</v>
      </c>
      <c r="H1587" s="1" t="s">
        <v>5194</v>
      </c>
      <c r="I1587" s="1" t="s">
        <v>231</v>
      </c>
      <c r="J1587" s="1" t="s">
        <v>310</v>
      </c>
      <c r="K1587" s="1" t="n">
        <v>71.99</v>
      </c>
      <c r="L1587" s="1" t="n">
        <v>4.8</v>
      </c>
      <c r="M1587" s="1" t="n">
        <v>14</v>
      </c>
      <c r="N1587" s="4" t="b">
        <f aca="false">FALSE()</f>
        <v>0</v>
      </c>
      <c r="O1587" s="1" t="s">
        <v>1028</v>
      </c>
      <c r="P1587" s="4" t="b">
        <f aca="false">TRUE()</f>
        <v>1</v>
      </c>
      <c r="R1587" s="1" t="s">
        <v>5175</v>
      </c>
      <c r="S1587" s="1" t="s">
        <v>5195</v>
      </c>
      <c r="T1587" s="1" t="s">
        <v>222</v>
      </c>
      <c r="U1587" s="1" t="s">
        <v>2102</v>
      </c>
    </row>
    <row r="1588" customFormat="false" ht="48" hidden="false" customHeight="true" outlineLevel="0" collapsed="false">
      <c r="A1588" s="1" t="s">
        <v>41</v>
      </c>
      <c r="B1588" s="1" t="s">
        <v>3712</v>
      </c>
      <c r="C1588" s="1" t="s">
        <v>120</v>
      </c>
      <c r="D1588" s="1" t="s">
        <v>1933</v>
      </c>
      <c r="E1588" s="1" t="n">
        <v>8</v>
      </c>
      <c r="F1588" s="1" t="s">
        <v>5196</v>
      </c>
      <c r="G1588" s="1" t="s">
        <v>236</v>
      </c>
      <c r="H1588" s="1" t="s">
        <v>5197</v>
      </c>
      <c r="I1588" s="1" t="s">
        <v>218</v>
      </c>
      <c r="J1588" s="1" t="s">
        <v>310</v>
      </c>
      <c r="K1588" s="1" t="n">
        <v>159.99</v>
      </c>
      <c r="L1588" s="1" t="n">
        <v>4.7</v>
      </c>
      <c r="M1588" s="1" t="n">
        <v>501</v>
      </c>
      <c r="N1588" s="4" t="b">
        <f aca="false">FALSE()</f>
        <v>0</v>
      </c>
      <c r="O1588" s="1" t="s">
        <v>5198</v>
      </c>
      <c r="P1588" s="4" t="b">
        <f aca="false">TRUE()</f>
        <v>1</v>
      </c>
      <c r="Q1588" s="1" t="s">
        <v>711</v>
      </c>
      <c r="R1588" s="1" t="s">
        <v>5175</v>
      </c>
      <c r="S1588" s="1" t="s">
        <v>5199</v>
      </c>
      <c r="T1588" s="1" t="s">
        <v>222</v>
      </c>
      <c r="U1588" s="1" t="s">
        <v>2102</v>
      </c>
    </row>
    <row r="1589" customFormat="false" ht="48" hidden="false" customHeight="true" outlineLevel="0" collapsed="false">
      <c r="A1589" s="1" t="s">
        <v>41</v>
      </c>
      <c r="B1589" s="1" t="s">
        <v>3712</v>
      </c>
      <c r="C1589" s="1" t="s">
        <v>120</v>
      </c>
      <c r="D1589" s="1" t="s">
        <v>1933</v>
      </c>
      <c r="E1589" s="1" t="n">
        <v>9</v>
      </c>
      <c r="F1589" s="1" t="s">
        <v>5200</v>
      </c>
      <c r="G1589" s="1" t="s">
        <v>2023</v>
      </c>
      <c r="H1589" s="1" t="s">
        <v>5201</v>
      </c>
      <c r="I1589" s="1" t="s">
        <v>218</v>
      </c>
      <c r="J1589" s="1" t="s">
        <v>310</v>
      </c>
      <c r="L1589" s="1" t="n">
        <v>4.4</v>
      </c>
      <c r="M1589" s="1" t="n">
        <v>59700</v>
      </c>
      <c r="N1589" s="4" t="b">
        <f aca="false">FALSE()</f>
        <v>0</v>
      </c>
      <c r="P1589" s="4" t="b">
        <f aca="false">TRUE()</f>
        <v>1</v>
      </c>
      <c r="Q1589" s="1" t="s">
        <v>766</v>
      </c>
      <c r="R1589" s="1" t="s">
        <v>5175</v>
      </c>
      <c r="S1589" s="1" t="s">
        <v>5202</v>
      </c>
      <c r="T1589" s="1" t="s">
        <v>222</v>
      </c>
      <c r="U1589" s="1" t="s">
        <v>2102</v>
      </c>
    </row>
    <row r="1590" customFormat="false" ht="48" hidden="false" customHeight="true" outlineLevel="0" collapsed="false">
      <c r="A1590" s="1" t="s">
        <v>41</v>
      </c>
      <c r="B1590" s="1" t="s">
        <v>3712</v>
      </c>
      <c r="C1590" s="1" t="s">
        <v>120</v>
      </c>
      <c r="D1590" s="1" t="s">
        <v>1933</v>
      </c>
      <c r="E1590" s="1" t="n">
        <v>10</v>
      </c>
      <c r="F1590" s="1" t="s">
        <v>2014</v>
      </c>
      <c r="G1590" s="1" t="s">
        <v>236</v>
      </c>
      <c r="H1590" s="1" t="s">
        <v>5203</v>
      </c>
      <c r="I1590" s="1" t="s">
        <v>289</v>
      </c>
      <c r="J1590" s="1" t="s">
        <v>310</v>
      </c>
      <c r="K1590" s="1" t="n">
        <v>26.99</v>
      </c>
      <c r="L1590" s="1" t="n">
        <v>4.5</v>
      </c>
      <c r="M1590" s="1" t="n">
        <v>5800</v>
      </c>
      <c r="N1590" s="4" t="b">
        <f aca="false">FALSE()</f>
        <v>0</v>
      </c>
      <c r="P1590" s="4" t="b">
        <f aca="false">TRUE()</f>
        <v>1</v>
      </c>
      <c r="Q1590" s="1" t="s">
        <v>3858</v>
      </c>
      <c r="R1590" s="1" t="s">
        <v>5175</v>
      </c>
      <c r="S1590" s="1" t="s">
        <v>5204</v>
      </c>
      <c r="T1590" s="1" t="s">
        <v>222</v>
      </c>
      <c r="U1590" s="1" t="s">
        <v>2102</v>
      </c>
    </row>
    <row r="1591" customFormat="false" ht="48" hidden="false" customHeight="true" outlineLevel="0" collapsed="false">
      <c r="A1591" s="1" t="s">
        <v>41</v>
      </c>
      <c r="B1591" s="1" t="s">
        <v>3712</v>
      </c>
      <c r="C1591" s="1" t="s">
        <v>120</v>
      </c>
      <c r="D1591" s="1" t="s">
        <v>1933</v>
      </c>
      <c r="E1591" s="1" t="n">
        <v>11</v>
      </c>
      <c r="F1591" s="1" t="s">
        <v>5205</v>
      </c>
      <c r="G1591" s="1" t="s">
        <v>236</v>
      </c>
      <c r="H1591" s="1" t="s">
        <v>5206</v>
      </c>
      <c r="I1591" s="1" t="s">
        <v>218</v>
      </c>
      <c r="J1591" s="1" t="s">
        <v>310</v>
      </c>
      <c r="K1591" s="1" t="n">
        <v>94.99</v>
      </c>
      <c r="L1591" s="1" t="n">
        <v>4.3</v>
      </c>
      <c r="M1591" s="1" t="n">
        <v>2100</v>
      </c>
      <c r="N1591" s="4" t="b">
        <f aca="false">FALSE()</f>
        <v>0</v>
      </c>
      <c r="O1591" s="1" t="s">
        <v>5207</v>
      </c>
      <c r="P1591" s="4" t="b">
        <f aca="false">TRUE()</f>
        <v>1</v>
      </c>
      <c r="Q1591" s="1" t="s">
        <v>711</v>
      </c>
      <c r="R1591" s="1" t="s">
        <v>5175</v>
      </c>
      <c r="S1591" s="1" t="s">
        <v>5208</v>
      </c>
      <c r="T1591" s="1" t="s">
        <v>222</v>
      </c>
      <c r="U1591" s="1" t="s">
        <v>2102</v>
      </c>
    </row>
    <row r="1592" customFormat="false" ht="48" hidden="false" customHeight="true" outlineLevel="0" collapsed="false">
      <c r="A1592" s="1" t="s">
        <v>41</v>
      </c>
      <c r="B1592" s="1" t="s">
        <v>3712</v>
      </c>
      <c r="C1592" s="1" t="s">
        <v>120</v>
      </c>
      <c r="D1592" s="1" t="s">
        <v>1933</v>
      </c>
      <c r="E1592" s="1" t="n">
        <v>12</v>
      </c>
      <c r="F1592" s="1" t="s">
        <v>5209</v>
      </c>
      <c r="G1592" s="1" t="s">
        <v>2054</v>
      </c>
      <c r="H1592" s="1" t="s">
        <v>5210</v>
      </c>
      <c r="I1592" s="1" t="s">
        <v>231</v>
      </c>
      <c r="J1592" s="1" t="s">
        <v>597</v>
      </c>
      <c r="K1592" s="1" t="n">
        <v>50.91</v>
      </c>
      <c r="L1592" s="1" t="n">
        <v>4.5</v>
      </c>
      <c r="M1592" s="1" t="n">
        <v>117800</v>
      </c>
      <c r="N1592" s="4" t="b">
        <f aca="false">FALSE()</f>
        <v>0</v>
      </c>
      <c r="O1592" s="1" t="s">
        <v>3921</v>
      </c>
      <c r="P1592" s="4" t="b">
        <f aca="false">TRUE()</f>
        <v>1</v>
      </c>
      <c r="Q1592" s="1" t="s">
        <v>3858</v>
      </c>
      <c r="R1592" s="1" t="s">
        <v>5175</v>
      </c>
      <c r="S1592" s="1" t="s">
        <v>5211</v>
      </c>
      <c r="T1592" s="1" t="s">
        <v>222</v>
      </c>
      <c r="U1592" s="1" t="s">
        <v>2102</v>
      </c>
    </row>
    <row r="1593" customFormat="false" ht="48" hidden="false" customHeight="true" outlineLevel="0" collapsed="false">
      <c r="A1593" s="1" t="s">
        <v>41</v>
      </c>
      <c r="B1593" s="1" t="s">
        <v>3712</v>
      </c>
      <c r="C1593" s="1" t="s">
        <v>120</v>
      </c>
      <c r="D1593" s="1" t="s">
        <v>1933</v>
      </c>
      <c r="E1593" s="1" t="n">
        <v>13</v>
      </c>
      <c r="F1593" s="1" t="s">
        <v>5212</v>
      </c>
      <c r="G1593" s="1" t="s">
        <v>236</v>
      </c>
      <c r="H1593" s="1" t="s">
        <v>5213</v>
      </c>
      <c r="I1593" s="1" t="s">
        <v>231</v>
      </c>
      <c r="J1593" s="1" t="s">
        <v>310</v>
      </c>
      <c r="K1593" s="1" t="n">
        <v>349</v>
      </c>
      <c r="L1593" s="1" t="n">
        <v>4.1</v>
      </c>
      <c r="M1593" s="1" t="n">
        <v>12500</v>
      </c>
      <c r="N1593" s="4" t="b">
        <f aca="false">FALSE()</f>
        <v>0</v>
      </c>
      <c r="P1593" s="4" t="b">
        <f aca="false">TRUE()</f>
        <v>1</v>
      </c>
      <c r="Q1593" s="1" t="s">
        <v>777</v>
      </c>
      <c r="R1593" s="1" t="s">
        <v>5175</v>
      </c>
      <c r="S1593" s="1" t="s">
        <v>5214</v>
      </c>
      <c r="T1593" s="1" t="s">
        <v>222</v>
      </c>
      <c r="U1593" s="1" t="s">
        <v>2102</v>
      </c>
    </row>
    <row r="1594" customFormat="false" ht="48" hidden="false" customHeight="true" outlineLevel="0" collapsed="false">
      <c r="A1594" s="1" t="s">
        <v>41</v>
      </c>
      <c r="B1594" s="1" t="s">
        <v>3712</v>
      </c>
      <c r="C1594" s="1" t="s">
        <v>120</v>
      </c>
      <c r="D1594" s="1" t="s">
        <v>1933</v>
      </c>
      <c r="E1594" s="1" t="n">
        <v>14</v>
      </c>
      <c r="F1594" s="1" t="s">
        <v>5215</v>
      </c>
      <c r="G1594" s="1" t="s">
        <v>236</v>
      </c>
      <c r="H1594" s="1" t="s">
        <v>5216</v>
      </c>
      <c r="I1594" s="1" t="s">
        <v>218</v>
      </c>
      <c r="J1594" s="1" t="s">
        <v>310</v>
      </c>
      <c r="K1594" s="1" t="n">
        <v>119.99</v>
      </c>
      <c r="L1594" s="1" t="n">
        <v>4.9</v>
      </c>
      <c r="M1594" s="1" t="n">
        <v>44</v>
      </c>
      <c r="N1594" s="4" t="b">
        <f aca="false">FALSE()</f>
        <v>0</v>
      </c>
      <c r="O1594" s="1" t="s">
        <v>4357</v>
      </c>
      <c r="P1594" s="4" t="b">
        <f aca="false">TRUE()</f>
        <v>1</v>
      </c>
      <c r="R1594" s="1" t="s">
        <v>5175</v>
      </c>
      <c r="S1594" s="1" t="s">
        <v>5217</v>
      </c>
      <c r="T1594" s="1" t="s">
        <v>222</v>
      </c>
      <c r="U1594" s="1" t="s">
        <v>2102</v>
      </c>
    </row>
    <row r="1595" customFormat="false" ht="48" hidden="false" customHeight="true" outlineLevel="0" collapsed="false">
      <c r="A1595" s="1" t="s">
        <v>41</v>
      </c>
      <c r="B1595" s="1" t="s">
        <v>3712</v>
      </c>
      <c r="C1595" s="1" t="s">
        <v>120</v>
      </c>
      <c r="D1595" s="1" t="s">
        <v>1933</v>
      </c>
      <c r="E1595" s="1" t="n">
        <v>15</v>
      </c>
      <c r="F1595" s="1" t="s">
        <v>5218</v>
      </c>
      <c r="G1595" s="1" t="s">
        <v>236</v>
      </c>
      <c r="H1595" s="1" t="s">
        <v>5219</v>
      </c>
      <c r="I1595" s="1" t="s">
        <v>218</v>
      </c>
      <c r="J1595" s="1" t="s">
        <v>310</v>
      </c>
      <c r="K1595" s="1" t="n">
        <v>95.99</v>
      </c>
      <c r="L1595" s="1" t="n">
        <v>5</v>
      </c>
      <c r="M1595" s="1" t="n">
        <v>28</v>
      </c>
      <c r="N1595" s="4" t="b">
        <f aca="false">FALSE()</f>
        <v>0</v>
      </c>
      <c r="O1595" s="1" t="s">
        <v>5220</v>
      </c>
      <c r="P1595" s="4" t="b">
        <f aca="false">TRUE()</f>
        <v>1</v>
      </c>
      <c r="R1595" s="1" t="s">
        <v>5175</v>
      </c>
      <c r="S1595" s="1" t="s">
        <v>5221</v>
      </c>
      <c r="T1595" s="1" t="s">
        <v>222</v>
      </c>
      <c r="U1595" s="1" t="s">
        <v>2102</v>
      </c>
    </row>
    <row r="1596" customFormat="false" ht="48" hidden="false" customHeight="true" outlineLevel="0" collapsed="false">
      <c r="A1596" s="1" t="s">
        <v>41</v>
      </c>
      <c r="B1596" s="1" t="s">
        <v>3712</v>
      </c>
      <c r="C1596" s="1" t="s">
        <v>120</v>
      </c>
      <c r="D1596" s="1" t="s">
        <v>1933</v>
      </c>
      <c r="E1596" s="1" t="n">
        <v>16</v>
      </c>
      <c r="F1596" s="1" t="s">
        <v>5222</v>
      </c>
      <c r="G1596" s="1" t="s">
        <v>236</v>
      </c>
      <c r="H1596" s="1" t="s">
        <v>5223</v>
      </c>
      <c r="I1596" s="1" t="s">
        <v>242</v>
      </c>
      <c r="J1596" s="1" t="s">
        <v>310</v>
      </c>
      <c r="K1596" s="1" t="n">
        <v>42.99</v>
      </c>
      <c r="L1596" s="1" t="n">
        <v>4.5</v>
      </c>
      <c r="M1596" s="1" t="n">
        <v>2400</v>
      </c>
      <c r="N1596" s="4" t="b">
        <f aca="false">FALSE()</f>
        <v>0</v>
      </c>
      <c r="P1596" s="4" t="b">
        <f aca="false">TRUE()</f>
        <v>1</v>
      </c>
      <c r="Q1596" s="1" t="s">
        <v>1840</v>
      </c>
      <c r="R1596" s="1" t="s">
        <v>5175</v>
      </c>
      <c r="S1596" s="1" t="s">
        <v>5224</v>
      </c>
      <c r="T1596" s="1" t="s">
        <v>222</v>
      </c>
      <c r="U1596" s="1" t="s">
        <v>2102</v>
      </c>
    </row>
    <row r="1597" customFormat="false" ht="48" hidden="false" customHeight="true" outlineLevel="0" collapsed="false">
      <c r="A1597" s="1" t="s">
        <v>41</v>
      </c>
      <c r="B1597" s="1" t="s">
        <v>3712</v>
      </c>
      <c r="C1597" s="1" t="s">
        <v>120</v>
      </c>
      <c r="D1597" s="1" t="s">
        <v>1933</v>
      </c>
      <c r="E1597" s="1" t="n">
        <v>17</v>
      </c>
      <c r="F1597" s="1" t="s">
        <v>5225</v>
      </c>
      <c r="G1597" s="1" t="s">
        <v>2023</v>
      </c>
      <c r="H1597" s="1" t="s">
        <v>5226</v>
      </c>
      <c r="I1597" s="1" t="s">
        <v>242</v>
      </c>
      <c r="J1597" s="1" t="s">
        <v>310</v>
      </c>
      <c r="K1597" s="1" t="n">
        <v>49.99</v>
      </c>
      <c r="L1597" s="1" t="n">
        <v>4.5</v>
      </c>
      <c r="M1597" s="1" t="n">
        <v>75000</v>
      </c>
      <c r="N1597" s="4" t="b">
        <f aca="false">FALSE()</f>
        <v>0</v>
      </c>
      <c r="P1597" s="4" t="b">
        <f aca="false">TRUE()</f>
        <v>1</v>
      </c>
      <c r="Q1597" s="1" t="s">
        <v>711</v>
      </c>
      <c r="R1597" s="1" t="s">
        <v>5175</v>
      </c>
      <c r="S1597" s="1" t="s">
        <v>5227</v>
      </c>
      <c r="T1597" s="1" t="s">
        <v>222</v>
      </c>
      <c r="U1597" s="1" t="s">
        <v>2102</v>
      </c>
    </row>
    <row r="1598" customFormat="false" ht="48" hidden="false" customHeight="true" outlineLevel="0" collapsed="false">
      <c r="A1598" s="1" t="s">
        <v>41</v>
      </c>
      <c r="B1598" s="1" t="s">
        <v>3712</v>
      </c>
      <c r="C1598" s="1" t="s">
        <v>120</v>
      </c>
      <c r="D1598" s="1" t="s">
        <v>1933</v>
      </c>
      <c r="E1598" s="1" t="n">
        <v>18</v>
      </c>
      <c r="F1598" s="1" t="s">
        <v>2022</v>
      </c>
      <c r="G1598" s="1" t="s">
        <v>2023</v>
      </c>
      <c r="H1598" s="1" t="s">
        <v>5228</v>
      </c>
      <c r="I1598" s="1" t="s">
        <v>242</v>
      </c>
      <c r="J1598" s="1" t="s">
        <v>310</v>
      </c>
      <c r="K1598" s="1" t="n">
        <v>64.8</v>
      </c>
      <c r="L1598" s="1" t="n">
        <v>4.4</v>
      </c>
      <c r="M1598" s="1" t="n">
        <v>59700</v>
      </c>
      <c r="N1598" s="4" t="b">
        <f aca="false">FALSE()</f>
        <v>0</v>
      </c>
      <c r="O1598" s="1" t="s">
        <v>5229</v>
      </c>
      <c r="P1598" s="4" t="b">
        <f aca="false">TRUE()</f>
        <v>1</v>
      </c>
      <c r="Q1598" s="1" t="s">
        <v>766</v>
      </c>
      <c r="R1598" s="1" t="s">
        <v>5175</v>
      </c>
      <c r="S1598" s="1" t="s">
        <v>5230</v>
      </c>
      <c r="T1598" s="1" t="s">
        <v>222</v>
      </c>
      <c r="U1598" s="1" t="s">
        <v>2102</v>
      </c>
    </row>
    <row r="1599" customFormat="false" ht="48" hidden="false" customHeight="true" outlineLevel="0" collapsed="false">
      <c r="A1599" s="1" t="s">
        <v>41</v>
      </c>
      <c r="B1599" s="1" t="s">
        <v>3712</v>
      </c>
      <c r="C1599" s="1" t="s">
        <v>120</v>
      </c>
      <c r="D1599" s="1" t="s">
        <v>1933</v>
      </c>
      <c r="E1599" s="1" t="n">
        <v>19</v>
      </c>
      <c r="F1599" s="1" t="s">
        <v>5231</v>
      </c>
      <c r="G1599" s="1" t="s">
        <v>236</v>
      </c>
      <c r="H1599" s="1" t="s">
        <v>5232</v>
      </c>
      <c r="I1599" s="1" t="s">
        <v>218</v>
      </c>
      <c r="J1599" s="1" t="s">
        <v>310</v>
      </c>
      <c r="K1599" s="1" t="n">
        <v>59.99</v>
      </c>
      <c r="L1599" s="1" t="n">
        <v>4.5</v>
      </c>
      <c r="M1599" s="1" t="n">
        <v>1100</v>
      </c>
      <c r="N1599" s="4" t="b">
        <f aca="false">FALSE()</f>
        <v>0</v>
      </c>
      <c r="P1599" s="4" t="b">
        <f aca="false">TRUE()</f>
        <v>1</v>
      </c>
      <c r="Q1599" s="1" t="s">
        <v>711</v>
      </c>
      <c r="R1599" s="1" t="s">
        <v>5175</v>
      </c>
      <c r="S1599" s="1" t="s">
        <v>5233</v>
      </c>
      <c r="T1599" s="1" t="s">
        <v>222</v>
      </c>
      <c r="U1599" s="1" t="s">
        <v>2102</v>
      </c>
    </row>
    <row r="1600" customFormat="false" ht="48" hidden="false" customHeight="true" outlineLevel="0" collapsed="false">
      <c r="A1600" s="1" t="s">
        <v>41</v>
      </c>
      <c r="B1600" s="1" t="s">
        <v>3712</v>
      </c>
      <c r="C1600" s="1" t="s">
        <v>120</v>
      </c>
      <c r="D1600" s="1" t="s">
        <v>1933</v>
      </c>
      <c r="E1600" s="1" t="n">
        <v>20</v>
      </c>
      <c r="F1600" s="1" t="s">
        <v>5234</v>
      </c>
      <c r="G1600" s="1" t="s">
        <v>236</v>
      </c>
      <c r="H1600" s="1" t="s">
        <v>5235</v>
      </c>
      <c r="I1600" s="1" t="s">
        <v>218</v>
      </c>
      <c r="J1600" s="1" t="s">
        <v>310</v>
      </c>
      <c r="K1600" s="1" t="n">
        <v>84.99</v>
      </c>
      <c r="L1600" s="1" t="n">
        <v>4.3</v>
      </c>
      <c r="M1600" s="1" t="n">
        <v>625</v>
      </c>
      <c r="N1600" s="4" t="b">
        <f aca="false">FALSE()</f>
        <v>0</v>
      </c>
      <c r="P1600" s="4" t="b">
        <f aca="false">TRUE()</f>
        <v>1</v>
      </c>
      <c r="Q1600" s="1" t="s">
        <v>777</v>
      </c>
      <c r="R1600" s="1" t="s">
        <v>5175</v>
      </c>
      <c r="S1600" s="1" t="s">
        <v>5236</v>
      </c>
      <c r="T1600" s="1" t="s">
        <v>222</v>
      </c>
      <c r="U1600" s="1" t="s">
        <v>2102</v>
      </c>
    </row>
    <row r="1601" customFormat="false" ht="48" hidden="false" customHeight="true" outlineLevel="0" collapsed="false">
      <c r="A1601" s="1" t="s">
        <v>41</v>
      </c>
      <c r="B1601" s="1" t="s">
        <v>3712</v>
      </c>
      <c r="C1601" s="1" t="s">
        <v>120</v>
      </c>
      <c r="D1601" s="1" t="s">
        <v>1933</v>
      </c>
      <c r="E1601" s="1" t="n">
        <v>21</v>
      </c>
      <c r="F1601" s="1" t="s">
        <v>5237</v>
      </c>
      <c r="G1601" s="1" t="s">
        <v>236</v>
      </c>
      <c r="H1601" s="1" t="s">
        <v>5238</v>
      </c>
      <c r="I1601" s="1" t="s">
        <v>231</v>
      </c>
      <c r="J1601" s="1" t="s">
        <v>310</v>
      </c>
      <c r="K1601" s="1" t="n">
        <v>107.99</v>
      </c>
      <c r="L1601" s="1" t="n">
        <v>4.4</v>
      </c>
      <c r="M1601" s="1" t="n">
        <v>1900</v>
      </c>
      <c r="N1601" s="4" t="b">
        <f aca="false">FALSE()</f>
        <v>0</v>
      </c>
      <c r="P1601" s="4" t="b">
        <f aca="false">TRUE()</f>
        <v>1</v>
      </c>
      <c r="Q1601" s="1" t="s">
        <v>423</v>
      </c>
      <c r="R1601" s="1" t="s">
        <v>5175</v>
      </c>
      <c r="S1601" s="1" t="s">
        <v>5239</v>
      </c>
      <c r="T1601" s="1" t="s">
        <v>222</v>
      </c>
      <c r="U1601" s="1" t="s">
        <v>2102</v>
      </c>
    </row>
    <row r="1602" customFormat="false" ht="48" hidden="false" customHeight="true" outlineLevel="0" collapsed="false">
      <c r="A1602" s="1" t="s">
        <v>41</v>
      </c>
      <c r="B1602" s="1" t="s">
        <v>3712</v>
      </c>
      <c r="C1602" s="1" t="s">
        <v>120</v>
      </c>
      <c r="D1602" s="1" t="s">
        <v>1933</v>
      </c>
      <c r="E1602" s="1" t="n">
        <v>22</v>
      </c>
      <c r="F1602" s="1" t="s">
        <v>5240</v>
      </c>
      <c r="G1602" s="1" t="s">
        <v>236</v>
      </c>
      <c r="H1602" s="1" t="s">
        <v>5241</v>
      </c>
      <c r="I1602" s="1" t="s">
        <v>218</v>
      </c>
      <c r="J1602" s="1" t="s">
        <v>310</v>
      </c>
      <c r="K1602" s="1" t="n">
        <v>59.99</v>
      </c>
      <c r="L1602" s="1" t="n">
        <v>4.7</v>
      </c>
      <c r="M1602" s="1" t="n">
        <v>17</v>
      </c>
      <c r="N1602" s="4" t="b">
        <f aca="false">FALSE()</f>
        <v>0</v>
      </c>
      <c r="O1602" s="1" t="s">
        <v>5242</v>
      </c>
      <c r="P1602" s="4" t="b">
        <f aca="false">TRUE()</f>
        <v>1</v>
      </c>
      <c r="Q1602" s="1" t="s">
        <v>435</v>
      </c>
      <c r="R1602" s="1" t="s">
        <v>5175</v>
      </c>
      <c r="S1602" s="1" t="s">
        <v>5243</v>
      </c>
      <c r="T1602" s="1" t="s">
        <v>222</v>
      </c>
      <c r="U1602" s="1" t="s">
        <v>2102</v>
      </c>
    </row>
    <row r="1603" customFormat="false" ht="48" hidden="false" customHeight="true" outlineLevel="0" collapsed="false">
      <c r="A1603" s="1" t="s">
        <v>41</v>
      </c>
      <c r="B1603" s="1" t="s">
        <v>3712</v>
      </c>
      <c r="C1603" s="1" t="s">
        <v>120</v>
      </c>
      <c r="D1603" s="1" t="s">
        <v>1933</v>
      </c>
      <c r="E1603" s="1" t="n">
        <v>23</v>
      </c>
      <c r="F1603" s="1" t="s">
        <v>5244</v>
      </c>
      <c r="G1603" s="1" t="s">
        <v>236</v>
      </c>
      <c r="H1603" s="1" t="s">
        <v>5245</v>
      </c>
      <c r="I1603" s="1" t="s">
        <v>231</v>
      </c>
      <c r="J1603" s="1" t="s">
        <v>219</v>
      </c>
      <c r="K1603" s="1" t="n">
        <v>139.99</v>
      </c>
      <c r="L1603" s="1" t="n">
        <v>4.6</v>
      </c>
      <c r="M1603" s="1" t="n">
        <v>2300</v>
      </c>
      <c r="N1603" s="4" t="b">
        <f aca="false">FALSE()</f>
        <v>0</v>
      </c>
      <c r="O1603" s="1" t="s">
        <v>5179</v>
      </c>
      <c r="P1603" s="4" t="b">
        <f aca="false">TRUE()</f>
        <v>1</v>
      </c>
      <c r="R1603" s="1" t="s">
        <v>5175</v>
      </c>
      <c r="S1603" s="1" t="s">
        <v>5246</v>
      </c>
      <c r="T1603" s="1" t="s">
        <v>222</v>
      </c>
      <c r="U1603" s="1" t="s">
        <v>2102</v>
      </c>
    </row>
    <row r="1604" customFormat="false" ht="48" hidden="false" customHeight="true" outlineLevel="0" collapsed="false">
      <c r="A1604" s="1" t="s">
        <v>41</v>
      </c>
      <c r="B1604" s="1" t="s">
        <v>3712</v>
      </c>
      <c r="C1604" s="1" t="s">
        <v>120</v>
      </c>
      <c r="D1604" s="1" t="s">
        <v>1933</v>
      </c>
      <c r="E1604" s="1" t="n">
        <v>24</v>
      </c>
      <c r="F1604" s="1" t="s">
        <v>5247</v>
      </c>
      <c r="G1604" s="1" t="s">
        <v>236</v>
      </c>
      <c r="H1604" s="1" t="s">
        <v>5248</v>
      </c>
      <c r="I1604" s="1" t="s">
        <v>218</v>
      </c>
      <c r="J1604" s="1" t="s">
        <v>310</v>
      </c>
      <c r="K1604" s="1" t="n">
        <v>84.99</v>
      </c>
      <c r="L1604" s="1" t="n">
        <v>4.9</v>
      </c>
      <c r="M1604" s="1" t="n">
        <v>29</v>
      </c>
      <c r="N1604" s="4" t="b">
        <f aca="false">FALSE()</f>
        <v>0</v>
      </c>
      <c r="O1604" s="1" t="s">
        <v>4390</v>
      </c>
      <c r="P1604" s="4" t="b">
        <f aca="false">TRUE()</f>
        <v>1</v>
      </c>
      <c r="R1604" s="1" t="s">
        <v>5175</v>
      </c>
      <c r="S1604" s="1" t="s">
        <v>5249</v>
      </c>
      <c r="T1604" s="1" t="s">
        <v>222</v>
      </c>
      <c r="U1604" s="1" t="s">
        <v>2102</v>
      </c>
    </row>
    <row r="1605" customFormat="false" ht="48" hidden="false" customHeight="true" outlineLevel="0" collapsed="false">
      <c r="A1605" s="1" t="s">
        <v>41</v>
      </c>
      <c r="B1605" s="1" t="s">
        <v>3712</v>
      </c>
      <c r="C1605" s="1" t="s">
        <v>120</v>
      </c>
      <c r="D1605" s="1" t="s">
        <v>1933</v>
      </c>
      <c r="E1605" s="1" t="n">
        <v>25</v>
      </c>
      <c r="F1605" s="1" t="s">
        <v>5250</v>
      </c>
      <c r="G1605" s="1" t="s">
        <v>236</v>
      </c>
      <c r="H1605" s="1" t="s">
        <v>5251</v>
      </c>
      <c r="I1605" s="1" t="s">
        <v>218</v>
      </c>
      <c r="J1605" s="1" t="s">
        <v>310</v>
      </c>
      <c r="K1605" s="1" t="n">
        <v>109.99</v>
      </c>
      <c r="L1605" s="1" t="n">
        <v>4.4</v>
      </c>
      <c r="M1605" s="1" t="n">
        <v>8100</v>
      </c>
      <c r="N1605" s="4" t="b">
        <f aca="false">FALSE()</f>
        <v>0</v>
      </c>
      <c r="O1605" s="1" t="s">
        <v>3725</v>
      </c>
      <c r="P1605" s="4" t="b">
        <f aca="false">TRUE()</f>
        <v>1</v>
      </c>
      <c r="Q1605" s="1" t="s">
        <v>777</v>
      </c>
      <c r="R1605" s="1" t="s">
        <v>5175</v>
      </c>
      <c r="S1605" s="1" t="s">
        <v>5252</v>
      </c>
      <c r="T1605" s="1" t="s">
        <v>222</v>
      </c>
      <c r="U1605" s="1" t="s">
        <v>2102</v>
      </c>
    </row>
    <row r="1606" customFormat="false" ht="48" hidden="false" customHeight="true" outlineLevel="0" collapsed="false">
      <c r="A1606" s="1" t="s">
        <v>41</v>
      </c>
      <c r="B1606" s="1" t="s">
        <v>3712</v>
      </c>
      <c r="C1606" s="1" t="s">
        <v>120</v>
      </c>
      <c r="D1606" s="1" t="s">
        <v>1933</v>
      </c>
      <c r="E1606" s="1" t="n">
        <v>26</v>
      </c>
      <c r="F1606" s="1" t="s">
        <v>5253</v>
      </c>
      <c r="G1606" s="1" t="s">
        <v>2054</v>
      </c>
      <c r="H1606" s="1" t="s">
        <v>5254</v>
      </c>
      <c r="I1606" s="1" t="s">
        <v>242</v>
      </c>
      <c r="J1606" s="1" t="s">
        <v>597</v>
      </c>
      <c r="K1606" s="1" t="n">
        <v>42.41</v>
      </c>
      <c r="L1606" s="1" t="n">
        <v>4.5</v>
      </c>
      <c r="M1606" s="1" t="n">
        <v>117800</v>
      </c>
      <c r="N1606" s="4" t="b">
        <f aca="false">FALSE()</f>
        <v>0</v>
      </c>
      <c r="O1606" s="1" t="s">
        <v>5255</v>
      </c>
      <c r="P1606" s="4" t="b">
        <f aca="false">TRUE()</f>
        <v>1</v>
      </c>
      <c r="Q1606" s="1" t="s">
        <v>1840</v>
      </c>
      <c r="R1606" s="1" t="s">
        <v>5175</v>
      </c>
      <c r="S1606" s="1" t="s">
        <v>5256</v>
      </c>
      <c r="T1606" s="1" t="s">
        <v>222</v>
      </c>
      <c r="U1606" s="1" t="s">
        <v>2102</v>
      </c>
    </row>
    <row r="1607" customFormat="false" ht="48" hidden="false" customHeight="true" outlineLevel="0" collapsed="false">
      <c r="A1607" s="1" t="s">
        <v>41</v>
      </c>
      <c r="B1607" s="1" t="s">
        <v>3712</v>
      </c>
      <c r="C1607" s="1" t="s">
        <v>120</v>
      </c>
      <c r="D1607" s="1" t="s">
        <v>1933</v>
      </c>
      <c r="E1607" s="1" t="n">
        <v>27</v>
      </c>
      <c r="F1607" s="1" t="s">
        <v>5257</v>
      </c>
      <c r="G1607" s="1" t="s">
        <v>236</v>
      </c>
      <c r="H1607" s="1" t="s">
        <v>5258</v>
      </c>
      <c r="I1607" s="1" t="s">
        <v>218</v>
      </c>
      <c r="J1607" s="1" t="s">
        <v>371</v>
      </c>
      <c r="K1607" s="1" t="n">
        <v>13.99</v>
      </c>
      <c r="L1607" s="1" t="n">
        <v>4.9</v>
      </c>
      <c r="M1607" s="1" t="n">
        <v>135</v>
      </c>
      <c r="N1607" s="4" t="b">
        <f aca="false">FALSE()</f>
        <v>0</v>
      </c>
      <c r="P1607" s="4" t="b">
        <f aca="false">TRUE()</f>
        <v>1</v>
      </c>
      <c r="R1607" s="1" t="s">
        <v>5175</v>
      </c>
      <c r="S1607" s="1" t="s">
        <v>5259</v>
      </c>
      <c r="T1607" s="1" t="s">
        <v>222</v>
      </c>
      <c r="U1607" s="1" t="s">
        <v>2102</v>
      </c>
    </row>
    <row r="1608" customFormat="false" ht="48" hidden="false" customHeight="true" outlineLevel="0" collapsed="false">
      <c r="A1608" s="1" t="s">
        <v>41</v>
      </c>
      <c r="B1608" s="1" t="s">
        <v>3712</v>
      </c>
      <c r="C1608" s="1" t="s">
        <v>120</v>
      </c>
      <c r="D1608" s="1" t="s">
        <v>1933</v>
      </c>
      <c r="E1608" s="1" t="n">
        <v>28</v>
      </c>
      <c r="F1608" s="1" t="s">
        <v>5260</v>
      </c>
      <c r="G1608" s="1" t="s">
        <v>236</v>
      </c>
      <c r="H1608" s="1" t="s">
        <v>5261</v>
      </c>
      <c r="I1608" s="1" t="s">
        <v>306</v>
      </c>
      <c r="J1608" s="1" t="s">
        <v>310</v>
      </c>
      <c r="K1608" s="1" t="n">
        <v>59.99</v>
      </c>
      <c r="L1608" s="1" t="n">
        <v>4.4</v>
      </c>
      <c r="M1608" s="1" t="n">
        <v>2500</v>
      </c>
      <c r="N1608" s="4" t="b">
        <f aca="false">FALSE()</f>
        <v>0</v>
      </c>
      <c r="O1608" s="1" t="s">
        <v>5262</v>
      </c>
      <c r="P1608" s="4" t="b">
        <f aca="false">TRUE()</f>
        <v>1</v>
      </c>
      <c r="Q1608" s="1" t="s">
        <v>1840</v>
      </c>
      <c r="R1608" s="1" t="s">
        <v>5175</v>
      </c>
      <c r="S1608" s="1" t="s">
        <v>5263</v>
      </c>
      <c r="T1608" s="1" t="s">
        <v>222</v>
      </c>
      <c r="U1608" s="1" t="s">
        <v>2102</v>
      </c>
    </row>
    <row r="1609" customFormat="false" ht="48" hidden="false" customHeight="true" outlineLevel="0" collapsed="false">
      <c r="A1609" s="1" t="s">
        <v>41</v>
      </c>
      <c r="B1609" s="1" t="s">
        <v>3712</v>
      </c>
      <c r="C1609" s="1" t="s">
        <v>120</v>
      </c>
      <c r="D1609" s="1" t="s">
        <v>1933</v>
      </c>
      <c r="E1609" s="1" t="n">
        <v>29</v>
      </c>
      <c r="F1609" s="1" t="s">
        <v>5264</v>
      </c>
      <c r="G1609" s="1" t="s">
        <v>236</v>
      </c>
      <c r="H1609" s="1" t="s">
        <v>5265</v>
      </c>
      <c r="I1609" s="1" t="s">
        <v>218</v>
      </c>
      <c r="J1609" s="1" t="s">
        <v>310</v>
      </c>
      <c r="K1609" s="1" t="n">
        <v>59.96</v>
      </c>
      <c r="L1609" s="1" t="n">
        <v>4.3</v>
      </c>
      <c r="M1609" s="1" t="n">
        <v>1800</v>
      </c>
      <c r="N1609" s="4" t="b">
        <f aca="false">FALSE()</f>
        <v>0</v>
      </c>
      <c r="O1609" s="1" t="s">
        <v>5266</v>
      </c>
      <c r="P1609" s="4" t="b">
        <f aca="false">TRUE()</f>
        <v>1</v>
      </c>
      <c r="Q1609" s="1" t="s">
        <v>711</v>
      </c>
      <c r="R1609" s="1" t="s">
        <v>5175</v>
      </c>
      <c r="S1609" s="1" t="s">
        <v>5267</v>
      </c>
      <c r="T1609" s="1" t="s">
        <v>222</v>
      </c>
      <c r="U1609" s="1" t="s">
        <v>2102</v>
      </c>
    </row>
    <row r="1610" customFormat="false" ht="48" hidden="false" customHeight="true" outlineLevel="0" collapsed="false">
      <c r="A1610" s="1" t="s">
        <v>41</v>
      </c>
      <c r="B1610" s="1" t="s">
        <v>3712</v>
      </c>
      <c r="C1610" s="1" t="s">
        <v>120</v>
      </c>
      <c r="D1610" s="1" t="s">
        <v>1933</v>
      </c>
      <c r="E1610" s="1" t="n">
        <v>30</v>
      </c>
      <c r="F1610" s="1" t="s">
        <v>5268</v>
      </c>
      <c r="G1610" s="1" t="s">
        <v>236</v>
      </c>
      <c r="H1610" s="1" t="s">
        <v>5269</v>
      </c>
      <c r="I1610" s="1" t="s">
        <v>218</v>
      </c>
      <c r="J1610" s="1" t="s">
        <v>310</v>
      </c>
      <c r="L1610" s="1" t="n">
        <v>4.5</v>
      </c>
      <c r="M1610" s="1" t="n">
        <v>376</v>
      </c>
      <c r="N1610" s="4" t="b">
        <f aca="false">FALSE()</f>
        <v>0</v>
      </c>
      <c r="P1610" s="4" t="b">
        <f aca="false">TRUE()</f>
        <v>1</v>
      </c>
      <c r="Q1610" s="1" t="s">
        <v>418</v>
      </c>
      <c r="R1610" s="1" t="s">
        <v>5175</v>
      </c>
      <c r="S1610" s="1" t="s">
        <v>5270</v>
      </c>
      <c r="T1610" s="1" t="s">
        <v>222</v>
      </c>
      <c r="U1610" s="1" t="s">
        <v>2102</v>
      </c>
    </row>
    <row r="1611" customFormat="false" ht="48" hidden="false" customHeight="true" outlineLevel="0" collapsed="false">
      <c r="A1611" s="1" t="s">
        <v>41</v>
      </c>
      <c r="B1611" s="1" t="s">
        <v>3712</v>
      </c>
      <c r="C1611" s="1" t="s">
        <v>120</v>
      </c>
      <c r="D1611" s="1" t="s">
        <v>1933</v>
      </c>
      <c r="E1611" s="1" t="n">
        <v>31</v>
      </c>
      <c r="F1611" s="1" t="s">
        <v>5271</v>
      </c>
      <c r="G1611" s="1" t="s">
        <v>236</v>
      </c>
      <c r="H1611" s="1" t="s">
        <v>5272</v>
      </c>
      <c r="I1611" s="1" t="s">
        <v>218</v>
      </c>
      <c r="J1611" s="1" t="s">
        <v>310</v>
      </c>
      <c r="L1611" s="1" t="n">
        <v>4.7</v>
      </c>
      <c r="M1611" s="1" t="n">
        <v>26</v>
      </c>
      <c r="N1611" s="4" t="b">
        <f aca="false">FALSE()</f>
        <v>0</v>
      </c>
      <c r="P1611" s="4" t="b">
        <f aca="false">TRUE()</f>
        <v>1</v>
      </c>
      <c r="Q1611" s="1" t="s">
        <v>451</v>
      </c>
      <c r="R1611" s="1" t="s">
        <v>5175</v>
      </c>
      <c r="S1611" s="1" t="s">
        <v>5273</v>
      </c>
      <c r="T1611" s="1" t="s">
        <v>222</v>
      </c>
      <c r="U1611" s="1" t="s">
        <v>2102</v>
      </c>
    </row>
    <row r="1612" customFormat="false" ht="48" hidden="false" customHeight="true" outlineLevel="0" collapsed="false">
      <c r="A1612" s="1" t="s">
        <v>41</v>
      </c>
      <c r="B1612" s="1" t="s">
        <v>3712</v>
      </c>
      <c r="C1612" s="1" t="s">
        <v>120</v>
      </c>
      <c r="D1612" s="1" t="s">
        <v>1933</v>
      </c>
      <c r="E1612" s="1" t="n">
        <v>32</v>
      </c>
      <c r="F1612" s="1" t="s">
        <v>5274</v>
      </c>
      <c r="G1612" s="1" t="s">
        <v>236</v>
      </c>
      <c r="H1612" s="1" t="s">
        <v>5275</v>
      </c>
      <c r="I1612" s="1" t="s">
        <v>218</v>
      </c>
      <c r="J1612" s="1" t="s">
        <v>219</v>
      </c>
      <c r="K1612" s="1" t="n">
        <v>99.99</v>
      </c>
      <c r="L1612" s="1" t="n">
        <v>4.8</v>
      </c>
      <c r="M1612" s="1" t="n">
        <v>133</v>
      </c>
      <c r="N1612" s="4" t="b">
        <f aca="false">FALSE()</f>
        <v>0</v>
      </c>
      <c r="O1612" s="1" t="s">
        <v>5276</v>
      </c>
      <c r="P1612" s="4" t="b">
        <f aca="false">TRUE()</f>
        <v>1</v>
      </c>
      <c r="Q1612" s="1" t="s">
        <v>251</v>
      </c>
      <c r="R1612" s="1" t="s">
        <v>5175</v>
      </c>
      <c r="S1612" s="1" t="s">
        <v>5277</v>
      </c>
      <c r="T1612" s="1" t="s">
        <v>222</v>
      </c>
      <c r="U1612" s="1" t="s">
        <v>2102</v>
      </c>
    </row>
    <row r="1613" customFormat="false" ht="48" hidden="false" customHeight="true" outlineLevel="0" collapsed="false">
      <c r="A1613" s="1" t="s">
        <v>41</v>
      </c>
      <c r="B1613" s="1" t="s">
        <v>3712</v>
      </c>
      <c r="C1613" s="1" t="s">
        <v>120</v>
      </c>
      <c r="D1613" s="1" t="s">
        <v>1933</v>
      </c>
      <c r="E1613" s="1" t="n">
        <v>33</v>
      </c>
      <c r="F1613" s="1" t="s">
        <v>5278</v>
      </c>
      <c r="G1613" s="1" t="s">
        <v>236</v>
      </c>
      <c r="H1613" s="1" t="s">
        <v>5279</v>
      </c>
      <c r="I1613" s="1" t="s">
        <v>231</v>
      </c>
      <c r="J1613" s="1" t="s">
        <v>310</v>
      </c>
      <c r="K1613" s="1" t="n">
        <v>69.99</v>
      </c>
      <c r="L1613" s="1" t="n">
        <v>4.9</v>
      </c>
      <c r="M1613" s="1" t="n">
        <v>30</v>
      </c>
      <c r="N1613" s="4" t="b">
        <f aca="false">FALSE()</f>
        <v>0</v>
      </c>
      <c r="P1613" s="4" t="b">
        <f aca="false">TRUE()</f>
        <v>1</v>
      </c>
      <c r="Q1613" s="1" t="s">
        <v>435</v>
      </c>
      <c r="R1613" s="1" t="s">
        <v>5175</v>
      </c>
      <c r="S1613" s="1" t="s">
        <v>5280</v>
      </c>
      <c r="T1613" s="1" t="s">
        <v>222</v>
      </c>
      <c r="U1613" s="1" t="s">
        <v>2102</v>
      </c>
    </row>
    <row r="1614" customFormat="false" ht="48" hidden="false" customHeight="true" outlineLevel="0" collapsed="false">
      <c r="A1614" s="1" t="s">
        <v>41</v>
      </c>
      <c r="B1614" s="1" t="s">
        <v>3712</v>
      </c>
      <c r="C1614" s="1" t="s">
        <v>120</v>
      </c>
      <c r="D1614" s="1" t="s">
        <v>1933</v>
      </c>
      <c r="E1614" s="1" t="n">
        <v>34</v>
      </c>
      <c r="F1614" s="1" t="s">
        <v>5281</v>
      </c>
      <c r="G1614" s="1" t="s">
        <v>1519</v>
      </c>
      <c r="H1614" s="1" t="s">
        <v>5282</v>
      </c>
      <c r="I1614" s="1" t="s">
        <v>242</v>
      </c>
      <c r="J1614" s="1" t="s">
        <v>310</v>
      </c>
      <c r="K1614" s="1" t="n">
        <v>89.99</v>
      </c>
      <c r="L1614" s="1" t="n">
        <v>4.4</v>
      </c>
      <c r="M1614" s="1" t="n">
        <v>32200</v>
      </c>
      <c r="N1614" s="4" t="b">
        <f aca="false">FALSE()</f>
        <v>0</v>
      </c>
      <c r="P1614" s="4" t="b">
        <f aca="false">TRUE()</f>
        <v>1</v>
      </c>
      <c r="Q1614" s="1" t="s">
        <v>435</v>
      </c>
      <c r="R1614" s="1" t="s">
        <v>5175</v>
      </c>
      <c r="S1614" s="1" t="s">
        <v>5283</v>
      </c>
      <c r="T1614" s="1" t="s">
        <v>222</v>
      </c>
      <c r="U1614" s="1" t="s">
        <v>2102</v>
      </c>
    </row>
    <row r="1615" customFormat="false" ht="48" hidden="false" customHeight="true" outlineLevel="0" collapsed="false">
      <c r="A1615" s="1" t="s">
        <v>41</v>
      </c>
      <c r="B1615" s="1" t="s">
        <v>3712</v>
      </c>
      <c r="C1615" s="1" t="s">
        <v>120</v>
      </c>
      <c r="D1615" s="1" t="s">
        <v>1933</v>
      </c>
      <c r="E1615" s="1" t="n">
        <v>35</v>
      </c>
      <c r="F1615" s="1" t="s">
        <v>5284</v>
      </c>
      <c r="G1615" s="1" t="s">
        <v>236</v>
      </c>
      <c r="H1615" s="1" t="s">
        <v>5285</v>
      </c>
      <c r="I1615" s="1" t="s">
        <v>218</v>
      </c>
      <c r="J1615" s="1" t="s">
        <v>310</v>
      </c>
      <c r="K1615" s="1" t="n">
        <v>69.99</v>
      </c>
      <c r="L1615" s="1" t="n">
        <v>5</v>
      </c>
      <c r="M1615" s="1" t="n">
        <v>12</v>
      </c>
      <c r="N1615" s="4" t="b">
        <f aca="false">FALSE()</f>
        <v>0</v>
      </c>
      <c r="O1615" s="1" t="s">
        <v>5286</v>
      </c>
      <c r="P1615" s="4" t="b">
        <f aca="false">TRUE()</f>
        <v>1</v>
      </c>
      <c r="Q1615" s="1" t="s">
        <v>435</v>
      </c>
      <c r="R1615" s="1" t="s">
        <v>5175</v>
      </c>
      <c r="S1615" s="1" t="s">
        <v>5287</v>
      </c>
      <c r="T1615" s="1" t="s">
        <v>222</v>
      </c>
      <c r="U1615" s="1" t="s">
        <v>2102</v>
      </c>
    </row>
    <row r="1616" customFormat="false" ht="48" hidden="false" customHeight="true" outlineLevel="0" collapsed="false">
      <c r="A1616" s="1" t="s">
        <v>41</v>
      </c>
      <c r="B1616" s="1" t="s">
        <v>3712</v>
      </c>
      <c r="C1616" s="1" t="s">
        <v>120</v>
      </c>
      <c r="D1616" s="1" t="s">
        <v>1933</v>
      </c>
      <c r="E1616" s="1" t="n">
        <v>36</v>
      </c>
      <c r="F1616" s="1" t="s">
        <v>5288</v>
      </c>
      <c r="G1616" s="1" t="s">
        <v>236</v>
      </c>
      <c r="H1616" s="1" t="s">
        <v>5289</v>
      </c>
      <c r="I1616" s="1" t="s">
        <v>218</v>
      </c>
      <c r="J1616" s="1" t="s">
        <v>310</v>
      </c>
      <c r="K1616" s="1" t="n">
        <v>89.99</v>
      </c>
      <c r="L1616" s="1" t="n">
        <v>4.3</v>
      </c>
      <c r="M1616" s="1" t="n">
        <v>2700</v>
      </c>
      <c r="N1616" s="4" t="b">
        <f aca="false">FALSE()</f>
        <v>0</v>
      </c>
      <c r="P1616" s="4" t="b">
        <f aca="false">TRUE()</f>
        <v>1</v>
      </c>
      <c r="Q1616" s="1" t="s">
        <v>423</v>
      </c>
      <c r="R1616" s="1" t="s">
        <v>5175</v>
      </c>
      <c r="S1616" s="1" t="s">
        <v>5290</v>
      </c>
      <c r="T1616" s="1" t="s">
        <v>222</v>
      </c>
      <c r="U1616" s="1" t="s">
        <v>2102</v>
      </c>
    </row>
    <row r="1617" customFormat="false" ht="48" hidden="false" customHeight="true" outlineLevel="0" collapsed="false">
      <c r="A1617" s="1" t="s">
        <v>41</v>
      </c>
      <c r="B1617" s="1" t="s">
        <v>3712</v>
      </c>
      <c r="C1617" s="1" t="s">
        <v>120</v>
      </c>
      <c r="D1617" s="1" t="s">
        <v>1933</v>
      </c>
      <c r="E1617" s="1" t="n">
        <v>37</v>
      </c>
      <c r="F1617" s="1" t="s">
        <v>5291</v>
      </c>
      <c r="G1617" s="1" t="s">
        <v>236</v>
      </c>
      <c r="H1617" s="1" t="s">
        <v>5292</v>
      </c>
      <c r="I1617" s="1" t="s">
        <v>231</v>
      </c>
      <c r="J1617" s="1" t="s">
        <v>219</v>
      </c>
      <c r="K1617" s="1" t="n">
        <v>129.99</v>
      </c>
      <c r="L1617" s="1" t="n">
        <v>4.5</v>
      </c>
      <c r="M1617" s="1" t="n">
        <v>952</v>
      </c>
      <c r="N1617" s="4" t="b">
        <f aca="false">FALSE()</f>
        <v>0</v>
      </c>
      <c r="P1617" s="4" t="b">
        <f aca="false">TRUE()</f>
        <v>1</v>
      </c>
      <c r="Q1617" s="1" t="s">
        <v>711</v>
      </c>
      <c r="R1617" s="1" t="s">
        <v>5175</v>
      </c>
      <c r="S1617" s="1" t="s">
        <v>5293</v>
      </c>
      <c r="T1617" s="1" t="s">
        <v>222</v>
      </c>
      <c r="U1617" s="1" t="s">
        <v>2102</v>
      </c>
    </row>
    <row r="1618" customFormat="false" ht="48" hidden="false" customHeight="true" outlineLevel="0" collapsed="false">
      <c r="A1618" s="1" t="s">
        <v>41</v>
      </c>
      <c r="B1618" s="1" t="s">
        <v>3712</v>
      </c>
      <c r="C1618" s="1" t="s">
        <v>120</v>
      </c>
      <c r="D1618" s="1" t="s">
        <v>1933</v>
      </c>
      <c r="E1618" s="1" t="n">
        <v>38</v>
      </c>
      <c r="F1618" s="1" t="s">
        <v>5294</v>
      </c>
      <c r="G1618" s="1" t="s">
        <v>5295</v>
      </c>
      <c r="H1618" s="1" t="s">
        <v>5296</v>
      </c>
      <c r="I1618" s="1" t="s">
        <v>299</v>
      </c>
      <c r="J1618" s="1" t="s">
        <v>310</v>
      </c>
      <c r="L1618" s="1" t="n">
        <v>4.4</v>
      </c>
      <c r="M1618" s="1" t="n">
        <v>15200</v>
      </c>
      <c r="N1618" s="4" t="b">
        <f aca="false">FALSE()</f>
        <v>0</v>
      </c>
      <c r="P1618" s="4" t="b">
        <f aca="false">TRUE()</f>
        <v>1</v>
      </c>
      <c r="Q1618" s="1" t="s">
        <v>435</v>
      </c>
      <c r="R1618" s="1" t="s">
        <v>5175</v>
      </c>
      <c r="S1618" s="1" t="s">
        <v>5297</v>
      </c>
      <c r="T1618" s="1" t="s">
        <v>222</v>
      </c>
      <c r="U1618" s="1" t="s">
        <v>2102</v>
      </c>
    </row>
    <row r="1619" customFormat="false" ht="48" hidden="false" customHeight="true" outlineLevel="0" collapsed="false">
      <c r="A1619" s="1" t="s">
        <v>41</v>
      </c>
      <c r="B1619" s="1" t="s">
        <v>3712</v>
      </c>
      <c r="C1619" s="1" t="s">
        <v>120</v>
      </c>
      <c r="D1619" s="1" t="s">
        <v>1933</v>
      </c>
      <c r="E1619" s="1" t="n">
        <v>39</v>
      </c>
      <c r="F1619" s="1" t="s">
        <v>5298</v>
      </c>
      <c r="G1619" s="1" t="s">
        <v>236</v>
      </c>
      <c r="H1619" s="1" t="s">
        <v>5299</v>
      </c>
      <c r="I1619" s="1" t="s">
        <v>218</v>
      </c>
      <c r="J1619" s="1" t="s">
        <v>310</v>
      </c>
      <c r="K1619" s="1" t="n">
        <v>25.98</v>
      </c>
      <c r="L1619" s="1" t="n">
        <v>4.4</v>
      </c>
      <c r="M1619" s="1" t="n">
        <v>1000</v>
      </c>
      <c r="N1619" s="4" t="b">
        <f aca="false">FALSE()</f>
        <v>0</v>
      </c>
      <c r="O1619" s="1" t="s">
        <v>5300</v>
      </c>
      <c r="P1619" s="4" t="b">
        <f aca="false">TRUE()</f>
        <v>1</v>
      </c>
      <c r="Q1619" s="1" t="s">
        <v>409</v>
      </c>
      <c r="R1619" s="1" t="s">
        <v>5175</v>
      </c>
      <c r="S1619" s="1" t="s">
        <v>5301</v>
      </c>
      <c r="T1619" s="1" t="s">
        <v>222</v>
      </c>
      <c r="U1619" s="1" t="s">
        <v>2102</v>
      </c>
    </row>
    <row r="1620" customFormat="false" ht="48" hidden="false" customHeight="true" outlineLevel="0" collapsed="false">
      <c r="A1620" s="1" t="s">
        <v>41</v>
      </c>
      <c r="B1620" s="1" t="s">
        <v>3712</v>
      </c>
      <c r="C1620" s="1" t="s">
        <v>120</v>
      </c>
      <c r="D1620" s="1" t="s">
        <v>1933</v>
      </c>
      <c r="E1620" s="1" t="n">
        <v>40</v>
      </c>
      <c r="F1620" s="1" t="s">
        <v>5302</v>
      </c>
      <c r="G1620" s="1" t="s">
        <v>236</v>
      </c>
      <c r="H1620" s="1" t="s">
        <v>5303</v>
      </c>
      <c r="I1620" s="1" t="s">
        <v>242</v>
      </c>
      <c r="J1620" s="1" t="s">
        <v>219</v>
      </c>
      <c r="K1620" s="1" t="n">
        <v>26.99</v>
      </c>
      <c r="L1620" s="1" t="n">
        <v>4.3</v>
      </c>
      <c r="M1620" s="1" t="n">
        <v>941</v>
      </c>
      <c r="N1620" s="4" t="b">
        <f aca="false">FALSE()</f>
        <v>0</v>
      </c>
      <c r="P1620" s="4" t="b">
        <f aca="false">TRUE()</f>
        <v>1</v>
      </c>
      <c r="Q1620" s="1" t="s">
        <v>711</v>
      </c>
      <c r="R1620" s="1" t="s">
        <v>5175</v>
      </c>
      <c r="S1620" s="1" t="s">
        <v>5304</v>
      </c>
      <c r="T1620" s="1" t="s">
        <v>222</v>
      </c>
      <c r="U1620" s="1" t="s">
        <v>2102</v>
      </c>
    </row>
    <row r="1621" customFormat="false" ht="48" hidden="false" customHeight="true" outlineLevel="0" collapsed="false">
      <c r="A1621" s="1" t="s">
        <v>41</v>
      </c>
      <c r="B1621" s="1" t="s">
        <v>3712</v>
      </c>
      <c r="C1621" s="1" t="s">
        <v>120</v>
      </c>
      <c r="D1621" s="1" t="s">
        <v>1933</v>
      </c>
      <c r="E1621" s="1" t="n">
        <v>41</v>
      </c>
      <c r="F1621" s="1" t="s">
        <v>5305</v>
      </c>
      <c r="G1621" s="1" t="s">
        <v>2023</v>
      </c>
      <c r="H1621" s="1" t="s">
        <v>5306</v>
      </c>
      <c r="I1621" s="1" t="s">
        <v>289</v>
      </c>
      <c r="J1621" s="1" t="s">
        <v>310</v>
      </c>
      <c r="K1621" s="1" t="n">
        <v>45.86</v>
      </c>
      <c r="L1621" s="1" t="n">
        <v>4.5</v>
      </c>
      <c r="M1621" s="1" t="n">
        <v>75000</v>
      </c>
      <c r="N1621" s="4" t="b">
        <f aca="false">FALSE()</f>
        <v>0</v>
      </c>
      <c r="P1621" s="4" t="b">
        <f aca="false">TRUE()</f>
        <v>1</v>
      </c>
      <c r="Q1621" s="1" t="s">
        <v>423</v>
      </c>
      <c r="R1621" s="1" t="s">
        <v>5175</v>
      </c>
      <c r="S1621" s="1" t="s">
        <v>5307</v>
      </c>
      <c r="T1621" s="1" t="s">
        <v>222</v>
      </c>
      <c r="U1621" s="1" t="s">
        <v>2102</v>
      </c>
    </row>
    <row r="1622" customFormat="false" ht="48" hidden="false" customHeight="true" outlineLevel="0" collapsed="false">
      <c r="A1622" s="1" t="s">
        <v>41</v>
      </c>
      <c r="B1622" s="1" t="s">
        <v>3712</v>
      </c>
      <c r="C1622" s="1" t="s">
        <v>120</v>
      </c>
      <c r="D1622" s="1" t="s">
        <v>1933</v>
      </c>
      <c r="E1622" s="1" t="n">
        <v>42</v>
      </c>
      <c r="F1622" s="1" t="s">
        <v>5308</v>
      </c>
      <c r="G1622" s="1" t="s">
        <v>236</v>
      </c>
      <c r="H1622" s="1" t="s">
        <v>5309</v>
      </c>
      <c r="I1622" s="1" t="s">
        <v>289</v>
      </c>
      <c r="J1622" s="1" t="s">
        <v>310</v>
      </c>
      <c r="K1622" s="1" t="n">
        <v>21.86</v>
      </c>
      <c r="L1622" s="1" t="n">
        <v>4.4</v>
      </c>
      <c r="M1622" s="1" t="n">
        <v>92</v>
      </c>
      <c r="N1622" s="4" t="b">
        <f aca="false">FALSE()</f>
        <v>0</v>
      </c>
      <c r="P1622" s="4" t="b">
        <f aca="false">TRUE()</f>
        <v>1</v>
      </c>
      <c r="Q1622" s="1" t="s">
        <v>418</v>
      </c>
      <c r="R1622" s="1" t="s">
        <v>5175</v>
      </c>
      <c r="S1622" s="1" t="s">
        <v>5310</v>
      </c>
      <c r="T1622" s="1" t="s">
        <v>222</v>
      </c>
      <c r="U1622" s="1" t="s">
        <v>2102</v>
      </c>
    </row>
    <row r="1623" customFormat="false" ht="48" hidden="false" customHeight="true" outlineLevel="0" collapsed="false">
      <c r="A1623" s="1" t="s">
        <v>41</v>
      </c>
      <c r="B1623" s="1" t="s">
        <v>3712</v>
      </c>
      <c r="C1623" s="1" t="s">
        <v>120</v>
      </c>
      <c r="D1623" s="1" t="s">
        <v>1933</v>
      </c>
      <c r="E1623" s="1" t="n">
        <v>43</v>
      </c>
      <c r="F1623" s="1" t="s">
        <v>5311</v>
      </c>
      <c r="G1623" s="1" t="s">
        <v>236</v>
      </c>
      <c r="H1623" s="1" t="s">
        <v>5312</v>
      </c>
      <c r="I1623" s="1" t="s">
        <v>299</v>
      </c>
      <c r="J1623" s="1" t="s">
        <v>310</v>
      </c>
      <c r="K1623" s="1" t="n">
        <v>49.98</v>
      </c>
      <c r="L1623" s="1" t="n">
        <v>4.3</v>
      </c>
      <c r="M1623" s="1" t="n">
        <v>2400</v>
      </c>
      <c r="N1623" s="4" t="b">
        <f aca="false">FALSE()</f>
        <v>0</v>
      </c>
      <c r="O1623" s="1" t="s">
        <v>5262</v>
      </c>
      <c r="P1623" s="4" t="b">
        <f aca="false">TRUE()</f>
        <v>1</v>
      </c>
      <c r="Q1623" s="1" t="s">
        <v>451</v>
      </c>
      <c r="R1623" s="1" t="s">
        <v>5175</v>
      </c>
      <c r="S1623" s="1" t="s">
        <v>5313</v>
      </c>
      <c r="T1623" s="1" t="s">
        <v>222</v>
      </c>
      <c r="U1623" s="1" t="s">
        <v>2102</v>
      </c>
    </row>
    <row r="1624" customFormat="false" ht="48" hidden="false" customHeight="true" outlineLevel="0" collapsed="false">
      <c r="A1624" s="1" t="s">
        <v>41</v>
      </c>
      <c r="B1624" s="1" t="s">
        <v>3712</v>
      </c>
      <c r="C1624" s="1" t="s">
        <v>120</v>
      </c>
      <c r="D1624" s="1" t="s">
        <v>1933</v>
      </c>
      <c r="E1624" s="1" t="n">
        <v>44</v>
      </c>
      <c r="F1624" s="1" t="s">
        <v>5314</v>
      </c>
      <c r="G1624" s="1" t="s">
        <v>236</v>
      </c>
      <c r="H1624" s="1" t="s">
        <v>5315</v>
      </c>
      <c r="I1624" s="1" t="s">
        <v>218</v>
      </c>
      <c r="J1624" s="1" t="s">
        <v>310</v>
      </c>
      <c r="K1624" s="1" t="n">
        <v>79.99</v>
      </c>
      <c r="L1624" s="1" t="n">
        <v>4.8</v>
      </c>
      <c r="M1624" s="1" t="n">
        <v>39</v>
      </c>
      <c r="N1624" s="4" t="b">
        <f aca="false">FALSE()</f>
        <v>0</v>
      </c>
      <c r="O1624" s="1" t="s">
        <v>5316</v>
      </c>
      <c r="P1624" s="4" t="b">
        <f aca="false">TRUE()</f>
        <v>1</v>
      </c>
      <c r="R1624" s="1" t="s">
        <v>5175</v>
      </c>
      <c r="S1624" s="1" t="s">
        <v>5317</v>
      </c>
      <c r="T1624" s="1" t="s">
        <v>222</v>
      </c>
      <c r="U1624" s="1" t="s">
        <v>2102</v>
      </c>
    </row>
    <row r="1625" customFormat="false" ht="48" hidden="false" customHeight="true" outlineLevel="0" collapsed="false">
      <c r="A1625" s="1" t="s">
        <v>41</v>
      </c>
      <c r="B1625" s="1" t="s">
        <v>3712</v>
      </c>
      <c r="C1625" s="1" t="s">
        <v>120</v>
      </c>
      <c r="D1625" s="1" t="s">
        <v>1933</v>
      </c>
      <c r="E1625" s="1" t="n">
        <v>45</v>
      </c>
      <c r="F1625" s="1" t="s">
        <v>5318</v>
      </c>
      <c r="G1625" s="1" t="s">
        <v>236</v>
      </c>
      <c r="H1625" s="1" t="s">
        <v>5319</v>
      </c>
      <c r="I1625" s="1" t="s">
        <v>231</v>
      </c>
      <c r="J1625" s="1" t="s">
        <v>310</v>
      </c>
      <c r="K1625" s="1" t="n">
        <v>139.99</v>
      </c>
      <c r="L1625" s="1" t="n">
        <v>5</v>
      </c>
      <c r="M1625" s="1" t="n">
        <v>25</v>
      </c>
      <c r="N1625" s="4" t="b">
        <f aca="false">FALSE()</f>
        <v>0</v>
      </c>
      <c r="O1625" s="1" t="s">
        <v>5286</v>
      </c>
      <c r="P1625" s="4" t="b">
        <f aca="false">TRUE()</f>
        <v>1</v>
      </c>
      <c r="R1625" s="1" t="s">
        <v>5175</v>
      </c>
      <c r="S1625" s="1" t="s">
        <v>5320</v>
      </c>
      <c r="T1625" s="1" t="s">
        <v>222</v>
      </c>
      <c r="U1625" s="1" t="s">
        <v>2102</v>
      </c>
    </row>
    <row r="1626" customFormat="false" ht="48" hidden="false" customHeight="true" outlineLevel="0" collapsed="false">
      <c r="A1626" s="1" t="s">
        <v>41</v>
      </c>
      <c r="B1626" s="1" t="s">
        <v>3712</v>
      </c>
      <c r="C1626" s="1" t="s">
        <v>120</v>
      </c>
      <c r="D1626" s="1" t="s">
        <v>1933</v>
      </c>
      <c r="E1626" s="1" t="n">
        <v>46</v>
      </c>
      <c r="F1626" s="1" t="s">
        <v>5321</v>
      </c>
      <c r="G1626" s="1" t="s">
        <v>229</v>
      </c>
      <c r="H1626" s="1" t="s">
        <v>5322</v>
      </c>
      <c r="I1626" s="1" t="s">
        <v>218</v>
      </c>
      <c r="J1626" s="1" t="s">
        <v>219</v>
      </c>
      <c r="K1626" s="1" t="n">
        <v>145.99</v>
      </c>
      <c r="L1626" s="1" t="n">
        <v>4.5</v>
      </c>
      <c r="M1626" s="1" t="n">
        <v>433</v>
      </c>
      <c r="N1626" s="4" t="b">
        <f aca="false">FALSE()</f>
        <v>0</v>
      </c>
      <c r="O1626" s="1" t="s">
        <v>5323</v>
      </c>
      <c r="P1626" s="4" t="b">
        <f aca="false">TRUE()</f>
        <v>1</v>
      </c>
      <c r="Q1626" s="1" t="s">
        <v>418</v>
      </c>
      <c r="R1626" s="1" t="s">
        <v>5175</v>
      </c>
      <c r="S1626" s="1" t="s">
        <v>5324</v>
      </c>
      <c r="T1626" s="1" t="s">
        <v>222</v>
      </c>
      <c r="U1626" s="1" t="s">
        <v>2102</v>
      </c>
    </row>
    <row r="1627" customFormat="false" ht="48" hidden="false" customHeight="true" outlineLevel="0" collapsed="false">
      <c r="A1627" s="1" t="s">
        <v>41</v>
      </c>
      <c r="B1627" s="1" t="s">
        <v>3712</v>
      </c>
      <c r="C1627" s="1" t="s">
        <v>120</v>
      </c>
      <c r="D1627" s="1" t="s">
        <v>1933</v>
      </c>
      <c r="E1627" s="1" t="n">
        <v>47</v>
      </c>
      <c r="F1627" s="1" t="s">
        <v>5325</v>
      </c>
      <c r="G1627" s="1" t="s">
        <v>236</v>
      </c>
      <c r="H1627" s="1" t="s">
        <v>5326</v>
      </c>
      <c r="I1627" s="1" t="s">
        <v>231</v>
      </c>
      <c r="J1627" s="1" t="s">
        <v>310</v>
      </c>
      <c r="K1627" s="1" t="n">
        <v>80.74</v>
      </c>
      <c r="L1627" s="1" t="n">
        <v>4.4</v>
      </c>
      <c r="M1627" s="1" t="n">
        <v>20100</v>
      </c>
      <c r="N1627" s="4" t="b">
        <f aca="false">FALSE()</f>
        <v>0</v>
      </c>
      <c r="P1627" s="4" t="b">
        <f aca="false">TRUE()</f>
        <v>1</v>
      </c>
      <c r="Q1627" s="1" t="s">
        <v>711</v>
      </c>
      <c r="R1627" s="1" t="s">
        <v>5175</v>
      </c>
      <c r="S1627" s="1" t="s">
        <v>5327</v>
      </c>
      <c r="T1627" s="1" t="s">
        <v>222</v>
      </c>
      <c r="U1627" s="1" t="s">
        <v>2102</v>
      </c>
    </row>
    <row r="1628" customFormat="false" ht="48" hidden="false" customHeight="true" outlineLevel="0" collapsed="false">
      <c r="A1628" s="1" t="s">
        <v>41</v>
      </c>
      <c r="B1628" s="1" t="s">
        <v>3712</v>
      </c>
      <c r="C1628" s="1" t="s">
        <v>120</v>
      </c>
      <c r="D1628" s="1" t="s">
        <v>1933</v>
      </c>
      <c r="E1628" s="1" t="n">
        <v>48</v>
      </c>
      <c r="F1628" s="1" t="s">
        <v>5328</v>
      </c>
      <c r="G1628" s="1" t="s">
        <v>2023</v>
      </c>
      <c r="H1628" s="1" t="s">
        <v>5329</v>
      </c>
      <c r="I1628" s="1" t="s">
        <v>289</v>
      </c>
      <c r="J1628" s="1" t="s">
        <v>310</v>
      </c>
      <c r="K1628" s="1" t="n">
        <v>59.99</v>
      </c>
      <c r="L1628" s="1" t="n">
        <v>4.4</v>
      </c>
      <c r="M1628" s="1" t="n">
        <v>59700</v>
      </c>
      <c r="N1628" s="4" t="b">
        <f aca="false">FALSE()</f>
        <v>0</v>
      </c>
      <c r="P1628" s="4" t="b">
        <f aca="false">TRUE()</f>
        <v>1</v>
      </c>
      <c r="R1628" s="1" t="s">
        <v>5175</v>
      </c>
      <c r="S1628" s="1" t="s">
        <v>5330</v>
      </c>
      <c r="T1628" s="1" t="s">
        <v>222</v>
      </c>
      <c r="U1628" s="1" t="s">
        <v>2102</v>
      </c>
    </row>
  </sheetData>
  <autoFilter ref="A1:U1628"/>
  <hyperlinks>
    <hyperlink ref="S2" r:id="rId1" display="https://www.amazon.ca/dp/B0H9QD7RD5"/>
    <hyperlink ref="S3" r:id="rId2" display="https://www.amazon.ca/dp/B0CQ2ZWGNQ"/>
    <hyperlink ref="S4" r:id="rId3" display="https://www.amazon.ca/dp/B07YKCQBBL"/>
    <hyperlink ref="S5" r:id="rId4" display="https://www.amazon.ca/dp/B0H4LQTR5T"/>
    <hyperlink ref="S6" r:id="rId5" display="https://www.amazon.ca/dp/B0C3R5NGGQ"/>
    <hyperlink ref="S7" r:id="rId6" display="https://www.amazon.ca/dp/B0FT7LV7PP"/>
    <hyperlink ref="S8" r:id="rId7" display="https://www.amazon.ca/dp/B0CQ2XQF9N"/>
    <hyperlink ref="S9" r:id="rId8" display="https://www.amazon.ca/dp/B0H4LW9WBT"/>
    <hyperlink ref="S10" r:id="rId9" display="https://www.amazon.ca/dp/B0CQ33C286"/>
    <hyperlink ref="S11" r:id="rId10" display="https://www.amazon.ca/dp/B0F1KK74XH"/>
    <hyperlink ref="S12" r:id="rId11" display="https://www.amazon.ca/dp/B0CGZR147P"/>
    <hyperlink ref="S13" r:id="rId12" display="https://www.amazon.ca/dp/B0GCZS2W4S"/>
    <hyperlink ref="S14" r:id="rId13" display="https://www.amazon.ca/dp/B07XF1NLLW"/>
    <hyperlink ref="S15" r:id="rId14" display="https://www.amazon.ca/dp/B0BZPZPGDC"/>
    <hyperlink ref="S16" r:id="rId15" display="https://www.amazon.ca/dp/B0DR99Q37Y"/>
    <hyperlink ref="S17" r:id="rId16" display="https://www.amazon.ca/dp/B09PYB9C45"/>
    <hyperlink ref="S18" r:id="rId17" display="https://www.amazon.ca/dp/B08MJW1N18"/>
    <hyperlink ref="S19" r:id="rId18" display="https://www.amazon.ca/dp/B0DL5NCTYF"/>
    <hyperlink ref="S20" r:id="rId19" display="https://www.amazon.ca/dp/B0F2HW8MY2"/>
    <hyperlink ref="S21" r:id="rId20" display="https://www.amazon.ca/dp/B0GVDDCJVT"/>
    <hyperlink ref="S22" r:id="rId21" display="https://www.amazon.ca/dp/B0G34XJ831"/>
    <hyperlink ref="S23" r:id="rId22" display="https://www.amazon.ca/dp/B0DJTGXZQF"/>
    <hyperlink ref="S24" r:id="rId23" display="https://www.amazon.ca/dp/B01M16WBW1"/>
    <hyperlink ref="S25" r:id="rId24" display="https://www.amazon.ca/dp/B0GTYZS5B9"/>
    <hyperlink ref="S26" r:id="rId25" display="https://www.amazon.ca/dp/B0FDB3L3Y3"/>
    <hyperlink ref="S27" r:id="rId26" display="https://www.amazon.ca/dp/B0DS21FNX6"/>
    <hyperlink ref="S28" r:id="rId27" display="https://www.amazon.ca/dp/B0FXWFJ9C1"/>
    <hyperlink ref="S29" r:id="rId28" display="https://www.amazon.ca/dp/B0BYPL2QXC"/>
    <hyperlink ref="S30" r:id="rId29" display="https://www.amazon.ca/dp/B0CGX4G67T"/>
    <hyperlink ref="S31" r:id="rId30" display="https://www.amazon.ca/dp/B0H3BVJ68C"/>
    <hyperlink ref="S32" r:id="rId31" display="https://www.amazon.ca/dp/B096BM64KC"/>
    <hyperlink ref="S33" r:id="rId32" display="https://www.amazon.ca/dp/B0FCZRHF11"/>
    <hyperlink ref="S34" r:id="rId33" display="https://www.amazon.ca/dp/B0DZHJHSNX"/>
    <hyperlink ref="S35" r:id="rId34" display="https://www.amazon.ca/dp/B07V49Z6H6"/>
    <hyperlink ref="S36" r:id="rId35" display="https://www.amazon.ca/dp/B0DSZMTCL2"/>
    <hyperlink ref="S37" r:id="rId36" display="https://www.amazon.ca/dp/B08F3DFWJM"/>
    <hyperlink ref="S38" r:id="rId37" display="https://www.amazon.ca/dp/B0F6J9CMW4"/>
    <hyperlink ref="S39" r:id="rId38" display="https://www.amazon.ca/dp/B09RJSYCKR"/>
    <hyperlink ref="S40" r:id="rId39" display="https://www.amazon.ca/dp/B0DPLJ4BN4"/>
    <hyperlink ref="S41" r:id="rId40" display="https://www.amazon.ca/dp/B0C9LS5H2T"/>
    <hyperlink ref="S42" r:id="rId41" display="https://www.amazon.ca/dp/B0B8JLLT45"/>
    <hyperlink ref="S43" r:id="rId42" display="https://www.amazon.ca/dp/B0H264JWBK"/>
    <hyperlink ref="S44" r:id="rId43" display="https://www.amazon.ca/dp/B09KXYHH13"/>
    <hyperlink ref="S45" r:id="rId44" display="https://www.amazon.ca/dp/B0B8JHBPJ4"/>
    <hyperlink ref="S46" r:id="rId45" display="https://www.amazon.ca/dp/B07Y8TTK9B"/>
    <hyperlink ref="S47" r:id="rId46" display="https://www.amazon.ca/dp/B0HFQY2FF3"/>
    <hyperlink ref="S48" r:id="rId47" display="https://www.amazon.ca/dp/B01DX29P8O"/>
    <hyperlink ref="S49" r:id="rId48" display="https://www.amazon.ca/dp/B0D4ZPFKB3"/>
    <hyperlink ref="S50" r:id="rId49" display="https://www.amazon.ca/dp/B0DCCZRNFZ"/>
    <hyperlink ref="S51" r:id="rId50" display="https://www.amazon.ca/dp/B0C1ZZHWC7"/>
    <hyperlink ref="S52" r:id="rId51" display="https://www.amazon.ca/dp/B0DCDMFTRX"/>
    <hyperlink ref="S53" r:id="rId52" display="https://www.amazon.ca/dp/B0C27QM69F"/>
    <hyperlink ref="S54" r:id="rId53" display="https://www.amazon.ca/dp/B0CGLP3QSF"/>
    <hyperlink ref="S55" r:id="rId54" display="https://www.amazon.ca/dp/B0GSQJLKL5"/>
    <hyperlink ref="S56" r:id="rId55" display="https://www.amazon.ca/dp/B0C7K5BTZV"/>
    <hyperlink ref="S57" r:id="rId56" display="https://www.amazon.ca/dp/B0GJCF2LY3"/>
    <hyperlink ref="S58" r:id="rId57" display="https://www.amazon.ca/dp/B0BLVH5YX3"/>
    <hyperlink ref="S59" r:id="rId58" display="https://www.amazon.ca/dp/B0DFPMJWXZ"/>
    <hyperlink ref="S60" r:id="rId59" display="https://www.amazon.ca/dp/B0DKCTQ978"/>
    <hyperlink ref="S61" r:id="rId60" display="https://www.amazon.ca/dp/B0CGLPC42G"/>
    <hyperlink ref="S62" r:id="rId61" display="https://www.amazon.ca/dp/B0CJJT1PT6"/>
    <hyperlink ref="S63" r:id="rId62" display="https://www.amazon.ca/dp/B0CQS8N71F"/>
    <hyperlink ref="S64" r:id="rId63" display="https://www.amazon.ca/dp/B0DD436JG2"/>
    <hyperlink ref="S65" r:id="rId64" display="https://www.amazon.ca/dp/B0F1KLH9LZ"/>
    <hyperlink ref="S66" r:id="rId65" display="https://www.amazon.ca/dp/B0C5XQ26SM"/>
    <hyperlink ref="S67" r:id="rId66" display="https://www.amazon.ca/dp/B0DK6G1PY1"/>
    <hyperlink ref="S68" r:id="rId67" display="https://www.amazon.ca/dp/B0FP4Y68NM"/>
    <hyperlink ref="S69" r:id="rId68" display="https://www.amazon.ca/dp/B0DXK4H9GK"/>
    <hyperlink ref="S70" r:id="rId69" display="https://www.amazon.ca/dp/B0CD76QM24"/>
    <hyperlink ref="S71" r:id="rId70" display="https://www.amazon.ca/dp/B0CMZV1P69"/>
    <hyperlink ref="S72" r:id="rId71" display="https://www.amazon.ca/dp/B0BPH4FVRS"/>
    <hyperlink ref="S73" r:id="rId72" display="https://www.amazon.ca/dp/B0DFBVHBJT"/>
    <hyperlink ref="S74" r:id="rId73" display="https://www.amazon.ca/dp/B0F9XTP4DM"/>
    <hyperlink ref="S75" r:id="rId74" display="https://www.amazon.ca/dp/B0GRFNTZT2"/>
    <hyperlink ref="S76" r:id="rId75" display="https://www.amazon.ca/dp/B0GZZJVZ5P"/>
    <hyperlink ref="S77" r:id="rId76" display="https://www.amazon.ca/dp/B0CMPW8Q9S"/>
    <hyperlink ref="S78" r:id="rId77" display="https://www.amazon.ca/dp/B0FQ59RQGF"/>
    <hyperlink ref="S79" r:id="rId78" display="https://www.amazon.ca/dp/B0CNXBJG8K"/>
    <hyperlink ref="S80" r:id="rId79" display="https://www.amazon.ca/dp/B08JYV9D75"/>
    <hyperlink ref="S81" r:id="rId80" display="https://www.amazon.ca/dp/B077N1535Z"/>
    <hyperlink ref="S82" r:id="rId81" display="https://www.amazon.ca/dp/B0C2YVBNRV"/>
    <hyperlink ref="S83" r:id="rId82" display="https://www.amazon.ca/dp/B0D19CR79M"/>
    <hyperlink ref="S84" r:id="rId83" display="https://www.amazon.ca/dp/B09QLXYZKR"/>
    <hyperlink ref="S85" r:id="rId84" display="https://www.amazon.ca/dp/B0DX75YHHS"/>
    <hyperlink ref="S86" r:id="rId85" display="https://www.amazon.ca/dp/B0H32VRS3K"/>
    <hyperlink ref="S87" r:id="rId86" display="https://www.amazon.ca/dp/B07YD83845"/>
    <hyperlink ref="S88" r:id="rId87" display="https://www.amazon.ca/dp/B08L66HRVC"/>
    <hyperlink ref="S89" r:id="rId88" display="https://www.amazon.ca/dp/B0C8T7NRJC"/>
    <hyperlink ref="S90" r:id="rId89" display="https://www.amazon.ca/dp/B0C27RPK94"/>
    <hyperlink ref="S91" r:id="rId90" display="https://www.amazon.ca/dp/B09ZTTYFFR"/>
    <hyperlink ref="S92" r:id="rId91" display="https://www.amazon.ca/dp/B0D94YVKN3"/>
    <hyperlink ref="S93" r:id="rId92" display="https://www.amazon.ca/dp/B0CXPVQ5DK"/>
    <hyperlink ref="S94" r:id="rId93" display="https://www.amazon.ca/dp/B08FRHT8L3"/>
    <hyperlink ref="S95" r:id="rId94" display="https://www.amazon.ca/dp/B08BZ192N9"/>
    <hyperlink ref="S96" r:id="rId95" display="https://www.amazon.ca/dp/B0CZHC7C1S"/>
    <hyperlink ref="S97" r:id="rId96" display="https://www.amazon.ca/dp/B0CBPRLJ8Y"/>
    <hyperlink ref="S98" r:id="rId97" display="https://www.amazon.ca/dp/B0C699R8B6"/>
    <hyperlink ref="S99" r:id="rId98" display="https://www.amazon.ca/dp/B07FN7LNSW"/>
    <hyperlink ref="S100" r:id="rId99" display="https://www.amazon.ca/dp/B0B259ZHPQ"/>
    <hyperlink ref="S101" r:id="rId100" display="https://www.amazon.ca/dp/B0965LP4FH"/>
    <hyperlink ref="S102" r:id="rId101" display="https://www.amazon.ca/dp/B0C6988RX2"/>
    <hyperlink ref="S103" r:id="rId102" display="https://www.amazon.ca/dp/B07SN29DSN"/>
    <hyperlink ref="S104" r:id="rId103" display="https://www.amazon.ca/dp/B0C6CNVGJW"/>
    <hyperlink ref="S105" r:id="rId104" display="https://www.amazon.ca/dp/B0B25FW3X4"/>
    <hyperlink ref="S106" r:id="rId105" display="https://www.amazon.ca/dp/B09YM372LR"/>
    <hyperlink ref="S107" r:id="rId106" display="https://www.amazon.ca/dp/B09DVKGYMW"/>
    <hyperlink ref="S108" r:id="rId107" display="https://www.amazon.ca/dp/B0CNTLDKS7"/>
    <hyperlink ref="S109" r:id="rId108" display="https://www.amazon.ca/dp/B0D4Y9TRJP"/>
    <hyperlink ref="S110" r:id="rId109" display="https://www.amazon.ca/dp/B01G4RNOAK"/>
    <hyperlink ref="S111" r:id="rId110" display="https://www.amazon.ca/dp/B07H7ZJQRQ"/>
    <hyperlink ref="S112" r:id="rId111" display="https://www.amazon.ca/dp/B07DN8Z3QK"/>
    <hyperlink ref="S113" r:id="rId112" display="https://www.amazon.ca/dp/B078J63K9M"/>
    <hyperlink ref="S114" r:id="rId113" display="https://www.amazon.ca/dp/B0D1NWXNM1"/>
    <hyperlink ref="S115" r:id="rId114" display="https://www.amazon.ca/dp/B01G4RM6BS"/>
    <hyperlink ref="S116" r:id="rId115" display="https://www.amazon.ca/dp/B0CXTC5R6Y"/>
    <hyperlink ref="S117" r:id="rId116" display="https://www.amazon.ca/dp/B0DZLX4F6F"/>
    <hyperlink ref="S118" r:id="rId117" display="https://www.amazon.ca/dp/B07C9XTYYG"/>
    <hyperlink ref="S119" r:id="rId118" display="https://www.amazon.ca/dp/B0D8RFD6FW"/>
    <hyperlink ref="S120" r:id="rId119" display="https://www.amazon.ca/dp/B0H1WD5FXP"/>
    <hyperlink ref="S121" r:id="rId120" display="https://www.amazon.ca/dp/B0G5YF427W"/>
    <hyperlink ref="S122" r:id="rId121" display="https://www.amazon.ca/dp/B07D2GGY55"/>
    <hyperlink ref="S123" r:id="rId122" display="https://www.amazon.ca/dp/B0D8FR63YN"/>
    <hyperlink ref="S124" r:id="rId123" display="https://www.amazon.ca/dp/B0D78JL7Q4"/>
    <hyperlink ref="S125" r:id="rId124" display="https://www.amazon.ca/dp/B0GDW5M4D3"/>
    <hyperlink ref="S126" r:id="rId125" display="https://www.amazon.ca/dp/B0F482K29X"/>
    <hyperlink ref="S127" r:id="rId126" display="https://www.amazon.ca/dp/B096W5ST3R"/>
    <hyperlink ref="S128" r:id="rId127" display="https://www.amazon.ca/dp/B0BZCCTG4D"/>
    <hyperlink ref="S129" r:id="rId128" display="https://www.amazon.ca/dp/B0B8J8TNP4"/>
    <hyperlink ref="S130" r:id="rId129" display="https://www.amazon.ca/dp/B07CRMCW32"/>
    <hyperlink ref="S131" r:id="rId130" display="https://www.amazon.ca/dp/B07RY59C3W"/>
    <hyperlink ref="S132" r:id="rId131" display="https://www.amazon.ca/dp/B08NB5S8D8"/>
    <hyperlink ref="S133" r:id="rId132" display="https://www.amazon.ca/dp/B08FRS5PRK"/>
    <hyperlink ref="S134" r:id="rId133" display="https://www.amazon.ca/dp/B0BBM2K2FJ"/>
    <hyperlink ref="S135" r:id="rId134" display="https://www.amazon.ca/dp/B0DP44KT83"/>
    <hyperlink ref="S136" r:id="rId135" display="https://www.amazon.ca/dp/B0F9L5Q4L6"/>
    <hyperlink ref="S137" r:id="rId136" display="https://www.amazon.ca/dp/B0FNLD5Y5W"/>
    <hyperlink ref="S138" r:id="rId137" display="https://www.amazon.ca/dp/B0DX6VMYJ8"/>
    <hyperlink ref="S139" r:id="rId138" display="https://www.amazon.ca/dp/B0DX1ZX48T"/>
    <hyperlink ref="S140" r:id="rId139" display="https://www.amazon.ca/dp/B0H1F33HZH"/>
    <hyperlink ref="S141" r:id="rId140" display="https://www.amazon.ca/dp/B08YVFD73P"/>
    <hyperlink ref="S142" r:id="rId141" display="https://www.amazon.ca/dp/B0BMTDPTFS"/>
    <hyperlink ref="S143" r:id="rId142" display="https://www.amazon.ca/dp/B0CV4J3SK4"/>
    <hyperlink ref="S144" r:id="rId143" display="https://www.amazon.ca/dp/B0C88YMZRS"/>
    <hyperlink ref="S145" r:id="rId144" display="https://www.amazon.ca/dp/B01MG2Y5I5"/>
    <hyperlink ref="S146" r:id="rId145" display="https://www.amazon.ca/dp/B01IE7P2VW"/>
    <hyperlink ref="S147" r:id="rId146" display="https://www.amazon.ca/dp/B0CHFFMX81"/>
    <hyperlink ref="S148" r:id="rId147" display="https://www.amazon.ca/dp/B00XK9C0KG"/>
    <hyperlink ref="S149" r:id="rId148" display="https://www.amazon.ca/dp/B07QHNC81Z"/>
    <hyperlink ref="S150" r:id="rId149" display="https://www.amazon.ca/dp/B0GV2KVRFF"/>
    <hyperlink ref="S151" r:id="rId150" display="https://www.amazon.ca/dp/B084MFMCNY"/>
    <hyperlink ref="S152" r:id="rId151" display="https://www.amazon.ca/dp/B00XK9CYVG"/>
    <hyperlink ref="S153" r:id="rId152" display="https://www.amazon.ca/dp/B0CHFGWKXQ"/>
    <hyperlink ref="S154" r:id="rId153" display="https://www.amazon.ca/dp/B07PKT16D9"/>
    <hyperlink ref="S155" r:id="rId154" display="https://www.amazon.ca/dp/B0872GW9FD"/>
    <hyperlink ref="S156" r:id="rId155" display="https://www.amazon.ca/dp/B0GFFRYVRB"/>
    <hyperlink ref="S157" r:id="rId156" display="https://www.amazon.ca/dp/B0DQXYR9MW"/>
    <hyperlink ref="S158" r:id="rId157" display="https://www.amazon.ca/dp/B008CMYFNQ"/>
    <hyperlink ref="S159" r:id="rId158" display="https://www.amazon.ca/dp/B07F95LC1X"/>
    <hyperlink ref="S160" r:id="rId159" display="https://www.amazon.ca/dp/B09KCF6S9G"/>
    <hyperlink ref="S161" r:id="rId160" display="https://www.amazon.ca/dp/B01M16WBW1"/>
    <hyperlink ref="S162" r:id="rId161" display="https://www.amazon.ca/dp/B096MDX5Z2"/>
    <hyperlink ref="S163" r:id="rId162" display="https://www.amazon.ca/dp/B0F3VG4LHQ"/>
    <hyperlink ref="S164" r:id="rId163" display="https://www.amazon.ca/dp/B099NGDQ8T"/>
    <hyperlink ref="S165" r:id="rId164" display="https://www.amazon.ca/dp/B0F8VLGBQ4"/>
    <hyperlink ref="S166" r:id="rId165" display="https://www.amazon.ca/dp/B0CRHT3RF2"/>
    <hyperlink ref="S167" r:id="rId166" display="https://www.amazon.ca/dp/B07TLP7RWT"/>
    <hyperlink ref="S168" r:id="rId167" display="https://www.amazon.ca/dp/B0758C6GBR"/>
    <hyperlink ref="S169" r:id="rId168" display="https://www.amazon.ca/dp/B07NVT5FFR"/>
    <hyperlink ref="S170" r:id="rId169" display="https://www.amazon.ca/dp/B09ZKNR7BS"/>
    <hyperlink ref="S171" r:id="rId170" display="https://www.amazon.ca/dp/B088GX133Y"/>
    <hyperlink ref="S172" r:id="rId171" display="https://www.amazon.ca/dp/B00NX0XMZY"/>
    <hyperlink ref="S173" r:id="rId172" display="https://www.amazon.ca/dp/B0DJ1TPNM4"/>
    <hyperlink ref="S174" r:id="rId173" display="https://www.amazon.ca/dp/B0FR22PY7Q"/>
    <hyperlink ref="S175" r:id="rId174" display="https://www.amazon.ca/dp/B095PBLXD1"/>
    <hyperlink ref="S176" r:id="rId175" display="https://www.amazon.ca/dp/B09KCF9VJ4"/>
    <hyperlink ref="S177" r:id="rId176" display="https://www.amazon.ca/dp/B08965K9KC"/>
    <hyperlink ref="S178" r:id="rId177" display="https://www.amazon.ca/dp/B08966FHV6"/>
    <hyperlink ref="S179" r:id="rId178" display="https://www.amazon.ca/dp/B09LH12RFS"/>
    <hyperlink ref="S180" r:id="rId179" display="https://www.amazon.ca/dp/B08PZ97BVD"/>
    <hyperlink ref="S181" r:id="rId180" display="https://www.amazon.ca/dp/B0GXZMVKS6"/>
    <hyperlink ref="S182" r:id="rId181" display="https://www.amazon.ca/dp/B0CDMDM78Y"/>
    <hyperlink ref="S183" r:id="rId182" display="https://www.amazon.ca/dp/B0C716G9P8"/>
    <hyperlink ref="S184" r:id="rId183" display="https://www.amazon.ca/dp/B0BWBSHBJM"/>
    <hyperlink ref="S185" r:id="rId184" display="https://www.amazon.ca/dp/B09JCBTPF9"/>
    <hyperlink ref="S186" r:id="rId185" display="https://www.amazon.ca/dp/B086T1ZFCN"/>
    <hyperlink ref="S187" r:id="rId186" display="https://www.amazon.ca/dp/B0FJX7CPPS"/>
    <hyperlink ref="S188" r:id="rId187" display="https://www.amazon.ca/dp/B0CM315FQN"/>
    <hyperlink ref="S189" r:id="rId188" display="https://www.amazon.ca/dp/B0893S3HHF"/>
    <hyperlink ref="S190" r:id="rId189" display="https://www.amazon.ca/dp/B07LDSTJM9"/>
    <hyperlink ref="S191" r:id="rId190" display="https://www.amazon.ca/dp/B09XJGLHY7"/>
    <hyperlink ref="S192" r:id="rId191" display="https://www.amazon.ca/dp/B0CRX64T8G"/>
    <hyperlink ref="S193" r:id="rId192" display="https://www.amazon.ca/dp/B019J3R8DA"/>
    <hyperlink ref="S194" r:id="rId193" display="https://www.amazon.ca/dp/B09C3HFPX7"/>
    <hyperlink ref="S195" r:id="rId194" display="https://www.amazon.ca/dp/B089GQWRTG"/>
    <hyperlink ref="S196" r:id="rId195" display="https://www.amazon.ca/dp/B0GHNHHBX5"/>
    <hyperlink ref="S197" r:id="rId196" display="https://www.amazon.ca/dp/B0FN73ZR18"/>
    <hyperlink ref="S198" r:id="rId197" display="https://www.amazon.ca/dp/B088BLG5DY"/>
    <hyperlink ref="S199" r:id="rId198" display="https://www.amazon.ca/dp/B0GG8YMDJ5"/>
    <hyperlink ref="S200" r:id="rId199" display="https://www.amazon.ca/dp/B0GTLM1NWZ"/>
    <hyperlink ref="S201" r:id="rId200" display="https://www.amazon.ca/dp/B07RZ3NVWZ"/>
    <hyperlink ref="S202" r:id="rId201" display="https://www.amazon.ca/dp/B0CCX9413P"/>
    <hyperlink ref="S203" r:id="rId202" display="https://www.amazon.ca/dp/B06X9L8R9J"/>
    <hyperlink ref="S204" r:id="rId203" display="https://www.amazon.ca/dp/B0DJ32KJ42"/>
    <hyperlink ref="S205" r:id="rId204" display="https://www.amazon.ca/dp/B09B2GH9MJ"/>
    <hyperlink ref="S206" r:id="rId205" display="https://www.amazon.ca/dp/B09C41GFS7"/>
    <hyperlink ref="S207" r:id="rId206" display="https://www.amazon.ca/dp/B07416ZHN9"/>
    <hyperlink ref="S208" r:id="rId207" display="https://www.amazon.ca/dp/B0C9Y6BTR3"/>
    <hyperlink ref="S209" r:id="rId208" display="https://www.amazon.ca/dp/B0H1JJ633C"/>
    <hyperlink ref="S210" r:id="rId209" display="https://www.amazon.ca/dp/B094N34QGJ"/>
    <hyperlink ref="S211" r:id="rId210" display="https://www.amazon.ca/dp/B09F71VJND"/>
    <hyperlink ref="S212" r:id="rId211" display="https://www.amazon.ca/dp/B0B7GJNSX3"/>
    <hyperlink ref="S213" r:id="rId212" display="https://www.amazon.ca/dp/B08J3W1ZD6"/>
    <hyperlink ref="S214" r:id="rId213" display="https://www.amazon.ca/dp/B0FJ1XMW24"/>
    <hyperlink ref="S215" r:id="rId214" display="https://www.amazon.ca/dp/B00J602FRG"/>
    <hyperlink ref="S216" r:id="rId215" display="https://www.amazon.ca/dp/B0779LHFMF"/>
    <hyperlink ref="S217" r:id="rId216" display="https://www.amazon.ca/dp/B0F89TNJRF"/>
    <hyperlink ref="S218" r:id="rId217" display="https://www.amazon.ca/dp/B073WD5KPX"/>
    <hyperlink ref="S219" r:id="rId218" display="https://www.amazon.ca/dp/B07QK9CTXR"/>
    <hyperlink ref="S220" r:id="rId219" display="https://www.amazon.ca/dp/B0GC6TXHTZ"/>
    <hyperlink ref="S221" r:id="rId220" display="https://www.amazon.ca/dp/B0HKHCM7FZ"/>
    <hyperlink ref="S222" r:id="rId221" display="https://www.amazon.ca/dp/B0C2YN3XT9"/>
    <hyperlink ref="S223" r:id="rId222" display="https://www.amazon.ca/dp/B0CH8CYXG6"/>
    <hyperlink ref="S224" r:id="rId223" display="https://www.amazon.ca/dp/B07XF1K1R3"/>
    <hyperlink ref="S225" r:id="rId224" display="https://www.amazon.ca/dp/B0B1G5T512"/>
    <hyperlink ref="S226" r:id="rId225" display="https://www.amazon.ca/dp/B0C519F95K"/>
    <hyperlink ref="S227" r:id="rId226" display="https://www.amazon.ca/dp/B0DQWB4TWV"/>
    <hyperlink ref="S228" r:id="rId227" display="https://www.amazon.ca/dp/B06WLH7VN2"/>
    <hyperlink ref="S229" r:id="rId228" display="https://www.amazon.ca/dp/B095PT2XQW"/>
    <hyperlink ref="S230" r:id="rId229" display="https://www.amazon.ca/dp/B0C7C64YPG"/>
    <hyperlink ref="S231" r:id="rId230" display="https://www.amazon.ca/dp/B0C5W7JTZX"/>
    <hyperlink ref="S232" r:id="rId231" display="https://www.amazon.ca/dp/B01N6DL4GQ"/>
    <hyperlink ref="S233" r:id="rId232" display="https://www.amazon.ca/dp/B096ZR58SY"/>
    <hyperlink ref="S234" r:id="rId233" display="https://www.amazon.ca/dp/B0GR1QQBHG"/>
    <hyperlink ref="S235" r:id="rId234" display="https://www.amazon.ca/dp/B0F23WWXNK"/>
    <hyperlink ref="S236" r:id="rId235" display="https://www.amazon.ca/dp/B072R7M35K"/>
    <hyperlink ref="S237" r:id="rId236" display="https://www.amazon.ca/dp/B0CRRXW7WP"/>
    <hyperlink ref="S238" r:id="rId237" display="https://www.amazon.ca/dp/B0D8FR63YN"/>
    <hyperlink ref="S239" r:id="rId238" display="https://www.amazon.ca/dp/B0GR233BW4"/>
    <hyperlink ref="S240" r:id="rId239" display="https://www.amazon.ca/dp/B0DSP8CS1X"/>
    <hyperlink ref="S241" r:id="rId240" display="https://www.amazon.ca/dp/B06XNXBG9X"/>
    <hyperlink ref="S242" r:id="rId241" display="https://www.amazon.ca/dp/B0D2H2W9MY"/>
    <hyperlink ref="S243" r:id="rId242" display="https://www.amazon.ca/dp/B0D2H1GNY9"/>
    <hyperlink ref="S244" r:id="rId243" display="https://www.amazon.ca/dp/B0CNNPY1H8"/>
    <hyperlink ref="S245" r:id="rId244" display="https://www.amazon.ca/dp/B0FMK5SFPB"/>
    <hyperlink ref="S246" r:id="rId245" display="https://www.amazon.ca/dp/B0GFLZM3S5"/>
    <hyperlink ref="S247" r:id="rId246" display="https://www.amazon.ca/dp/B0DYDJB9V7"/>
    <hyperlink ref="S248" r:id="rId247" display="https://www.amazon.ca/dp/B0GGHW23N4"/>
    <hyperlink ref="S249" r:id="rId248" display="https://www.amazon.ca/dp/B0DV856S56"/>
    <hyperlink ref="S250" r:id="rId249" display="https://www.amazon.ca/dp/B07BRT9PR7"/>
    <hyperlink ref="S251" r:id="rId250" display="https://www.amazon.ca/dp/B0BXP98KDB"/>
    <hyperlink ref="S252" r:id="rId251" display="https://www.amazon.ca/dp/B0CKJ8XXTJ"/>
    <hyperlink ref="S253" r:id="rId252" display="https://www.amazon.ca/dp/B07YKCZHGK"/>
    <hyperlink ref="S254" r:id="rId253" display="https://www.amazon.ca/dp/B0CMDB2DVP"/>
    <hyperlink ref="S255" r:id="rId254" display="https://www.amazon.ca/dp/B0GVGNDV4P"/>
    <hyperlink ref="S256" r:id="rId255" display="https://www.amazon.ca/dp/B0BPT3FN4Q"/>
    <hyperlink ref="S257" r:id="rId256" display="https://www.amazon.ca/dp/B0GGHNNKK9"/>
    <hyperlink ref="S258" r:id="rId257" display="https://www.amazon.ca/dp/B07XBJY2JR"/>
    <hyperlink ref="S259" r:id="rId258" display="https://www.amazon.ca/dp/B0CK549PNJ"/>
    <hyperlink ref="S260" r:id="rId259" display="https://www.amazon.ca/dp/B0BG2QGZW7"/>
    <hyperlink ref="S261" r:id="rId260" display="https://www.amazon.ca/dp/B07RY59C3W"/>
    <hyperlink ref="S262" r:id="rId261" display="https://www.amazon.ca/dp/B0DK7227PM"/>
    <hyperlink ref="S263" r:id="rId262" display="https://www.amazon.ca/dp/B0H9QD7RD5"/>
    <hyperlink ref="S264" r:id="rId263" display="https://www.amazon.ca/dp/B09ZDY94N3"/>
    <hyperlink ref="S265" r:id="rId264" display="https://www.amazon.ca/dp/B0CQ3178D7"/>
    <hyperlink ref="S266" r:id="rId265" display="https://www.amazon.ca/dp/B0D7LCZ6H9"/>
    <hyperlink ref="S267" r:id="rId266" display="https://www.amazon.ca/dp/B0H4WVXHCJ"/>
    <hyperlink ref="S268" r:id="rId267" display="https://www.amazon.ca/dp/B0GX5SNMQ5"/>
    <hyperlink ref="S269" r:id="rId268" display="https://www.amazon.ca/dp/B09JMBK9DL"/>
    <hyperlink ref="S270" r:id="rId269" display="https://www.amazon.ca/dp/B0CXDTP6B2"/>
    <hyperlink ref="S271" r:id="rId270" display="https://www.amazon.ca/dp/B09ZB9432N"/>
    <hyperlink ref="S272" r:id="rId271" display="https://www.amazon.ca/dp/B0DM2JC349"/>
    <hyperlink ref="S273" r:id="rId272" display="https://www.amazon.ca/dp/B0C52J1DXT"/>
    <hyperlink ref="S274" r:id="rId273" display="https://www.amazon.ca/dp/B07BRVL2BS"/>
    <hyperlink ref="S275" r:id="rId274" display="https://www.amazon.ca/dp/B0HHJ2TT6N"/>
    <hyperlink ref="S276" r:id="rId275" display="https://www.amazon.ca/dp/B084ZLD3BT"/>
    <hyperlink ref="S277" r:id="rId276" display="https://www.amazon.ca/dp/B0H1RDVPFT"/>
    <hyperlink ref="S278" r:id="rId277" display="https://www.amazon.ca/dp/B0C7KLPRPR"/>
    <hyperlink ref="S279" r:id="rId278" display="https://www.amazon.ca/dp/B07QCPCHYN"/>
    <hyperlink ref="S280" r:id="rId279" display="https://www.amazon.ca/dp/B0F7PD7G9F"/>
    <hyperlink ref="S281" r:id="rId280" display="https://www.amazon.ca/dp/B08LK8Q5PZ"/>
    <hyperlink ref="S282" r:id="rId281" display="https://www.amazon.ca/dp/B0CFV6XPLD"/>
    <hyperlink ref="S283" r:id="rId282" display="https://www.amazon.ca/dp/B0FT7NXWTL"/>
    <hyperlink ref="S284" r:id="rId283" display="https://www.amazon.ca/dp/B011PSQLBM"/>
    <hyperlink ref="S285" r:id="rId284" display="https://www.amazon.ca/dp/B0D29QBCYX"/>
    <hyperlink ref="S286" r:id="rId285" display="https://www.amazon.ca/dp/B0DLKYHPV5"/>
    <hyperlink ref="S287" r:id="rId286" display="https://www.amazon.ca/dp/B0F245WBCL"/>
    <hyperlink ref="S288" r:id="rId287" display="https://www.amazon.ca/dp/B0HCV3JB5J"/>
    <hyperlink ref="S289" r:id="rId288" display="https://www.amazon.ca/dp/B0FQWTCGYM"/>
    <hyperlink ref="S290" r:id="rId289" display="https://www.amazon.ca/dp/B0C494LJGS"/>
    <hyperlink ref="S291" r:id="rId290" display="https://www.amazon.ca/dp/B01MUDQUN9"/>
    <hyperlink ref="S292" r:id="rId291" display="https://www.amazon.ca/dp/B0C4929WC7"/>
    <hyperlink ref="S293" r:id="rId292" display="https://www.amazon.ca/dp/B0758C9NPB"/>
    <hyperlink ref="S294" r:id="rId293" display="https://www.amazon.ca/dp/B0D835VC38"/>
    <hyperlink ref="S295" r:id="rId294" display="https://www.amazon.ca/dp/B09D38SZNH"/>
    <hyperlink ref="S296" r:id="rId295" display="https://www.amazon.ca/dp/B01J4K8BXY"/>
    <hyperlink ref="S297" r:id="rId296" display="https://www.amazon.ca/dp/B01N6U0UR1"/>
    <hyperlink ref="S298" r:id="rId297" display="https://www.amazon.ca/dp/B09PN38Z7L"/>
    <hyperlink ref="S299" r:id="rId298" display="https://www.amazon.ca/dp/B07RZRH662"/>
    <hyperlink ref="S300" r:id="rId299" display="https://www.amazon.ca/dp/B0C32RQRTD"/>
    <hyperlink ref="S301" r:id="rId300" display="https://www.amazon.ca/dp/B0FFMQN248"/>
    <hyperlink ref="S302" r:id="rId301" display="https://www.amazon.ca/dp/B0F4YXSD8M"/>
    <hyperlink ref="S303" r:id="rId302" display="https://www.amazon.ca/dp/B0BQYY9J68"/>
    <hyperlink ref="S304" r:id="rId303" display="https://www.amazon.ca/dp/B01MR93AXL"/>
    <hyperlink ref="S305" r:id="rId304" display="https://www.amazon.ca/dp/B0CYX3D2JH"/>
    <hyperlink ref="S306" r:id="rId305" display="https://www.amazon.ca/dp/B0BQZ1JRS3"/>
    <hyperlink ref="S307" r:id="rId306" display="https://www.amazon.ca/dp/B09TWX6JXG"/>
    <hyperlink ref="S308" r:id="rId307" display="https://www.amazon.ca/dp/B082H9MFCY"/>
    <hyperlink ref="S309" r:id="rId308" display="https://www.amazon.ca/dp/B0F5BL75VS"/>
    <hyperlink ref="S310" r:id="rId309" display="https://www.amazon.ca/dp/B0FHW7WKK3"/>
    <hyperlink ref="S311" r:id="rId310" display="https://www.amazon.ca/dp/B09SG6GHD7"/>
    <hyperlink ref="S312" r:id="rId311" display="https://www.amazon.ca/dp/B0F32VM9CX"/>
    <hyperlink ref="S313" r:id="rId312" display="https://www.amazon.ca/dp/B0C32JFCJ9"/>
    <hyperlink ref="S314" r:id="rId313" display="https://www.amazon.ca/dp/B07RT3S2PD"/>
    <hyperlink ref="S315" r:id="rId314" display="https://www.amazon.ca/dp/B085Q23CVW"/>
    <hyperlink ref="S316" r:id="rId315" display="https://www.amazon.ca/dp/B09T3CZXWJ"/>
    <hyperlink ref="S317" r:id="rId316" display="https://www.amazon.ca/dp/B0GN9MQTBS"/>
    <hyperlink ref="S318" r:id="rId317" display="https://www.amazon.ca/dp/B0982CNXJN"/>
    <hyperlink ref="S319" r:id="rId318" display="https://www.amazon.ca/dp/B07Q6RBKRN"/>
    <hyperlink ref="S320" r:id="rId319" display="https://www.amazon.ca/dp/B07KG3D5XH"/>
    <hyperlink ref="S321" r:id="rId320" display="https://www.amazon.ca/dp/B01LYAZ8PP"/>
    <hyperlink ref="S322" r:id="rId321" display="https://www.amazon.ca/dp/B0CT9WGJJ8"/>
    <hyperlink ref="S323" r:id="rId322" display="https://www.amazon.ca/dp/B07T8D2HY2"/>
    <hyperlink ref="S324" r:id="rId323" display="https://www.amazon.ca/dp/B0D8J3741S"/>
    <hyperlink ref="S325" r:id="rId324" display="https://www.amazon.ca/dp/B0H1WZ2Y5F"/>
    <hyperlink ref="S326" r:id="rId325" display="https://www.amazon.ca/dp/B0D1VMHS4R"/>
    <hyperlink ref="S327" r:id="rId326" display="https://www.amazon.ca/dp/B0B1P3KGL4"/>
    <hyperlink ref="S328" r:id="rId327" display="https://www.amazon.ca/dp/B0DXF24F2Y"/>
    <hyperlink ref="S329" r:id="rId328" display="https://www.amazon.ca/dp/B06XWKJNJ1"/>
    <hyperlink ref="S330" r:id="rId329" display="https://www.amazon.ca/dp/B0DRYL3JN5"/>
    <hyperlink ref="S331" r:id="rId330" display="https://www.amazon.ca/dp/B09ZHS2YHZ"/>
    <hyperlink ref="S332" r:id="rId331" display="https://www.amazon.ca/dp/B095PVTK9N"/>
    <hyperlink ref="S333" r:id="rId332" display="https://www.amazon.ca/dp/B09YJ4PJ26"/>
    <hyperlink ref="S334" r:id="rId333" display="https://www.amazon.ca/dp/B09M9JGNV7"/>
    <hyperlink ref="S335" r:id="rId334" display="https://www.amazon.ca/dp/B0DST2X8Q7"/>
    <hyperlink ref="S336" r:id="rId335" display="https://www.amazon.ca/dp/B0CPPNZKMG"/>
    <hyperlink ref="S337" r:id="rId336" display="https://www.amazon.ca/dp/B0BWMRJSJ7"/>
    <hyperlink ref="S338" r:id="rId337" display="https://www.amazon.ca/dp/B01E02DU0U"/>
    <hyperlink ref="S339" r:id="rId338" display="https://www.amazon.ca/dp/B01E02DU0K"/>
    <hyperlink ref="S340" r:id="rId339" display="https://www.amazon.ca/dp/B0B6P372B8"/>
    <hyperlink ref="S341" r:id="rId340" display="https://www.amazon.ca/dp/B00MRHA96O"/>
    <hyperlink ref="S342" r:id="rId341" display="https://www.amazon.ca/dp/B0CM315FQN"/>
    <hyperlink ref="S343" r:id="rId342" display="https://www.amazon.ca/dp/B0DQKXZHPG"/>
    <hyperlink ref="S344" r:id="rId343" display="https://www.amazon.ca/dp/B0C1NNYJGB"/>
    <hyperlink ref="S345" r:id="rId344" display="https://www.amazon.ca/dp/B07HC2WHS1"/>
    <hyperlink ref="S346" r:id="rId345" display="https://www.amazon.ca/dp/B08BC6G157"/>
    <hyperlink ref="S347" r:id="rId346" display="https://www.amazon.ca/dp/B01E02DU6E"/>
    <hyperlink ref="S348" r:id="rId347" display="https://www.amazon.ca/dp/B0CM2Y2B5L"/>
    <hyperlink ref="S349" r:id="rId348" display="https://www.amazon.ca/dp/B00NESCOY0"/>
    <hyperlink ref="S350" r:id="rId349" display="https://www.amazon.ca/dp/B07PK8KS6Z"/>
    <hyperlink ref="S351" r:id="rId350" display="https://www.amazon.ca/dp/B0C9MK32CZ"/>
    <hyperlink ref="S352" r:id="rId351" display="https://www.amazon.ca/dp/B0CFL5JBG1"/>
    <hyperlink ref="S353" r:id="rId352" display="https://www.amazon.ca/dp/B08CD9DLMQ"/>
    <hyperlink ref="S354" r:id="rId353" display="https://www.amazon.ca/dp/B0BYYYCXB6"/>
    <hyperlink ref="S355" r:id="rId354" display="https://www.amazon.ca/dp/B08ZKQ4NVB"/>
    <hyperlink ref="S356" r:id="rId355" display="https://www.amazon.ca/dp/B0BLS9G8S4"/>
    <hyperlink ref="S357" r:id="rId356" display="https://www.amazon.ca/dp/B08GKQX9HR"/>
    <hyperlink ref="S358" r:id="rId357" display="https://www.amazon.ca/dp/B07TWMLSVM"/>
    <hyperlink ref="S359" r:id="rId358" display="https://www.amazon.ca/dp/B0CJ4TW2BC"/>
    <hyperlink ref="S360" r:id="rId359" display="https://www.amazon.ca/dp/B07W673P7C"/>
    <hyperlink ref="S361" r:id="rId360" display="https://www.amazon.ca/dp/B0F5H3VR7Q"/>
    <hyperlink ref="S362" r:id="rId361" display="https://www.amazon.ca/dp/B07Z4L9FV2"/>
    <hyperlink ref="S363" r:id="rId362" display="https://www.amazon.ca/dp/B0CBQ5LSQY"/>
    <hyperlink ref="S364" r:id="rId363" display="https://www.amazon.ca/dp/B0CYBRVCMQ"/>
    <hyperlink ref="S365" r:id="rId364" display="https://www.amazon.ca/dp/B00B1ZRLLY"/>
    <hyperlink ref="S366" r:id="rId365" display="https://www.amazon.ca/dp/B0D1C8V3P7"/>
    <hyperlink ref="S367" r:id="rId366" display="https://www.amazon.ca/dp/B088FL6LZY"/>
    <hyperlink ref="S368" r:id="rId367" display="https://www.amazon.ca/dp/B0C1NM42PN"/>
    <hyperlink ref="S369" r:id="rId368" display="https://www.amazon.ca/dp/B0GQT8DSLT"/>
    <hyperlink ref="S370" r:id="rId369" display="https://www.amazon.ca/dp/B0GVL4387L"/>
    <hyperlink ref="S371" r:id="rId370" display="https://www.amazon.ca/dp/B01KBKHORA"/>
    <hyperlink ref="S372" r:id="rId371" display="https://www.amazon.ca/dp/B071VHCJ3B"/>
    <hyperlink ref="S373" r:id="rId372" display="https://www.amazon.ca/dp/B0FTBPWVG7"/>
    <hyperlink ref="S374" r:id="rId373" display="https://www.amazon.ca/dp/B0H6YJJ296"/>
    <hyperlink ref="S375" r:id="rId374" display="https://www.amazon.ca/dp/B0FKGV4N5K"/>
    <hyperlink ref="S376" r:id="rId375" display="https://www.amazon.ca/dp/B08CV9MXF6"/>
    <hyperlink ref="S377" r:id="rId376" display="https://www.amazon.ca/dp/B000VPMZWU"/>
    <hyperlink ref="S378" r:id="rId377" display="https://www.amazon.ca/dp/B07Q58R9CB"/>
    <hyperlink ref="S379" r:id="rId378" display="https://www.amazon.ca/dp/B08SY6N9TL"/>
    <hyperlink ref="S380" r:id="rId379" display="https://www.amazon.ca/dp/B091DGZ8VV"/>
    <hyperlink ref="S381" r:id="rId380" display="https://www.amazon.ca/dp/B0C3VM5SJY"/>
    <hyperlink ref="S382" r:id="rId381" display="https://www.amazon.ca/dp/B003E3Z45Q"/>
    <hyperlink ref="S383" r:id="rId382" display="https://www.amazon.ca/dp/B0FS3J3QGP"/>
    <hyperlink ref="S384" r:id="rId383" display="https://www.amazon.ca/dp/B07FP17TV3"/>
    <hyperlink ref="S385" r:id="rId384" display="https://www.amazon.ca/dp/B01JIV5YES"/>
    <hyperlink ref="S386" r:id="rId385" display="https://www.amazon.ca/dp/B0DWFLGY8G"/>
    <hyperlink ref="S387" r:id="rId386" display="https://www.amazon.ca/dp/B0D1R7D8LV"/>
    <hyperlink ref="S388" r:id="rId387" display="https://www.amazon.ca/dp/B0FWBBXNP7"/>
    <hyperlink ref="S389" r:id="rId388" display="https://www.amazon.ca/dp/B0H5VDQY62"/>
    <hyperlink ref="S390" r:id="rId389" display="https://www.amazon.ca/dp/B0G649LDNP"/>
    <hyperlink ref="S391" r:id="rId390" display="https://www.amazon.ca/dp/B0GQ94WKJ2"/>
    <hyperlink ref="S392" r:id="rId391" display="https://www.amazon.ca/dp/B0CK213DV2"/>
    <hyperlink ref="S393" r:id="rId392" display="https://www.amazon.ca/dp/B0GX6LYTBF"/>
    <hyperlink ref="S394" r:id="rId393" display="https://www.amazon.ca/dp/B0GX69G5FT"/>
    <hyperlink ref="S395" r:id="rId394" display="https://www.amazon.ca/dp/B0B6H37JLL"/>
    <hyperlink ref="S396" r:id="rId395" display="https://www.amazon.ca/dp/B0GX69KNXS"/>
    <hyperlink ref="S397" r:id="rId396" display="https://www.amazon.ca/dp/B0FNM6J1FQ"/>
    <hyperlink ref="S398" r:id="rId397" display="https://www.amazon.ca/dp/B0CNXJBDSG"/>
    <hyperlink ref="S399" r:id="rId398" display="https://www.amazon.ca/dp/B0C745FJ8G"/>
    <hyperlink ref="S400" r:id="rId399" display="https://www.amazon.ca/dp/B0DH1WW4BD"/>
    <hyperlink ref="S401" r:id="rId400" display="https://www.amazon.ca/dp/B0CQNRT9L5"/>
    <hyperlink ref="S402" r:id="rId401" display="https://www.amazon.ca/dp/B0BKZXXWXX"/>
    <hyperlink ref="S403" r:id="rId402" display="https://www.amazon.ca/dp/B003G2ZVSA"/>
    <hyperlink ref="S404" r:id="rId403" display="https://www.amazon.ca/dp/B09MRZTB3Z"/>
    <hyperlink ref="S405" r:id="rId404" display="https://www.amazon.ca/dp/B0F3WS5NSS"/>
    <hyperlink ref="S406" r:id="rId405" display="https://www.amazon.ca/dp/B0DRVCQLCP"/>
    <hyperlink ref="S407" r:id="rId406" display="https://www.amazon.ca/dp/B0CM6DC5YL"/>
    <hyperlink ref="S408" r:id="rId407" display="https://www.amazon.ca/dp/B0D6JB3WZ4"/>
    <hyperlink ref="S409" r:id="rId408" display="https://www.amazon.ca/dp/B0GCJRZYKH"/>
    <hyperlink ref="S410" r:id="rId409" display="https://www.amazon.ca/dp/B0FSRG3C6N"/>
    <hyperlink ref="S411" r:id="rId410" display="https://www.amazon.ca/dp/B0DNNX7M7R"/>
    <hyperlink ref="S412" r:id="rId411" display="https://www.amazon.ca/dp/B0GQ991LS1"/>
    <hyperlink ref="S413" r:id="rId412" display="https://www.amazon.ca/dp/B06XHHWQ7W"/>
    <hyperlink ref="S414" r:id="rId413" display="https://www.amazon.ca/dp/B01JPECQBM"/>
    <hyperlink ref="S415" r:id="rId414" display="https://www.amazon.ca/dp/B08NY22Y6P"/>
    <hyperlink ref="S416" r:id="rId415" display="https://www.amazon.ca/dp/B09WVN5RYT"/>
    <hyperlink ref="S417" r:id="rId416" display="https://www.amazon.ca/dp/B00DPER1OQ"/>
    <hyperlink ref="S418" r:id="rId417" display="https://www.amazon.ca/dp/B003G2ZWDE"/>
    <hyperlink ref="S419" r:id="rId418" display="https://www.amazon.ca/dp/B0DCGB7GG7"/>
    <hyperlink ref="S420" r:id="rId419" display="https://www.amazon.ca/dp/B0GQSSNMTK"/>
    <hyperlink ref="S421" r:id="rId420" display="https://www.amazon.ca/dp/B08LDD8HBW"/>
    <hyperlink ref="S422" r:id="rId421" display="https://www.amazon.ca/dp/B0CQT8V1T5"/>
    <hyperlink ref="S423" r:id="rId422" display="https://www.amazon.ca/dp/B0F8HC3CJD"/>
    <hyperlink ref="S424" r:id="rId423" display="https://www.amazon.ca/dp/B092ST9Y42"/>
    <hyperlink ref="S425" r:id="rId424" display="https://www.amazon.ca/dp/B0GYP43TJV"/>
    <hyperlink ref="S426" r:id="rId425" display="https://www.amazon.ca/dp/B07W6K5ZST"/>
    <hyperlink ref="S427" r:id="rId426" display="https://www.amazon.ca/dp/B0DK93ZPJH"/>
    <hyperlink ref="S428" r:id="rId427" display="https://www.amazon.ca/dp/B0D6RJFDT3"/>
    <hyperlink ref="S429" r:id="rId428" display="https://www.amazon.ca/dp/B0D7CFD3W1"/>
    <hyperlink ref="S430" r:id="rId429" display="https://www.amazon.ca/dp/B00DPER1KU"/>
    <hyperlink ref="S431" r:id="rId430" display="https://www.amazon.ca/dp/B07L8Y1RNX"/>
    <hyperlink ref="S432" r:id="rId431" display="https://www.amazon.ca/dp/B01H1S73HG"/>
    <hyperlink ref="S433" r:id="rId432" display="https://www.amazon.ca/dp/B0CCJJNRR6"/>
    <hyperlink ref="S434" r:id="rId433" display="https://www.amazon.ca/dp/B0DST3PF14"/>
    <hyperlink ref="S435" r:id="rId434" display="https://www.amazon.ca/dp/B09G61NRLY"/>
    <hyperlink ref="S436" r:id="rId435" display="https://www.amazon.ca/dp/B0D7PQFTX3"/>
    <hyperlink ref="S437" r:id="rId436" display="https://www.amazon.ca/dp/B09QYGBBDV"/>
    <hyperlink ref="S438" r:id="rId437" display="https://www.amazon.ca/dp/B06XRH9K2S"/>
    <hyperlink ref="S439" r:id="rId438" display="https://www.amazon.ca/dp/B0DSN6Y9NX"/>
    <hyperlink ref="S440" r:id="rId439" display="https://www.amazon.ca/dp/B07RY59C3W"/>
    <hyperlink ref="S441" r:id="rId440" display="https://www.amazon.ca/dp/B01M16WBW1"/>
    <hyperlink ref="S442" r:id="rId441" display="https://www.amazon.ca/dp/B07QGW1CWL"/>
    <hyperlink ref="S443" r:id="rId442" display="https://www.amazon.ca/dp/B0GTLTZQ1C"/>
    <hyperlink ref="S444" r:id="rId443" display="https://www.amazon.ca/dp/B09C41YS63"/>
    <hyperlink ref="S445" r:id="rId444" display="https://www.amazon.ca/dp/B083X763MQ"/>
    <hyperlink ref="S446" r:id="rId445" display="https://www.amazon.ca/dp/B0BZMZ2XGQ"/>
    <hyperlink ref="S447" r:id="rId446" display="https://www.amazon.ca/dp/B0DSPBXYMG"/>
    <hyperlink ref="S448" r:id="rId447" display="https://www.amazon.ca/dp/B09X1P1L9F"/>
    <hyperlink ref="S449" r:id="rId448" display="https://www.amazon.ca/dp/B07Z8TGYYL"/>
    <hyperlink ref="S450" r:id="rId449" display="https://www.amazon.ca/dp/B0DD7DF3SG"/>
    <hyperlink ref="S451" r:id="rId450" display="https://www.amazon.ca/dp/B01BTBS8LG"/>
    <hyperlink ref="S452" r:id="rId451" display="https://www.amazon.ca/dp/B07QCPCHYN"/>
    <hyperlink ref="S453" r:id="rId452" display="https://www.amazon.ca/dp/B07RY5C88H"/>
    <hyperlink ref="S454" r:id="rId453" display="https://www.amazon.ca/dp/B08KWMC6W5"/>
    <hyperlink ref="S455" r:id="rId454" display="https://www.amazon.ca/dp/B07417DDJB"/>
    <hyperlink ref="S456" r:id="rId455" display="https://www.amazon.ca/dp/B0CRL7WB6Y"/>
    <hyperlink ref="S457" r:id="rId456" display="https://www.amazon.ca/dp/B08KWPH3M7"/>
    <hyperlink ref="S458" r:id="rId457" display="https://www.amazon.ca/dp/B095PVTK9N"/>
    <hyperlink ref="S459" r:id="rId458" display="https://www.amazon.ca/dp/B0BXSK8MYS"/>
    <hyperlink ref="S460" r:id="rId459" display="https://www.amazon.ca/dp/B00Q7OAD64"/>
    <hyperlink ref="S461" r:id="rId460" display="https://www.amazon.ca/dp/B0DST32BG8"/>
    <hyperlink ref="S462" r:id="rId461" display="https://www.amazon.ca/dp/B00NX0WXQI"/>
    <hyperlink ref="S463" r:id="rId462" display="https://www.amazon.ca/dp/B07417M881"/>
    <hyperlink ref="S464" r:id="rId463" display="https://www.amazon.ca/dp/B09B2HXT9K"/>
    <hyperlink ref="S465" r:id="rId464" display="https://www.amazon.ca/dp/B076V6QBWX"/>
    <hyperlink ref="S466" r:id="rId465" display="https://www.amazon.ca/dp/B0D1CGL8FJ"/>
    <hyperlink ref="S467" r:id="rId466" display="https://www.amazon.ca/dp/B0DNYPMHVQ"/>
    <hyperlink ref="S468" r:id="rId467" display="https://www.amazon.ca/dp/B076V682Y8"/>
    <hyperlink ref="S469" r:id="rId468" display="https://www.amazon.ca/dp/B07P8R1ZPS"/>
    <hyperlink ref="S470" r:id="rId469" display="https://www.amazon.ca/dp/B08HH4DDRP"/>
    <hyperlink ref="S471" r:id="rId470" display="https://www.amazon.ca/dp/B0779LHFMF"/>
    <hyperlink ref="S472" r:id="rId471" display="https://www.amazon.ca/dp/B075F8TCF2"/>
    <hyperlink ref="S473" r:id="rId472" display="https://www.amazon.ca/dp/B0B9MSTHJC"/>
    <hyperlink ref="S474" r:id="rId473" display="https://www.amazon.ca/dp/B08ZM7TT87"/>
    <hyperlink ref="S475" r:id="rId474" display="https://www.amazon.ca/dp/B07ZH4BWFS"/>
    <hyperlink ref="S476" r:id="rId475" display="https://www.amazon.ca/dp/B0C714Q5XY"/>
    <hyperlink ref="S477" r:id="rId476" display="https://www.amazon.ca/dp/B07F97N85W"/>
    <hyperlink ref="S478" r:id="rId477" display="https://www.amazon.ca/dp/B0CV91WFHF"/>
    <hyperlink ref="S479" r:id="rId478" display="https://www.amazon.ca/dp/B0CRL5W8SF"/>
    <hyperlink ref="S480" r:id="rId479" display="https://www.amazon.ca/dp/B0DVC6VLT5"/>
    <hyperlink ref="S481" r:id="rId480" display="https://www.amazon.ca/dp/B0FLQDQYNZ"/>
    <hyperlink ref="S482" r:id="rId481" display="https://www.amazon.ca/dp/B01CF2Z09G"/>
    <hyperlink ref="S483" r:id="rId482" display="https://www.amazon.ca/dp/B0H5QJFST9"/>
    <hyperlink ref="S484" r:id="rId483" display="https://www.amazon.ca/dp/B0GC6TXHTZ"/>
    <hyperlink ref="S485" r:id="rId484" display="https://www.amazon.ca/dp/B0BXQNH9JB"/>
    <hyperlink ref="S486" r:id="rId485" display="https://www.amazon.ca/dp/B0GBW74MX4"/>
    <hyperlink ref="S487" r:id="rId486" display="https://www.amazon.ca/dp/B084X6YHGR"/>
    <hyperlink ref="S488" r:id="rId487" display="https://www.amazon.ca/dp/B0CY9P4Q5Z"/>
    <hyperlink ref="S489" r:id="rId488" display="https://www.amazon.ca/dp/B017UWSC7I"/>
    <hyperlink ref="S490" r:id="rId489" display="https://www.amazon.ca/dp/B09B2GKL4G"/>
    <hyperlink ref="S491" r:id="rId490" display="https://www.amazon.ca/dp/B098LBQ2GD"/>
    <hyperlink ref="S492" r:id="rId491" display="https://www.amazon.ca/dp/B07D5DN269"/>
    <hyperlink ref="S493" r:id="rId492" display="https://www.amazon.ca/dp/B0FSDKVTQP"/>
    <hyperlink ref="S494" r:id="rId493" display="https://www.amazon.ca/dp/B0DR37XNWV"/>
    <hyperlink ref="S495" r:id="rId494" display="https://www.amazon.ca/dp/B0C78C6MHR"/>
    <hyperlink ref="S496" r:id="rId495" display="https://www.amazon.ca/dp/B0G3GN3NDH"/>
    <hyperlink ref="S497" r:id="rId496" display="https://www.amazon.ca/dp/B0C78DBJLJ"/>
    <hyperlink ref="S498" r:id="rId497" display="https://www.amazon.ca/dp/B0CG5XSJK6"/>
    <hyperlink ref="S499" r:id="rId498" display="https://www.amazon.ca/dp/B0GGV4C945"/>
    <hyperlink ref="S500" r:id="rId499" display="https://www.amazon.ca/dp/B0DHGSY96Y"/>
    <hyperlink ref="S501" r:id="rId500" display="https://www.amazon.ca/dp/B0DB7T13VM"/>
    <hyperlink ref="S502" r:id="rId501" display="https://www.amazon.ca/dp/B0GWKMK9FH"/>
    <hyperlink ref="S503" r:id="rId502" display="https://www.amazon.ca/dp/B0F6LGDH96"/>
    <hyperlink ref="S504" r:id="rId503" display="https://www.amazon.ca/dp/B0GC9ND6V4"/>
    <hyperlink ref="S505" r:id="rId504" display="https://www.amazon.ca/dp/B0HDJPPDBH"/>
    <hyperlink ref="S506" r:id="rId505" display="https://www.amazon.ca/dp/B0DJSSNNMX"/>
    <hyperlink ref="S507" r:id="rId506" display="https://www.amazon.ca/dp/B0CWLPPVJM"/>
    <hyperlink ref="S508" r:id="rId507" display="https://www.amazon.ca/dp/B00NESCOY0"/>
    <hyperlink ref="S509" r:id="rId508" display="https://www.amazon.ca/dp/B0HHRDLXRP"/>
    <hyperlink ref="S510" r:id="rId509" display="https://www.amazon.ca/dp/B0B9H7QHXQ"/>
    <hyperlink ref="S511" r:id="rId510" display="https://www.amazon.ca/dp/B0CCP1FNCG"/>
    <hyperlink ref="S512" r:id="rId511" display="https://www.amazon.ca/dp/B0HC6SSVBN"/>
    <hyperlink ref="S513" r:id="rId512" display="https://www.amazon.ca/dp/B0DNXZKRL5"/>
    <hyperlink ref="S514" r:id="rId513" display="https://www.amazon.ca/dp/B0GWK6RPMX"/>
    <hyperlink ref="S515" r:id="rId514" display="https://www.amazon.ca/dp/B0FGW8VL92"/>
    <hyperlink ref="S516" r:id="rId515" display="https://www.amazon.ca/dp/B09DCSGK84"/>
    <hyperlink ref="S517" r:id="rId516" display="https://www.amazon.ca/dp/B0F6TBB3BN"/>
    <hyperlink ref="S518" r:id="rId517" display="https://www.amazon.ca/dp/B07MY2VQC9"/>
    <hyperlink ref="S519" r:id="rId518" display="https://www.amazon.ca/dp/B0H416B68B"/>
    <hyperlink ref="S520" r:id="rId519" display="https://www.amazon.ca/dp/B0DR35V498"/>
    <hyperlink ref="S521" r:id="rId520" display="https://www.amazon.ca/dp/B06XBV6FTY"/>
    <hyperlink ref="S522" r:id="rId521" display="https://www.amazon.ca/dp/B0F1YGYZTP"/>
    <hyperlink ref="S523" r:id="rId522" display="https://www.amazon.ca/dp/B0H98Z1TK8"/>
    <hyperlink ref="S524" r:id="rId523" display="https://www.amazon.ca/dp/B08CD9DLMQ"/>
    <hyperlink ref="S525" r:id="rId524" display="https://www.amazon.ca/dp/B0H4R1234Q"/>
    <hyperlink ref="S526" r:id="rId525" display="https://www.amazon.ca/dp/B07WFHMD2V"/>
    <hyperlink ref="S527" r:id="rId526" display="https://www.amazon.ca/dp/B07G9FPV3R"/>
    <hyperlink ref="S528" r:id="rId527" display="https://www.amazon.ca/dp/B0FT3CRXHD"/>
    <hyperlink ref="S529" r:id="rId528" display="https://www.amazon.ca/dp/B0HD6RHPJK"/>
    <hyperlink ref="S530" r:id="rId529" display="https://www.amazon.ca/dp/B0GZNZ7F5G"/>
    <hyperlink ref="S531" r:id="rId530" display="https://www.amazon.ca/dp/B0F6KKLL2C"/>
    <hyperlink ref="S532" r:id="rId531" display="https://www.amazon.ca/dp/B0GHKD6LN4"/>
    <hyperlink ref="S533" r:id="rId532" display="https://www.amazon.ca/dp/B0DFWB5WRQ"/>
    <hyperlink ref="S534" r:id="rId533" display="https://www.amazon.ca/dp/B0DMSFGVH7"/>
    <hyperlink ref="S535" r:id="rId534" display="https://www.amazon.ca/dp/B08BNC8V2Q"/>
    <hyperlink ref="S536" r:id="rId535" display="https://www.amazon.ca/dp/B0H7MVWQNX"/>
    <hyperlink ref="S537" r:id="rId536" display="https://www.amazon.ca/dp/B0FMX2LZ41"/>
    <hyperlink ref="S538" r:id="rId537" display="https://www.amazon.ca/dp/B0GFSXXPKD"/>
    <hyperlink ref="S539" r:id="rId538" display="https://www.amazon.ca/dp/B0HCW1BCP9"/>
    <hyperlink ref="S540" r:id="rId539" display="https://www.amazon.co.uk/dp/B0DN1DDRHR"/>
    <hyperlink ref="S541" r:id="rId540" display="https://www.amazon.co.uk/dp/B0DN1H5PQ6"/>
    <hyperlink ref="S542" r:id="rId541" display="https://www.amazon.co.uk/dp/B0F4KS65MQ"/>
    <hyperlink ref="S543" r:id="rId542" display="https://www.amazon.co.uk/dp/B08L85BQYX"/>
    <hyperlink ref="S544" r:id="rId543" display="https://www.amazon.co.uk/dp/B0DJV1K332"/>
    <hyperlink ref="S545" r:id="rId544" display="https://www.amazon.co.uk/dp/B0DNG144MT"/>
    <hyperlink ref="S546" r:id="rId545" display="https://www.amazon.co.uk/dp/B0DN1DVKH5"/>
    <hyperlink ref="S547" r:id="rId546" display="https://www.amazon.co.uk/dp/B0CZVWYZC1"/>
    <hyperlink ref="S548" r:id="rId547" display="https://www.amazon.co.uk/dp/B0DJTRBD6F"/>
    <hyperlink ref="S549" r:id="rId548" display="https://www.amazon.co.uk/dp/B0CZR6NPB8"/>
    <hyperlink ref="S550" r:id="rId549" display="https://www.amazon.co.uk/dp/B0CQ211XX4"/>
    <hyperlink ref="S551" r:id="rId550" display="https://www.amazon.co.uk/dp/B0GVDQXR4N"/>
    <hyperlink ref="S552" r:id="rId551" display="https://www.amazon.co.uk/dp/B0B59138FW"/>
    <hyperlink ref="S553" r:id="rId552" display="https://www.amazon.co.uk/dp/B0CL1RYQ1V"/>
    <hyperlink ref="S554" r:id="rId553" display="https://www.amazon.co.uk/dp/B0FD9XHTJJ"/>
    <hyperlink ref="S555" r:id="rId554" display="https://www.amazon.co.uk/dp/B0BX9H7SJ7"/>
    <hyperlink ref="S556" r:id="rId555" display="https://www.amazon.co.uk/dp/B08TB9TBWZ"/>
    <hyperlink ref="S557" r:id="rId556" display="https://www.amazon.co.uk/dp/B0CH7PHV99"/>
    <hyperlink ref="S558" r:id="rId557" display="https://www.amazon.co.uk/dp/B0F29F1JM5"/>
    <hyperlink ref="S559" r:id="rId558" display="https://www.amazon.co.uk/dp/B087N637G4"/>
    <hyperlink ref="S560" r:id="rId559" display="https://www.amazon.co.uk/dp/B0FNQ4JJX7"/>
    <hyperlink ref="S561" r:id="rId560" display="https://www.amazon.co.uk/dp/B01DL7JI3S"/>
    <hyperlink ref="S562" r:id="rId561" display="https://www.amazon.co.uk/dp/B0CDVSSMZ5"/>
    <hyperlink ref="S563" r:id="rId562" display="https://www.amazon.co.uk/dp/B0CHWDJXQY"/>
    <hyperlink ref="S564" r:id="rId563" display="https://www.amazon.co.uk/dp/B0CQ2ZWSN7"/>
    <hyperlink ref="S565" r:id="rId564" display="https://www.amazon.co.uk/dp/B08BHW3Y3T"/>
    <hyperlink ref="S566" r:id="rId565" display="https://www.amazon.co.uk/dp/B00KQIA49I"/>
    <hyperlink ref="S567" r:id="rId566" display="https://www.amazon.co.uk/dp/B0HHS3KLN6"/>
    <hyperlink ref="S568" r:id="rId567" display="https://www.amazon.co.uk/dp/B00XX0MZB6"/>
    <hyperlink ref="S569" r:id="rId568" display="https://www.amazon.co.uk/dp/B08M9BVQKF"/>
    <hyperlink ref="S570" r:id="rId569" display="https://www.amazon.co.uk/dp/B0CHN4CJMM"/>
    <hyperlink ref="S571" r:id="rId570" display="https://www.amazon.co.uk/dp/B08MVX21KG"/>
    <hyperlink ref="S572" r:id="rId571" display="https://www.amazon.co.uk/dp/B01BN4L3CU"/>
    <hyperlink ref="S573" r:id="rId572" display="https://www.amazon.co.uk/dp/B0DZ1MJBGK"/>
    <hyperlink ref="S574" r:id="rId573" display="https://www.amazon.co.uk/dp/B0F7XXS7KZ"/>
    <hyperlink ref="S575" r:id="rId574" display="https://www.amazon.co.uk/dp/B0DJLRKJQQ"/>
    <hyperlink ref="S576" r:id="rId575" display="https://www.amazon.co.uk/dp/B0CQ2ZWGNQ"/>
    <hyperlink ref="S577" r:id="rId576" display="https://www.amazon.co.uk/dp/B0G84T4WBZ"/>
    <hyperlink ref="S578" r:id="rId577" display="https://www.amazon.co.uk/dp/B07YSTZRS4"/>
    <hyperlink ref="S579" r:id="rId578" display="https://www.amazon.co.uk/dp/B0GK282TSG"/>
    <hyperlink ref="S580" r:id="rId579" display="https://www.amazon.co.uk/dp/B0DN1MFZGG"/>
    <hyperlink ref="S581" r:id="rId580" display="https://www.amazon.co.uk/dp/B0G847WBM3"/>
    <hyperlink ref="S582" r:id="rId581" display="https://www.amazon.co.uk/dp/B07LGDHDWX"/>
    <hyperlink ref="S583" r:id="rId582" display="https://www.amazon.co.uk/dp/B078VNZCHT"/>
    <hyperlink ref="S584" r:id="rId583" display="https://www.amazon.co.uk/dp/B0DDTWSK28"/>
    <hyperlink ref="S585" r:id="rId584" display="https://www.amazon.co.uk/dp/B0CF2MND41"/>
    <hyperlink ref="S586" r:id="rId585" display="https://www.amazon.co.uk/dp/B0CRHZ1CK3"/>
    <hyperlink ref="S587" r:id="rId586" display="https://www.amazon.co.uk/dp/B09ZVQLMCM"/>
    <hyperlink ref="S588" r:id="rId587" display="https://www.amazon.co.uk/dp/B07CCQCW3S"/>
    <hyperlink ref="S589" r:id="rId588" display="https://www.amazon.co.uk/dp/B095M99LXJ"/>
    <hyperlink ref="S590" r:id="rId589" display="https://www.amazon.co.uk/dp/B00NWPV6Q2"/>
    <hyperlink ref="S591" r:id="rId590" display="https://www.amazon.co.uk/dp/B0DCKH6VV7"/>
    <hyperlink ref="S592" r:id="rId591" display="https://www.amazon.co.uk/dp/B09XBNHQQZ"/>
    <hyperlink ref="S593" r:id="rId592" display="https://www.amazon.co.uk/dp/B099DK7RYY"/>
    <hyperlink ref="S594" r:id="rId593" display="https://www.amazon.co.uk/dp/B0854JMK3W"/>
    <hyperlink ref="S595" r:id="rId594" display="https://www.amazon.co.uk/dp/B0B5LDJ7CF"/>
    <hyperlink ref="S596" r:id="rId595" display="https://www.amazon.co.uk/dp/B0FQVH5YN3"/>
    <hyperlink ref="S597" r:id="rId596" display="https://www.amazon.co.uk/dp/B0794QP2C4"/>
    <hyperlink ref="S598" r:id="rId597" display="https://www.amazon.co.uk/dp/B0794QSTDB"/>
    <hyperlink ref="S599" r:id="rId598" display="https://www.amazon.co.uk/dp/B0BXL2H1LD"/>
    <hyperlink ref="S600" r:id="rId599" display="https://www.amazon.co.uk/dp/B074JF3R3X"/>
    <hyperlink ref="S601" r:id="rId600" display="https://www.amazon.co.uk/dp/B086QPF5VZ"/>
    <hyperlink ref="S602" r:id="rId601" display="https://www.amazon.co.uk/dp/B0D2P5ZZHF"/>
    <hyperlink ref="S603" r:id="rId602" display="https://www.amazon.co.uk/dp/B09NY92QSL"/>
    <hyperlink ref="S604" r:id="rId603" display="https://www.amazon.co.uk/dp/B09964YLLX"/>
    <hyperlink ref="S605" r:id="rId604" display="https://www.amazon.co.uk/dp/B09DGSZSWK"/>
    <hyperlink ref="S606" r:id="rId605" display="https://www.amazon.co.uk/dp/B0CRDMHBVZ"/>
    <hyperlink ref="S607" r:id="rId606" display="https://www.amazon.co.uk/dp/B0FDH63KQ2"/>
    <hyperlink ref="S608" r:id="rId607" display="https://www.amazon.co.uk/dp/B0DGY2C8K2"/>
    <hyperlink ref="S609" r:id="rId608" display="https://www.amazon.co.uk/dp/B0D9QKTPCK"/>
    <hyperlink ref="S610" r:id="rId609" display="https://www.amazon.co.uk/dp/B0794P1XWR"/>
    <hyperlink ref="S611" r:id="rId610" display="https://www.amazon.co.uk/dp/B09NQYJWXP"/>
    <hyperlink ref="S612" r:id="rId611" display="https://www.amazon.co.uk/dp/B0DJ6WWZP2"/>
    <hyperlink ref="S613" r:id="rId612" display="https://www.amazon.co.uk/dp/B0DQ97X7VJ"/>
    <hyperlink ref="S614" r:id="rId613" display="https://www.amazon.co.uk/dp/B0CLS1R9KN"/>
    <hyperlink ref="S615" r:id="rId614" display="https://www.amazon.co.uk/dp/B074JFCR27"/>
    <hyperlink ref="S616" r:id="rId615" display="https://www.amazon.co.uk/dp/B07BP99HN6"/>
    <hyperlink ref="S617" r:id="rId616" display="https://www.amazon.co.uk/dp/B0B4G73QVJ"/>
    <hyperlink ref="S618" r:id="rId617" display="https://www.amazon.co.uk/dp/B07FDXJHWK"/>
    <hyperlink ref="S619" r:id="rId618" display="https://www.amazon.co.uk/dp/B0C5C35B6Q"/>
    <hyperlink ref="S620" r:id="rId619" display="https://www.amazon.co.uk/dp/B08PHH95JT"/>
    <hyperlink ref="S621" r:id="rId620" display="https://www.amazon.co.uk/dp/B0H5X6B215"/>
    <hyperlink ref="S622" r:id="rId621" display="https://www.amazon.co.uk/dp/B0CJTJKN4D"/>
    <hyperlink ref="S623" r:id="rId622" display="https://www.amazon.co.uk/dp/B0DPVNKRHF"/>
    <hyperlink ref="S624" r:id="rId623" display="https://www.amazon.co.uk/dp/B01IVVBS7I"/>
    <hyperlink ref="S625" r:id="rId624" display="https://www.amazon.co.uk/dp/B08VGJK7P9"/>
    <hyperlink ref="S626" r:id="rId625" display="https://www.amazon.co.uk/dp/B073RJR1XT"/>
    <hyperlink ref="S627" r:id="rId626" display="https://www.amazon.co.uk/dp/B0FKTHD5TS"/>
    <hyperlink ref="S628" r:id="rId627" display="https://www.amazon.co.uk/dp/B0G6CZGQNR"/>
    <hyperlink ref="S629" r:id="rId628" display="https://www.amazon.co.uk/dp/B0H7K2NBCN"/>
    <hyperlink ref="S630" r:id="rId629" display="https://www.amazon.co.uk/dp/B0G1MTNQXP"/>
    <hyperlink ref="S631" r:id="rId630" display="https://www.amazon.co.uk/dp/B0DMWJPCZG"/>
    <hyperlink ref="S632" r:id="rId631" display="https://www.amazon.co.uk/dp/B0D9NXM4QC"/>
    <hyperlink ref="S633" r:id="rId632" display="https://www.amazon.co.uk/dp/B0CWRW48CM"/>
    <hyperlink ref="S634" r:id="rId633" display="https://www.amazon.co.uk/dp/B0DHN5LNB8"/>
    <hyperlink ref="S635" r:id="rId634" display="https://www.amazon.co.uk/dp/B06WVHTTY9"/>
    <hyperlink ref="S636" r:id="rId635" display="https://www.amazon.co.uk/dp/B00J4RM850"/>
    <hyperlink ref="S637" r:id="rId636" display="https://www.amazon.co.uk/dp/B09X7FH1MR"/>
    <hyperlink ref="S638" r:id="rId637" display="https://www.amazon.co.uk/dp/B0724ZYG25"/>
    <hyperlink ref="S639" r:id="rId638" display="https://www.amazon.co.uk/dp/B09X7DWRQD"/>
    <hyperlink ref="S640" r:id="rId639" display="https://www.amazon.co.uk/dp/B085CTT2B1"/>
    <hyperlink ref="S641" r:id="rId640" display="https://www.amazon.co.uk/dp/B013G18WZE"/>
    <hyperlink ref="S642" r:id="rId641" display="https://www.amazon.co.uk/dp/B0173PVIM8"/>
    <hyperlink ref="S643" r:id="rId642" display="https://www.amazon.co.uk/dp/B01JACUMTM"/>
    <hyperlink ref="S644" r:id="rId643" display="https://www.amazon.co.uk/dp/B08S6WDDH7"/>
    <hyperlink ref="S645" r:id="rId644" display="https://www.amazon.co.uk/dp/B0H6NNN84S"/>
    <hyperlink ref="S646" r:id="rId645" display="https://www.amazon.co.uk/dp/B0D2P5ZZHF"/>
    <hyperlink ref="S647" r:id="rId646" display="https://www.amazon.co.uk/dp/B0CH8T7TQV"/>
    <hyperlink ref="S648" r:id="rId647" display="https://www.amazon.co.uk/dp/B0173PVJBI"/>
    <hyperlink ref="S649" r:id="rId648" display="https://www.amazon.co.uk/dp/B07B32YVHM"/>
    <hyperlink ref="S650" r:id="rId649" display="https://www.amazon.co.uk/dp/B0DSPR81GT"/>
    <hyperlink ref="S651" r:id="rId650" display="https://www.amazon.co.uk/dp/B08FMNWCK5"/>
    <hyperlink ref="S652" r:id="rId651" display="https://www.amazon.co.uk/dp/B08HZF95PJ"/>
    <hyperlink ref="S653" r:id="rId652" display="https://www.amazon.co.uk/dp/B07C9V1MGG"/>
    <hyperlink ref="S654" r:id="rId653" display="https://www.amazon.co.uk/dp/B0794SN5R6"/>
    <hyperlink ref="S655" r:id="rId654" display="https://www.amazon.co.uk/dp/B0D3VBJS6C"/>
    <hyperlink ref="S656" r:id="rId655" display="https://www.amazon.co.uk/dp/B0FCXXGNZD"/>
    <hyperlink ref="S657" r:id="rId656" display="https://www.amazon.co.uk/dp/B07BPD1561"/>
    <hyperlink ref="S658" r:id="rId657" display="https://www.amazon.co.uk/dp/B074WK3JKP"/>
    <hyperlink ref="S659" r:id="rId658" display="https://www.amazon.co.uk/dp/B0CG67667B"/>
    <hyperlink ref="S660" r:id="rId659" display="https://www.amazon.co.uk/dp/B08D3SH6HG"/>
    <hyperlink ref="S661" r:id="rId660" display="https://www.amazon.co.uk/dp/B0GLGSSBL3"/>
    <hyperlink ref="S662" r:id="rId661" display="https://www.amazon.co.uk/dp/B0F5WYQ95B"/>
    <hyperlink ref="S663" r:id="rId662" display="https://www.amazon.co.uk/dp/B0794W4J8G"/>
    <hyperlink ref="S664" r:id="rId663" display="https://www.amazon.co.uk/dp/B0B4G63H2Q"/>
    <hyperlink ref="S665" r:id="rId664" display="https://www.amazon.co.uk/dp/B07V1H7CSQ"/>
    <hyperlink ref="S666" r:id="rId665" display="https://www.amazon.co.uk/dp/B07D5GJ6GP"/>
    <hyperlink ref="S667" r:id="rId666" display="https://www.amazon.co.uk/dp/B07MVR7BSH"/>
    <hyperlink ref="S668" r:id="rId667" display="https://www.amazon.co.uk/dp/B0FCYH3NSG"/>
    <hyperlink ref="S669" r:id="rId668" display="https://www.amazon.co.uk/dp/B0BXFN9TSC"/>
    <hyperlink ref="S670" r:id="rId669" display="https://www.amazon.co.uk/dp/B0H5X8JZ96"/>
    <hyperlink ref="S671" r:id="rId670" display="https://www.amazon.co.uk/dp/B0FGJXRWPL"/>
    <hyperlink ref="S672" r:id="rId671" display="https://www.amazon.co.uk/dp/B0794P43NN"/>
    <hyperlink ref="S673" r:id="rId672" display="https://www.amazon.co.uk/dp/B0731QNC1V"/>
    <hyperlink ref="S674" r:id="rId673" display="https://www.amazon.co.uk/dp/B07BTJQS4H"/>
    <hyperlink ref="S675" r:id="rId674" display="https://www.amazon.co.uk/dp/B0F8W1X1MW"/>
    <hyperlink ref="S676" r:id="rId675" display="https://www.amazon.co.uk/dp/B0FPGKRTBX"/>
    <hyperlink ref="S677" r:id="rId676" display="https://www.amazon.co.uk/dp/B08HZFF876"/>
    <hyperlink ref="S678" r:id="rId677" display="https://www.amazon.co.uk/dp/B0CH3SHRHQ"/>
    <hyperlink ref="S679" r:id="rId678" display="https://www.amazon.co.uk/dp/B087944NKB"/>
    <hyperlink ref="S680" r:id="rId679" display="https://www.amazon.co.uk/dp/B0B5Q2S56P"/>
    <hyperlink ref="S681" r:id="rId680" display="https://www.amazon.co.uk/dp/B07PGK5MCS"/>
    <hyperlink ref="S682" r:id="rId681" display="https://www.amazon.co.uk/dp/B0GK1QGFLT"/>
    <hyperlink ref="S683" r:id="rId682" display="https://www.amazon.co.uk/dp/B0GVF4VPFV"/>
    <hyperlink ref="S684" r:id="rId683" display="https://www.amazon.co.uk/dp/B0CHFGWKXQ"/>
    <hyperlink ref="S685" r:id="rId684" display="https://www.amazon.co.uk/dp/B0CHFFMX81"/>
    <hyperlink ref="S686" r:id="rId685" display="https://www.amazon.co.uk/dp/B01IE7P2VW"/>
    <hyperlink ref="S687" r:id="rId686" display="https://www.amazon.co.uk/dp/B0D9LPK18D"/>
    <hyperlink ref="S688" r:id="rId687" display="https://www.amazon.co.uk/dp/B01E6XAZFG"/>
    <hyperlink ref="S689" r:id="rId688" display="https://www.amazon.co.uk/dp/B0FGDJXY15"/>
    <hyperlink ref="S690" r:id="rId689" display="https://www.amazon.co.uk/dp/B01E6XAT4S"/>
    <hyperlink ref="S691" r:id="rId690" display="https://www.amazon.co.uk/dp/B00Q4TMOCS"/>
    <hyperlink ref="S692" r:id="rId691" display="https://www.amazon.co.uk/dp/B09R3NYK49"/>
    <hyperlink ref="S693" r:id="rId692" display="https://www.amazon.co.uk/dp/B083Q2KF3G"/>
    <hyperlink ref="S694" r:id="rId693" display="https://www.amazon.co.uk/dp/B01N6OBPE0"/>
    <hyperlink ref="S695" r:id="rId694" display="https://www.amazon.co.uk/dp/B083PQTB45"/>
    <hyperlink ref="S696" r:id="rId695" display="https://www.amazon.co.uk/dp/B09KS3713C"/>
    <hyperlink ref="S697" r:id="rId696" display="https://www.amazon.co.uk/dp/B01FG45TSC"/>
    <hyperlink ref="S698" r:id="rId697" display="https://www.amazon.co.uk/dp/B01CIWTB4S"/>
    <hyperlink ref="S699" r:id="rId698" display="https://www.amazon.co.uk/dp/B09KW64HPJ"/>
    <hyperlink ref="S700" r:id="rId699" display="https://www.amazon.co.uk/dp/B07QNV6K89"/>
    <hyperlink ref="S701" r:id="rId700" display="https://www.amazon.co.uk/dp/B0DS21STFS"/>
    <hyperlink ref="S702" r:id="rId701" display="https://www.amazon.co.uk/dp/B0DZTJD3NZ"/>
    <hyperlink ref="S703" r:id="rId702" display="https://www.amazon.co.uk/dp/B09VF21LPX"/>
    <hyperlink ref="S704" r:id="rId703" display="https://www.amazon.co.uk/dp/B07VKCWHVQ"/>
    <hyperlink ref="S705" r:id="rId704" display="https://www.amazon.co.uk/dp/B0G9B97JH8"/>
    <hyperlink ref="S706" r:id="rId705" display="https://www.amazon.co.uk/dp/B09XJJ24ZL"/>
    <hyperlink ref="S707" r:id="rId706" display="https://www.amazon.co.uk/dp/B0C61TR8KK"/>
    <hyperlink ref="S708" r:id="rId707" display="https://www.amazon.co.uk/dp/B09NQCL54G"/>
    <hyperlink ref="S709" r:id="rId708" display="https://www.amazon.co.uk/dp/B01FR5GYNY"/>
    <hyperlink ref="S710" r:id="rId709" display="https://www.amazon.co.uk/dp/B078LXLMN1"/>
    <hyperlink ref="S711" r:id="rId710" display="https://www.amazon.co.uk/dp/B083PW4MFP"/>
    <hyperlink ref="S712" r:id="rId711" display="https://www.amazon.co.uk/dp/B0FGJTNL26"/>
    <hyperlink ref="S713" r:id="rId712" display="https://www.amazon.co.uk/dp/B01MT1G4RZ"/>
    <hyperlink ref="S714" r:id="rId713" display="https://www.amazon.co.uk/dp/B0DJDV9ZFC"/>
    <hyperlink ref="S715" r:id="rId714" display="https://www.amazon.co.uk/dp/B00XK9CO16"/>
    <hyperlink ref="S716" r:id="rId715" display="https://www.amazon.co.uk/dp/B0F6NKBZ4H"/>
    <hyperlink ref="S717" r:id="rId716" display="https://www.amazon.co.uk/dp/B0DF6Q75GY"/>
    <hyperlink ref="S718" r:id="rId717" display="https://www.amazon.co.uk/dp/B0GHV7LW4T"/>
    <hyperlink ref="S719" r:id="rId718" display="https://www.amazon.co.uk/dp/B01JAI4KEY"/>
    <hyperlink ref="S720" r:id="rId719" display="https://www.amazon.co.uk/dp/B08TBW9DMB"/>
    <hyperlink ref="S721" r:id="rId720" display="https://www.amazon.co.uk/dp/B094CPFBNN"/>
    <hyperlink ref="S722" r:id="rId721" display="https://www.amazon.co.uk/dp/B095RR777V"/>
    <hyperlink ref="S723" r:id="rId722" display="https://www.amazon.co.uk/dp/B0FR44N2BL"/>
    <hyperlink ref="S724" r:id="rId723" display="https://www.amazon.co.uk/dp/B01N6OBPTF"/>
    <hyperlink ref="S725" r:id="rId724" display="https://www.amazon.co.uk/dp/B07HHGRPQ4"/>
    <hyperlink ref="S726" r:id="rId725" display="https://www.amazon.co.uk/dp/B0G4XCLXNF"/>
    <hyperlink ref="S727" r:id="rId726" display="https://www.amazon.co.uk/dp/B0DSW8MSXQ"/>
    <hyperlink ref="S728" r:id="rId727" display="https://www.amazon.co.uk/dp/B08RBDYGLY"/>
    <hyperlink ref="S729" r:id="rId728" display="https://www.amazon.co.uk/dp/B0H4HX8648"/>
    <hyperlink ref="S730" r:id="rId729" display="https://www.amazon.co.uk/dp/B09WRHV3GZ"/>
    <hyperlink ref="S731" r:id="rId730" display="https://www.amazon.co.uk/dp/B078LQRS4V"/>
    <hyperlink ref="S732" r:id="rId731" display="https://www.amazon.co.uk/dp/B0C8THY237"/>
    <hyperlink ref="S733" r:id="rId732" display="https://www.amazon.co.uk/dp/B0CG8KDPYJ"/>
    <hyperlink ref="S734" r:id="rId733" display="https://www.amazon.co.uk/dp/B0CG8QQJTS"/>
    <hyperlink ref="S735" r:id="rId734" display="https://www.amazon.co.uk/dp/B0887RSZY7"/>
    <hyperlink ref="S736" r:id="rId735" display="https://www.amazon.co.uk/dp/B0BX9F1VS5"/>
    <hyperlink ref="S737" r:id="rId736" display="https://www.amazon.co.uk/dp/B09DZ5D271"/>
    <hyperlink ref="S738" r:id="rId737" display="https://www.amazon.co.uk/dp/B01CQNN7F8"/>
    <hyperlink ref="S739" r:id="rId738" display="https://www.amazon.co.uk/dp/B0DDPVP527"/>
    <hyperlink ref="S740" r:id="rId739" display="https://www.amazon.co.uk/dp/B0767B5PGY"/>
    <hyperlink ref="S741" r:id="rId740" display="https://www.amazon.co.uk/dp/B0CGJGRFW9"/>
    <hyperlink ref="S742" r:id="rId741" display="https://www.amazon.co.uk/dp/B0CJC85HL6"/>
    <hyperlink ref="S743" r:id="rId742" display="https://www.amazon.co.uk/dp/B07678R3S8"/>
    <hyperlink ref="S744" r:id="rId743" display="https://www.amazon.co.uk/dp/B0CW5RTMXW"/>
    <hyperlink ref="S745" r:id="rId744" display="https://www.amazon.co.uk/dp/B073P1FN3R"/>
    <hyperlink ref="S746" r:id="rId745" display="https://www.amazon.co.uk/dp/B085CTT2B1"/>
    <hyperlink ref="S747" r:id="rId746" display="https://www.amazon.co.uk/dp/B07238WW4N"/>
    <hyperlink ref="S748" r:id="rId747" display="https://www.amazon.co.uk/dp/B09DZSDMBZ"/>
    <hyperlink ref="S749" r:id="rId748" display="https://www.amazon.co.uk/dp/B09DZ48TCY"/>
    <hyperlink ref="S750" r:id="rId749" display="https://www.amazon.co.uk/dp/B0748MT9ZB"/>
    <hyperlink ref="S751" r:id="rId750" display="https://www.amazon.co.uk/dp/B0B5L32M85"/>
    <hyperlink ref="S752" r:id="rId751" display="https://www.amazon.co.uk/dp/B0C5W72XPZ"/>
    <hyperlink ref="S753" r:id="rId752" display="https://www.amazon.co.uk/dp/B07VKCWHVQ"/>
    <hyperlink ref="S754" r:id="rId753" display="https://www.amazon.co.uk/dp/B076F8MXPR"/>
    <hyperlink ref="S755" r:id="rId754" display="https://www.amazon.co.uk/dp/B0DNG144MT"/>
    <hyperlink ref="S756" r:id="rId755" display="https://www.amazon.co.uk/dp/B07678R57N"/>
    <hyperlink ref="S757" r:id="rId756" display="https://www.amazon.co.uk/dp/B072DS2C9S"/>
    <hyperlink ref="S758" r:id="rId757" display="https://www.amazon.co.uk/dp/B0DQ963WYG"/>
    <hyperlink ref="S759" r:id="rId758" display="https://www.amazon.co.uk/dp/B0FLY6LMD8"/>
    <hyperlink ref="S760" r:id="rId759" display="https://www.amazon.co.uk/dp/B0DCL5M8MH"/>
    <hyperlink ref="S761" r:id="rId760" display="https://www.amazon.co.uk/dp/B0CFVYCXWV"/>
    <hyperlink ref="S762" r:id="rId761" display="https://www.amazon.co.uk/dp/B06XYH5B9H"/>
    <hyperlink ref="S763" r:id="rId762" display="https://www.amazon.co.uk/dp/B073CY3BLN"/>
    <hyperlink ref="S764" r:id="rId763" display="https://www.amazon.co.uk/dp/B00AV4OGIC"/>
    <hyperlink ref="S765" r:id="rId764" display="https://www.amazon.co.uk/dp/B018UG4VVO"/>
    <hyperlink ref="S766" r:id="rId765" display="https://www.amazon.co.uk/dp/B09DT8PPPJ"/>
    <hyperlink ref="S767" r:id="rId766" display="https://www.amazon.co.uk/dp/B0CGDH9K3K"/>
    <hyperlink ref="S768" r:id="rId767" display="https://www.amazon.co.uk/dp/B0CSB4XNYV"/>
    <hyperlink ref="S769" r:id="rId768" display="https://www.amazon.co.uk/dp/B0C5WFZS5P"/>
    <hyperlink ref="S770" r:id="rId769" display="https://www.amazon.co.uk/dp/B01A65OAR2"/>
    <hyperlink ref="S771" r:id="rId770" display="https://www.amazon.co.uk/dp/B0C3MSQNGP"/>
    <hyperlink ref="S772" r:id="rId771" display="https://www.amazon.co.uk/dp/B0CFWCBJWH"/>
    <hyperlink ref="S773" r:id="rId772" display="https://www.amazon.co.uk/dp/B08PHX4S82"/>
    <hyperlink ref="S774" r:id="rId773" display="https://www.amazon.co.uk/dp/B0H71DB5M5"/>
    <hyperlink ref="S775" r:id="rId774" display="https://www.amazon.co.uk/dp/B0CH7C5V67"/>
    <hyperlink ref="S776" r:id="rId775" display="https://www.amazon.co.uk/dp/B07Q69PM93"/>
    <hyperlink ref="S777" r:id="rId776" display="https://www.amazon.co.uk/dp/B0DKP9XCFT"/>
    <hyperlink ref="S778" r:id="rId777" display="https://www.amazon.co.uk/dp/B0CK4MSW4V"/>
    <hyperlink ref="S779" r:id="rId778" display="https://www.amazon.co.uk/dp/B09B7S6Q1Z"/>
    <hyperlink ref="S780" r:id="rId779" display="https://www.amazon.co.uk/dp/B0F9YW12PJ"/>
    <hyperlink ref="S781" r:id="rId780" display="https://www.amazon.co.uk/dp/B09NY7NLQ3"/>
    <hyperlink ref="S782" r:id="rId781" display="https://www.amazon.co.uk/dp/B0GFLZK8RP"/>
    <hyperlink ref="S783" r:id="rId782" display="https://www.amazon.co.uk/dp/B0GVH4D3MM"/>
    <hyperlink ref="S784" r:id="rId783" display="https://www.amazon.co.uk/dp/B0GFLQBC63"/>
    <hyperlink ref="S785" r:id="rId784" display="https://www.amazon.co.uk/dp/B0D8ZSZZV2"/>
    <hyperlink ref="S786" r:id="rId785" display="https://www.amazon.co.uk/dp/B0F2W8X2SL"/>
    <hyperlink ref="S787" r:id="rId786" display="https://www.amazon.co.uk/dp/B0GFLW4VRZ"/>
    <hyperlink ref="S788" r:id="rId787" display="https://www.amazon.co.uk/dp/B0FN713X4Z"/>
    <hyperlink ref="S789" r:id="rId788" display="https://www.amazon.co.uk/dp/B0HBXG8YK1"/>
    <hyperlink ref="S790" r:id="rId789" display="https://www.amazon.co.uk/dp/B0DV8K7KNM"/>
    <hyperlink ref="S791" r:id="rId790" display="https://www.amazon.co.uk/dp/B0FM1XFPJ4"/>
    <hyperlink ref="S792" r:id="rId791" display="https://www.amazon.co.uk/dp/B0D312S11W"/>
    <hyperlink ref="S793" r:id="rId792" display="https://www.amazon.co.uk/dp/B0BPT4PYZL"/>
    <hyperlink ref="S794" r:id="rId793" display="https://www.amazon.co.uk/dp/B0FM1Y7G2C"/>
    <hyperlink ref="S795" r:id="rId794" display="https://www.amazon.co.uk/dp/B0HJ5Q19KM"/>
    <hyperlink ref="S796" r:id="rId795" display="https://www.amazon.co.uk/dp/B0BPT46W1X"/>
    <hyperlink ref="S797" r:id="rId796" display="https://www.amazon.co.uk/dp/B0H28HTCPY"/>
    <hyperlink ref="S798" r:id="rId797" display="https://www.amazon.co.uk/dp/B0D31239G6"/>
    <hyperlink ref="S799" r:id="rId798" display="https://www.amazon.co.uk/dp/B084RMYZ6N"/>
    <hyperlink ref="S800" r:id="rId799" display="https://www.amazon.co.uk/dp/B0D314839K"/>
    <hyperlink ref="S801" r:id="rId800" display="https://www.amazon.co.uk/dp/B0FMK3NKP6"/>
    <hyperlink ref="S802" r:id="rId801" display="https://www.amazon.co.uk/dp/B0HHJBWZ7T"/>
    <hyperlink ref="S803" r:id="rId802" display="https://www.amazon.co.uk/dp/B0CG285MLH"/>
    <hyperlink ref="S804" r:id="rId803" display="https://www.amazon.co.uk/dp/B0HLZ3MC5X"/>
    <hyperlink ref="S805" r:id="rId804" display="https://www.amazon.co.uk/dp/B079NRFHVR"/>
    <hyperlink ref="S806" r:id="rId805" display="https://www.amazon.co.uk/dp/B0HF89SNLP"/>
    <hyperlink ref="S807" r:id="rId806" display="https://www.amazon.co.uk/dp/B0DK722ML4"/>
    <hyperlink ref="S808" r:id="rId807" display="https://www.amazon.co.uk/dp/B0FY6QHS7T"/>
    <hyperlink ref="S809" r:id="rId808" display="https://www.amazon.co.uk/dp/B0D313T243"/>
    <hyperlink ref="S810" r:id="rId809" display="https://www.amazon.co.uk/dp/B0F1YBF31P"/>
    <hyperlink ref="S811" r:id="rId810" display="https://www.amazon.co.uk/dp/B0BPT4PF98"/>
    <hyperlink ref="S812" r:id="rId811" display="https://www.amazon.co.uk/dp/B0BPT2L84Q"/>
    <hyperlink ref="S813" r:id="rId812" display="https://www.amazon.co.uk/dp/B0HCV3JB5J"/>
    <hyperlink ref="S814" r:id="rId813" display="https://www.amazon.co.uk/dp/B0FKMH5DSL"/>
    <hyperlink ref="S815" r:id="rId814" display="https://www.amazon.co.uk/dp/B0DJTRBD6F"/>
    <hyperlink ref="S816" r:id="rId815" display="https://www.amazon.co.uk/dp/B0HCV5H9K2"/>
    <hyperlink ref="S817" r:id="rId816" display="https://www.amazon.co.uk/dp/B0BX9H7SJ7"/>
    <hyperlink ref="S818" r:id="rId817" display="https://www.amazon.co.uk/dp/B0BPT39ZF2"/>
    <hyperlink ref="S819" r:id="rId818" display="https://www.amazon.co.uk/dp/B0DCZLFHJS"/>
    <hyperlink ref="S820" r:id="rId819" display="https://www.amazon.co.uk/dp/B09WQL1X8Z"/>
    <hyperlink ref="S821" r:id="rId820" display="https://www.amazon.co.uk/dp/B0DC2T1K5P"/>
    <hyperlink ref="S822" r:id="rId821" display="https://www.amazon.co.uk/dp/B0DYY5NFB5"/>
    <hyperlink ref="S823" r:id="rId822" display="https://www.amazon.co.uk/dp/B0C3MS3LY2"/>
    <hyperlink ref="S824" r:id="rId823" display="https://www.amazon.co.uk/dp/B07VSLJDF8"/>
    <hyperlink ref="S825" r:id="rId824" display="https://www.amazon.co.uk/dp/B0BPT3P3G3"/>
    <hyperlink ref="S826" r:id="rId825" display="https://www.amazon.co.uk/dp/B0FFG1BMYP"/>
    <hyperlink ref="S827" r:id="rId826" display="https://www.amazon.co.uk/dp/B0HJ7ZRJ7K"/>
    <hyperlink ref="S828" r:id="rId827" display="https://www.amazon.co.uk/dp/B01JACUN8W"/>
    <hyperlink ref="S829" r:id="rId828" display="https://www.amazon.co.uk/dp/B0GKG7GWXM"/>
    <hyperlink ref="S830" r:id="rId829" display="https://www.amazon.co.uk/dp/B01JAI4KJ4"/>
    <hyperlink ref="S831" r:id="rId830" display="https://www.amazon.co.uk/dp/B0BNGGJKBB"/>
    <hyperlink ref="S832" r:id="rId831" display="https://www.amazon.co.uk/dp/B07TDRSZNY"/>
    <hyperlink ref="S833" r:id="rId832" display="https://www.amazon.co.uk/dp/B0BS72Q98S"/>
    <hyperlink ref="S834" r:id="rId833" display="https://www.amazon.co.uk/dp/B09B68FS2W"/>
    <hyperlink ref="S835" r:id="rId834" display="https://www.amazon.co.uk/dp/B01JACUSQ4"/>
    <hyperlink ref="S836" r:id="rId835" display="https://www.amazon.co.uk/dp/B0DQ9BMWY3"/>
    <hyperlink ref="S837" r:id="rId836" display="https://www.amazon.co.uk/dp/B0CRVRJNTM"/>
    <hyperlink ref="S838" r:id="rId837" display="https://www.amazon.co.uk/dp/B0FYTFXB4R"/>
    <hyperlink ref="S839" r:id="rId838" display="https://www.amazon.co.uk/dp/B0B67KTKYY"/>
    <hyperlink ref="S840" r:id="rId839" display="https://www.amazon.co.uk/dp/B078LZ5X1T"/>
    <hyperlink ref="S841" r:id="rId840" display="https://www.amazon.co.uk/dp/B0B5NDH15M"/>
    <hyperlink ref="S842" r:id="rId841" display="https://www.amazon.co.uk/dp/B082QN2HYS"/>
    <hyperlink ref="S843" r:id="rId842" display="https://www.amazon.co.uk/dp/B0BPSSBW3G"/>
    <hyperlink ref="S844" r:id="rId843" display="https://www.amazon.co.uk/dp/B06X3V5R4J"/>
    <hyperlink ref="S845" r:id="rId844" display="https://www.amazon.co.uk/dp/B086RYB61T"/>
    <hyperlink ref="S846" r:id="rId845" display="https://www.amazon.co.uk/dp/B0DQ99P8J7"/>
    <hyperlink ref="S847" r:id="rId846" display="https://www.amazon.co.uk/dp/B015IX8IYI"/>
    <hyperlink ref="S848" r:id="rId847" display="https://www.amazon.co.uk/dp/B075JJNFBK"/>
    <hyperlink ref="S849" r:id="rId848" display="https://www.amazon.co.uk/dp/B075ZXJ89W"/>
    <hyperlink ref="S850" r:id="rId849" display="https://www.amazon.co.uk/dp/B09G5T2ZFZ"/>
    <hyperlink ref="S851" r:id="rId850" display="https://www.amazon.co.uk/dp/B0D67BBGX5"/>
    <hyperlink ref="S852" r:id="rId851" display="https://www.amazon.co.uk/dp/B0DQQ3ZLNP"/>
    <hyperlink ref="S853" r:id="rId852" display="https://www.amazon.co.uk/dp/B08LR2R345"/>
    <hyperlink ref="S854" r:id="rId853" display="https://www.amazon.co.uk/dp/B0C3RX4S57"/>
    <hyperlink ref="S855" r:id="rId854" display="https://www.amazon.co.uk/dp/B014VHB222"/>
    <hyperlink ref="S856" r:id="rId855" display="https://www.amazon.co.uk/dp/B074QWW239"/>
    <hyperlink ref="S857" r:id="rId856" display="https://www.amazon.co.uk/dp/B08SLJQB63"/>
    <hyperlink ref="S858" r:id="rId857" display="https://www.amazon.co.uk/dp/B0BV6LYXZT"/>
    <hyperlink ref="S859" r:id="rId858" display="https://www.amazon.co.uk/dp/B09N7HBCYY"/>
    <hyperlink ref="S860" r:id="rId859" display="https://www.amazon.co.uk/dp/B0876B4CGD"/>
    <hyperlink ref="S861" r:id="rId860" display="https://www.amazon.co.uk/dp/B0CJCCQHQK"/>
    <hyperlink ref="S862" r:id="rId861" display="https://www.amazon.co.uk/dp/B07FYVKYJ9"/>
    <hyperlink ref="S863" r:id="rId862" display="https://www.amazon.co.uk/dp/B0CJC3XN74"/>
    <hyperlink ref="S864" r:id="rId863" display="https://www.amazon.co.uk/dp/B0D67BHKZW"/>
    <hyperlink ref="S865" r:id="rId864" display="https://www.amazon.co.uk/dp/B09QT58DC2"/>
    <hyperlink ref="S866" r:id="rId865" display="https://www.amazon.co.uk/dp/B08ZJLS11Q"/>
    <hyperlink ref="S867" r:id="rId866" display="https://www.amazon.co.uk/dp/B0982CQ53N"/>
    <hyperlink ref="S868" r:id="rId867" display="https://www.amazon.co.uk/dp/B09BVZCKP3"/>
    <hyperlink ref="S869" r:id="rId868" display="https://www.amazon.co.uk/dp/B07QX72BBQ"/>
    <hyperlink ref="S870" r:id="rId869" display="https://www.amazon.co.uk/dp/B0DNJYK2W5"/>
    <hyperlink ref="S871" r:id="rId870" display="https://www.amazon.co.uk/dp/B00LCU0FB6"/>
    <hyperlink ref="S872" r:id="rId871" display="https://www.amazon.co.uk/dp/B01N90ZB9K"/>
    <hyperlink ref="S873" r:id="rId872" display="https://www.amazon.co.uk/dp/B084Q8X4ZN"/>
    <hyperlink ref="S874" r:id="rId873" display="https://www.amazon.co.uk/dp/B0756Z596L"/>
    <hyperlink ref="S875" r:id="rId874" display="https://www.amazon.co.uk/dp/B0FQ2J17K1"/>
    <hyperlink ref="S876" r:id="rId875" display="https://www.amazon.co.uk/dp/B08FRKXJ9R"/>
    <hyperlink ref="S877" r:id="rId876" display="https://www.amazon.co.uk/dp/B0D26JFSB5"/>
    <hyperlink ref="S878" r:id="rId877" display="https://www.amazon.co.uk/dp/B0DHD3LQLN"/>
    <hyperlink ref="S879" r:id="rId878" display="https://www.amazon.co.uk/dp/B08FRFKTSN"/>
    <hyperlink ref="S880" r:id="rId879" display="https://www.amazon.co.uk/dp/B0DHD5BDV9"/>
    <hyperlink ref="S881" r:id="rId880" display="https://www.amazon.co.uk/dp/B0D278Q9V7"/>
    <hyperlink ref="S882" r:id="rId881" display="https://www.amazon.co.uk/dp/B08FRH3NFR"/>
    <hyperlink ref="S883" r:id="rId882" display="https://www.amazon.co.uk/dp/B0DQKXVMX4"/>
    <hyperlink ref="S884" r:id="rId883" display="https://www.amazon.co.uk/dp/B00CLSPGVM"/>
    <hyperlink ref="S885" r:id="rId884" display="https://www.amazon.co.uk/dp/B0B5L22F67"/>
    <hyperlink ref="S886" r:id="rId885" display="https://www.amazon.co.uk/dp/B01DZN0ERC"/>
    <hyperlink ref="S887" r:id="rId886" display="https://www.amazon.co.uk/dp/B0BLWBN338"/>
    <hyperlink ref="S888" r:id="rId887" display="https://www.amazon.co.uk/dp/B01K3EHCNU"/>
    <hyperlink ref="S889" r:id="rId888" display="https://www.amazon.co.uk/dp/B0F4KW2PZ4"/>
    <hyperlink ref="S890" r:id="rId889" display="https://www.amazon.co.uk/dp/B0DVD42246"/>
    <hyperlink ref="S891" r:id="rId890" display="https://www.amazon.co.uk/dp/B01L012MMG"/>
    <hyperlink ref="S892" r:id="rId891" display="https://www.amazon.co.uk/dp/B0C3RGRCBB"/>
    <hyperlink ref="S893" r:id="rId892" display="https://www.amazon.co.uk/dp/B0GJV5V3LL"/>
    <hyperlink ref="S894" r:id="rId893" display="https://www.amazon.co.uk/dp/B0CHMTYBCC"/>
    <hyperlink ref="S895" r:id="rId894" display="https://www.amazon.co.uk/dp/B08MBL7SQL"/>
    <hyperlink ref="S896" r:id="rId895" display="https://www.amazon.co.uk/dp/B0152HSA8O"/>
    <hyperlink ref="S897" r:id="rId896" display="https://www.amazon.co.uk/dp/B0DQKY8GYL"/>
    <hyperlink ref="S898" r:id="rId897" display="https://www.amazon.co.uk/dp/B06Y5RHZHR"/>
    <hyperlink ref="S899" r:id="rId898" display="https://www.amazon.co.uk/dp/B0C6QPPZS2"/>
    <hyperlink ref="S900" r:id="rId899" display="https://www.amazon.co.uk/dp/B0GQ6JTL9N"/>
    <hyperlink ref="S901" r:id="rId900" display="https://www.amazon.co.uk/dp/B008645BP6"/>
    <hyperlink ref="S902" r:id="rId901" display="https://www.amazon.co.uk/dp/B06ZZ789XV"/>
    <hyperlink ref="S903" r:id="rId902" display="https://www.amazon.co.uk/dp/B0DS6D18FC"/>
    <hyperlink ref="S904" r:id="rId903" display="https://www.amazon.co.uk/dp/B09X5YYP5Y"/>
    <hyperlink ref="S905" r:id="rId904" display="https://www.amazon.co.uk/dp/B0B4WW1WLF"/>
    <hyperlink ref="S906" r:id="rId905" display="https://www.amazon.co.uk/dp/B076HBJS5K"/>
    <hyperlink ref="S907" r:id="rId906" display="https://www.amazon.co.uk/dp/B08D7SS4J7"/>
    <hyperlink ref="S908" r:id="rId907" display="https://www.amazon.co.uk/dp/B07DWG91BJ"/>
    <hyperlink ref="S909" r:id="rId908" display="https://www.amazon.co.uk/dp/B0BSLJRD42"/>
    <hyperlink ref="S910" r:id="rId909" display="https://www.amazon.co.uk/dp/B00MW50FKG"/>
    <hyperlink ref="S911" r:id="rId910" display="https://www.amazon.co.uk/dp/B0FPRM8K98"/>
    <hyperlink ref="S912" r:id="rId911" display="https://www.amazon.co.uk/dp/B01N774ZJ3"/>
    <hyperlink ref="S913" r:id="rId912" display="https://www.amazon.co.uk/dp/B0B1WMVJMJ"/>
    <hyperlink ref="S914" r:id="rId913" display="https://www.amazon.co.uk/dp/B07BFH1G3D"/>
    <hyperlink ref="S915" r:id="rId914" display="https://www.amazon.co.uk/dp/B07PT4CG1X"/>
    <hyperlink ref="S916" r:id="rId915" display="https://www.amazon.co.uk/dp/B06XHX2C76"/>
    <hyperlink ref="S917" r:id="rId916" display="https://www.amazon.co.uk/dp/B01LW1ZOI3"/>
    <hyperlink ref="S918" r:id="rId917" display="https://www.amazon.co.uk/dp/B0D9LM6KG3"/>
    <hyperlink ref="S919" r:id="rId918" display="https://www.amazon.co.uk/dp/B0HCVLMXLS"/>
    <hyperlink ref="S920" r:id="rId919" display="https://www.amazon.co.uk/dp/B0DHY7MV6X"/>
    <hyperlink ref="S921" r:id="rId920" display="https://www.amazon.co.uk/dp/B0DNQT2SQC"/>
    <hyperlink ref="S922" r:id="rId921" display="https://www.amazon.co.uk/dp/B0FXHH421K"/>
    <hyperlink ref="S923" r:id="rId922" display="https://www.amazon.co.uk/dp/B0FHRPBZGR"/>
    <hyperlink ref="S924" r:id="rId923" display="https://www.amazon.co.uk/dp/B08LTNXN26"/>
    <hyperlink ref="S925" r:id="rId924" display="https://www.amazon.co.uk/dp/B0H2MTWJ38"/>
    <hyperlink ref="S926" r:id="rId925" display="https://www.amazon.co.uk/dp/B0B3MNSXDC"/>
    <hyperlink ref="S927" r:id="rId926" display="https://www.amazon.co.uk/dp/B08HJ2ZMX1"/>
    <hyperlink ref="S928" r:id="rId927" display="https://www.amazon.co.uk/dp/B00JL9I6FC"/>
    <hyperlink ref="S929" r:id="rId928" display="https://www.amazon.co.uk/dp/B08LTQSMDX"/>
    <hyperlink ref="S930" r:id="rId929" display="https://www.amazon.co.uk/dp/B0DB2P2S2K"/>
    <hyperlink ref="S931" r:id="rId930" display="https://www.amazon.co.uk/dp/B07FRW5QRP"/>
    <hyperlink ref="S932" r:id="rId931" display="https://www.amazon.co.uk/dp/B071153ZMV"/>
    <hyperlink ref="S933" r:id="rId932" display="https://www.amazon.co.uk/dp/B0GWMPZQCK"/>
    <hyperlink ref="S934" r:id="rId933" display="https://www.amazon.co.uk/dp/B0DFYFJSVQ"/>
    <hyperlink ref="S935" r:id="rId934" display="https://www.amazon.co.uk/dp/B003U3QT2C"/>
    <hyperlink ref="S936" r:id="rId935" display="https://www.amazon.co.uk/dp/B08RXH994R"/>
    <hyperlink ref="S937" r:id="rId936" display="https://www.amazon.co.uk/dp/B0BVHYVBB3"/>
    <hyperlink ref="S938" r:id="rId937" display="https://www.amazon.co.uk/dp/B08YNXVJWH"/>
    <hyperlink ref="S939" r:id="rId938" display="https://www.amazon.co.uk/dp/B003UCBHES"/>
    <hyperlink ref="S940" r:id="rId939" display="https://www.amazon.co.uk/dp/B00J4RM86Y"/>
    <hyperlink ref="S941" r:id="rId940" display="https://www.amazon.co.uk/dp/B071DKQ4H9"/>
    <hyperlink ref="S942" r:id="rId941" display="https://www.amazon.co.uk/dp/B0DMWKLSWD"/>
    <hyperlink ref="S943" r:id="rId942" display="https://www.amazon.co.uk/dp/B0FB419K85"/>
    <hyperlink ref="S944" r:id="rId943" display="https://www.amazon.co.uk/dp/B081V6WJ4H"/>
    <hyperlink ref="S945" r:id="rId944" display="https://www.amazon.co.uk/dp/B083YTMXGN"/>
    <hyperlink ref="S946" r:id="rId945" display="https://www.amazon.co.uk/dp/B0794QSTDB"/>
    <hyperlink ref="S947" r:id="rId946" display="https://www.amazon.co.uk/dp/B00J4RM8B4"/>
    <hyperlink ref="S948" r:id="rId947" display="https://www.amazon.co.uk/dp/B08D3SH6HG"/>
    <hyperlink ref="S949" r:id="rId948" display="https://www.amazon.co.uk/dp/B0FCYH3NSG"/>
    <hyperlink ref="S950" r:id="rId949" display="https://www.amazon.co.uk/dp/B08S6WDDH7"/>
    <hyperlink ref="S951" r:id="rId950" display="https://www.amazon.co.uk/dp/B01FMHF2OY"/>
    <hyperlink ref="S952" r:id="rId951" display="https://www.amazon.co.uk/dp/B0D26CBXZ7"/>
    <hyperlink ref="S953" r:id="rId952" display="https://www.amazon.co.uk/dp/B08PDG7SS7"/>
    <hyperlink ref="S954" r:id="rId953" display="https://www.amazon.co.uk/dp/B01CJQ425Q"/>
    <hyperlink ref="S955" r:id="rId954" display="https://www.amazon.co.uk/dp/B087944NKB"/>
    <hyperlink ref="S956" r:id="rId955" display="https://www.amazon.co.uk/dp/B01JACUQ66"/>
    <hyperlink ref="S957" r:id="rId956" display="https://www.amazon.co.uk/dp/B00I4YYAS2"/>
    <hyperlink ref="S958" r:id="rId957" display="https://www.amazon.co.uk/dp/B0DP4N85Z9"/>
    <hyperlink ref="S959" r:id="rId958" display="https://www.amazon.co.uk/dp/B0D3H8CV78"/>
    <hyperlink ref="S960" r:id="rId959" display="https://www.amazon.co.uk/dp/B0DBLZKF6P"/>
    <hyperlink ref="S961" r:id="rId960" display="https://www.amazon.co.uk/dp/B01C7IUMTQ"/>
    <hyperlink ref="S962" r:id="rId961" display="https://www.amazon.co.uk/dp/B0F5WZJZ6L"/>
    <hyperlink ref="S963" r:id="rId962" display="https://www.amazon.co.uk/dp/B0CHB8HWN6"/>
    <hyperlink ref="S964" r:id="rId963" display="https://www.amazon.co.uk/dp/B07PGK5MCS"/>
    <hyperlink ref="S965" r:id="rId964" display="https://www.amazon.co.uk/dp/B0D9D6XYQ4"/>
    <hyperlink ref="S966" r:id="rId965" display="https://www.amazon.co.uk/dp/B0FGJWS678"/>
    <hyperlink ref="S967" r:id="rId966" display="https://www.amazon.co.uk/dp/B07VCTFH4H"/>
    <hyperlink ref="S968" r:id="rId967" display="https://www.amazon.co.uk/dp/B0FR9MFCRH"/>
    <hyperlink ref="S969" r:id="rId968" display="https://www.amazon.co.uk/dp/B0B5Q2S56P"/>
    <hyperlink ref="S970" r:id="rId969" display="https://www.amazon.co.uk/dp/B0B4G63H2Q"/>
    <hyperlink ref="S971" r:id="rId970" display="https://www.amazon.co.uk/dp/B075X1QXK6"/>
    <hyperlink ref="S972" r:id="rId971" display="https://www.amazon.co.uk/dp/B0CGJGRFW9"/>
    <hyperlink ref="S973" r:id="rId972" display="https://www.amazon.co.uk/dp/B09RX1GD9V"/>
    <hyperlink ref="S974" r:id="rId973" display="https://www.amazon.co.uk/dp/B07678R3S8"/>
    <hyperlink ref="S975" r:id="rId974" display="https://www.amazon.co.uk/dp/B0FL5NF476"/>
    <hyperlink ref="S976" r:id="rId975" display="https://www.amazon.co.uk/dp/B08PJ79V1T"/>
    <hyperlink ref="S977" r:id="rId976" display="https://www.amazon.co.uk/dp/B08PS3ZFFF"/>
    <hyperlink ref="S978" r:id="rId977" display="https://www.amazon.co.uk/dp/B09DZ5D271"/>
    <hyperlink ref="S979" r:id="rId978" display="https://www.amazon.co.uk/dp/B0FDB8JKXM"/>
    <hyperlink ref="S980" r:id="rId979" display="https://www.amazon.co.uk/dp/B0748MT9ZB"/>
    <hyperlink ref="S981" r:id="rId980" display="https://www.amazon.co.uk/dp/B018UG4VVO"/>
    <hyperlink ref="S982" r:id="rId981" display="https://www.amazon.co.uk/dp/B06XPFW75C"/>
    <hyperlink ref="S983" r:id="rId982" display="https://www.amazon.co.uk/dp/B00AV4OGIC"/>
    <hyperlink ref="S984" r:id="rId983" display="https://www.amazon.co.uk/dp/B01CQNN7F8"/>
    <hyperlink ref="S985" r:id="rId984" display="https://www.amazon.co.uk/dp/B013P4YJ9K"/>
    <hyperlink ref="S986" r:id="rId985" display="https://www.amazon.co.uk/dp/B0FLY6LMD8"/>
    <hyperlink ref="S987" r:id="rId986" display="https://www.amazon.co.uk/dp/B06XWGVZ5R"/>
    <hyperlink ref="S988" r:id="rId987" display="https://www.amazon.co.uk/dp/B0748NW2RC"/>
    <hyperlink ref="S989" r:id="rId988" display="https://www.amazon.co.uk/dp/B0FLY7DGLH"/>
    <hyperlink ref="S990" r:id="rId989" display="https://www.amazon.co.uk/dp/B09Q94H15H"/>
    <hyperlink ref="S991" r:id="rId990" display="https://www.amazon.co.uk/dp/B08ZM8WSD3"/>
    <hyperlink ref="S992" r:id="rId991" display="https://www.amazon.co.uk/dp/B083K6XB83"/>
    <hyperlink ref="S993" r:id="rId992" display="https://www.amazon.co.uk/dp/B07WHJ4PXX"/>
    <hyperlink ref="S994" r:id="rId993" display="https://www.amazon.co.uk/dp/B072DS2C9S"/>
    <hyperlink ref="S995" r:id="rId994" display="https://www.amazon.co.uk/dp/B0F4HLKJFL"/>
    <hyperlink ref="S996" r:id="rId995" display="https://www.amazon.co.uk/dp/B0CFVYCXWV"/>
    <hyperlink ref="S997" r:id="rId996" display="https://www.amazon.co.uk/dp/B08HJ6V5RD"/>
    <hyperlink ref="S998" r:id="rId997" display="https://www.amazon.co.uk/dp/B0CFW3GG1R"/>
    <hyperlink ref="S999" r:id="rId998" display="https://www.amazon.co.uk/dp/B07QL1J9BY"/>
    <hyperlink ref="S1000" r:id="rId999" display="https://www.amazon.co.uk/dp/B0B752BYBV"/>
    <hyperlink ref="S1001" r:id="rId1000" display="https://www.amazon.co.uk/dp/B0GYTF4QG8"/>
    <hyperlink ref="S1002" r:id="rId1001" display="https://www.amazon.co.uk/dp/B0C3MR1Z2Q"/>
    <hyperlink ref="S1003" r:id="rId1002" display="https://www.amazon.co.uk/dp/B0C3MVX52C"/>
    <hyperlink ref="S1004" r:id="rId1003" display="https://www.amazon.co.uk/dp/B01076C7VQ"/>
    <hyperlink ref="S1005" r:id="rId1004" display="https://www.amazon.co.uk/dp/B0CY9ZNYYD"/>
    <hyperlink ref="S1006" r:id="rId1005" display="https://www.amazon.co.uk/dp/B0CQPFJKGM"/>
    <hyperlink ref="S1007" r:id="rId1006" display="https://www.amazon.co.uk/dp/B0CQKLJY1Q"/>
    <hyperlink ref="S1008" r:id="rId1007" display="https://www.amazon.co.uk/dp/B0B17HHHQD"/>
    <hyperlink ref="S1009" r:id="rId1008" display="https://www.amazon.co.uk/dp/B0BX9H7SJ7"/>
    <hyperlink ref="S1010" r:id="rId1009" display="https://www.amazon.co.uk/dp/B07ZNVLN4R"/>
    <hyperlink ref="S1011" r:id="rId1010" display="https://www.amazon.co.uk/dp/B0CV6XDBHJ"/>
    <hyperlink ref="S1012" r:id="rId1011" display="https://www.amazon.co.uk/dp/B076Z6MS3F"/>
    <hyperlink ref="S1013" r:id="rId1012" display="https://www.amazon.co.uk/dp/B0CY9Q6KDW"/>
    <hyperlink ref="S1014" r:id="rId1013" display="https://www.amazon.co.uk/dp/B07DVYN14P"/>
    <hyperlink ref="S1015" r:id="rId1014" display="https://www.amazon.co.uk/dp/B0FJQGBCWM"/>
    <hyperlink ref="S1016" r:id="rId1015" display="https://www.amazon.co.uk/dp/B0B4F78QZX"/>
    <hyperlink ref="S1017" r:id="rId1016" display="https://www.amazon.co.uk/dp/B0CTTXR745"/>
    <hyperlink ref="S1018" r:id="rId1017" display="https://www.amazon.co.uk/dp/B085CTT2B1"/>
    <hyperlink ref="S1019" r:id="rId1018" display="https://www.amazon.co.uk/dp/B00J4RM850"/>
    <hyperlink ref="S1020" r:id="rId1019" display="https://www.amazon.co.uk/dp/B0H2MSHZFY"/>
    <hyperlink ref="S1021" r:id="rId1020" display="https://www.amazon.co.uk/dp/B0B1J9SL32"/>
    <hyperlink ref="S1022" r:id="rId1021" display="https://www.amazon.co.uk/dp/B00FDTEIO2"/>
    <hyperlink ref="S1023" r:id="rId1022" display="https://www.amazon.co.uk/dp/B0C9TZ5LZV"/>
    <hyperlink ref="S1024" r:id="rId1023" display="https://www.amazon.co.uk/dp/B09J94DB5H"/>
    <hyperlink ref="S1025" r:id="rId1024" display="https://www.amazon.co.uk/dp/B072M5ZT78"/>
    <hyperlink ref="S1026" r:id="rId1025" display="https://www.amazon.co.uk/dp/B0GZ7H55DG"/>
    <hyperlink ref="S1027" r:id="rId1026" display="https://www.amazon.co.uk/dp/B07MNPNDVW"/>
    <hyperlink ref="S1028" r:id="rId1027" display="https://www.amazon.co.uk/dp/B08NXZHCD4"/>
    <hyperlink ref="S1029" r:id="rId1028" display="https://www.amazon.co.uk/dp/B07M9RG9TT"/>
    <hyperlink ref="S1030" r:id="rId1029" display="https://www.amazon.co.uk/dp/B07ZHW1DK2"/>
    <hyperlink ref="S1031" r:id="rId1030" display="https://www.amazon.co.uk/dp/B07XC3L1H7"/>
    <hyperlink ref="S1032" r:id="rId1031" display="https://www.amazon.co.uk/dp/B076HGVP88"/>
    <hyperlink ref="S1033" r:id="rId1032" display="https://www.amazon.co.uk/dp/B0GJTZXT8Y"/>
    <hyperlink ref="S1034" r:id="rId1033" display="https://www.amazon.co.uk/dp/B076M25714"/>
    <hyperlink ref="S1035" r:id="rId1034" display="https://www.amazon.co.uk/dp/B0GPDCDV6K"/>
    <hyperlink ref="S1036" r:id="rId1035" display="https://www.amazon.co.uk/dp/B0DF1W1ZBY"/>
    <hyperlink ref="S1037" r:id="rId1036" display="https://www.amazon.co.uk/dp/B071FRV3Q1"/>
    <hyperlink ref="S1038" r:id="rId1037" display="https://www.amazon.co.uk/dp/B00GAXK1L4"/>
    <hyperlink ref="S1039" r:id="rId1038" display="https://www.amazon.co.uk/dp/B08DJ73WYQ"/>
    <hyperlink ref="S1040" r:id="rId1039" display="https://www.amazon.co.uk/dp/B0FPRHZPC9"/>
    <hyperlink ref="S1041" r:id="rId1040" display="https://www.amazon.co.uk/dp/B0H1CTSDM4"/>
    <hyperlink ref="S1042" r:id="rId1041" display="https://www.amazon.co.uk/dp/B0GZ7PN79W"/>
    <hyperlink ref="S1043" r:id="rId1042" display="https://www.amazon.co.uk/dp/B013TVZDXK"/>
    <hyperlink ref="S1044" r:id="rId1043" display="https://www.amazon.co.uk/dp/B0DP7TKRJ9"/>
    <hyperlink ref="S1045" r:id="rId1044" display="https://www.amazon.co.uk/dp/B01MYQ448Z"/>
    <hyperlink ref="S1046" r:id="rId1045" display="https://www.amazon.co.uk/dp/B0D4ZJCW48"/>
    <hyperlink ref="S1047" r:id="rId1046" display="https://www.amazon.co.uk/dp/B0H2MZGPPR"/>
    <hyperlink ref="S1048" r:id="rId1047" display="https://www.amazon.co.uk/dp/B0CQWD4KP6"/>
    <hyperlink ref="S1049" r:id="rId1048" display="https://www.amazon.co.uk/dp/B09LMDSS4D"/>
    <hyperlink ref="S1050" r:id="rId1049" display="https://www.amazon.co.uk/dp/B09C6HRPJ2"/>
    <hyperlink ref="S1051" r:id="rId1050" display="https://www.amazon.co.uk/dp/B01FZHB65A"/>
    <hyperlink ref="S1052" r:id="rId1051" display="https://www.amazon.co.uk/dp/B0B2FSX1MD"/>
    <hyperlink ref="S1053" r:id="rId1052" display="https://www.amazon.co.uk/dp/B07XF9BHG4"/>
    <hyperlink ref="S1054" r:id="rId1053" display="https://www.amazon.co.uk/dp/B01N537CYD"/>
    <hyperlink ref="S1055" r:id="rId1054" display="https://www.amazon.co.uk/dp/B0DZXRF743"/>
    <hyperlink ref="S1056" r:id="rId1055" display="https://www.amazon.co.uk/dp/B0CPHGBNGR"/>
    <hyperlink ref="S1057" r:id="rId1056" display="https://www.amazon.co.uk/dp/B0CKJ9QH91"/>
    <hyperlink ref="S1058" r:id="rId1057" display="https://www.amazon.co.uk/dp/B0D9LLSVC4"/>
    <hyperlink ref="S1059" r:id="rId1058" display="https://www.amazon.co.uk/dp/B0BMW25HYV"/>
    <hyperlink ref="S1060" r:id="rId1059" display="https://www.amazon.co.uk/dp/B0GDV1J184"/>
    <hyperlink ref="S1061" r:id="rId1060" display="https://www.amazon.co.uk/dp/B0D9LM8GJJ"/>
    <hyperlink ref="S1062" r:id="rId1061" display="https://www.amazon.co.uk/dp/B0D9LJHJBK"/>
    <hyperlink ref="S1063" r:id="rId1062" display="https://www.amazon.co.uk/dp/B071WJ74F4"/>
    <hyperlink ref="S1064" r:id="rId1063" display="https://www.amazon.co.uk/dp/B0H26RT1W3"/>
    <hyperlink ref="S1065" r:id="rId1064" display="https://www.amazon.co.uk/dp/B08TCCZ345"/>
    <hyperlink ref="S1066" r:id="rId1065" display="https://www.amazon.co.uk/dp/B0871VP4JX"/>
    <hyperlink ref="S1067" r:id="rId1066" display="https://www.amazon.co.uk/dp/B07L8VZNS9"/>
    <hyperlink ref="S1068" r:id="rId1067" display="https://www.amazon.co.uk/dp/B076HGVP89"/>
    <hyperlink ref="S1069" r:id="rId1068" display="https://www.amazon.co.uk/dp/B0F6728X3T"/>
    <hyperlink ref="S1070" r:id="rId1069" display="https://www.amazon.co.uk/dp/B09TFR2RGQ"/>
    <hyperlink ref="S1071" r:id="rId1070" display="https://www.amazon.co.uk/dp/B01N97ZO4S"/>
    <hyperlink ref="S1072" r:id="rId1071" display="https://www.amazon.co.uk/dp/B0CN72Q7PX"/>
    <hyperlink ref="S1073" r:id="rId1072" display="https://www.amazon.co.uk/dp/B07T1DVCM2"/>
    <hyperlink ref="S1074" r:id="rId1073" display="https://www.amazon.co.uk/dp/B0DBZSFVSJ"/>
    <hyperlink ref="S1075" r:id="rId1074" display="https://www.amazon.co.uk/dp/B07J1SC7NZ"/>
    <hyperlink ref="S1076" r:id="rId1075" display="https://www.amazon.co.uk/dp/B0GRVLLQWT"/>
    <hyperlink ref="S1077" r:id="rId1076" display="https://www.amazon.co.uk/dp/B0DBJ5SZDM"/>
    <hyperlink ref="S1078" r:id="rId1077" display="https://www.amazon.co.uk/dp/B0FDB9Z726"/>
    <hyperlink ref="S1079" r:id="rId1078" display="https://www.amazon.co.uk/dp/B01N1VZFXV"/>
    <hyperlink ref="S1080" r:id="rId1079" display="https://www.amazon.com/dp/B0F29F1JM5"/>
    <hyperlink ref="S1081" r:id="rId1080" display="https://www.amazon.com/dp/B0DN1DVKH5"/>
    <hyperlink ref="S1082" r:id="rId1081" display="https://www.amazon.com/dp/B0DN1H6C88"/>
    <hyperlink ref="S1083" r:id="rId1082" display="https://www.amazon.com/dp/B0FT7LV7PP"/>
    <hyperlink ref="S1084" r:id="rId1083" display="https://www.amazon.com/dp/B07DZTQ4JC"/>
    <hyperlink ref="S1085" r:id="rId1084" display="https://www.amazon.com/dp/B0FT7LZ2CD"/>
    <hyperlink ref="S1086" r:id="rId1085" display="https://www.amazon.com/dp/B0GFHGS4DP"/>
    <hyperlink ref="S1087" r:id="rId1086" display="https://www.amazon.com/dp/B07YKCZHGK"/>
    <hyperlink ref="S1088" r:id="rId1087" display="https://www.amazon.com/dp/B0H4SZWRK8"/>
    <hyperlink ref="S1089" r:id="rId1088" display="https://www.amazon.com/dp/B0FT7LB4HT"/>
    <hyperlink ref="S1090" r:id="rId1089" display="https://www.amazon.com/dp/B01N9L2O9P"/>
    <hyperlink ref="S1091" r:id="rId1090" display="https://www.amazon.com/dp/B0DNSGPQCZ"/>
    <hyperlink ref="S1092" r:id="rId1091" display="https://www.amazon.com/dp/B0DNSSYC77"/>
    <hyperlink ref="S1093" r:id="rId1092" display="https://www.amazon.com/dp/B0FT7NXWTL"/>
    <hyperlink ref="S1094" r:id="rId1093" display="https://www.amazon.com/dp/B0F9DZ8P6K"/>
    <hyperlink ref="S1095" r:id="rId1094" display="https://www.amazon.com/dp/B0B8JLLT45"/>
    <hyperlink ref="S1096" r:id="rId1095" display="https://www.amazon.com/dp/B0DN1D4YKB"/>
    <hyperlink ref="S1097" r:id="rId1096" display="https://www.amazon.com/dp/B0DN1H5PQ6"/>
    <hyperlink ref="S1098" r:id="rId1097" display="https://www.amazon.com/dp/B0HJ5LB5JL"/>
    <hyperlink ref="S1099" r:id="rId1098" display="https://www.amazon.com/dp/B0HF3WVG8L"/>
    <hyperlink ref="S1100" r:id="rId1099" display="https://www.amazon.com/dp/B01M16WBW1"/>
    <hyperlink ref="S1101" r:id="rId1100" display="https://www.amazon.com/dp/B0GT8Z4X5D"/>
    <hyperlink ref="S1102" r:id="rId1101" display="https://www.amazon.com/dp/B0G3NPXJTQ"/>
    <hyperlink ref="S1103" r:id="rId1102" display="https://www.amazon.com/dp/B0GX15Y7TT"/>
    <hyperlink ref="S1104" r:id="rId1103" display="https://www.amazon.com/dp/B0GK7YYHY7"/>
    <hyperlink ref="S1105" r:id="rId1104" display="https://www.amazon.com/dp/B0FT7M48XV"/>
    <hyperlink ref="S1106" r:id="rId1105" display="https://www.amazon.com/dp/B0FB8XR43Q"/>
    <hyperlink ref="S1107" r:id="rId1106" display="https://www.amazon.com/dp/B0GTZ8J8DJ"/>
    <hyperlink ref="S1108" r:id="rId1107" display="https://www.amazon.com/dp/B09PYKYCCF"/>
    <hyperlink ref="S1109" r:id="rId1108" display="https://www.amazon.com/dp/B07MZ4GKZH"/>
    <hyperlink ref="S1110" r:id="rId1109" display="https://www.amazon.com/dp/B07MZ9223H"/>
    <hyperlink ref="S1111" r:id="rId1110" display="https://www.amazon.com/dp/B07YK8VTJV"/>
    <hyperlink ref="S1112" r:id="rId1111" display="https://www.amazon.com/dp/B0FT7Q2PLM"/>
    <hyperlink ref="S1113" r:id="rId1112" display="https://www.amazon.com/dp/B07YKCQBBL"/>
    <hyperlink ref="S1114" r:id="rId1113" display="https://www.amazon.com/dp/B0C97CQNRK"/>
    <hyperlink ref="S1115" r:id="rId1114" display="https://www.amazon.com/dp/B0DR987TQH"/>
    <hyperlink ref="S1116" r:id="rId1115" display="https://www.amazon.com/dp/B0DSZTLBV1"/>
    <hyperlink ref="S1117" r:id="rId1116" display="https://www.amazon.com/dp/B0H5W8TD2W"/>
    <hyperlink ref="S1118" r:id="rId1117" display="https://www.amazon.com/dp/B0F29HFNNS"/>
    <hyperlink ref="S1119" r:id="rId1118" display="https://www.amazon.com/dp/B0F4KP9QQG"/>
    <hyperlink ref="S1120" r:id="rId1119" display="https://www.amazon.com/dp/B0G1N8QS55"/>
    <hyperlink ref="S1121" r:id="rId1120" display="https://www.amazon.com/dp/B07YKCB6GL"/>
    <hyperlink ref="S1122" r:id="rId1121" display="https://www.amazon.com/dp/B0F486YPLG"/>
    <hyperlink ref="S1123" r:id="rId1122" display="https://www.amazon.com/dp/B0DD6KM2BW"/>
    <hyperlink ref="S1124" r:id="rId1123" display="https://www.amazon.com/dp/B0H1M9LYGP"/>
    <hyperlink ref="S1125" r:id="rId1124" display="https://www.amazon.com/dp/B0CQ2XQF9N"/>
    <hyperlink ref="S1126" r:id="rId1125" display="https://www.amazon.com/dp/B0H9QD7RD5"/>
    <hyperlink ref="S1127" r:id="rId1126" display="https://www.amazon.com/dp/B0H23DX2WS"/>
    <hyperlink ref="S1128" r:id="rId1127" display="https://www.amazon.com/dp/B08CRJYM55"/>
    <hyperlink ref="S1129" r:id="rId1128" display="https://www.amazon.com/dp/B0B7JRZ6LX"/>
    <hyperlink ref="S1130" r:id="rId1129" display="https://www.amazon.com/dp/B0HBQ4JJ21"/>
    <hyperlink ref="S1131" r:id="rId1130" display="https://www.amazon.com/dp/B0BNJDPSF7"/>
    <hyperlink ref="S1132" r:id="rId1131" display="https://www.amazon.com/dp/B0CJJT1PT6"/>
    <hyperlink ref="S1133" r:id="rId1132" display="https://www.amazon.com/dp/B0DQ8CZ187"/>
    <hyperlink ref="S1134" r:id="rId1133" display="https://www.amazon.com/dp/B0CXPVQ5DK"/>
    <hyperlink ref="S1135" r:id="rId1134" display="https://www.amazon.com/dp/B0DX75YHHS"/>
    <hyperlink ref="S1136" r:id="rId1135" display="https://www.amazon.com/dp/B08CRNCJFC"/>
    <hyperlink ref="S1137" r:id="rId1136" display="https://www.amazon.com/dp/B08P4SLD52"/>
    <hyperlink ref="S1138" r:id="rId1137" display="https://www.amazon.com/dp/B0DM637LTF"/>
    <hyperlink ref="S1139" r:id="rId1138" display="https://www.amazon.com/dp/B0DXK4H9GK"/>
    <hyperlink ref="S1140" r:id="rId1139" display="https://www.amazon.com/dp/B0C4GJSJ9M"/>
    <hyperlink ref="S1141" r:id="rId1140" display="https://www.amazon.com/dp/B09R93GGS4"/>
    <hyperlink ref="S1142" r:id="rId1141" display="https://www.amazon.com/dp/B0F2168H6R"/>
    <hyperlink ref="S1143" r:id="rId1142" display="https://www.amazon.com/dp/B0CPDMH1C7"/>
    <hyperlink ref="S1144" r:id="rId1143" display="https://www.amazon.com/dp/B07NYR18X4"/>
    <hyperlink ref="S1145" r:id="rId1144" display="https://www.amazon.com/dp/B0DRP4NB2D"/>
    <hyperlink ref="S1146" r:id="rId1145" display="https://www.amazon.com/dp/B0CN35M4F4"/>
    <hyperlink ref="S1147" r:id="rId1146" display="https://www.amazon.com/dp/B0D14L8P87"/>
    <hyperlink ref="S1148" r:id="rId1147" display="https://www.amazon.com/dp/B0CVVJ5D94"/>
    <hyperlink ref="S1149" r:id="rId1148" display="https://www.amazon.com/dp/B0CMZX4425"/>
    <hyperlink ref="S1150" r:id="rId1149" display="https://www.amazon.com/dp/B0DW3CLZSY"/>
    <hyperlink ref="S1151" r:id="rId1150" display="https://www.amazon.com/dp/B0C5398TC4"/>
    <hyperlink ref="S1152" r:id="rId1151" display="https://www.amazon.com/dp/B0CBPRLJ8Y"/>
    <hyperlink ref="S1153" r:id="rId1152" display="https://www.amazon.com/dp/B076DD56XT"/>
    <hyperlink ref="S1154" r:id="rId1153" display="https://www.amazon.com/dp/B0C7Q6LFQ5"/>
    <hyperlink ref="S1155" r:id="rId1154" display="https://www.amazon.com/dp/B0FNMXV7CF"/>
    <hyperlink ref="S1156" r:id="rId1155" display="https://www.amazon.com/dp/B0BLVH5YX3"/>
    <hyperlink ref="S1157" r:id="rId1156" display="https://www.amazon.com/dp/B0D78WSGV8"/>
    <hyperlink ref="S1158" r:id="rId1157" display="https://www.amazon.com/dp/B0CFLJZ7B1"/>
    <hyperlink ref="S1159" r:id="rId1158" display="https://www.amazon.com/dp/B0CMTT1WPV"/>
    <hyperlink ref="S1160" r:id="rId1159" display="https://www.amazon.com/dp/B0CZ94J4N9"/>
    <hyperlink ref="S1161" r:id="rId1160" display="https://www.amazon.com/dp/B0CJJRHGGB"/>
    <hyperlink ref="S1162" r:id="rId1161" display="https://www.amazon.com/dp/B0F9PHMHSM"/>
    <hyperlink ref="S1163" r:id="rId1162" display="https://www.amazon.com/dp/B0CM3H9MRY"/>
    <hyperlink ref="S1164" r:id="rId1163" display="https://www.amazon.com/dp/B0G4RN1DQB"/>
    <hyperlink ref="S1165" r:id="rId1164" display="https://www.amazon.com/dp/B0CGLPC42G"/>
    <hyperlink ref="S1166" r:id="rId1165" display="https://www.amazon.com/dp/B0FFGG2LRT"/>
    <hyperlink ref="S1167" r:id="rId1166" display="https://www.amazon.com/dp/B08YXKR996"/>
    <hyperlink ref="S1168" r:id="rId1167" display="https://www.amazon.com/dp/B07R4659ZY"/>
    <hyperlink ref="S1169" r:id="rId1168" display="https://www.amazon.com/dp/B08LDD8HBW"/>
    <hyperlink ref="S1170" r:id="rId1169" display="https://www.amazon.com/dp/B0DB6Q5LB6"/>
    <hyperlink ref="S1171" r:id="rId1170" display="https://www.amazon.com/dp/B01MAY5GMK"/>
    <hyperlink ref="S1172" r:id="rId1171" display="https://www.amazon.com/dp/B0D1Q8SMMQ"/>
    <hyperlink ref="S1173" r:id="rId1172" display="https://www.amazon.com/dp/B0C81BFLY3"/>
    <hyperlink ref="S1174" r:id="rId1173" display="https://www.amazon.com/dp/B0D14NLG98"/>
    <hyperlink ref="S1175" r:id="rId1174" display="https://www.amazon.com/dp/B09P9T7SDH"/>
    <hyperlink ref="S1176" r:id="rId1175" display="https://www.amazon.com/dp/B0BP6DZ862"/>
    <hyperlink ref="S1177" r:id="rId1176" display="https://www.amazon.com/dp/B0CVVJP4S2"/>
    <hyperlink ref="S1178" r:id="rId1177" display="https://www.amazon.com/dp/B096VJGR9P"/>
    <hyperlink ref="S1179" r:id="rId1178" display="https://www.amazon.com/dp/B07SN29DSN"/>
    <hyperlink ref="S1180" r:id="rId1179" display="https://www.amazon.com/dp/B07QK9CTXR"/>
    <hyperlink ref="S1181" r:id="rId1180" display="https://www.amazon.com/dp/B0BBR7RRQN"/>
    <hyperlink ref="S1182" r:id="rId1181" display="https://www.amazon.com/dp/B0CMDCQP95"/>
    <hyperlink ref="S1183" r:id="rId1182" display="https://www.amazon.com/dp/B0878F2QBG"/>
    <hyperlink ref="S1184" r:id="rId1183" display="https://www.amazon.com/dp/B0F1JS324L"/>
    <hyperlink ref="S1185" r:id="rId1184" display="https://www.amazon.com/dp/B089DF5522"/>
    <hyperlink ref="S1186" r:id="rId1185" display="https://www.amazon.com/dp/B0DYNW3MG5"/>
    <hyperlink ref="S1187" r:id="rId1186" display="https://www.amazon.com/dp/B0BP71XHBF"/>
    <hyperlink ref="S1188" r:id="rId1187" display="https://www.amazon.com/dp/B07DN8Z3QK"/>
    <hyperlink ref="S1189" r:id="rId1188" display="https://www.amazon.com/dp/B08CXNGZFJ"/>
    <hyperlink ref="S1190" r:id="rId1189" display="https://www.amazon.com/dp/B0GYZ7QW64"/>
    <hyperlink ref="S1191" r:id="rId1190" display="https://www.amazon.com/dp/B0DPM2RZ7K"/>
    <hyperlink ref="S1192" r:id="rId1191" display="https://www.amazon.com/dp/B0F1Y1KXWL"/>
    <hyperlink ref="S1193" r:id="rId1192" display="https://www.amazon.com/dp/B0CG5Z9ZQL"/>
    <hyperlink ref="S1194" r:id="rId1193" display="https://www.amazon.com/dp/B0FDGP8PTK"/>
    <hyperlink ref="S1195" r:id="rId1194" display="https://www.amazon.com/dp/B0B134Z3B8"/>
    <hyperlink ref="S1196" r:id="rId1195" display="https://www.amazon.com/dp/B0BX99W4NY"/>
    <hyperlink ref="S1197" r:id="rId1196" display="https://www.amazon.com/dp/B0DSG7PSD1"/>
    <hyperlink ref="S1198" r:id="rId1197" display="https://www.amazon.com/dp/B0BP68H7H2"/>
    <hyperlink ref="S1199" r:id="rId1198" display="https://www.amazon.com/dp/B0DPHHDMXY"/>
    <hyperlink ref="S1200" r:id="rId1199" display="https://www.amazon.com/dp/B0CG63F3JH"/>
    <hyperlink ref="S1201" r:id="rId1200" display="https://www.amazon.com/dp/B0F6LQVY6N"/>
    <hyperlink ref="S1202" r:id="rId1201" display="https://www.amazon.com/dp/B0BLYJM6JP"/>
    <hyperlink ref="S1203" r:id="rId1202" display="https://www.amazon.com/dp/B0GCFG328J"/>
    <hyperlink ref="S1204" r:id="rId1203" display="https://www.amazon.com/dp/B0FN7L9FPZ"/>
    <hyperlink ref="S1205" r:id="rId1204" display="https://www.amazon.com/dp/B0CV4JLMJ1"/>
    <hyperlink ref="S1206" r:id="rId1205" display="https://www.amazon.com/dp/B08CXCMWXL"/>
    <hyperlink ref="S1207" r:id="rId1206" display="https://www.amazon.com/dp/B07D2G8C9Q"/>
    <hyperlink ref="S1208" r:id="rId1207" display="https://www.amazon.com/dp/B01M1N9M29"/>
    <hyperlink ref="S1209" r:id="rId1208" display="https://www.amazon.com/dp/B0FNM6J1FQ"/>
    <hyperlink ref="S1210" r:id="rId1209" display="https://www.amazon.com/dp/B08FRS5PRK"/>
    <hyperlink ref="S1211" r:id="rId1210" display="https://www.amazon.com/dp/B089161BPR"/>
    <hyperlink ref="S1212" r:id="rId1211" display="https://www.amazon.com/dp/B0DXBYCVNV"/>
    <hyperlink ref="S1213" r:id="rId1212" display="https://www.amazon.com/dp/B0FPCGNSXB"/>
    <hyperlink ref="S1214" r:id="rId1213" display="https://www.amazon.com/dp/B0DS1SDZSC"/>
    <hyperlink ref="S1215" r:id="rId1214" display="https://www.amazon.com/dp/B0DPYLT65B"/>
    <hyperlink ref="S1216" r:id="rId1215" display="https://www.amazon.com/dp/B07MQ8GQ11"/>
    <hyperlink ref="S1217" r:id="rId1216" display="https://www.amazon.com/dp/B0GKFM1Z6G"/>
    <hyperlink ref="S1218" r:id="rId1217" display="https://www.amazon.com/dp/B0GVDZLFS5"/>
    <hyperlink ref="S1219" r:id="rId1218" display="https://www.amazon.com/dp/B0GYZ4CSJJ"/>
    <hyperlink ref="S1220" r:id="rId1219" display="https://www.amazon.com/dp/B0GGZCJQJL"/>
    <hyperlink ref="S1221" r:id="rId1220" display="https://www.amazon.com/dp/B0FDGQXWL5"/>
    <hyperlink ref="S1222" r:id="rId1221" display="https://www.amazon.com/dp/B0DL9STLQV"/>
    <hyperlink ref="S1223" r:id="rId1222" display="https://www.amazon.com/dp/B0CPDMH1C7"/>
    <hyperlink ref="S1224" r:id="rId1223" display="https://www.amazon.com/dp/B07QHNC81Z"/>
    <hyperlink ref="S1225" r:id="rId1224" display="https://www.amazon.com/dp/B07QHKSFQX"/>
    <hyperlink ref="S1226" r:id="rId1225" display="https://www.amazon.com/dp/B07QDB7NXR"/>
    <hyperlink ref="S1227" r:id="rId1226" display="https://www.amazon.com/dp/B0872GW9FD"/>
    <hyperlink ref="S1228" r:id="rId1227" display="https://www.amazon.com/dp/B0FQW7HK45"/>
    <hyperlink ref="S1229" r:id="rId1228" display="https://www.amazon.com/dp/B07QDB7DSZ"/>
    <hyperlink ref="S1230" r:id="rId1229" display="https://www.amazon.com/dp/B07QHH91VJ"/>
    <hyperlink ref="S1231" r:id="rId1230" display="https://www.amazon.com/dp/B0F23QNHJS"/>
    <hyperlink ref="S1232" r:id="rId1231" display="https://www.amazon.com/dp/B00XK9CO16"/>
    <hyperlink ref="S1233" r:id="rId1232" display="https://www.amazon.com/dp/B07QCCH7YM"/>
    <hyperlink ref="S1234" r:id="rId1233" display="https://www.amazon.com/dp/B0CXTX9VRB"/>
    <hyperlink ref="S1235" r:id="rId1234" display="https://www.amazon.com/dp/B0BY47T7M2"/>
    <hyperlink ref="S1236" r:id="rId1235" display="https://www.amazon.com/dp/B08LG7ZYL5"/>
    <hyperlink ref="S1237" r:id="rId1236" display="https://www.amazon.com/dp/B00XK9CCBI"/>
    <hyperlink ref="S1238" r:id="rId1237" display="https://www.amazon.com/dp/B07PDTN281"/>
    <hyperlink ref="S1239" r:id="rId1238" display="https://www.amazon.com/dp/B0758CB6VM"/>
    <hyperlink ref="S1240" r:id="rId1239" display="https://www.amazon.com/dp/B0953X2JY3"/>
    <hyperlink ref="S1241" r:id="rId1240" display="https://www.amazon.com/dp/B07QBCQLKP"/>
    <hyperlink ref="S1242" r:id="rId1241" display="https://www.amazon.com/dp/B0C5FNB9R4"/>
    <hyperlink ref="S1243" r:id="rId1242" display="https://www.amazon.com/dp/B083PQH4TZ"/>
    <hyperlink ref="S1244" r:id="rId1243" display="https://www.amazon.com/dp/B08HRRG4KM"/>
    <hyperlink ref="S1245" r:id="rId1244" display="https://www.amazon.com/dp/B06WWRCZXX"/>
    <hyperlink ref="S1246" r:id="rId1245" display="https://www.amazon.com/dp/B07PFRGWN1"/>
    <hyperlink ref="S1247" r:id="rId1246" display="https://www.amazon.com/dp/B072BQV256"/>
    <hyperlink ref="S1248" r:id="rId1247" display="https://www.amazon.com/dp/B09FG3YCJ6"/>
    <hyperlink ref="S1249" r:id="rId1248" display="https://www.amazon.com/dp/B0CXJBZV1N"/>
    <hyperlink ref="S1250" r:id="rId1249" display="https://www.amazon.com/dp/B0BF56KDYN"/>
    <hyperlink ref="S1251" r:id="rId1250" display="https://www.amazon.com/dp/B07F97MPYT"/>
    <hyperlink ref="S1252" r:id="rId1251" display="https://www.amazon.com/dp/B0DJDVFH46"/>
    <hyperlink ref="S1253" r:id="rId1252" display="https://www.amazon.com/dp/B0BFB5ZF94"/>
    <hyperlink ref="S1254" r:id="rId1253" display="https://www.amazon.com/dp/B07SYF15F5"/>
    <hyperlink ref="S1255" r:id="rId1254" display="https://www.amazon.com/dp/B07TNTHGWH"/>
    <hyperlink ref="S1256" r:id="rId1255" display="https://www.amazon.com/dp/B0BWJ4MLLZ"/>
    <hyperlink ref="S1257" r:id="rId1256" display="https://www.amazon.com/dp/B0F9KFBCFH"/>
    <hyperlink ref="S1258" r:id="rId1257" display="https://www.amazon.com/dp/B0B3HYD7SM"/>
    <hyperlink ref="S1259" r:id="rId1258" display="https://www.amazon.com/dp/B0FKGL4ZWB"/>
    <hyperlink ref="S1260" r:id="rId1259" display="https://www.amazon.com/dp/B09XJGLHY7"/>
    <hyperlink ref="S1261" r:id="rId1260" display="https://www.amazon.com/dp/B0DSVWNY2W"/>
    <hyperlink ref="S1262" r:id="rId1261" display="https://www.amazon.com/dp/B01LWMWAXV"/>
    <hyperlink ref="S1263" r:id="rId1262" display="https://www.amazon.com/dp/B0F3X4X4XV"/>
    <hyperlink ref="S1264" r:id="rId1263" display="https://www.amazon.com/dp/B0B6P8YLQ7"/>
    <hyperlink ref="S1265" r:id="rId1264" display="https://www.amazon.com/dp/B07KQYKX46"/>
    <hyperlink ref="S1266" r:id="rId1265" display="https://www.amazon.com/dp/B01G4AEUQ4"/>
    <hyperlink ref="S1267" r:id="rId1266" display="https://www.amazon.com/dp/B01M16WBW1"/>
    <hyperlink ref="S1268" r:id="rId1267" display="https://www.amazon.com/dp/B019J3R8EO"/>
    <hyperlink ref="S1269" r:id="rId1268" display="https://www.amazon.com/dp/B09P2X7PTW"/>
    <hyperlink ref="S1270" r:id="rId1269" display="https://www.amazon.com/dp/B07F946VMJ"/>
    <hyperlink ref="S1271" r:id="rId1270" display="https://www.amazon.com/dp/B0D8432Q67"/>
    <hyperlink ref="S1272" r:id="rId1271" display="https://www.amazon.com/dp/B0CJC85HL6"/>
    <hyperlink ref="S1273" r:id="rId1272" display="https://www.amazon.com/dp/B0CG8QQJTS"/>
    <hyperlink ref="S1274" r:id="rId1273" display="https://www.amazon.com/dp/B0GQBSWRT7"/>
    <hyperlink ref="S1275" r:id="rId1274" display="https://www.amazon.com/dp/B0DJ32KJ42"/>
    <hyperlink ref="S1276" r:id="rId1275" display="https://www.amazon.com/dp/B0DHCYFKY7"/>
    <hyperlink ref="S1277" r:id="rId1276" display="https://www.amazon.com/dp/B07RY59C3W"/>
    <hyperlink ref="S1278" r:id="rId1277" display="https://www.amazon.com/dp/B0F5B3KNKB"/>
    <hyperlink ref="S1279" r:id="rId1278" display="https://www.amazon.com/dp/B0CG8KDPYJ"/>
    <hyperlink ref="S1280" r:id="rId1279" display="https://www.amazon.com/dp/B0FZC1ZGWC"/>
    <hyperlink ref="S1281" r:id="rId1280" display="https://www.amazon.com/dp/B0FQBV6TFR"/>
    <hyperlink ref="S1282" r:id="rId1281" display="https://www.amazon.com/dp/B0DJ32DF26"/>
    <hyperlink ref="S1283" r:id="rId1282" display="https://www.amazon.com/dp/B06WLH7VN2"/>
    <hyperlink ref="S1284" r:id="rId1283" display="https://www.amazon.com/dp/B0F5B15XHM"/>
    <hyperlink ref="S1285" r:id="rId1284" display="https://www.amazon.com/dp/B0DS8D5Q48"/>
    <hyperlink ref="S1286" r:id="rId1285" display="https://www.amazon.com/dp/B0FQBYL35F"/>
    <hyperlink ref="S1287" r:id="rId1286" display="https://www.amazon.com/dp/B06WLHKKBG"/>
    <hyperlink ref="S1288" r:id="rId1287" display="https://www.amazon.com/dp/B0D8SZWW1P"/>
    <hyperlink ref="S1289" r:id="rId1288" display="https://www.amazon.com/dp/B0FBWP5DWB"/>
    <hyperlink ref="S1290" r:id="rId1289" display="https://www.amazon.com/dp/B0F23BHYXQ"/>
    <hyperlink ref="S1291" r:id="rId1290" display="https://www.amazon.com/dp/B0BV2HPPT4"/>
    <hyperlink ref="S1292" r:id="rId1291" display="https://www.amazon.com/dp/B0H3T4DV45"/>
    <hyperlink ref="S1293" r:id="rId1292" display="https://www.amazon.com/dp/B0DCBP5T2Z"/>
    <hyperlink ref="S1294" r:id="rId1293" display="https://www.amazon.com/dp/B0HMR976K2"/>
    <hyperlink ref="S1295" r:id="rId1294" display="https://www.amazon.com/dp/B06WWRCZXX"/>
    <hyperlink ref="S1296" r:id="rId1295" display="https://www.amazon.com/dp/B00VLE32Y0"/>
    <hyperlink ref="S1297" r:id="rId1296" display="https://www.amazon.com/dp/B0HHDRLCPP"/>
    <hyperlink ref="S1298" r:id="rId1297" display="https://www.amazon.com/dp/B073WD5KPX"/>
    <hyperlink ref="S1299" r:id="rId1298" display="https://www.amazon.com/dp/B0CG85DVTD"/>
    <hyperlink ref="S1300" r:id="rId1299" display="https://www.amazon.com/dp/B0FBWNVY29"/>
    <hyperlink ref="S1301" r:id="rId1300" display="https://www.amazon.com/dp/B0FZBWLKTV"/>
    <hyperlink ref="S1302" r:id="rId1301" display="https://www.amazon.com/dp/B0HFMY5NJ1"/>
    <hyperlink ref="S1303" r:id="rId1302" display="https://www.amazon.com/dp/B0CJCC5BSS"/>
    <hyperlink ref="S1304" r:id="rId1303" display="https://www.amazon.com/dp/B0F6KRRDDR"/>
    <hyperlink ref="S1305" r:id="rId1304" display="https://www.amazon.com/dp/B0CGDH9K3K"/>
    <hyperlink ref="S1306" r:id="rId1305" display="https://www.amazon.com/dp/B0F5B6M2P4"/>
    <hyperlink ref="S1307" r:id="rId1306" display="https://www.amazon.com/dp/B0H36KKGPB"/>
    <hyperlink ref="S1308" r:id="rId1307" display="https://www.amazon.com/dp/B0FNN1FD31"/>
    <hyperlink ref="S1309" r:id="rId1308" display="https://www.amazon.com/dp/B0BX33VTLQ"/>
    <hyperlink ref="S1310" r:id="rId1309" display="https://www.amazon.com/dp/B0C8THY237"/>
    <hyperlink ref="S1311" r:id="rId1310" display="https://www.amazon.com/dp/B0FBR1ZTCV"/>
    <hyperlink ref="S1312" r:id="rId1311" display="https://www.amazon.com/dp/B0D8SZDMSH"/>
    <hyperlink ref="S1313" r:id="rId1312" display="https://www.amazon.com/dp/B0FDF4T5H6"/>
    <hyperlink ref="S1314" r:id="rId1313" display="https://www.amazon.com/dp/B073WDLYCG"/>
    <hyperlink ref="S1315" r:id="rId1314" display="https://www.amazon.com/dp/B0BLVBG31W"/>
    <hyperlink ref="S1316" r:id="rId1315" display="https://www.amazon.com/dp/B0G23YJBJY"/>
    <hyperlink ref="S1317" r:id="rId1316" display="https://www.amazon.com/dp/B0GGN7F725"/>
    <hyperlink ref="S1318" r:id="rId1317" display="https://www.amazon.com/dp/B0FNR66213"/>
    <hyperlink ref="S1319" r:id="rId1318" display="https://www.amazon.com/dp/B01M7Z2F53"/>
    <hyperlink ref="S1320" r:id="rId1319" display="https://www.amazon.com/dp/B0HBXG8YK1"/>
    <hyperlink ref="S1321" r:id="rId1320" display="https://www.amazon.com/dp/B0HCV3JB5J"/>
    <hyperlink ref="S1322" r:id="rId1321" display="https://www.amazon.com/dp/B0GGHW23N4"/>
    <hyperlink ref="S1323" r:id="rId1322" display="https://www.amazon.com/dp/B0GFLSRNWL"/>
    <hyperlink ref="S1324" r:id="rId1323" display="https://www.amazon.com/dp/B0HF8HHN46"/>
    <hyperlink ref="S1325" r:id="rId1324" display="https://www.amazon.com/dp/B0HJ5Q19KM"/>
    <hyperlink ref="S1326" r:id="rId1325" display="https://www.amazon.com/dp/B0GFMRBQKM"/>
    <hyperlink ref="S1327" r:id="rId1326" display="https://www.amazon.com/dp/B0HBX793L8"/>
    <hyperlink ref="S1328" r:id="rId1327" display="https://www.amazon.com/dp/B0HF3WVG8L"/>
    <hyperlink ref="S1329" r:id="rId1328" display="https://www.amazon.com/dp/B07YKCZHGK"/>
    <hyperlink ref="S1330" r:id="rId1329" display="https://www.amazon.com/dp/B0GVGQMMPM"/>
    <hyperlink ref="S1331" r:id="rId1330" display="https://www.amazon.com/dp/B0D2ZZ4MBM"/>
    <hyperlink ref="S1332" r:id="rId1331" display="https://www.amazon.com/dp/B0FMK5SFPB"/>
    <hyperlink ref="S1333" r:id="rId1332" display="https://www.amazon.com/dp/B0FMK4RRDT"/>
    <hyperlink ref="S1334" r:id="rId1333" display="https://www.amazon.com/dp/B0HMK9N65K"/>
    <hyperlink ref="S1335" r:id="rId1334" display="https://www.amazon.com/dp/B0GFLQBC63"/>
    <hyperlink ref="S1336" r:id="rId1335" display="https://www.amazon.com/dp/B0H28B9YX5"/>
    <hyperlink ref="S1337" r:id="rId1336" display="https://www.amazon.com/dp/B0HJYPDB6R"/>
    <hyperlink ref="S1338" r:id="rId1337" display="https://www.amazon.com/dp/B0D313RMST"/>
    <hyperlink ref="S1339" r:id="rId1338" display="https://www.amazon.com/dp/B0DYDBQ46X"/>
    <hyperlink ref="S1340" r:id="rId1339" display="https://www.amazon.com/dp/B0F7H6G68K"/>
    <hyperlink ref="S1341" r:id="rId1340" display="https://www.amazon.com/dp/B0H1RCSJ2Z"/>
    <hyperlink ref="S1342" r:id="rId1341" display="https://www.amazon.com/dp/B0GFLZDJQY"/>
    <hyperlink ref="S1343" r:id="rId1342" display="https://www.amazon.com/dp/B0GX631BCR"/>
    <hyperlink ref="S1344" r:id="rId1343" display="https://www.amazon.com/dp/B0D3137R61"/>
    <hyperlink ref="S1345" r:id="rId1344" display="https://www.amazon.com/dp/B0H9VP8HCN"/>
    <hyperlink ref="S1346" r:id="rId1345" display="https://www.amazon.com/dp/B01LWMWAXV"/>
    <hyperlink ref="S1347" r:id="rId1346" display="https://www.amazon.com/dp/B0GX5YWXGJ"/>
    <hyperlink ref="S1348" r:id="rId1347" display="https://www.amazon.com/dp/B0GLM9JHRZ"/>
    <hyperlink ref="S1349" r:id="rId1348" display="https://www.amazon.com/dp/B0DV856S56"/>
    <hyperlink ref="S1350" r:id="rId1349" display="https://www.amazon.com/dp/B0GK8W4D3W"/>
    <hyperlink ref="S1351" r:id="rId1350" display="https://www.amazon.com/dp/B082MS6MFF"/>
    <hyperlink ref="S1352" r:id="rId1351" display="https://www.amazon.com/dp/B0DN1DVKH5"/>
    <hyperlink ref="S1353" r:id="rId1352" display="https://www.amazon.com/dp/B0GX5SNMQ5"/>
    <hyperlink ref="S1354" r:id="rId1353" display="https://www.amazon.com/dp/B0CKJ9Z4FK"/>
    <hyperlink ref="S1355" r:id="rId1354" display="https://www.amazon.com/dp/B07YVN1Z95"/>
    <hyperlink ref="S1356" r:id="rId1355" display="https://www.amazon.com/dp/B0DCZPZ8J9"/>
    <hyperlink ref="S1357" r:id="rId1356" display="https://www.amazon.com/dp/B084RCWSC5"/>
    <hyperlink ref="S1358" r:id="rId1357" display="https://www.amazon.com/dp/B0HKTTSZB2"/>
    <hyperlink ref="S1359" r:id="rId1358" display="https://www.amazon.com/dp/B0FT7LV7PP"/>
    <hyperlink ref="S1360" r:id="rId1359" display="https://www.amazon.com/dp/B0F9YWB41B"/>
    <hyperlink ref="S1361" r:id="rId1360" display="https://www.amazon.com/dp/B0DRPDHXRT"/>
    <hyperlink ref="S1362" r:id="rId1361" display="https://www.amazon.com/dp/B08T8ZBFMT"/>
    <hyperlink ref="S1363" r:id="rId1362" display="https://www.amazon.com/dp/B0DC5J24YC"/>
    <hyperlink ref="S1364" r:id="rId1363" display="https://www.amazon.com/dp/B0GX15Y7TT"/>
    <hyperlink ref="S1365" r:id="rId1364" display="https://www.amazon.com/dp/B0F3XR6WCM"/>
    <hyperlink ref="S1366" r:id="rId1365" display="https://www.amazon.com/dp/B09JV1NG9R"/>
    <hyperlink ref="S1367" r:id="rId1366" display="https://www.amazon.com/dp/B0CFV87Z7H"/>
    <hyperlink ref="S1368" r:id="rId1367" display="https://www.amazon.com/dp/B0H1H9XRLF"/>
    <hyperlink ref="S1369" r:id="rId1368" display="https://www.amazon.com/dp/B0G1YDDMCG"/>
    <hyperlink ref="S1370" r:id="rId1369" display="https://www.amazon.com/dp/B07YBKW2XP"/>
    <hyperlink ref="S1371" r:id="rId1370" display="https://www.amazon.com/dp/B01N6LRCZ5"/>
    <hyperlink ref="S1372" r:id="rId1371" display="https://www.amazon.com/dp/B092CR2V5N"/>
    <hyperlink ref="S1373" r:id="rId1372" display="https://www.amazon.com/dp/B09ZHS2YHZ"/>
    <hyperlink ref="S1374" r:id="rId1373" display="https://www.amazon.com/dp/B0H5W4T644"/>
    <hyperlink ref="S1375" r:id="rId1374" display="https://www.amazon.com/dp/B0CW66LT8P"/>
    <hyperlink ref="S1376" r:id="rId1375" display="https://www.amazon.com/dp/B0982CNXJN"/>
    <hyperlink ref="S1377" r:id="rId1376" display="https://www.amazon.com/dp/B07RT3R7VL"/>
    <hyperlink ref="S1378" r:id="rId1377" display="https://www.amazon.com/dp/B0FR4Q8XXS"/>
    <hyperlink ref="S1379" r:id="rId1378" display="https://www.amazon.com/dp/B0GWZQB6GD"/>
    <hyperlink ref="S1380" r:id="rId1379" display="https://www.amazon.com/dp/B09ZF3F5FW"/>
    <hyperlink ref="S1381" r:id="rId1380" display="https://www.amazon.com/dp/B0C4929WC7"/>
    <hyperlink ref="S1382" r:id="rId1381" display="https://www.amazon.com/dp/B0F1K46L51"/>
    <hyperlink ref="S1383" r:id="rId1382" display="https://www.amazon.com/dp/B09PFN7SYV"/>
    <hyperlink ref="S1384" r:id="rId1383" display="https://www.amazon.com/dp/B0CS9T5V6Z"/>
    <hyperlink ref="S1385" r:id="rId1384" display="https://www.amazon.com/dp/B0DDKKW9LQ"/>
    <hyperlink ref="S1386" r:id="rId1385" display="https://www.amazon.com/dp/B0H5BXPGH3"/>
    <hyperlink ref="S1387" r:id="rId1386" display="https://www.amazon.com/dp/B0FFM8XY9K"/>
    <hyperlink ref="S1388" r:id="rId1387" display="https://www.amazon.com/dp/B0B1PLSX35"/>
    <hyperlink ref="S1389" r:id="rId1388" display="https://www.amazon.com/dp/B0965CHD74"/>
    <hyperlink ref="S1390" r:id="rId1389" display="https://www.amazon.com/dp/B09BW21GTN"/>
    <hyperlink ref="S1391" r:id="rId1390" display="https://www.amazon.com/dp/B09N7HBCYY"/>
    <hyperlink ref="S1392" r:id="rId1391" display="https://www.amazon.com/dp/B0BSGLVF4D"/>
    <hyperlink ref="S1393" r:id="rId1392" display="https://www.amazon.com/dp/B0982CQ53N"/>
    <hyperlink ref="S1394" r:id="rId1393" display="https://www.amazon.com/dp/B0B1P3KGL4"/>
    <hyperlink ref="S1395" r:id="rId1394" display="https://www.amazon.com/dp/B079WZCN7Q"/>
    <hyperlink ref="S1396" r:id="rId1395" display="https://www.amazon.com/dp/B0BWXYKDV7"/>
    <hyperlink ref="S1397" r:id="rId1396" display="https://www.amazon.com/dp/B07FYJPG94"/>
    <hyperlink ref="S1398" r:id="rId1397" display="https://www.amazon.com/dp/B0F5BSCN1L"/>
    <hyperlink ref="S1399" r:id="rId1398" display="https://www.amazon.com/dp/B084YVCQLN"/>
    <hyperlink ref="S1400" r:id="rId1399" display="https://www.amazon.com/dp/B07J9SGRY3"/>
    <hyperlink ref="S1401" r:id="rId1400" display="https://www.amazon.com/dp/B09PN38Z7L"/>
    <hyperlink ref="S1402" r:id="rId1401" display="https://www.amazon.com/dp/B0CS9Q87G1"/>
    <hyperlink ref="S1403" r:id="rId1402" display="https://www.amazon.com/dp/B092CVBTLT"/>
    <hyperlink ref="S1404" r:id="rId1403" display="https://www.amazon.com/dp/B09RX1MDMR"/>
    <hyperlink ref="S1405" r:id="rId1404" display="https://www.amazon.com/dp/B0BQCR3WTM"/>
    <hyperlink ref="S1406" r:id="rId1405" display="https://www.amazon.com/dp/B07PFWC5F2"/>
    <hyperlink ref="S1407" r:id="rId1406" display="https://www.amazon.com/dp/B0D2RLSZ1M"/>
    <hyperlink ref="S1408" r:id="rId1407" display="https://www.amazon.com/dp/B0758C9NPB"/>
    <hyperlink ref="S1409" r:id="rId1408" display="https://www.amazon.com/dp/B0FRGRH97Y"/>
    <hyperlink ref="S1410" r:id="rId1409" display="https://www.amazon.com/dp/B07JNY68LD"/>
    <hyperlink ref="S1411" r:id="rId1410" display="https://www.amazon.com/dp/B0CBFKP26S"/>
    <hyperlink ref="S1412" r:id="rId1411" display="https://www.amazon.com/dp/B0DM2GRQ4P"/>
    <hyperlink ref="S1413" r:id="rId1412" display="https://www.amazon.com/dp/B0DVT2JTRN"/>
    <hyperlink ref="S1414" r:id="rId1413" display="https://www.amazon.com/dp/B0BQYY9J68"/>
    <hyperlink ref="S1415" r:id="rId1414" display="https://www.amazon.com/dp/B07BXCSQB6"/>
    <hyperlink ref="S1416" r:id="rId1415" display="https://www.amazon.com/dp/B08C9RPMPS"/>
    <hyperlink ref="S1417" r:id="rId1416" display="https://www.amazon.com/dp/B07Q1K4G91"/>
    <hyperlink ref="S1418" r:id="rId1417" display="https://www.amazon.com/dp/B079WYYYS8"/>
    <hyperlink ref="S1419" r:id="rId1418" display="https://www.amazon.com/dp/B0GKXKMQLK"/>
    <hyperlink ref="S1420" r:id="rId1419" display="https://www.amazon.com/dp/B0DR5VM9NS"/>
    <hyperlink ref="S1421" r:id="rId1420" display="https://www.amazon.com/dp/B09Y97KHHL"/>
    <hyperlink ref="S1422" r:id="rId1421" display="https://www.amazon.com/dp/B071SG5WVQ"/>
    <hyperlink ref="S1423" r:id="rId1422" display="https://www.amazon.com/dp/B0758CJ7X9"/>
    <hyperlink ref="S1424" r:id="rId1423" display="https://www.amazon.com/dp/B09PFMZCZQ"/>
    <hyperlink ref="S1425" r:id="rId1424" display="https://www.amazon.com/dp/B09PFM895L"/>
    <hyperlink ref="S1426" r:id="rId1425" display="https://www.amazon.com/dp/B01LVU7THF"/>
    <hyperlink ref="S1427" r:id="rId1426" display="https://www.amazon.com/dp/B07HC2WHS1"/>
    <hyperlink ref="S1428" r:id="rId1427" display="https://www.amazon.com/dp/B003PWNH4Q"/>
    <hyperlink ref="S1429" r:id="rId1428" display="https://www.amazon.com/dp/B07H71SBC4"/>
    <hyperlink ref="S1430" r:id="rId1429" display="https://www.amazon.com/dp/B00MRHA96O"/>
    <hyperlink ref="S1431" r:id="rId1430" display="https://www.amazon.com/dp/B0BXWJLG9W"/>
    <hyperlink ref="S1432" r:id="rId1431" display="https://www.amazon.com/dp/B0DQKZ5W6T"/>
    <hyperlink ref="S1433" r:id="rId1432" display="https://www.amazon.com/dp/B0HMH64XTD"/>
    <hyperlink ref="S1434" r:id="rId1433" display="https://www.amazon.com/dp/B0BXWG6F6J"/>
    <hyperlink ref="S1435" r:id="rId1434" display="https://www.amazon.com/dp/B003PWK2A8"/>
    <hyperlink ref="S1436" r:id="rId1435" display="https://www.amazon.com/dp/B00U6HREPQ"/>
    <hyperlink ref="S1437" r:id="rId1436" display="https://www.amazon.com/dp/B07HC4X8DJ"/>
    <hyperlink ref="S1438" r:id="rId1437" display="https://www.amazon.com/dp/B08ZKQ4NVB"/>
    <hyperlink ref="S1439" r:id="rId1438" display="https://www.amazon.com/dp/B00MW50754"/>
    <hyperlink ref="S1440" r:id="rId1439" display="https://www.amazon.com/dp/B08BLYJX9N"/>
    <hyperlink ref="S1441" r:id="rId1440" display="https://www.amazon.com/dp/B0BG24Q1TB"/>
    <hyperlink ref="S1442" r:id="rId1441" display="https://www.amazon.com/dp/B00MW50FKG"/>
    <hyperlink ref="S1443" r:id="rId1442" display="https://www.amazon.com/dp/B003PWNGQU"/>
    <hyperlink ref="S1444" r:id="rId1443" display="https://www.amazon.com/dp/B0FKSMCZSH"/>
    <hyperlink ref="S1445" r:id="rId1444" display="https://www.amazon.com/dp/B071VHCJ3B"/>
    <hyperlink ref="S1446" r:id="rId1445" display="https://www.amazon.com/dp/B00EJOYNBA"/>
    <hyperlink ref="S1447" r:id="rId1446" display="https://www.amazon.com/dp/B0CFG5JX4L"/>
    <hyperlink ref="S1448" r:id="rId1447" display="https://www.amazon.com/dp/B0H2YPDGDB"/>
    <hyperlink ref="S1449" r:id="rId1448" display="https://www.amazon.com/dp/B0D45FTFM8"/>
    <hyperlink ref="S1450" r:id="rId1449" display="https://www.amazon.com/dp/B00SVHTFPU"/>
    <hyperlink ref="S1451" r:id="rId1450" display="https://www.amazon.com/dp/B081D74NWK"/>
    <hyperlink ref="S1452" r:id="rId1451" display="https://www.amazon.com/dp/B0F3C3Q1MQ"/>
    <hyperlink ref="S1453" r:id="rId1452" display="https://www.amazon.com/dp/B0H7HQ8T4L"/>
    <hyperlink ref="S1454" r:id="rId1453" display="https://www.amazon.com/dp/B0CFG3HMDJ"/>
    <hyperlink ref="S1455" r:id="rId1454" display="https://www.amazon.com/dp/B01N4L4KLV"/>
    <hyperlink ref="S1456" r:id="rId1455" display="https://www.amazon.com/dp/B07YP7ZB2D"/>
    <hyperlink ref="S1457" r:id="rId1456" display="https://www.amazon.com/dp/B0CFG448PX"/>
    <hyperlink ref="S1458" r:id="rId1457" display="https://www.amazon.com/dp/B07HBW81W6"/>
    <hyperlink ref="S1459" r:id="rId1458" display="https://www.amazon.com/dp/B0CL4LYMFM"/>
    <hyperlink ref="S1460" r:id="rId1459" display="https://www.amazon.com/dp/B01LR99P44"/>
    <hyperlink ref="S1461" r:id="rId1460" display="https://www.amazon.com/dp/B0GTMZ2LCN"/>
    <hyperlink ref="S1462" r:id="rId1461" display="https://www.amazon.com/dp/B0CJB4XKQQ"/>
    <hyperlink ref="S1463" r:id="rId1462" display="https://www.amazon.com/dp/B0CC8XMKD9"/>
    <hyperlink ref="S1464" r:id="rId1463" display="https://www.amazon.com/dp/B004L9BGSG"/>
    <hyperlink ref="S1465" r:id="rId1464" display="https://www.amazon.com/dp/B0HDRSYXBQ"/>
    <hyperlink ref="S1466" r:id="rId1465" display="https://www.amazon.com/dp/B07H71Q7ZS"/>
    <hyperlink ref="S1467" r:id="rId1466" display="https://www.amazon.com/dp/B098TTDPZV"/>
    <hyperlink ref="S1468" r:id="rId1467" display="https://www.amazon.com/dp/B0CRLFTLF4"/>
    <hyperlink ref="S1469" r:id="rId1468" display="https://www.amazon.com/dp/B07ZJ59SZZ"/>
    <hyperlink ref="S1470" r:id="rId1469" display="https://www.amazon.com/dp/B003PWS9AI"/>
    <hyperlink ref="S1471" r:id="rId1470" display="https://www.amazon.com/dp/B07K311J41"/>
    <hyperlink ref="S1472" r:id="rId1471" display="https://www.amazon.com/dp/B07H6ZL63C"/>
    <hyperlink ref="S1473" r:id="rId1472" display="https://www.amazon.com/dp/B000PKTWPO"/>
    <hyperlink ref="S1474" r:id="rId1473" display="https://www.amazon.com/dp/B0DBM4DW3S"/>
    <hyperlink ref="S1475" r:id="rId1474" display="https://www.amazon.com/dp/B0F1T7DBCQ"/>
    <hyperlink ref="S1476" r:id="rId1475" display="https://www.amazon.com/dp/B0F99B96ZY"/>
    <hyperlink ref="S1477" r:id="rId1476" display="https://www.amazon.com/dp/B0CJTDS7KL"/>
    <hyperlink ref="S1478" r:id="rId1477" display="https://www.amazon.com/dp/B0GJ4QZV7M"/>
    <hyperlink ref="S1479" r:id="rId1478" display="https://www.amazon.com/dp/B0FNM6J1FQ"/>
    <hyperlink ref="S1480" r:id="rId1479" display="https://www.amazon.com/dp/B0DK93ZPJH"/>
    <hyperlink ref="S1481" r:id="rId1480" display="https://www.amazon.com/dp/B0HCV8PTQV"/>
    <hyperlink ref="S1482" r:id="rId1481" display="https://www.amazon.com/dp/B0G6K2SN4C"/>
    <hyperlink ref="S1483" r:id="rId1482" display="https://www.amazon.com/dp/B0CSFVY5ZQ"/>
    <hyperlink ref="S1484" r:id="rId1483" display="https://www.amazon.com/dp/B0F248W129"/>
    <hyperlink ref="S1485" r:id="rId1484" display="https://www.amazon.com/dp/B0CW3DZVP7"/>
    <hyperlink ref="S1486" r:id="rId1485" display="https://www.amazon.com/dp/B0CSFM63LK"/>
    <hyperlink ref="S1487" r:id="rId1486" display="https://www.amazon.com/dp/B0FB2XY32K"/>
    <hyperlink ref="S1488" r:id="rId1487" display="https://www.amazon.com/dp/B0CPBYVQ8M"/>
    <hyperlink ref="S1489" r:id="rId1488" display="https://www.amazon.com/dp/B0F9886RP7"/>
    <hyperlink ref="S1490" r:id="rId1489" display="https://www.amazon.com/dp/B091CBXCF8"/>
    <hyperlink ref="S1491" r:id="rId1490" display="https://www.amazon.com/dp/B08LDD8HBW"/>
    <hyperlink ref="S1492" r:id="rId1491" display="https://www.amazon.com/dp/B0DK94R5C1"/>
    <hyperlink ref="S1493" r:id="rId1492" display="https://www.amazon.com/dp/B0BZT47RGP"/>
    <hyperlink ref="S1494" r:id="rId1493" display="https://www.amazon.com/dp/B0GX69G5FT"/>
    <hyperlink ref="S1495" r:id="rId1494" display="https://www.amazon.com/dp/B0G436DMDY"/>
    <hyperlink ref="S1496" r:id="rId1495" display="https://www.amazon.com/dp/B0HFR6L6NH"/>
    <hyperlink ref="S1497" r:id="rId1496" display="https://www.amazon.com/dp/B0CMQ7G5TH"/>
    <hyperlink ref="S1498" r:id="rId1497" display="https://www.amazon.com/dp/B07D4CQC61"/>
    <hyperlink ref="S1499" r:id="rId1498" display="https://www.amazon.com/dp/B0F99BBHRW"/>
    <hyperlink ref="S1500" r:id="rId1499" display="https://www.amazon.com/dp/B0FVSB1BB7"/>
    <hyperlink ref="S1501" r:id="rId1500" display="https://www.amazon.com/dp/B0H2H9T3QH"/>
    <hyperlink ref="S1502" r:id="rId1501" display="https://www.amazon.com/dp/B084T6XKTK"/>
    <hyperlink ref="S1503" r:id="rId1502" display="https://www.amazon.com/dp/B0G6JMSYTQ"/>
    <hyperlink ref="S1504" r:id="rId1503" display="https://www.amazon.com/dp/B0DXQ6LVS7"/>
    <hyperlink ref="S1505" r:id="rId1504" display="https://www.amazon.com/dp/B0DK949HHC"/>
    <hyperlink ref="S1506" r:id="rId1505" display="https://www.amazon.com/dp/B0CGZRD1TB"/>
    <hyperlink ref="S1507" r:id="rId1506" display="https://www.amazon.com/dp/B0B938WC1Q"/>
    <hyperlink ref="S1508" r:id="rId1507" display="https://www.amazon.com/dp/B0DK91ZCTB"/>
    <hyperlink ref="S1509" r:id="rId1508" display="https://www.amazon.com/dp/B0FH6MB3FQ"/>
    <hyperlink ref="S1510" r:id="rId1509" display="https://www.amazon.com/dp/B0G6KD5C6S"/>
    <hyperlink ref="S1511" r:id="rId1510" display="https://www.amazon.com/dp/B0CM3CM3V7"/>
    <hyperlink ref="S1512" r:id="rId1511" display="https://www.amazon.com/dp/B0DJWWRG6H"/>
    <hyperlink ref="S1513" r:id="rId1512" display="https://www.amazon.com/dp/B0GFMT4B45"/>
    <hyperlink ref="S1514" r:id="rId1513" display="https://www.amazon.com/dp/B0G6K6YW5C"/>
    <hyperlink ref="S1515" r:id="rId1514" display="https://www.amazon.com/dp/B0FZV5FXNW"/>
    <hyperlink ref="S1516" r:id="rId1515" display="https://www.amazon.com/dp/B083Z7R9VG"/>
    <hyperlink ref="S1517" r:id="rId1516" display="https://www.amazon.com/dp/B0G6JY2FBX"/>
    <hyperlink ref="S1518" r:id="rId1517" display="https://www.amazon.com/dp/B0B5LF9YXF"/>
    <hyperlink ref="S1519" r:id="rId1518" display="https://www.amazon.com/dp/B0DH29B3QW"/>
    <hyperlink ref="S1520" r:id="rId1519" display="https://www.amazon.com/dp/B0GYNHN6XM"/>
    <hyperlink ref="S1521" r:id="rId1520" display="https://www.amazon.com/dp/B0DN6XCXJ9"/>
    <hyperlink ref="S1522" r:id="rId1521" display="https://www.amazon.com/dp/B003U3QT2C"/>
    <hyperlink ref="S1523" r:id="rId1522" display="https://www.amazon.com/dp/B01K6OCGWE"/>
    <hyperlink ref="S1524" r:id="rId1523" display="https://www.amazon.com/dp/B0H2DWKTGB"/>
    <hyperlink ref="S1525" r:id="rId1524" display="https://www.amazon.com/dp/B083DKPHTP"/>
    <hyperlink ref="S1526" r:id="rId1525" display="https://www.amazon.com/dp/B0G4VGR2T1"/>
    <hyperlink ref="S1527" r:id="rId1526" display="https://www.amazon.com/dp/B0GDFS35ZW"/>
    <hyperlink ref="S1528" r:id="rId1527" display="https://www.amazon.com/dp/B0CH3RBV26"/>
    <hyperlink ref="S1529" r:id="rId1528" display="https://www.amazon.com/dp/B0G6K2VWG7"/>
    <hyperlink ref="S1530" r:id="rId1529" display="https://www.amazon.com/dp/B071Z3DF7Y"/>
    <hyperlink ref="S1531" r:id="rId1530" display="https://www.amazon.com/dp/B0C7G6MDW2"/>
    <hyperlink ref="S1532" r:id="rId1531" display="https://www.amazon.com/dp/B0BTTTVD7N"/>
    <hyperlink ref="S1533" r:id="rId1532" display="https://www.amazon.com/dp/B07RY59C3W"/>
    <hyperlink ref="S1534" r:id="rId1533" display="https://www.amazon.com/dp/B0DTSZH19S"/>
    <hyperlink ref="S1535" r:id="rId1534" display="https://www.amazon.com/dp/B06XS1P6NG"/>
    <hyperlink ref="S1536" r:id="rId1535" display="https://www.amazon.com/dp/B0CW61SC1H"/>
    <hyperlink ref="S1537" r:id="rId1536" display="https://www.amazon.com/dp/B07RZ3NVWZ"/>
    <hyperlink ref="S1538" r:id="rId1537" display="https://www.amazon.com/dp/B01M16WBW1"/>
    <hyperlink ref="S1539" r:id="rId1538" display="https://www.amazon.com/dp/B06WWRCZXX"/>
    <hyperlink ref="S1540" r:id="rId1539" display="https://www.amazon.com/dp/B09X1P1L9F"/>
    <hyperlink ref="S1541" r:id="rId1540" display="https://www.amazon.com/dp/B0DTT67SPY"/>
    <hyperlink ref="S1542" r:id="rId1541" display="https://www.amazon.com/dp/B076TTFM9W"/>
    <hyperlink ref="S1543" r:id="rId1542" display="https://www.amazon.com/dp/B08ZM7TT87"/>
    <hyperlink ref="S1544" r:id="rId1543" display="https://www.amazon.com/dp/B0DXCC6P1Z"/>
    <hyperlink ref="S1545" r:id="rId1544" display="https://www.amazon.com/dp/B0FNN1FD31"/>
    <hyperlink ref="S1546" r:id="rId1545" display="https://www.amazon.com/dp/B0CGDH9K3K"/>
    <hyperlink ref="S1547" r:id="rId1546" display="https://www.amazon.com/dp/B0CW5YYRH1"/>
    <hyperlink ref="S1548" r:id="rId1547" display="https://www.amazon.com/dp/B0H1HM9QJS"/>
    <hyperlink ref="S1549" r:id="rId1548" display="https://www.amazon.com/dp/B0CS9RTSXW"/>
    <hyperlink ref="S1550" r:id="rId1549" display="https://www.amazon.com/dp/B01LWMWAXV"/>
    <hyperlink ref="S1551" r:id="rId1550" display="https://www.amazon.com/dp/B0FDF4T5H6"/>
    <hyperlink ref="S1552" r:id="rId1551" display="https://www.amazon.com/dp/B0753KSRC6"/>
    <hyperlink ref="S1553" r:id="rId1552" display="https://www.amazon.com/dp/B01LXM2UWT"/>
    <hyperlink ref="S1554" r:id="rId1553" display="https://www.amazon.com/dp/B075F8TCF2"/>
    <hyperlink ref="S1555" r:id="rId1554" display="https://www.amazon.com/dp/B0DNYQ4Q2M"/>
    <hyperlink ref="S1556" r:id="rId1555" display="https://www.amazon.com/dp/B0DSP46TJT"/>
    <hyperlink ref="S1557" r:id="rId1556" display="https://www.amazon.com/dp/B0H7566P6G"/>
    <hyperlink ref="S1558" r:id="rId1557" display="https://www.amazon.com/dp/B0DFWBPL32"/>
    <hyperlink ref="S1559" r:id="rId1558" display="https://www.amazon.com/dp/B0DFG9DPL1"/>
    <hyperlink ref="S1560" r:id="rId1559" display="https://www.amazon.com/dp/B08FYCBBWB"/>
    <hyperlink ref="S1561" r:id="rId1560" display="https://www.amazon.com/dp/B0FNR66213"/>
    <hyperlink ref="S1562" r:id="rId1561" display="https://www.amazon.com/dp/B09X1Q23X4"/>
    <hyperlink ref="S1563" r:id="rId1562" display="https://www.amazon.com/dp/B00YGJ9FTS"/>
    <hyperlink ref="S1564" r:id="rId1563" display="https://www.amazon.com/dp/B0DTTP3ZV3"/>
    <hyperlink ref="S1565" r:id="rId1564" display="https://www.amazon.com/dp/B09X1P1PNC"/>
    <hyperlink ref="S1566" r:id="rId1565" display="https://www.amazon.com/dp/B0CW5RTMXW"/>
    <hyperlink ref="S1567" r:id="rId1566" display="https://www.amazon.com/dp/B00NLLUMOE"/>
    <hyperlink ref="S1568" r:id="rId1567" display="https://www.amazon.com/dp/B09DT8PPPJ"/>
    <hyperlink ref="S1569" r:id="rId1568" display="https://www.amazon.com/dp/B0GGGQCLXS"/>
    <hyperlink ref="S1570" r:id="rId1569" display="https://www.amazon.com/dp/B01JLMX1N0"/>
    <hyperlink ref="S1571" r:id="rId1570" display="https://www.amazon.com/dp/B06XWKZ4JZ"/>
    <hyperlink ref="S1572" r:id="rId1571" display="https://www.amazon.com/dp/B0CW5WCKVV"/>
    <hyperlink ref="S1573" r:id="rId1572" display="https://www.amazon.com/dp/B0BZMYN1RB"/>
    <hyperlink ref="S1574" r:id="rId1573" display="https://www.amazon.com/dp/B00LZKCK34"/>
    <hyperlink ref="S1575" r:id="rId1574" display="https://www.amazon.com/dp/B0BXSKSJHY"/>
    <hyperlink ref="S1576" r:id="rId1575" display="https://www.amazon.com/dp/B0789W3KKK"/>
    <hyperlink ref="S1577" r:id="rId1576" display="https://www.amazon.com/dp/B0CS9LXBG3"/>
    <hyperlink ref="S1578" r:id="rId1577" display="https://www.amazon.com/dp/B07QL61STL"/>
    <hyperlink ref="S1579" r:id="rId1578" display="https://www.amazon.com/dp/B0CLK671YC"/>
    <hyperlink ref="S1580" r:id="rId1579" display="https://www.amazon.com/dp/B0GRVJJMSJ"/>
    <hyperlink ref="S1581" r:id="rId1580" display="https://www.amazon.com/dp/B073ZY6XH3"/>
    <hyperlink ref="S1582" r:id="rId1581" display="https://www.amazon.com/dp/B0HF7T3TRW"/>
    <hyperlink ref="S1583" r:id="rId1582" display="https://www.amazon.com/dp/B0H3234VZD"/>
    <hyperlink ref="S1584" r:id="rId1583" display="https://www.amazon.com/dp/B01MYN9K5B"/>
    <hyperlink ref="S1585" r:id="rId1584" display="https://www.amazon.com/dp/B0GCD1F8DZ"/>
    <hyperlink ref="S1586" r:id="rId1585" display="https://www.amazon.com/dp/B0HHJ2PRRY"/>
    <hyperlink ref="S1587" r:id="rId1586" display="https://www.amazon.com/dp/B0GZYB34M3"/>
    <hyperlink ref="S1588" r:id="rId1587" display="https://www.amazon.com/dp/B0H49SMLJ6"/>
    <hyperlink ref="S1589" r:id="rId1588" display="https://www.amazon.com/dp/B07MY34QH7"/>
    <hyperlink ref="S1590" r:id="rId1589" display="https://www.amazon.com/dp/B09DCSGK84"/>
    <hyperlink ref="S1591" r:id="rId1590" display="https://www.amazon.com/dp/B0CS6JRNPW"/>
    <hyperlink ref="S1592" r:id="rId1591" display="https://www.amazon.com/dp/B07413BLNN"/>
    <hyperlink ref="S1593" r:id="rId1592" display="https://www.amazon.com/dp/B07V5K36FL"/>
    <hyperlink ref="S1594" r:id="rId1593" display="https://www.amazon.com/dp/B0HFHD4ZCK"/>
    <hyperlink ref="S1595" r:id="rId1594" display="https://www.amazon.com/dp/B0HF81XXVJ"/>
    <hyperlink ref="S1596" r:id="rId1595" display="https://www.amazon.com/dp/B0DK35TTHV"/>
    <hyperlink ref="S1597" r:id="rId1596" display="https://www.amazon.com/dp/B01MRL0H2B"/>
    <hyperlink ref="S1598" r:id="rId1597" display="https://www.amazon.com/dp/B07MY2VQC9"/>
    <hyperlink ref="S1599" r:id="rId1598" display="https://www.amazon.com/dp/B0G3WPRFSL"/>
    <hyperlink ref="S1600" r:id="rId1599" display="https://www.amazon.com/dp/B0FVXTCBJP"/>
    <hyperlink ref="S1601" r:id="rId1600" display="https://www.amazon.com/dp/B0CCVBPNBT"/>
    <hyperlink ref="S1602" r:id="rId1601" display="https://www.amazon.com/dp/B0H9K7RH1X"/>
    <hyperlink ref="S1603" r:id="rId1602" display="https://www.amazon.com/dp/B0HF7QRG8Q"/>
    <hyperlink ref="S1604" r:id="rId1603" display="https://www.amazon.com/dp/B0HKFTTRS6"/>
    <hyperlink ref="S1605" r:id="rId1604" display="https://www.amazon.com/dp/B08LQD3FPP"/>
    <hyperlink ref="S1606" r:id="rId1605" display="https://www.amazon.com/dp/B0741222B8"/>
    <hyperlink ref="S1607" r:id="rId1606" display="https://www.amazon.com/dp/B0H7RQLZ4B"/>
    <hyperlink ref="S1608" r:id="rId1607" display="https://www.amazon.com/dp/B0BZ87ZQ7W"/>
    <hyperlink ref="S1609" r:id="rId1608" display="https://www.amazon.com/dp/B0CB5MJ1YC"/>
    <hyperlink ref="S1610" r:id="rId1609" display="https://www.amazon.com/dp/B0GX1B4VYP"/>
    <hyperlink ref="S1611" r:id="rId1610" display="https://www.amazon.com/dp/B0HF3MTSXS"/>
    <hyperlink ref="S1612" r:id="rId1611" display="https://www.amazon.com/dp/B0HFMVS6FC"/>
    <hyperlink ref="S1613" r:id="rId1612" display="https://www.amazon.com/dp/B0HKG76456"/>
    <hyperlink ref="S1614" r:id="rId1613" display="https://www.amazon.com/dp/B01H2OCWC0"/>
    <hyperlink ref="S1615" r:id="rId1614" display="https://www.amazon.com/dp/B0HHDVSF4H"/>
    <hyperlink ref="S1616" r:id="rId1615" display="https://www.amazon.com/dp/B0BVZ6NSLS"/>
    <hyperlink ref="S1617" r:id="rId1616" display="https://www.amazon.com/dp/B0D9WWJ3B3"/>
    <hyperlink ref="S1618" r:id="rId1617" display="https://www.amazon.com/dp/B01MSL0UA3"/>
    <hyperlink ref="S1619" r:id="rId1618" display="https://www.amazon.com/dp/B0DP671FYP"/>
    <hyperlink ref="S1620" r:id="rId1619" display="https://www.amazon.com/dp/B0GCCZ81T5"/>
    <hyperlink ref="S1621" r:id="rId1620" display="https://www.amazon.com/dp/B01N41IPPI"/>
    <hyperlink ref="S1622" r:id="rId1621" display="https://www.amazon.com/dp/B0GSDNRZLT"/>
    <hyperlink ref="S1623" r:id="rId1622" display="https://www.amazon.com/dp/B0D22QFVJV"/>
    <hyperlink ref="S1624" r:id="rId1623" display="https://www.amazon.com/dp/B0HFHBPMY6"/>
    <hyperlink ref="S1625" r:id="rId1624" display="https://www.amazon.com/dp/B0HDN3RMM3"/>
    <hyperlink ref="S1626" r:id="rId1625" display="https://www.amazon.com/dp/B0GF1K8HXK"/>
    <hyperlink ref="S1627" r:id="rId1626" display="https://www.amazon.com/dp/B08YQXH8HD"/>
    <hyperlink ref="S1628" r:id="rId1627" display="https://www.amazon.com/dp/B07MY1YW3Q"/>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62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16" min="1" style="1" width="24.71"/>
  </cols>
  <sheetData>
    <row r="1" customFormat="false" ht="36" hidden="false" customHeight="true" outlineLevel="0" collapsed="false">
      <c r="A1" s="2" t="s">
        <v>191</v>
      </c>
      <c r="B1" s="2" t="s">
        <v>193</v>
      </c>
      <c r="C1" s="2" t="s">
        <v>5331</v>
      </c>
      <c r="D1" s="2" t="s">
        <v>5332</v>
      </c>
      <c r="E1" s="2" t="s">
        <v>5333</v>
      </c>
      <c r="F1" s="2" t="s">
        <v>5334</v>
      </c>
      <c r="G1" s="2" t="s">
        <v>5335</v>
      </c>
      <c r="H1" s="2" t="s">
        <v>5336</v>
      </c>
      <c r="I1" s="2" t="s">
        <v>5337</v>
      </c>
      <c r="J1" s="2" t="s">
        <v>5338</v>
      </c>
      <c r="K1" s="2" t="s">
        <v>5339</v>
      </c>
      <c r="L1" s="2" t="s">
        <v>5340</v>
      </c>
      <c r="M1" s="2" t="s">
        <v>5341</v>
      </c>
      <c r="N1" s="2" t="s">
        <v>5342</v>
      </c>
      <c r="O1" s="2" t="s">
        <v>5343</v>
      </c>
      <c r="P1" s="2" t="s">
        <v>208</v>
      </c>
    </row>
    <row r="2" customFormat="false" ht="48" hidden="false" customHeight="true" outlineLevel="0" collapsed="false">
      <c r="A2" s="1" t="s">
        <v>43</v>
      </c>
      <c r="B2" s="1" t="s">
        <v>213</v>
      </c>
      <c r="C2" s="1" t="n">
        <v>48</v>
      </c>
      <c r="D2" s="1" t="n">
        <v>44</v>
      </c>
      <c r="E2" s="1" t="n">
        <v>23.99</v>
      </c>
      <c r="F2" s="1" t="n">
        <v>61.48</v>
      </c>
      <c r="G2" s="1" t="n">
        <v>80.255</v>
      </c>
      <c r="H2" s="1" t="n">
        <v>104.14</v>
      </c>
      <c r="I2" s="1" t="n">
        <v>164.99</v>
      </c>
      <c r="J2" s="1" t="n">
        <v>47</v>
      </c>
      <c r="K2" s="1" t="n">
        <v>617</v>
      </c>
      <c r="L2" s="1" t="n">
        <v>0</v>
      </c>
      <c r="M2" s="1" t="n">
        <v>15</v>
      </c>
      <c r="N2" s="1" t="n">
        <v>0.666666666666667</v>
      </c>
      <c r="O2" s="1" t="s">
        <v>5344</v>
      </c>
      <c r="P2" s="1" t="s">
        <v>220</v>
      </c>
    </row>
    <row r="3" customFormat="false" ht="48" hidden="false" customHeight="true" outlineLevel="0" collapsed="false">
      <c r="A3" s="1" t="s">
        <v>43</v>
      </c>
      <c r="B3" s="1" t="s">
        <v>93</v>
      </c>
      <c r="C3" s="1" t="n">
        <v>48</v>
      </c>
      <c r="D3" s="1" t="n">
        <v>48</v>
      </c>
      <c r="E3" s="1" t="n">
        <v>23.8</v>
      </c>
      <c r="F3" s="1" t="n">
        <v>47.84</v>
      </c>
      <c r="G3" s="1" t="n">
        <v>56.49</v>
      </c>
      <c r="H3" s="1" t="n">
        <v>64.74</v>
      </c>
      <c r="I3" s="1" t="n">
        <v>149.05</v>
      </c>
      <c r="J3" s="1" t="n">
        <v>48</v>
      </c>
      <c r="K3" s="1" t="n">
        <v>1850</v>
      </c>
      <c r="L3" s="1" t="n">
        <v>0</v>
      </c>
      <c r="M3" s="1" t="n">
        <v>12</v>
      </c>
      <c r="N3" s="1" t="n">
        <v>0.833333333333333</v>
      </c>
      <c r="O3" s="1" t="s">
        <v>5345</v>
      </c>
      <c r="P3" s="1" t="s">
        <v>404</v>
      </c>
    </row>
    <row r="4" customFormat="false" ht="48" hidden="false" customHeight="true" outlineLevel="0" collapsed="false">
      <c r="A4" s="1" t="s">
        <v>43</v>
      </c>
      <c r="B4" s="1" t="s">
        <v>84</v>
      </c>
      <c r="C4" s="1" t="n">
        <v>48</v>
      </c>
      <c r="D4" s="1" t="n">
        <v>43</v>
      </c>
      <c r="E4" s="1" t="n">
        <v>38.99</v>
      </c>
      <c r="F4" s="1" t="n">
        <v>50.99</v>
      </c>
      <c r="G4" s="1" t="n">
        <v>69.99</v>
      </c>
      <c r="H4" s="1" t="n">
        <v>79.99</v>
      </c>
      <c r="I4" s="1" t="n">
        <v>179.99</v>
      </c>
      <c r="J4" s="1" t="n">
        <v>43</v>
      </c>
      <c r="K4" s="1" t="n">
        <v>1000</v>
      </c>
      <c r="L4" s="1" t="n">
        <v>0</v>
      </c>
      <c r="M4" s="1" t="n">
        <v>25</v>
      </c>
      <c r="N4" s="1" t="n">
        <v>0.68</v>
      </c>
      <c r="O4" s="1" t="s">
        <v>5346</v>
      </c>
      <c r="P4" s="1" t="s">
        <v>585</v>
      </c>
    </row>
    <row r="5" customFormat="false" ht="48" hidden="false" customHeight="true" outlineLevel="0" collapsed="false">
      <c r="A5" s="1" t="s">
        <v>43</v>
      </c>
      <c r="B5" s="1" t="s">
        <v>66</v>
      </c>
      <c r="C5" s="1" t="n">
        <v>48</v>
      </c>
      <c r="D5" s="1" t="n">
        <v>48</v>
      </c>
      <c r="E5" s="1" t="n">
        <v>10.96</v>
      </c>
      <c r="F5" s="1" t="n">
        <v>19.8775</v>
      </c>
      <c r="G5" s="1" t="n">
        <v>26.74</v>
      </c>
      <c r="H5" s="1" t="n">
        <v>36.365</v>
      </c>
      <c r="I5" s="1" t="n">
        <v>64.99</v>
      </c>
      <c r="J5" s="1" t="n">
        <v>48</v>
      </c>
      <c r="K5" s="1" t="n">
        <v>1550</v>
      </c>
      <c r="L5" s="1" t="n">
        <v>0</v>
      </c>
      <c r="M5" s="1" t="n">
        <v>15</v>
      </c>
      <c r="N5" s="1" t="n">
        <v>0.666666666666667</v>
      </c>
      <c r="O5" s="1" t="s">
        <v>5347</v>
      </c>
      <c r="P5" s="1" t="s">
        <v>767</v>
      </c>
    </row>
    <row r="6" customFormat="false" ht="48" hidden="false" customHeight="true" outlineLevel="0" collapsed="false">
      <c r="A6" s="1" t="s">
        <v>43</v>
      </c>
      <c r="B6" s="1" t="s">
        <v>931</v>
      </c>
      <c r="C6" s="1" t="n">
        <v>48</v>
      </c>
      <c r="D6" s="1" t="n">
        <v>12</v>
      </c>
      <c r="E6" s="1" t="n">
        <v>154.84</v>
      </c>
      <c r="F6" s="1" t="n">
        <v>160.49</v>
      </c>
      <c r="G6" s="1" t="n">
        <v>189.99</v>
      </c>
      <c r="H6" s="1" t="n">
        <v>243.5875</v>
      </c>
      <c r="I6" s="1" t="n">
        <v>319.47</v>
      </c>
      <c r="J6" s="1" t="n">
        <v>12</v>
      </c>
      <c r="K6" s="1" t="n">
        <v>272</v>
      </c>
      <c r="L6" s="1" t="n">
        <v>0</v>
      </c>
      <c r="M6" s="1" t="n">
        <v>20</v>
      </c>
      <c r="N6" s="1" t="n">
        <v>0.6</v>
      </c>
      <c r="O6" s="1" t="s">
        <v>5348</v>
      </c>
      <c r="P6" s="1" t="s">
        <v>937</v>
      </c>
    </row>
    <row r="7" customFormat="false" ht="48" hidden="false" customHeight="true" outlineLevel="0" collapsed="false">
      <c r="A7" s="1" t="s">
        <v>43</v>
      </c>
      <c r="B7" s="1" t="s">
        <v>1100</v>
      </c>
      <c r="C7" s="1" t="n">
        <v>48</v>
      </c>
      <c r="D7" s="1" t="n">
        <v>47</v>
      </c>
      <c r="E7" s="1" t="n">
        <v>33.99</v>
      </c>
      <c r="F7" s="1" t="n">
        <v>76.49</v>
      </c>
      <c r="G7" s="1" t="n">
        <v>99.99</v>
      </c>
      <c r="H7" s="1" t="n">
        <v>122.51</v>
      </c>
      <c r="I7" s="1" t="n">
        <v>376.53</v>
      </c>
      <c r="J7" s="1" t="n">
        <v>46</v>
      </c>
      <c r="K7" s="1" t="n">
        <v>210.5</v>
      </c>
      <c r="L7" s="1" t="n">
        <v>0</v>
      </c>
      <c r="M7" s="1" t="n">
        <v>13</v>
      </c>
      <c r="N7" s="1" t="n">
        <v>0.538461538461538</v>
      </c>
      <c r="O7" s="1" t="s">
        <v>5349</v>
      </c>
      <c r="P7" s="1" t="s">
        <v>1105</v>
      </c>
    </row>
    <row r="8" customFormat="false" ht="48" hidden="false" customHeight="true" outlineLevel="0" collapsed="false">
      <c r="A8" s="1" t="s">
        <v>43</v>
      </c>
      <c r="B8" s="1" t="s">
        <v>75</v>
      </c>
      <c r="C8" s="1" t="n">
        <v>48</v>
      </c>
      <c r="D8" s="1" t="n">
        <v>48</v>
      </c>
      <c r="E8" s="1" t="n">
        <v>10.99</v>
      </c>
      <c r="F8" s="1" t="n">
        <v>15.99</v>
      </c>
      <c r="G8" s="1" t="n">
        <v>18.49</v>
      </c>
      <c r="H8" s="1" t="n">
        <v>29.235</v>
      </c>
      <c r="I8" s="1" t="n">
        <v>56.96</v>
      </c>
      <c r="J8" s="1" t="n">
        <v>48</v>
      </c>
      <c r="K8" s="1" t="n">
        <v>1200</v>
      </c>
      <c r="L8" s="1" t="n">
        <v>0</v>
      </c>
      <c r="M8" s="1" t="n">
        <v>16</v>
      </c>
      <c r="N8" s="1" t="n">
        <v>0.5625</v>
      </c>
      <c r="O8" s="1" t="s">
        <v>5350</v>
      </c>
      <c r="P8" s="1" t="s">
        <v>1263</v>
      </c>
    </row>
    <row r="9" customFormat="false" ht="48" hidden="false" customHeight="true" outlineLevel="0" collapsed="false">
      <c r="A9" s="1" t="s">
        <v>43</v>
      </c>
      <c r="B9" s="1" t="s">
        <v>111</v>
      </c>
      <c r="C9" s="1" t="n">
        <v>48</v>
      </c>
      <c r="D9" s="1" t="n">
        <v>48</v>
      </c>
      <c r="E9" s="1" t="n">
        <v>13</v>
      </c>
      <c r="F9" s="1" t="n">
        <v>23.105</v>
      </c>
      <c r="G9" s="1" t="n">
        <v>30.945</v>
      </c>
      <c r="H9" s="1" t="n">
        <v>36.9675</v>
      </c>
      <c r="I9" s="1" t="n">
        <v>79.99</v>
      </c>
      <c r="J9" s="1" t="n">
        <v>48</v>
      </c>
      <c r="K9" s="1" t="n">
        <v>3650</v>
      </c>
      <c r="L9" s="1" t="n">
        <v>0</v>
      </c>
      <c r="M9" s="1" t="n">
        <v>17</v>
      </c>
      <c r="N9" s="1" t="n">
        <v>0.823529411764706</v>
      </c>
      <c r="O9" s="1" t="s">
        <v>5351</v>
      </c>
      <c r="P9" s="1" t="s">
        <v>1430</v>
      </c>
    </row>
    <row r="10" customFormat="false" ht="48" hidden="false" customHeight="true" outlineLevel="0" collapsed="false">
      <c r="A10" s="1" t="s">
        <v>43</v>
      </c>
      <c r="B10" s="1" t="s">
        <v>102</v>
      </c>
      <c r="C10" s="1" t="n">
        <v>48</v>
      </c>
      <c r="D10" s="1" t="n">
        <v>44</v>
      </c>
      <c r="E10" s="1" t="n">
        <v>34.19</v>
      </c>
      <c r="F10" s="1" t="n">
        <v>56.615</v>
      </c>
      <c r="G10" s="1" t="n">
        <v>98.44</v>
      </c>
      <c r="H10" s="1" t="n">
        <v>119.99</v>
      </c>
      <c r="I10" s="1" t="n">
        <v>176.76</v>
      </c>
      <c r="J10" s="1" t="n">
        <v>48</v>
      </c>
      <c r="K10" s="1" t="n">
        <v>453</v>
      </c>
      <c r="L10" s="1" t="n">
        <v>0</v>
      </c>
      <c r="M10" s="1" t="n">
        <v>8</v>
      </c>
      <c r="N10" s="1" t="n">
        <v>0.875</v>
      </c>
      <c r="O10" s="1" t="s">
        <v>5352</v>
      </c>
      <c r="P10" s="1" t="s">
        <v>1591</v>
      </c>
    </row>
    <row r="11" customFormat="false" ht="48" hidden="false" customHeight="true" outlineLevel="0" collapsed="false">
      <c r="A11" s="1" t="s">
        <v>43</v>
      </c>
      <c r="B11" s="1" t="s">
        <v>57</v>
      </c>
      <c r="C11" s="1" t="n">
        <v>58</v>
      </c>
      <c r="D11" s="1" t="n">
        <v>47</v>
      </c>
      <c r="E11" s="1" t="n">
        <v>32.77</v>
      </c>
      <c r="F11" s="1" t="n">
        <v>44.99</v>
      </c>
      <c r="G11" s="1" t="n">
        <v>56.99</v>
      </c>
      <c r="H11" s="1" t="n">
        <v>75.99</v>
      </c>
      <c r="I11" s="1" t="n">
        <v>119.99</v>
      </c>
      <c r="J11" s="1" t="n">
        <v>48</v>
      </c>
      <c r="K11" s="1" t="n">
        <v>1950</v>
      </c>
      <c r="L11" s="1" t="n">
        <v>10</v>
      </c>
      <c r="M11" s="1" t="n">
        <v>25</v>
      </c>
      <c r="N11" s="1" t="n">
        <v>0.56</v>
      </c>
      <c r="O11" s="1" t="s">
        <v>5353</v>
      </c>
      <c r="P11" s="1" t="s">
        <v>1755</v>
      </c>
    </row>
    <row r="12" customFormat="false" ht="48" hidden="false" customHeight="true" outlineLevel="0" collapsed="false">
      <c r="A12" s="1" t="s">
        <v>43</v>
      </c>
      <c r="B12" s="1" t="s">
        <v>120</v>
      </c>
      <c r="C12" s="1" t="n">
        <v>48</v>
      </c>
      <c r="D12" s="1" t="n">
        <v>48</v>
      </c>
      <c r="E12" s="1" t="n">
        <v>25.99</v>
      </c>
      <c r="F12" s="1" t="n">
        <v>56.24</v>
      </c>
      <c r="G12" s="1" t="n">
        <v>74.945</v>
      </c>
      <c r="H12" s="1" t="n">
        <v>111.5925</v>
      </c>
      <c r="I12" s="1" t="n">
        <v>554</v>
      </c>
      <c r="J12" s="1" t="n">
        <v>48</v>
      </c>
      <c r="K12" s="1" t="n">
        <v>1049</v>
      </c>
      <c r="L12" s="1" t="n">
        <v>0</v>
      </c>
      <c r="M12" s="1" t="n">
        <v>7</v>
      </c>
      <c r="N12" s="1" t="n">
        <v>0.571428571428571</v>
      </c>
      <c r="O12" s="1" t="s">
        <v>5354</v>
      </c>
      <c r="P12" s="1" t="s">
        <v>1937</v>
      </c>
    </row>
    <row r="13" customFormat="false" ht="48" hidden="false" customHeight="true" outlineLevel="0" collapsed="false">
      <c r="A13" s="1" t="s">
        <v>45</v>
      </c>
      <c r="B13" s="1" t="s">
        <v>213</v>
      </c>
      <c r="C13" s="1" t="n">
        <v>48</v>
      </c>
      <c r="D13" s="1" t="n">
        <v>47</v>
      </c>
      <c r="E13" s="1" t="n">
        <v>19.5</v>
      </c>
      <c r="F13" s="1" t="n">
        <v>48.29</v>
      </c>
      <c r="G13" s="1" t="n">
        <v>69.38</v>
      </c>
      <c r="H13" s="1" t="n">
        <v>99.77</v>
      </c>
      <c r="I13" s="1" t="n">
        <v>353.34</v>
      </c>
      <c r="J13" s="1" t="n">
        <v>47</v>
      </c>
      <c r="K13" s="1" t="n">
        <v>186</v>
      </c>
      <c r="L13" s="1" t="n">
        <v>0</v>
      </c>
      <c r="M13" s="1" t="n">
        <v>10</v>
      </c>
      <c r="N13" s="1" t="n">
        <v>0.8</v>
      </c>
      <c r="O13" s="1" t="s">
        <v>5355</v>
      </c>
      <c r="P13" s="1" t="s">
        <v>2100</v>
      </c>
    </row>
    <row r="14" customFormat="false" ht="48" hidden="false" customHeight="true" outlineLevel="0" collapsed="false">
      <c r="A14" s="1" t="s">
        <v>45</v>
      </c>
      <c r="B14" s="1" t="s">
        <v>93</v>
      </c>
      <c r="C14" s="1" t="n">
        <v>48</v>
      </c>
      <c r="D14" s="1" t="n">
        <v>0</v>
      </c>
      <c r="J14" s="1" t="n">
        <v>0</v>
      </c>
      <c r="L14" s="1" t="n">
        <v>0</v>
      </c>
      <c r="M14" s="1" t="n">
        <v>20</v>
      </c>
      <c r="N14" s="1" t="n">
        <v>0.85</v>
      </c>
      <c r="O14" s="1" t="s">
        <v>5356</v>
      </c>
      <c r="P14" s="1" t="s">
        <v>2249</v>
      </c>
    </row>
    <row r="15" customFormat="false" ht="48" hidden="false" customHeight="true" outlineLevel="0" collapsed="false">
      <c r="A15" s="1" t="s">
        <v>45</v>
      </c>
      <c r="B15" s="1" t="s">
        <v>84</v>
      </c>
      <c r="C15" s="1" t="n">
        <v>48</v>
      </c>
      <c r="D15" s="1" t="n">
        <v>29</v>
      </c>
      <c r="E15" s="1" t="n">
        <v>10.55</v>
      </c>
      <c r="F15" s="1" t="n">
        <v>13.99</v>
      </c>
      <c r="G15" s="1" t="n">
        <v>21.04</v>
      </c>
      <c r="H15" s="1" t="n">
        <v>26.845</v>
      </c>
      <c r="I15" s="1" t="n">
        <v>38</v>
      </c>
      <c r="J15" s="1" t="n">
        <v>34</v>
      </c>
      <c r="K15" s="1" t="n">
        <v>895</v>
      </c>
      <c r="L15" s="1" t="n">
        <v>0</v>
      </c>
      <c r="M15" s="1" t="n">
        <v>19</v>
      </c>
      <c r="N15" s="1" t="n">
        <v>0.68421052631579</v>
      </c>
      <c r="O15" s="1" t="s">
        <v>5357</v>
      </c>
      <c r="P15" s="1" t="s">
        <v>2407</v>
      </c>
    </row>
    <row r="16" customFormat="false" ht="48" hidden="false" customHeight="true" outlineLevel="0" collapsed="false">
      <c r="A16" s="1" t="s">
        <v>45</v>
      </c>
      <c r="B16" s="1" t="s">
        <v>66</v>
      </c>
      <c r="C16" s="1" t="n">
        <v>48</v>
      </c>
      <c r="D16" s="1" t="n">
        <v>25</v>
      </c>
      <c r="E16" s="1" t="n">
        <v>7.16</v>
      </c>
      <c r="F16" s="1" t="n">
        <v>8.99</v>
      </c>
      <c r="G16" s="1" t="n">
        <v>11.37</v>
      </c>
      <c r="H16" s="1" t="n">
        <v>22.665</v>
      </c>
      <c r="I16" s="1" t="n">
        <v>31.18</v>
      </c>
      <c r="J16" s="1" t="n">
        <v>48</v>
      </c>
      <c r="K16" s="1" t="n">
        <v>1350</v>
      </c>
      <c r="L16" s="1" t="n">
        <v>0</v>
      </c>
      <c r="M16" s="1" t="n">
        <v>18</v>
      </c>
      <c r="N16" s="1" t="n">
        <v>0.666666666666667</v>
      </c>
      <c r="O16" s="1" t="s">
        <v>5358</v>
      </c>
      <c r="P16" s="1" t="s">
        <v>2571</v>
      </c>
    </row>
    <row r="17" customFormat="false" ht="48" hidden="false" customHeight="true" outlineLevel="0" collapsed="false">
      <c r="A17" s="1" t="s">
        <v>45</v>
      </c>
      <c r="B17" s="1" t="s">
        <v>931</v>
      </c>
      <c r="C17" s="1" t="n">
        <v>48</v>
      </c>
      <c r="D17" s="1" t="n">
        <v>8</v>
      </c>
      <c r="E17" s="1" t="n">
        <v>24.04</v>
      </c>
      <c r="F17" s="1" t="n">
        <v>26.18</v>
      </c>
      <c r="G17" s="1" t="n">
        <v>82.89</v>
      </c>
      <c r="H17" s="1" t="n">
        <v>147.955</v>
      </c>
      <c r="I17" s="1" t="n">
        <v>166.23</v>
      </c>
      <c r="J17" s="1" t="n">
        <v>8</v>
      </c>
      <c r="K17" s="1" t="n">
        <v>2000</v>
      </c>
      <c r="L17" s="1" t="n">
        <v>0</v>
      </c>
      <c r="M17" s="1" t="n">
        <v>13</v>
      </c>
      <c r="N17" s="1" t="n">
        <v>0.461538461538462</v>
      </c>
      <c r="O17" s="1" t="s">
        <v>5359</v>
      </c>
      <c r="P17" s="1" t="s">
        <v>2716</v>
      </c>
    </row>
    <row r="18" customFormat="false" ht="48" hidden="false" customHeight="true" outlineLevel="0" collapsed="false">
      <c r="A18" s="1" t="s">
        <v>45</v>
      </c>
      <c r="B18" s="1" t="s">
        <v>1100</v>
      </c>
      <c r="C18" s="1" t="n">
        <v>48</v>
      </c>
      <c r="D18" s="1" t="n">
        <v>47</v>
      </c>
      <c r="E18" s="1" t="n">
        <v>29.24</v>
      </c>
      <c r="F18" s="1" t="n">
        <v>66.34</v>
      </c>
      <c r="G18" s="1" t="n">
        <v>78.07</v>
      </c>
      <c r="H18" s="1" t="n">
        <v>103.36</v>
      </c>
      <c r="I18" s="1" t="n">
        <v>189.31</v>
      </c>
      <c r="J18" s="1" t="n">
        <v>42</v>
      </c>
      <c r="K18" s="1" t="n">
        <v>47</v>
      </c>
      <c r="L18" s="1" t="n">
        <v>0</v>
      </c>
      <c r="M18" s="1" t="n">
        <v>0</v>
      </c>
      <c r="P18" s="1" t="s">
        <v>2857</v>
      </c>
    </row>
    <row r="19" customFormat="false" ht="48" hidden="false" customHeight="true" outlineLevel="0" collapsed="false">
      <c r="A19" s="1" t="s">
        <v>45</v>
      </c>
      <c r="B19" s="1" t="s">
        <v>75</v>
      </c>
      <c r="C19" s="1" t="n">
        <v>48</v>
      </c>
      <c r="D19" s="1" t="n">
        <v>19</v>
      </c>
      <c r="E19" s="1" t="n">
        <v>3.99</v>
      </c>
      <c r="F19" s="1" t="n">
        <v>6.08</v>
      </c>
      <c r="G19" s="1" t="n">
        <v>9.89</v>
      </c>
      <c r="H19" s="1" t="n">
        <v>12</v>
      </c>
      <c r="I19" s="1" t="n">
        <v>22.92</v>
      </c>
      <c r="J19" s="1" t="n">
        <v>48</v>
      </c>
      <c r="K19" s="1" t="n">
        <v>540.5</v>
      </c>
      <c r="L19" s="1" t="n">
        <v>0</v>
      </c>
      <c r="M19" s="1" t="n">
        <v>14</v>
      </c>
      <c r="N19" s="1" t="n">
        <v>0.857142857142857</v>
      </c>
      <c r="O19" s="1" t="s">
        <v>5360</v>
      </c>
      <c r="P19" s="1" t="s">
        <v>2993</v>
      </c>
    </row>
    <row r="20" customFormat="false" ht="48" hidden="false" customHeight="true" outlineLevel="0" collapsed="false">
      <c r="A20" s="1" t="s">
        <v>45</v>
      </c>
      <c r="B20" s="1" t="s">
        <v>111</v>
      </c>
      <c r="C20" s="1" t="n">
        <v>48</v>
      </c>
      <c r="D20" s="1" t="n">
        <v>24</v>
      </c>
      <c r="E20" s="1" t="n">
        <v>6.99</v>
      </c>
      <c r="F20" s="1" t="n">
        <v>8.9925</v>
      </c>
      <c r="G20" s="1" t="n">
        <v>11.385</v>
      </c>
      <c r="H20" s="1" t="n">
        <v>16.7425</v>
      </c>
      <c r="I20" s="1" t="n">
        <v>26</v>
      </c>
      <c r="J20" s="1" t="n">
        <v>48</v>
      </c>
      <c r="K20" s="1" t="n">
        <v>540.5</v>
      </c>
      <c r="L20" s="1" t="n">
        <v>0</v>
      </c>
      <c r="M20" s="1" t="n">
        <v>13</v>
      </c>
      <c r="N20" s="1" t="n">
        <v>0.846153846153846</v>
      </c>
      <c r="O20" s="1" t="s">
        <v>5361</v>
      </c>
      <c r="P20" s="1" t="s">
        <v>3139</v>
      </c>
    </row>
    <row r="21" customFormat="false" ht="48" hidden="false" customHeight="true" outlineLevel="0" collapsed="false">
      <c r="A21" s="1" t="s">
        <v>45</v>
      </c>
      <c r="B21" s="1" t="s">
        <v>102</v>
      </c>
      <c r="C21" s="1" t="n">
        <v>48</v>
      </c>
      <c r="D21" s="1" t="n">
        <v>0</v>
      </c>
      <c r="J21" s="1" t="n">
        <v>0</v>
      </c>
      <c r="L21" s="1" t="n">
        <v>0</v>
      </c>
      <c r="M21" s="1" t="n">
        <v>24</v>
      </c>
      <c r="N21" s="1" t="n">
        <v>0.625</v>
      </c>
      <c r="O21" s="1" t="s">
        <v>5362</v>
      </c>
      <c r="P21" s="1" t="s">
        <v>3288</v>
      </c>
    </row>
    <row r="22" customFormat="false" ht="48" hidden="false" customHeight="true" outlineLevel="0" collapsed="false">
      <c r="A22" s="1" t="s">
        <v>45</v>
      </c>
      <c r="B22" s="1" t="s">
        <v>57</v>
      </c>
      <c r="C22" s="1" t="n">
        <v>48</v>
      </c>
      <c r="D22" s="1" t="n">
        <v>17</v>
      </c>
      <c r="E22" s="1" t="n">
        <v>12.05</v>
      </c>
      <c r="F22" s="1" t="n">
        <v>31.075</v>
      </c>
      <c r="G22" s="1" t="n">
        <v>47.22</v>
      </c>
      <c r="H22" s="1" t="n">
        <v>58.145</v>
      </c>
      <c r="I22" s="1" t="n">
        <v>77.1</v>
      </c>
      <c r="J22" s="1" t="n">
        <v>30</v>
      </c>
      <c r="K22" s="1" t="n">
        <v>430</v>
      </c>
      <c r="L22" s="1" t="n">
        <v>0</v>
      </c>
      <c r="M22" s="1" t="n">
        <v>14</v>
      </c>
      <c r="N22" s="1" t="n">
        <v>0.5</v>
      </c>
      <c r="O22" s="1" t="s">
        <v>5363</v>
      </c>
      <c r="P22" s="1" t="s">
        <v>3411</v>
      </c>
    </row>
    <row r="23" customFormat="false" ht="48" hidden="false" customHeight="true" outlineLevel="0" collapsed="false">
      <c r="A23" s="1" t="s">
        <v>45</v>
      </c>
      <c r="B23" s="1" t="s">
        <v>120</v>
      </c>
      <c r="C23" s="1" t="n">
        <v>60</v>
      </c>
      <c r="D23" s="1" t="n">
        <v>29</v>
      </c>
      <c r="E23" s="1" t="n">
        <v>9.94</v>
      </c>
      <c r="F23" s="1" t="n">
        <v>19.99</v>
      </c>
      <c r="G23" s="1" t="n">
        <v>31.99</v>
      </c>
      <c r="H23" s="1" t="n">
        <v>47.27</v>
      </c>
      <c r="I23" s="1" t="n">
        <v>130.24</v>
      </c>
      <c r="J23" s="1" t="n">
        <v>60</v>
      </c>
      <c r="K23" s="1" t="n">
        <v>307.5</v>
      </c>
      <c r="L23" s="1" t="n">
        <v>12</v>
      </c>
      <c r="M23" s="1" t="n">
        <v>18</v>
      </c>
      <c r="N23" s="1" t="n">
        <v>0.888888888888889</v>
      </c>
      <c r="O23" s="1" t="s">
        <v>5364</v>
      </c>
      <c r="P23" s="1" t="s">
        <v>3525</v>
      </c>
    </row>
    <row r="24" customFormat="false" ht="48" hidden="false" customHeight="true" outlineLevel="0" collapsed="false">
      <c r="A24" s="1" t="s">
        <v>41</v>
      </c>
      <c r="B24" s="1" t="s">
        <v>213</v>
      </c>
      <c r="C24" s="1" t="n">
        <v>48</v>
      </c>
      <c r="D24" s="1" t="n">
        <v>48</v>
      </c>
      <c r="E24" s="1" t="n">
        <v>24.99</v>
      </c>
      <c r="F24" s="1" t="n">
        <v>43.4825</v>
      </c>
      <c r="G24" s="1" t="n">
        <v>59.99</v>
      </c>
      <c r="H24" s="1" t="n">
        <v>79.74</v>
      </c>
      <c r="I24" s="1" t="n">
        <v>134.99</v>
      </c>
      <c r="J24" s="1" t="n">
        <v>48</v>
      </c>
      <c r="K24" s="1" t="n">
        <v>463</v>
      </c>
      <c r="L24" s="1" t="n">
        <v>0</v>
      </c>
      <c r="M24" s="1" t="n">
        <v>23</v>
      </c>
      <c r="N24" s="1" t="n">
        <v>0.608695652173913</v>
      </c>
      <c r="O24" s="1" t="s">
        <v>5365</v>
      </c>
      <c r="P24" s="1" t="s">
        <v>3715</v>
      </c>
    </row>
    <row r="25" customFormat="false" ht="48" hidden="false" customHeight="true" outlineLevel="0" collapsed="false">
      <c r="A25" s="1" t="s">
        <v>41</v>
      </c>
      <c r="B25" s="1" t="s">
        <v>93</v>
      </c>
      <c r="C25" s="1" t="n">
        <v>48</v>
      </c>
      <c r="D25" s="1" t="n">
        <v>48</v>
      </c>
      <c r="E25" s="1" t="n">
        <v>21.98</v>
      </c>
      <c r="F25" s="1" t="n">
        <v>30.4875</v>
      </c>
      <c r="G25" s="1" t="n">
        <v>36.99</v>
      </c>
      <c r="H25" s="1" t="n">
        <v>49.9675</v>
      </c>
      <c r="I25" s="1" t="n">
        <v>309</v>
      </c>
      <c r="J25" s="1" t="n">
        <v>48</v>
      </c>
      <c r="K25" s="1" t="n">
        <v>4400</v>
      </c>
      <c r="L25" s="1" t="n">
        <v>0</v>
      </c>
      <c r="M25" s="1" t="n">
        <v>9</v>
      </c>
      <c r="N25" s="1" t="n">
        <v>1</v>
      </c>
      <c r="O25" s="1" t="s">
        <v>5366</v>
      </c>
      <c r="P25" s="1" t="s">
        <v>3859</v>
      </c>
    </row>
    <row r="26" customFormat="false" ht="48" hidden="false" customHeight="true" outlineLevel="0" collapsed="false">
      <c r="A26" s="1" t="s">
        <v>41</v>
      </c>
      <c r="B26" s="1" t="s">
        <v>84</v>
      </c>
      <c r="C26" s="1" t="n">
        <v>48</v>
      </c>
      <c r="D26" s="1" t="n">
        <v>41</v>
      </c>
      <c r="E26" s="1" t="n">
        <v>14.99</v>
      </c>
      <c r="F26" s="1" t="n">
        <v>48.17</v>
      </c>
      <c r="G26" s="1" t="n">
        <v>55.99</v>
      </c>
      <c r="H26" s="1" t="n">
        <v>68.99</v>
      </c>
      <c r="I26" s="1" t="n">
        <v>89.99</v>
      </c>
      <c r="J26" s="1" t="n">
        <v>42</v>
      </c>
      <c r="K26" s="1" t="n">
        <v>1300</v>
      </c>
      <c r="L26" s="1" t="n">
        <v>0</v>
      </c>
      <c r="M26" s="1" t="n">
        <v>28</v>
      </c>
      <c r="N26" s="1" t="n">
        <v>0.678571428571429</v>
      </c>
      <c r="O26" s="1" t="s">
        <v>5367</v>
      </c>
      <c r="P26" s="1" t="s">
        <v>4004</v>
      </c>
    </row>
    <row r="27" customFormat="false" ht="48" hidden="false" customHeight="true" outlineLevel="0" collapsed="false">
      <c r="A27" s="1" t="s">
        <v>41</v>
      </c>
      <c r="B27" s="1" t="s">
        <v>66</v>
      </c>
      <c r="C27" s="1" t="n">
        <v>48</v>
      </c>
      <c r="D27" s="1" t="n">
        <v>46</v>
      </c>
      <c r="E27" s="1" t="n">
        <v>8.99</v>
      </c>
      <c r="F27" s="1" t="n">
        <v>17.8775</v>
      </c>
      <c r="G27" s="1" t="n">
        <v>19.99</v>
      </c>
      <c r="H27" s="1" t="n">
        <v>29.99</v>
      </c>
      <c r="I27" s="1" t="n">
        <v>79.99</v>
      </c>
      <c r="J27" s="1" t="n">
        <v>48</v>
      </c>
      <c r="K27" s="1" t="n">
        <v>20500</v>
      </c>
      <c r="L27" s="1" t="n">
        <v>0</v>
      </c>
      <c r="M27" s="1" t="n">
        <v>19</v>
      </c>
      <c r="N27" s="1" t="n">
        <v>0.842105263157895</v>
      </c>
      <c r="O27" s="1" t="s">
        <v>5368</v>
      </c>
      <c r="P27" s="1" t="s">
        <v>4142</v>
      </c>
    </row>
    <row r="28" customFormat="false" ht="48" hidden="false" customHeight="true" outlineLevel="0" collapsed="false">
      <c r="A28" s="1" t="s">
        <v>41</v>
      </c>
      <c r="B28" s="1" t="s">
        <v>931</v>
      </c>
      <c r="C28" s="1" t="n">
        <v>48</v>
      </c>
      <c r="D28" s="1" t="n">
        <v>31</v>
      </c>
      <c r="E28" s="1" t="n">
        <v>90.24</v>
      </c>
      <c r="F28" s="1" t="n">
        <v>103.99</v>
      </c>
      <c r="G28" s="1" t="n">
        <v>119.99</v>
      </c>
      <c r="H28" s="1" t="n">
        <v>129.99</v>
      </c>
      <c r="I28" s="1" t="n">
        <v>145.99</v>
      </c>
      <c r="J28" s="1" t="n">
        <v>31</v>
      </c>
      <c r="K28" s="1" t="n">
        <v>1600</v>
      </c>
      <c r="L28" s="1" t="n">
        <v>0</v>
      </c>
      <c r="M28" s="1" t="n">
        <v>17</v>
      </c>
      <c r="N28" s="1" t="n">
        <v>0.588235294117647</v>
      </c>
      <c r="O28" s="1" t="s">
        <v>5369</v>
      </c>
      <c r="P28" s="1" t="s">
        <v>4289</v>
      </c>
    </row>
    <row r="29" customFormat="false" ht="48" hidden="false" customHeight="true" outlineLevel="0" collapsed="false">
      <c r="A29" s="1" t="s">
        <v>41</v>
      </c>
      <c r="B29" s="1" t="s">
        <v>1100</v>
      </c>
      <c r="C29" s="1" t="n">
        <v>48</v>
      </c>
      <c r="D29" s="1" t="n">
        <v>47</v>
      </c>
      <c r="E29" s="1" t="n">
        <v>26.79</v>
      </c>
      <c r="F29" s="1" t="n">
        <v>55.99</v>
      </c>
      <c r="G29" s="1" t="n">
        <v>70.84</v>
      </c>
      <c r="H29" s="1" t="n">
        <v>89.99</v>
      </c>
      <c r="I29" s="1" t="n">
        <v>159.99</v>
      </c>
      <c r="J29" s="1" t="n">
        <v>47</v>
      </c>
      <c r="K29" s="1" t="n">
        <v>158</v>
      </c>
      <c r="L29" s="1" t="n">
        <v>0</v>
      </c>
      <c r="M29" s="1" t="n">
        <v>4</v>
      </c>
      <c r="N29" s="1" t="n">
        <v>0.75</v>
      </c>
      <c r="O29" s="1" t="s">
        <v>5370</v>
      </c>
      <c r="P29" s="1" t="s">
        <v>4434</v>
      </c>
    </row>
    <row r="30" customFormat="false" ht="48" hidden="false" customHeight="true" outlineLevel="0" collapsed="false">
      <c r="A30" s="1" t="s">
        <v>41</v>
      </c>
      <c r="B30" s="1" t="s">
        <v>75</v>
      </c>
      <c r="C30" s="1" t="n">
        <v>59</v>
      </c>
      <c r="D30" s="1" t="n">
        <v>58</v>
      </c>
      <c r="E30" s="1" t="n">
        <v>8.99</v>
      </c>
      <c r="F30" s="1" t="n">
        <v>14.99</v>
      </c>
      <c r="G30" s="1" t="n">
        <v>19.99</v>
      </c>
      <c r="H30" s="1" t="n">
        <v>23.92</v>
      </c>
      <c r="I30" s="1" t="n">
        <v>65.99</v>
      </c>
      <c r="J30" s="1" t="n">
        <v>58</v>
      </c>
      <c r="K30" s="1" t="n">
        <v>1800</v>
      </c>
      <c r="L30" s="1" t="n">
        <v>12</v>
      </c>
      <c r="M30" s="1" t="n">
        <v>23</v>
      </c>
      <c r="N30" s="1" t="n">
        <v>0.826086956521739</v>
      </c>
      <c r="O30" s="1" t="s">
        <v>5371</v>
      </c>
      <c r="P30" s="1" t="s">
        <v>4553</v>
      </c>
    </row>
    <row r="31" customFormat="false" ht="48" hidden="false" customHeight="true" outlineLevel="0" collapsed="false">
      <c r="A31" s="1" t="s">
        <v>41</v>
      </c>
      <c r="B31" s="1" t="s">
        <v>111</v>
      </c>
      <c r="C31" s="1" t="n">
        <v>48</v>
      </c>
      <c r="D31" s="1" t="n">
        <v>46</v>
      </c>
      <c r="E31" s="1" t="n">
        <v>11.99</v>
      </c>
      <c r="F31" s="1" t="n">
        <v>20.49</v>
      </c>
      <c r="G31" s="1" t="n">
        <v>32.49</v>
      </c>
      <c r="H31" s="1" t="n">
        <v>42.88</v>
      </c>
      <c r="I31" s="1" t="n">
        <v>119</v>
      </c>
      <c r="J31" s="1" t="n">
        <v>48</v>
      </c>
      <c r="K31" s="1" t="n">
        <v>9700</v>
      </c>
      <c r="L31" s="1" t="n">
        <v>0</v>
      </c>
      <c r="M31" s="1" t="n">
        <v>23</v>
      </c>
      <c r="N31" s="1" t="n">
        <v>0.695652173913044</v>
      </c>
      <c r="O31" s="1" t="s">
        <v>5372</v>
      </c>
      <c r="P31" s="1" t="s">
        <v>4730</v>
      </c>
    </row>
    <row r="32" customFormat="false" ht="48" hidden="false" customHeight="true" outlineLevel="0" collapsed="false">
      <c r="A32" s="1" t="s">
        <v>41</v>
      </c>
      <c r="B32" s="1" t="s">
        <v>102</v>
      </c>
      <c r="C32" s="1" t="n">
        <v>58</v>
      </c>
      <c r="D32" s="1" t="n">
        <v>57</v>
      </c>
      <c r="E32" s="1" t="n">
        <v>15.29</v>
      </c>
      <c r="F32" s="1" t="n">
        <v>52.09</v>
      </c>
      <c r="G32" s="1" t="n">
        <v>69.99</v>
      </c>
      <c r="H32" s="1" t="n">
        <v>87.74</v>
      </c>
      <c r="I32" s="1" t="n">
        <v>169.99</v>
      </c>
      <c r="J32" s="1" t="n">
        <v>58</v>
      </c>
      <c r="K32" s="1" t="n">
        <v>696</v>
      </c>
      <c r="L32" s="1" t="n">
        <v>12</v>
      </c>
      <c r="M32" s="1" t="n">
        <v>8</v>
      </c>
      <c r="N32" s="1" t="n">
        <v>1</v>
      </c>
      <c r="O32" s="1" t="s">
        <v>5373</v>
      </c>
      <c r="P32" s="1" t="s">
        <v>4884</v>
      </c>
    </row>
    <row r="33" customFormat="false" ht="48" hidden="false" customHeight="true" outlineLevel="0" collapsed="false">
      <c r="A33" s="1" t="s">
        <v>41</v>
      </c>
      <c r="B33" s="1" t="s">
        <v>57</v>
      </c>
      <c r="C33" s="1" t="n">
        <v>48</v>
      </c>
      <c r="D33" s="1" t="n">
        <v>38</v>
      </c>
      <c r="E33" s="1" t="n">
        <v>15</v>
      </c>
      <c r="F33" s="1" t="n">
        <v>33.065</v>
      </c>
      <c r="G33" s="1" t="n">
        <v>41.99</v>
      </c>
      <c r="H33" s="1" t="n">
        <v>53.49</v>
      </c>
      <c r="I33" s="1" t="n">
        <v>149.99</v>
      </c>
      <c r="J33" s="1" t="n">
        <v>38</v>
      </c>
      <c r="K33" s="1" t="n">
        <v>3100</v>
      </c>
      <c r="L33" s="1" t="n">
        <v>0</v>
      </c>
      <c r="M33" s="1" t="n">
        <v>24</v>
      </c>
      <c r="N33" s="1" t="n">
        <v>0.541666666666667</v>
      </c>
      <c r="O33" s="1" t="s">
        <v>5374</v>
      </c>
      <c r="P33" s="1" t="s">
        <v>5053</v>
      </c>
    </row>
    <row r="34" customFormat="false" ht="48" hidden="false" customHeight="true" outlineLevel="0" collapsed="false">
      <c r="A34" s="1" t="s">
        <v>41</v>
      </c>
      <c r="B34" s="1" t="s">
        <v>120</v>
      </c>
      <c r="C34" s="1" t="n">
        <v>48</v>
      </c>
      <c r="D34" s="1" t="n">
        <v>44</v>
      </c>
      <c r="E34" s="1" t="n">
        <v>13.99</v>
      </c>
      <c r="F34" s="1" t="n">
        <v>49.9825</v>
      </c>
      <c r="G34" s="1" t="n">
        <v>69.99</v>
      </c>
      <c r="H34" s="1" t="n">
        <v>105.99</v>
      </c>
      <c r="I34" s="1" t="n">
        <v>349</v>
      </c>
      <c r="J34" s="1" t="n">
        <v>48</v>
      </c>
      <c r="K34" s="1" t="n">
        <v>1850</v>
      </c>
      <c r="L34" s="1" t="n">
        <v>0</v>
      </c>
      <c r="M34" s="1" t="n">
        <v>12</v>
      </c>
      <c r="N34" s="1" t="n">
        <v>0.833333333333333</v>
      </c>
      <c r="O34" s="1" t="s">
        <v>5375</v>
      </c>
      <c r="P34" s="1" t="s">
        <v>5175</v>
      </c>
    </row>
  </sheetData>
  <autoFilter ref="A1:P34"/>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13" min="1" style="1" width="24.71"/>
  </cols>
  <sheetData>
    <row r="1" customFormat="false" ht="36" hidden="false" customHeight="true" outlineLevel="0" collapsed="false">
      <c r="A1" s="2" t="s">
        <v>30</v>
      </c>
      <c r="B1" s="2" t="s">
        <v>47</v>
      </c>
      <c r="C1" s="2" t="s">
        <v>5376</v>
      </c>
      <c r="D1" s="2" t="s">
        <v>5377</v>
      </c>
      <c r="E1" s="2" t="s">
        <v>5378</v>
      </c>
      <c r="F1" s="2" t="s">
        <v>5379</v>
      </c>
      <c r="G1" s="2" t="s">
        <v>5380</v>
      </c>
      <c r="H1" s="2" t="s">
        <v>5381</v>
      </c>
      <c r="I1" s="2" t="s">
        <v>5382</v>
      </c>
      <c r="J1" s="2" t="s">
        <v>5383</v>
      </c>
      <c r="K1" s="2" t="s">
        <v>5384</v>
      </c>
      <c r="L1" s="2" t="s">
        <v>5385</v>
      </c>
      <c r="M1" s="2" t="s">
        <v>5386</v>
      </c>
    </row>
    <row r="2" customFormat="false" ht="48" hidden="false" customHeight="true" outlineLevel="0" collapsed="false">
      <c r="A2" s="1" t="s">
        <v>43</v>
      </c>
      <c r="B2" s="1" t="s">
        <v>84</v>
      </c>
      <c r="C2" s="1" t="s">
        <v>581</v>
      </c>
      <c r="D2" s="1" t="s">
        <v>5387</v>
      </c>
      <c r="E2" s="1" t="n">
        <v>3</v>
      </c>
      <c r="F2" s="1" t="n">
        <v>7</v>
      </c>
      <c r="G2" s="1" t="s">
        <v>5388</v>
      </c>
      <c r="H2" s="1" t="n">
        <v>13</v>
      </c>
      <c r="I2" s="1" t="s">
        <v>586</v>
      </c>
      <c r="J2" s="1" t="s">
        <v>5389</v>
      </c>
      <c r="K2" s="1" t="s">
        <v>5390</v>
      </c>
      <c r="L2" s="1" t="s">
        <v>582</v>
      </c>
      <c r="M2" s="1" t="s">
        <v>5391</v>
      </c>
    </row>
    <row r="3" customFormat="false" ht="48" hidden="false" customHeight="true" outlineLevel="0" collapsed="false">
      <c r="A3" s="1" t="s">
        <v>45</v>
      </c>
      <c r="B3" s="1" t="s">
        <v>120</v>
      </c>
      <c r="C3" s="1" t="s">
        <v>3540</v>
      </c>
      <c r="D3" s="1" t="s">
        <v>5392</v>
      </c>
      <c r="E3" s="1" t="n">
        <v>3</v>
      </c>
      <c r="F3" s="1" t="n">
        <v>7</v>
      </c>
      <c r="G3" s="1" t="s">
        <v>5388</v>
      </c>
      <c r="H3" s="1" t="n">
        <v>13</v>
      </c>
      <c r="I3" s="1" t="s">
        <v>3543</v>
      </c>
      <c r="J3" s="1" t="s">
        <v>5393</v>
      </c>
      <c r="K3" s="1" t="s">
        <v>5390</v>
      </c>
      <c r="L3" s="1" t="s">
        <v>5394</v>
      </c>
      <c r="M3" s="1" t="s">
        <v>5394</v>
      </c>
    </row>
    <row r="4" customFormat="false" ht="48" hidden="false" customHeight="true" outlineLevel="0" collapsed="false">
      <c r="A4" s="1" t="s">
        <v>45</v>
      </c>
      <c r="B4" s="1" t="s">
        <v>111</v>
      </c>
      <c r="C4" s="1" t="s">
        <v>3136</v>
      </c>
      <c r="D4" s="1" t="s">
        <v>5395</v>
      </c>
      <c r="E4" s="1" t="n">
        <v>3</v>
      </c>
      <c r="F4" s="1" t="n">
        <v>7</v>
      </c>
      <c r="G4" s="1" t="s">
        <v>5388</v>
      </c>
      <c r="H4" s="1" t="n">
        <v>13</v>
      </c>
      <c r="I4" s="1" t="s">
        <v>3140</v>
      </c>
      <c r="J4" s="1" t="s">
        <v>5396</v>
      </c>
      <c r="K4" s="1" t="s">
        <v>5390</v>
      </c>
      <c r="L4" s="1" t="s">
        <v>5394</v>
      </c>
      <c r="M4" s="1" t="s">
        <v>5394</v>
      </c>
    </row>
    <row r="5" customFormat="false" ht="48" hidden="false" customHeight="true" outlineLevel="0" collapsed="false">
      <c r="A5" s="1" t="s">
        <v>45</v>
      </c>
      <c r="B5" s="1" t="s">
        <v>213</v>
      </c>
      <c r="C5" s="1" t="s">
        <v>2098</v>
      </c>
      <c r="D5" s="1" t="s">
        <v>5397</v>
      </c>
      <c r="E5" s="1" t="n">
        <v>1</v>
      </c>
      <c r="F5" s="1" t="n">
        <v>7</v>
      </c>
      <c r="G5" s="1" t="s">
        <v>5398</v>
      </c>
      <c r="H5" s="1" t="n">
        <v>5</v>
      </c>
      <c r="I5" s="1" t="s">
        <v>2101</v>
      </c>
      <c r="J5" s="1" t="s">
        <v>5399</v>
      </c>
      <c r="K5" s="1" t="s">
        <v>5390</v>
      </c>
      <c r="L5" s="1" t="s">
        <v>5394</v>
      </c>
      <c r="M5" s="1" t="s">
        <v>5394</v>
      </c>
    </row>
    <row r="6" customFormat="false" ht="48" hidden="false" customHeight="true" outlineLevel="0" collapsed="false">
      <c r="A6" s="1" t="s">
        <v>45</v>
      </c>
      <c r="B6" s="1" t="s">
        <v>57</v>
      </c>
      <c r="C6" s="1" t="s">
        <v>2742</v>
      </c>
      <c r="D6" s="1" t="s">
        <v>5400</v>
      </c>
      <c r="E6" s="1" t="n">
        <v>1</v>
      </c>
      <c r="F6" s="1" t="n">
        <v>7</v>
      </c>
      <c r="G6" s="1" t="s">
        <v>5388</v>
      </c>
      <c r="H6" s="1" t="n">
        <v>13</v>
      </c>
      <c r="I6" s="1" t="s">
        <v>2745</v>
      </c>
      <c r="J6" s="1" t="s">
        <v>5401</v>
      </c>
      <c r="K6" s="1" t="s">
        <v>5390</v>
      </c>
      <c r="L6" s="1" t="s">
        <v>5394</v>
      </c>
      <c r="M6" s="1" t="s">
        <v>5394</v>
      </c>
    </row>
    <row r="7" customFormat="false" ht="48" hidden="false" customHeight="true" outlineLevel="0" collapsed="false">
      <c r="A7" s="1" t="s">
        <v>45</v>
      </c>
      <c r="B7" s="1" t="s">
        <v>84</v>
      </c>
      <c r="C7" s="1" t="s">
        <v>2404</v>
      </c>
      <c r="D7" s="1" t="s">
        <v>5402</v>
      </c>
      <c r="E7" s="1" t="n">
        <v>2</v>
      </c>
      <c r="F7" s="1" t="n">
        <v>5</v>
      </c>
      <c r="G7" s="1" t="s">
        <v>5388</v>
      </c>
      <c r="H7" s="1" t="n">
        <v>13</v>
      </c>
      <c r="I7" s="1" t="s">
        <v>2408</v>
      </c>
      <c r="J7" s="1" t="s">
        <v>5403</v>
      </c>
      <c r="K7" s="1" t="s">
        <v>5390</v>
      </c>
      <c r="L7" s="1" t="s">
        <v>5394</v>
      </c>
      <c r="M7" s="1" t="s">
        <v>5394</v>
      </c>
    </row>
    <row r="8" customFormat="false" ht="48" hidden="false" customHeight="true" outlineLevel="0" collapsed="false">
      <c r="A8" s="1" t="s">
        <v>41</v>
      </c>
      <c r="B8" s="1" t="s">
        <v>111</v>
      </c>
      <c r="C8" s="1" t="s">
        <v>1450</v>
      </c>
      <c r="D8" s="1" t="s">
        <v>5404</v>
      </c>
      <c r="E8" s="1" t="n">
        <v>3</v>
      </c>
      <c r="F8" s="1" t="n">
        <v>7</v>
      </c>
      <c r="G8" s="1" t="s">
        <v>5405</v>
      </c>
      <c r="H8" s="1" t="n">
        <v>0</v>
      </c>
      <c r="I8" s="1" t="s">
        <v>4731</v>
      </c>
      <c r="J8" s="1" t="s">
        <v>5406</v>
      </c>
      <c r="K8" s="1" t="s">
        <v>5390</v>
      </c>
      <c r="L8" s="1" t="s">
        <v>1451</v>
      </c>
      <c r="M8" s="1" t="s">
        <v>5391</v>
      </c>
    </row>
    <row r="9" customFormat="false" ht="48" hidden="false" customHeight="true" outlineLevel="0" collapsed="false">
      <c r="A9" s="1" t="s">
        <v>41</v>
      </c>
      <c r="B9" s="1" t="s">
        <v>57</v>
      </c>
      <c r="C9" s="1" t="s">
        <v>708</v>
      </c>
      <c r="D9" s="1" t="s">
        <v>5407</v>
      </c>
      <c r="E9" s="1" t="n">
        <v>3</v>
      </c>
      <c r="F9" s="1" t="n">
        <v>7</v>
      </c>
      <c r="G9" s="1" t="s">
        <v>5405</v>
      </c>
      <c r="H9" s="1" t="n">
        <v>0</v>
      </c>
      <c r="I9" s="1" t="s">
        <v>4305</v>
      </c>
      <c r="J9" s="1" t="s">
        <v>5408</v>
      </c>
      <c r="K9" s="1" t="s">
        <v>5390</v>
      </c>
      <c r="L9" s="1" t="s">
        <v>5409</v>
      </c>
      <c r="M9" s="1" t="s">
        <v>5391</v>
      </c>
    </row>
    <row r="10" customFormat="false" ht="48" hidden="false" customHeight="true" outlineLevel="0" collapsed="false">
      <c r="A10" s="1" t="s">
        <v>43</v>
      </c>
      <c r="B10" s="1" t="s">
        <v>57</v>
      </c>
      <c r="C10" s="1" t="s">
        <v>1752</v>
      </c>
      <c r="D10" s="1" t="s">
        <v>5410</v>
      </c>
      <c r="E10" s="1" t="n">
        <v>2</v>
      </c>
      <c r="F10" s="1" t="n">
        <v>7</v>
      </c>
      <c r="G10" s="1" t="s">
        <v>5388</v>
      </c>
      <c r="H10" s="1" t="n">
        <v>13</v>
      </c>
      <c r="I10" s="1" t="s">
        <v>1756</v>
      </c>
      <c r="J10" s="1" t="s">
        <v>5411</v>
      </c>
      <c r="K10" s="1" t="s">
        <v>5390</v>
      </c>
      <c r="L10" s="1" t="s">
        <v>5412</v>
      </c>
      <c r="M10" s="1" t="s">
        <v>5391</v>
      </c>
    </row>
    <row r="11" customFormat="false" ht="48" hidden="false" customHeight="true" outlineLevel="0" collapsed="false">
      <c r="A11" s="1" t="s">
        <v>41</v>
      </c>
      <c r="B11" s="1" t="s">
        <v>84</v>
      </c>
      <c r="C11" s="1" t="s">
        <v>4001</v>
      </c>
      <c r="D11" s="1" t="s">
        <v>5413</v>
      </c>
      <c r="E11" s="1" t="n">
        <v>3</v>
      </c>
      <c r="F11" s="1" t="n">
        <v>7</v>
      </c>
      <c r="G11" s="1" t="s">
        <v>5414</v>
      </c>
      <c r="H11" s="1" t="n">
        <v>0</v>
      </c>
      <c r="I11" s="1" t="s">
        <v>4005</v>
      </c>
      <c r="J11" s="1" t="s">
        <v>5415</v>
      </c>
      <c r="K11" s="1" t="s">
        <v>5390</v>
      </c>
      <c r="L11" s="1" t="s">
        <v>5416</v>
      </c>
      <c r="M11" s="1" t="s">
        <v>5391</v>
      </c>
    </row>
    <row r="12" customFormat="false" ht="48" hidden="false" customHeight="true" outlineLevel="0" collapsed="false">
      <c r="A12" s="1" t="s">
        <v>41</v>
      </c>
      <c r="B12" s="1" t="s">
        <v>213</v>
      </c>
      <c r="C12" s="1" t="s">
        <v>2155</v>
      </c>
      <c r="D12" s="1" t="s">
        <v>5417</v>
      </c>
      <c r="E12" s="1" t="n">
        <v>2</v>
      </c>
      <c r="F12" s="1" t="n">
        <v>7</v>
      </c>
      <c r="G12" s="1" t="s">
        <v>5388</v>
      </c>
      <c r="H12" s="1" t="n">
        <v>0</v>
      </c>
      <c r="I12" s="1" t="s">
        <v>3716</v>
      </c>
      <c r="J12" s="1" t="s">
        <v>5418</v>
      </c>
      <c r="K12" s="1" t="s">
        <v>5390</v>
      </c>
      <c r="L12" s="1" t="s">
        <v>2156</v>
      </c>
      <c r="M12" s="1" t="s">
        <v>5391</v>
      </c>
    </row>
    <row r="13" customFormat="false" ht="48" hidden="false" customHeight="true" outlineLevel="0" collapsed="false">
      <c r="A13" s="1" t="s">
        <v>43</v>
      </c>
      <c r="B13" s="1" t="s">
        <v>120</v>
      </c>
      <c r="C13" s="1" t="s">
        <v>1934</v>
      </c>
      <c r="D13" s="1" t="s">
        <v>5419</v>
      </c>
      <c r="E13" s="1" t="n">
        <v>2</v>
      </c>
      <c r="F13" s="1" t="n">
        <v>7</v>
      </c>
      <c r="G13" s="1" t="s">
        <v>5420</v>
      </c>
      <c r="H13" s="1" t="n">
        <v>13</v>
      </c>
      <c r="I13" s="1" t="s">
        <v>1938</v>
      </c>
      <c r="J13" s="1" t="s">
        <v>5421</v>
      </c>
      <c r="K13" s="1" t="s">
        <v>5390</v>
      </c>
      <c r="L13" s="1" t="s">
        <v>5422</v>
      </c>
      <c r="M13" s="1" t="s">
        <v>5391</v>
      </c>
    </row>
    <row r="14" customFormat="false" ht="48" hidden="false" customHeight="true" outlineLevel="0" collapsed="false">
      <c r="A14" s="1" t="s">
        <v>41</v>
      </c>
      <c r="B14" s="1" t="s">
        <v>120</v>
      </c>
      <c r="C14" s="1" t="s">
        <v>5173</v>
      </c>
      <c r="D14" s="1" t="s">
        <v>5423</v>
      </c>
      <c r="E14" s="1" t="n">
        <v>3</v>
      </c>
      <c r="F14" s="1" t="n">
        <v>7</v>
      </c>
      <c r="G14" s="1" t="s">
        <v>5424</v>
      </c>
      <c r="H14" s="1" t="n">
        <v>0</v>
      </c>
      <c r="I14" s="1" t="s">
        <v>5176</v>
      </c>
      <c r="J14" s="1" t="s">
        <v>5425</v>
      </c>
      <c r="K14" s="1" t="s">
        <v>5390</v>
      </c>
      <c r="L14" s="1" t="s">
        <v>2054</v>
      </c>
      <c r="M14" s="1" t="s">
        <v>5391</v>
      </c>
    </row>
    <row r="15" customFormat="false" ht="48" hidden="false" customHeight="true" outlineLevel="0" collapsed="false">
      <c r="A15" s="1" t="s">
        <v>43</v>
      </c>
      <c r="B15" s="1" t="s">
        <v>111</v>
      </c>
      <c r="C15" s="1" t="s">
        <v>1426</v>
      </c>
      <c r="D15" s="1" t="s">
        <v>5400</v>
      </c>
      <c r="E15" s="1" t="n">
        <v>3</v>
      </c>
      <c r="F15" s="1" t="n">
        <v>7</v>
      </c>
      <c r="G15" s="1" t="s">
        <v>5426</v>
      </c>
      <c r="H15" s="1" t="n">
        <v>13</v>
      </c>
      <c r="I15" s="1" t="s">
        <v>1431</v>
      </c>
      <c r="J15" s="1" t="s">
        <v>5427</v>
      </c>
      <c r="K15" s="1" t="s">
        <v>5390</v>
      </c>
      <c r="L15" s="1" t="s">
        <v>5428</v>
      </c>
      <c r="M15" s="1" t="s">
        <v>5391</v>
      </c>
    </row>
    <row r="16" customFormat="false" ht="48" hidden="false" customHeight="true" outlineLevel="0" collapsed="false">
      <c r="A16" s="1" t="s">
        <v>43</v>
      </c>
      <c r="B16" s="1" t="s">
        <v>213</v>
      </c>
      <c r="C16" s="1" t="s">
        <v>215</v>
      </c>
      <c r="D16" s="1" t="s">
        <v>5429</v>
      </c>
      <c r="E16" s="1" t="n">
        <v>2</v>
      </c>
      <c r="F16" s="1" t="n">
        <v>7</v>
      </c>
      <c r="G16" s="1" t="s">
        <v>5430</v>
      </c>
      <c r="H16" s="1" t="n">
        <v>13</v>
      </c>
      <c r="I16" s="1" t="s">
        <v>221</v>
      </c>
      <c r="J16" s="1" t="s">
        <v>5431</v>
      </c>
      <c r="K16" s="1" t="s">
        <v>5390</v>
      </c>
      <c r="L16" s="1" t="s">
        <v>5432</v>
      </c>
      <c r="M16" s="1" t="s">
        <v>5391</v>
      </c>
    </row>
  </sheetData>
  <autoFilter ref="A1:M16"/>
  <hyperlinks>
    <hyperlink ref="I2" r:id="rId1" display="https://www.amazon.ca/dp/B0C699R8B6"/>
    <hyperlink ref="I3" r:id="rId2" display="https://www.amazon.co.uk/dp/B072M5ZT78"/>
    <hyperlink ref="I4" r:id="rId3" display="https://www.amazon.co.uk/dp/B08FRKXJ9R"/>
    <hyperlink ref="I5" r:id="rId4" display="https://www.amazon.co.uk/dp/B0DN1DDRHR"/>
    <hyperlink ref="I6" r:id="rId5" display="https://www.amazon.co.uk/dp/B0CGJGRFW9"/>
    <hyperlink ref="I7" r:id="rId6" display="https://www.amazon.co.uk/dp/B00J4RM850"/>
    <hyperlink ref="I8" r:id="rId7" display="https://www.amazon.com/dp/B07HC2WHS1"/>
    <hyperlink ref="I9" r:id="rId8" display="https://www.amazon.com/dp/B07RY59C3W"/>
    <hyperlink ref="I10" r:id="rId9" display="https://www.amazon.ca/dp/B0DST3PF14"/>
    <hyperlink ref="I11" r:id="rId10" display="https://www.amazon.com/dp/B0BP6DZ862"/>
    <hyperlink ref="I12" r:id="rId11" display="https://www.amazon.com/dp/B0F29F1JM5"/>
    <hyperlink ref="I13" r:id="rId12" display="https://www.amazon.ca/dp/B07D5DN269"/>
    <hyperlink ref="I14" r:id="rId13" display="https://www.amazon.com/dp/B073ZY6XH3"/>
    <hyperlink ref="I15" r:id="rId14" display="https://www.amazon.ca/dp/B01E02DU0U"/>
    <hyperlink ref="I16" r:id="rId15" display="https://www.amazon.ca/dp/B0H9QD7RD5"/>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5" min="1" style="1" width="24.71"/>
    <col collapsed="false" customWidth="true" hidden="false" outlineLevel="0" max="6" min="6" style="0" width="85.71"/>
    <col collapsed="false" customWidth="true" hidden="false" outlineLevel="0" max="11" min="7" style="1" width="24.71"/>
  </cols>
  <sheetData>
    <row r="1" customFormat="false" ht="36" hidden="false" customHeight="true" outlineLevel="0" collapsed="false">
      <c r="A1" s="2" t="s">
        <v>208</v>
      </c>
      <c r="B1" s="2" t="s">
        <v>196</v>
      </c>
      <c r="C1" s="2" t="s">
        <v>5433</v>
      </c>
      <c r="D1" s="2" t="s">
        <v>5434</v>
      </c>
      <c r="E1" s="2" t="s">
        <v>5435</v>
      </c>
      <c r="F1" s="2" t="s">
        <v>5436</v>
      </c>
      <c r="G1" s="2" t="s">
        <v>5437</v>
      </c>
      <c r="H1" s="2" t="s">
        <v>5438</v>
      </c>
      <c r="I1" s="2" t="s">
        <v>5439</v>
      </c>
      <c r="J1" s="2" t="s">
        <v>5440</v>
      </c>
      <c r="K1" s="2" t="s">
        <v>5441</v>
      </c>
    </row>
    <row r="2" customFormat="false" ht="48" hidden="false" customHeight="true" outlineLevel="0" collapsed="false">
      <c r="A2" s="1" t="s">
        <v>5431</v>
      </c>
      <c r="B2" s="1" t="s">
        <v>215</v>
      </c>
      <c r="C2" s="1" t="s">
        <v>43</v>
      </c>
      <c r="D2" s="1" t="s">
        <v>5442</v>
      </c>
      <c r="E2" s="1" t="s">
        <v>5443</v>
      </c>
      <c r="F2" s="1" t="s">
        <v>5444</v>
      </c>
      <c r="G2" s="1" t="s">
        <v>43</v>
      </c>
      <c r="H2" s="4" t="b">
        <f aca="false">FALSE()</f>
        <v>0</v>
      </c>
      <c r="I2" s="4" t="b">
        <f aca="false">TRUE()</f>
        <v>1</v>
      </c>
      <c r="J2" s="1" t="s">
        <v>5445</v>
      </c>
      <c r="K2" s="1" t="s">
        <v>5446</v>
      </c>
    </row>
    <row r="3" customFormat="false" ht="48" hidden="false" customHeight="true" outlineLevel="0" collapsed="false">
      <c r="A3" s="1" t="s">
        <v>5431</v>
      </c>
      <c r="B3" s="1" t="s">
        <v>215</v>
      </c>
      <c r="C3" s="1" t="s">
        <v>43</v>
      </c>
      <c r="D3" s="1" t="s">
        <v>5447</v>
      </c>
      <c r="E3" s="1" t="s">
        <v>5448</v>
      </c>
      <c r="F3" s="1" t="s">
        <v>5449</v>
      </c>
      <c r="G3" s="1" t="s">
        <v>43</v>
      </c>
      <c r="H3" s="4" t="b">
        <f aca="false">TRUE()</f>
        <v>1</v>
      </c>
      <c r="I3" s="4" t="b">
        <f aca="false">FALSE()</f>
        <v>0</v>
      </c>
      <c r="J3" s="1" t="s">
        <v>5450</v>
      </c>
      <c r="K3" s="1" t="s">
        <v>5446</v>
      </c>
    </row>
    <row r="4" customFormat="false" ht="48" hidden="false" customHeight="true" outlineLevel="0" collapsed="false">
      <c r="A4" s="1" t="s">
        <v>5431</v>
      </c>
      <c r="B4" s="1" t="s">
        <v>215</v>
      </c>
      <c r="C4" s="1" t="s">
        <v>43</v>
      </c>
      <c r="D4" s="1" t="s">
        <v>5451</v>
      </c>
      <c r="E4" s="1" t="s">
        <v>5452</v>
      </c>
      <c r="F4" s="1" t="s">
        <v>5453</v>
      </c>
      <c r="G4" s="1" t="s">
        <v>43</v>
      </c>
      <c r="H4" s="4" t="b">
        <f aca="false">FALSE()</f>
        <v>0</v>
      </c>
      <c r="I4" s="4" t="b">
        <f aca="false">TRUE()</f>
        <v>1</v>
      </c>
      <c r="J4" s="1" t="s">
        <v>5454</v>
      </c>
      <c r="K4" s="1" t="s">
        <v>5446</v>
      </c>
    </row>
    <row r="5" customFormat="false" ht="48" hidden="false" customHeight="true" outlineLevel="0" collapsed="false">
      <c r="A5" s="1" t="s">
        <v>5431</v>
      </c>
      <c r="B5" s="1" t="s">
        <v>215</v>
      </c>
      <c r="C5" s="1" t="s">
        <v>43</v>
      </c>
      <c r="D5" s="1" t="s">
        <v>5455</v>
      </c>
      <c r="E5" s="1" t="s">
        <v>5456</v>
      </c>
      <c r="F5" s="1" t="s">
        <v>5457</v>
      </c>
      <c r="G5" s="1" t="s">
        <v>43</v>
      </c>
      <c r="H5" s="4" t="b">
        <f aca="false">TRUE()</f>
        <v>1</v>
      </c>
      <c r="I5" s="4" t="b">
        <f aca="false">FALSE()</f>
        <v>0</v>
      </c>
      <c r="J5" s="1" t="s">
        <v>5458</v>
      </c>
      <c r="K5" s="1" t="s">
        <v>5446</v>
      </c>
    </row>
    <row r="6" customFormat="false" ht="48" hidden="false" customHeight="true" outlineLevel="0" collapsed="false">
      <c r="A6" s="1" t="s">
        <v>5431</v>
      </c>
      <c r="B6" s="1" t="s">
        <v>215</v>
      </c>
      <c r="C6" s="1" t="s">
        <v>43</v>
      </c>
      <c r="D6" s="1" t="s">
        <v>5459</v>
      </c>
      <c r="E6" s="1" t="s">
        <v>5460</v>
      </c>
      <c r="F6" s="1" t="s">
        <v>5461</v>
      </c>
      <c r="G6" s="1" t="s">
        <v>43</v>
      </c>
      <c r="H6" s="4" t="b">
        <f aca="false">TRUE()</f>
        <v>1</v>
      </c>
      <c r="I6" s="4" t="b">
        <f aca="false">FALSE()</f>
        <v>0</v>
      </c>
      <c r="J6" s="1" t="s">
        <v>5462</v>
      </c>
      <c r="K6" s="1" t="s">
        <v>5446</v>
      </c>
    </row>
    <row r="7" customFormat="false" ht="48" hidden="false" customHeight="true" outlineLevel="0" collapsed="false">
      <c r="A7" s="1" t="s">
        <v>5431</v>
      </c>
      <c r="B7" s="1" t="s">
        <v>215</v>
      </c>
      <c r="C7" s="1" t="s">
        <v>43</v>
      </c>
      <c r="D7" s="1" t="s">
        <v>5463</v>
      </c>
      <c r="E7" s="1" t="s">
        <v>5464</v>
      </c>
      <c r="F7" s="1" t="s">
        <v>5465</v>
      </c>
      <c r="G7" s="1" t="s">
        <v>43</v>
      </c>
      <c r="H7" s="4" t="b">
        <f aca="false">TRUE()</f>
        <v>1</v>
      </c>
      <c r="I7" s="4" t="b">
        <f aca="false">FALSE()</f>
        <v>0</v>
      </c>
      <c r="J7" s="1" t="s">
        <v>5466</v>
      </c>
      <c r="K7" s="1" t="s">
        <v>5446</v>
      </c>
    </row>
    <row r="8" customFormat="false" ht="48" hidden="false" customHeight="true" outlineLevel="0" collapsed="false">
      <c r="A8" s="1" t="s">
        <v>5431</v>
      </c>
      <c r="B8" s="1" t="s">
        <v>215</v>
      </c>
      <c r="C8" s="1" t="s">
        <v>43</v>
      </c>
      <c r="D8" s="1" t="s">
        <v>5467</v>
      </c>
      <c r="E8" s="1" t="s">
        <v>5456</v>
      </c>
      <c r="F8" s="1" t="s">
        <v>5468</v>
      </c>
      <c r="G8" s="1" t="s">
        <v>43</v>
      </c>
      <c r="H8" s="4" t="b">
        <f aca="false">TRUE()</f>
        <v>1</v>
      </c>
      <c r="I8" s="4" t="b">
        <f aca="false">FALSE()</f>
        <v>0</v>
      </c>
      <c r="J8" s="1" t="s">
        <v>5469</v>
      </c>
      <c r="K8" s="1" t="s">
        <v>5446</v>
      </c>
    </row>
    <row r="9" customFormat="false" ht="48" hidden="false" customHeight="true" outlineLevel="0" collapsed="false">
      <c r="A9" s="1" t="s">
        <v>5431</v>
      </c>
      <c r="B9" s="1" t="s">
        <v>215</v>
      </c>
      <c r="C9" s="1" t="s">
        <v>43</v>
      </c>
      <c r="D9" s="1" t="s">
        <v>5470</v>
      </c>
      <c r="E9" s="1" t="s">
        <v>5471</v>
      </c>
      <c r="F9" s="1" t="s">
        <v>5472</v>
      </c>
      <c r="G9" s="1" t="s">
        <v>43</v>
      </c>
      <c r="H9" s="4" t="b">
        <f aca="false">TRUE()</f>
        <v>1</v>
      </c>
      <c r="I9" s="4" t="b">
        <f aca="false">FALSE()</f>
        <v>0</v>
      </c>
      <c r="J9" s="1" t="s">
        <v>5458</v>
      </c>
      <c r="K9" s="1" t="s">
        <v>5446</v>
      </c>
    </row>
    <row r="10" customFormat="false" ht="48" hidden="false" customHeight="true" outlineLevel="0" collapsed="false">
      <c r="A10" s="1" t="s">
        <v>5431</v>
      </c>
      <c r="B10" s="1" t="s">
        <v>215</v>
      </c>
      <c r="C10" s="1" t="s">
        <v>43</v>
      </c>
      <c r="D10" s="1" t="s">
        <v>5473</v>
      </c>
      <c r="E10" s="1" t="s">
        <v>5474</v>
      </c>
      <c r="F10" s="1" t="s">
        <v>5475</v>
      </c>
      <c r="G10" s="1" t="s">
        <v>41</v>
      </c>
      <c r="H10" s="4" t="b">
        <f aca="false">FALSE()</f>
        <v>0</v>
      </c>
      <c r="I10" s="4" t="b">
        <f aca="false">TRUE()</f>
        <v>1</v>
      </c>
      <c r="J10" s="1" t="s">
        <v>5476</v>
      </c>
      <c r="K10" s="1" t="s">
        <v>5446</v>
      </c>
    </row>
    <row r="11" customFormat="false" ht="48" hidden="false" customHeight="true" outlineLevel="0" collapsed="false">
      <c r="A11" s="1" t="s">
        <v>5431</v>
      </c>
      <c r="B11" s="1" t="s">
        <v>215</v>
      </c>
      <c r="C11" s="1" t="s">
        <v>43</v>
      </c>
      <c r="D11" s="1" t="s">
        <v>5477</v>
      </c>
      <c r="E11" s="1" t="s">
        <v>5478</v>
      </c>
      <c r="F11" s="1" t="s">
        <v>5479</v>
      </c>
      <c r="G11" s="1" t="s">
        <v>41</v>
      </c>
      <c r="H11" s="4" t="b">
        <f aca="false">TRUE()</f>
        <v>1</v>
      </c>
      <c r="I11" s="4" t="b">
        <f aca="false">FALSE()</f>
        <v>0</v>
      </c>
      <c r="J11" s="1" t="s">
        <v>5480</v>
      </c>
      <c r="K11" s="1" t="s">
        <v>5446</v>
      </c>
    </row>
    <row r="12" customFormat="false" ht="48" hidden="false" customHeight="true" outlineLevel="0" collapsed="false">
      <c r="A12" s="1" t="s">
        <v>5431</v>
      </c>
      <c r="B12" s="1" t="s">
        <v>215</v>
      </c>
      <c r="C12" s="1" t="s">
        <v>43</v>
      </c>
      <c r="D12" s="1" t="s">
        <v>5481</v>
      </c>
      <c r="E12" s="1" t="s">
        <v>5482</v>
      </c>
      <c r="F12" s="1" t="s">
        <v>5483</v>
      </c>
      <c r="G12" s="1" t="s">
        <v>41</v>
      </c>
      <c r="H12" s="4" t="b">
        <f aca="false">FALSE()</f>
        <v>0</v>
      </c>
      <c r="I12" s="4" t="b">
        <f aca="false">TRUE()</f>
        <v>1</v>
      </c>
      <c r="J12" s="1" t="s">
        <v>5484</v>
      </c>
      <c r="K12" s="1" t="s">
        <v>5446</v>
      </c>
    </row>
    <row r="13" customFormat="false" ht="48" hidden="false" customHeight="true" outlineLevel="0" collapsed="false">
      <c r="A13" s="1" t="s">
        <v>5431</v>
      </c>
      <c r="B13" s="1" t="s">
        <v>215</v>
      </c>
      <c r="C13" s="1" t="s">
        <v>43</v>
      </c>
      <c r="D13" s="1" t="s">
        <v>5485</v>
      </c>
      <c r="E13" s="1" t="s">
        <v>5482</v>
      </c>
      <c r="F13" s="1" t="s">
        <v>5486</v>
      </c>
      <c r="G13" s="1" t="s">
        <v>41</v>
      </c>
      <c r="H13" s="4" t="b">
        <f aca="false">TRUE()</f>
        <v>1</v>
      </c>
      <c r="I13" s="4" t="b">
        <f aca="false">FALSE()</f>
        <v>0</v>
      </c>
      <c r="J13" s="1" t="s">
        <v>5487</v>
      </c>
      <c r="K13" s="1" t="s">
        <v>5446</v>
      </c>
    </row>
    <row r="14" customFormat="false" ht="48" hidden="false" customHeight="true" outlineLevel="0" collapsed="false">
      <c r="A14" s="1" t="s">
        <v>5431</v>
      </c>
      <c r="B14" s="1" t="s">
        <v>215</v>
      </c>
      <c r="C14" s="1" t="s">
        <v>43</v>
      </c>
      <c r="D14" s="1" t="s">
        <v>5488</v>
      </c>
      <c r="E14" s="1" t="s">
        <v>5489</v>
      </c>
      <c r="F14" s="1" t="s">
        <v>5490</v>
      </c>
      <c r="G14" s="1" t="s">
        <v>41</v>
      </c>
      <c r="H14" s="4" t="b">
        <f aca="false">TRUE()</f>
        <v>1</v>
      </c>
      <c r="I14" s="4" t="b">
        <f aca="false">FALSE()</f>
        <v>0</v>
      </c>
      <c r="J14" s="1" t="s">
        <v>5491</v>
      </c>
      <c r="K14" s="1" t="s">
        <v>5446</v>
      </c>
    </row>
    <row r="15" customFormat="false" ht="48" hidden="false" customHeight="true" outlineLevel="0" collapsed="false">
      <c r="A15" s="1" t="s">
        <v>5389</v>
      </c>
      <c r="B15" s="1" t="s">
        <v>581</v>
      </c>
      <c r="C15" s="1" t="s">
        <v>43</v>
      </c>
      <c r="D15" s="1" t="s">
        <v>5492</v>
      </c>
      <c r="E15" s="1" t="s">
        <v>5493</v>
      </c>
      <c r="F15" s="1" t="s">
        <v>5494</v>
      </c>
      <c r="G15" s="1" t="s">
        <v>43</v>
      </c>
      <c r="H15" s="4" t="b">
        <f aca="false">FALSE()</f>
        <v>0</v>
      </c>
      <c r="I15" s="4" t="b">
        <f aca="false">TRUE()</f>
        <v>1</v>
      </c>
      <c r="J15" s="1" t="s">
        <v>5495</v>
      </c>
      <c r="K15" s="1" t="s">
        <v>5446</v>
      </c>
    </row>
    <row r="16" customFormat="false" ht="48" hidden="false" customHeight="true" outlineLevel="0" collapsed="false">
      <c r="A16" s="1" t="s">
        <v>5389</v>
      </c>
      <c r="B16" s="1" t="s">
        <v>581</v>
      </c>
      <c r="C16" s="1" t="s">
        <v>43</v>
      </c>
      <c r="D16" s="1" t="s">
        <v>5496</v>
      </c>
      <c r="E16" s="1" t="s">
        <v>5497</v>
      </c>
      <c r="F16" s="1" t="s">
        <v>5498</v>
      </c>
      <c r="G16" s="1" t="s">
        <v>43</v>
      </c>
      <c r="H16" s="4" t="b">
        <f aca="false">FALSE()</f>
        <v>0</v>
      </c>
      <c r="I16" s="4" t="b">
        <f aca="false">TRUE()</f>
        <v>1</v>
      </c>
      <c r="J16" s="1" t="s">
        <v>5499</v>
      </c>
      <c r="K16" s="1" t="s">
        <v>5446</v>
      </c>
    </row>
    <row r="17" customFormat="false" ht="48" hidden="false" customHeight="true" outlineLevel="0" collapsed="false">
      <c r="A17" s="1" t="s">
        <v>5389</v>
      </c>
      <c r="B17" s="1" t="s">
        <v>581</v>
      </c>
      <c r="C17" s="1" t="s">
        <v>43</v>
      </c>
      <c r="D17" s="1" t="s">
        <v>5500</v>
      </c>
      <c r="E17" s="1" t="s">
        <v>5501</v>
      </c>
      <c r="F17" s="1" t="s">
        <v>5502</v>
      </c>
      <c r="G17" s="1" t="s">
        <v>43</v>
      </c>
      <c r="H17" s="4" t="b">
        <f aca="false">FALSE()</f>
        <v>0</v>
      </c>
      <c r="I17" s="4" t="b">
        <f aca="false">TRUE()</f>
        <v>1</v>
      </c>
      <c r="J17" s="1" t="s">
        <v>5503</v>
      </c>
      <c r="K17" s="1" t="s">
        <v>5446</v>
      </c>
    </row>
    <row r="18" customFormat="false" ht="48" hidden="false" customHeight="true" outlineLevel="0" collapsed="false">
      <c r="A18" s="1" t="s">
        <v>5389</v>
      </c>
      <c r="B18" s="1" t="s">
        <v>581</v>
      </c>
      <c r="C18" s="1" t="s">
        <v>43</v>
      </c>
      <c r="D18" s="1" t="s">
        <v>5504</v>
      </c>
      <c r="E18" s="1" t="s">
        <v>5505</v>
      </c>
      <c r="F18" s="1" t="s">
        <v>5506</v>
      </c>
      <c r="G18" s="1" t="s">
        <v>43</v>
      </c>
      <c r="H18" s="4" t="b">
        <f aca="false">FALSE()</f>
        <v>0</v>
      </c>
      <c r="I18" s="4" t="b">
        <f aca="false">TRUE()</f>
        <v>1</v>
      </c>
      <c r="J18" s="1" t="s">
        <v>5507</v>
      </c>
      <c r="K18" s="1" t="s">
        <v>5446</v>
      </c>
    </row>
    <row r="19" customFormat="false" ht="48" hidden="false" customHeight="true" outlineLevel="0" collapsed="false">
      <c r="A19" s="1" t="s">
        <v>5389</v>
      </c>
      <c r="B19" s="1" t="s">
        <v>581</v>
      </c>
      <c r="C19" s="1" t="s">
        <v>43</v>
      </c>
      <c r="D19" s="1" t="s">
        <v>5508</v>
      </c>
      <c r="E19" s="1" t="s">
        <v>5509</v>
      </c>
      <c r="F19" s="1" t="s">
        <v>5510</v>
      </c>
      <c r="G19" s="1" t="s">
        <v>43</v>
      </c>
      <c r="H19" s="4" t="b">
        <f aca="false">FALSE()</f>
        <v>0</v>
      </c>
      <c r="I19" s="4" t="b">
        <f aca="false">TRUE()</f>
        <v>1</v>
      </c>
      <c r="J19" s="1" t="s">
        <v>5511</v>
      </c>
      <c r="K19" s="1" t="s">
        <v>5446</v>
      </c>
    </row>
    <row r="20" customFormat="false" ht="48" hidden="false" customHeight="true" outlineLevel="0" collapsed="false">
      <c r="A20" s="1" t="s">
        <v>5389</v>
      </c>
      <c r="B20" s="1" t="s">
        <v>581</v>
      </c>
      <c r="C20" s="1" t="s">
        <v>43</v>
      </c>
      <c r="D20" s="1" t="s">
        <v>5512</v>
      </c>
      <c r="E20" s="1" t="s">
        <v>5513</v>
      </c>
      <c r="F20" s="1" t="s">
        <v>5514</v>
      </c>
      <c r="G20" s="1" t="s">
        <v>43</v>
      </c>
      <c r="H20" s="4" t="b">
        <f aca="false">FALSE()</f>
        <v>0</v>
      </c>
      <c r="I20" s="4" t="b">
        <f aca="false">TRUE()</f>
        <v>1</v>
      </c>
      <c r="J20" s="1" t="s">
        <v>5515</v>
      </c>
      <c r="K20" s="1" t="s">
        <v>5446</v>
      </c>
    </row>
    <row r="21" customFormat="false" ht="48" hidden="false" customHeight="true" outlineLevel="0" collapsed="false">
      <c r="A21" s="1" t="s">
        <v>5389</v>
      </c>
      <c r="B21" s="1" t="s">
        <v>581</v>
      </c>
      <c r="C21" s="1" t="s">
        <v>43</v>
      </c>
      <c r="D21" s="1" t="s">
        <v>5516</v>
      </c>
      <c r="E21" s="1" t="s">
        <v>5517</v>
      </c>
      <c r="F21" s="1" t="s">
        <v>5518</v>
      </c>
      <c r="G21" s="1" t="s">
        <v>43</v>
      </c>
      <c r="H21" s="4" t="b">
        <f aca="false">FALSE()</f>
        <v>0</v>
      </c>
      <c r="I21" s="4" t="b">
        <f aca="false">TRUE()</f>
        <v>1</v>
      </c>
      <c r="J21" s="1" t="s">
        <v>5519</v>
      </c>
      <c r="K21" s="1" t="s">
        <v>5446</v>
      </c>
    </row>
    <row r="22" customFormat="false" ht="48" hidden="false" customHeight="true" outlineLevel="0" collapsed="false">
      <c r="A22" s="1" t="s">
        <v>5389</v>
      </c>
      <c r="B22" s="1" t="s">
        <v>581</v>
      </c>
      <c r="C22" s="1" t="s">
        <v>43</v>
      </c>
      <c r="D22" s="1" t="s">
        <v>5520</v>
      </c>
      <c r="E22" s="1" t="s">
        <v>5521</v>
      </c>
      <c r="F22" s="1" t="s">
        <v>5522</v>
      </c>
      <c r="G22" s="1" t="s">
        <v>43</v>
      </c>
      <c r="H22" s="4" t="b">
        <f aca="false">FALSE()</f>
        <v>0</v>
      </c>
      <c r="I22" s="4" t="b">
        <f aca="false">TRUE()</f>
        <v>1</v>
      </c>
      <c r="J22" s="1" t="s">
        <v>5523</v>
      </c>
      <c r="K22" s="1" t="s">
        <v>5446</v>
      </c>
    </row>
    <row r="23" customFormat="false" ht="48" hidden="false" customHeight="true" outlineLevel="0" collapsed="false">
      <c r="A23" s="1" t="s">
        <v>5389</v>
      </c>
      <c r="B23" s="1" t="s">
        <v>581</v>
      </c>
      <c r="C23" s="1" t="s">
        <v>43</v>
      </c>
      <c r="D23" s="1" t="s">
        <v>5524</v>
      </c>
      <c r="E23" s="1" t="s">
        <v>5525</v>
      </c>
      <c r="F23" s="1" t="s">
        <v>5526</v>
      </c>
      <c r="G23" s="1" t="s">
        <v>41</v>
      </c>
      <c r="H23" s="4" t="b">
        <f aca="false">FALSE()</f>
        <v>0</v>
      </c>
      <c r="I23" s="4" t="b">
        <f aca="false">TRUE()</f>
        <v>1</v>
      </c>
      <c r="J23" s="1" t="s">
        <v>5527</v>
      </c>
      <c r="K23" s="1" t="s">
        <v>5446</v>
      </c>
    </row>
    <row r="24" customFormat="false" ht="48" hidden="false" customHeight="true" outlineLevel="0" collapsed="false">
      <c r="A24" s="1" t="s">
        <v>5389</v>
      </c>
      <c r="B24" s="1" t="s">
        <v>581</v>
      </c>
      <c r="C24" s="1" t="s">
        <v>43</v>
      </c>
      <c r="D24" s="1" t="s">
        <v>5528</v>
      </c>
      <c r="E24" s="1" t="s">
        <v>5529</v>
      </c>
      <c r="F24" s="1" t="s">
        <v>5530</v>
      </c>
      <c r="G24" s="1" t="s">
        <v>41</v>
      </c>
      <c r="H24" s="4" t="b">
        <f aca="false">FALSE()</f>
        <v>0</v>
      </c>
      <c r="I24" s="4" t="b">
        <f aca="false">TRUE()</f>
        <v>1</v>
      </c>
      <c r="J24" s="1" t="s">
        <v>5531</v>
      </c>
      <c r="K24" s="1" t="s">
        <v>5446</v>
      </c>
    </row>
    <row r="25" customFormat="false" ht="48" hidden="false" customHeight="true" outlineLevel="0" collapsed="false">
      <c r="A25" s="1" t="s">
        <v>5389</v>
      </c>
      <c r="B25" s="1" t="s">
        <v>581</v>
      </c>
      <c r="C25" s="1" t="s">
        <v>43</v>
      </c>
      <c r="D25" s="1" t="s">
        <v>5532</v>
      </c>
      <c r="E25" s="1" t="s">
        <v>5533</v>
      </c>
      <c r="F25" s="1" t="s">
        <v>5534</v>
      </c>
      <c r="G25" s="1" t="s">
        <v>41</v>
      </c>
      <c r="H25" s="4" t="b">
        <f aca="false">FALSE()</f>
        <v>0</v>
      </c>
      <c r="I25" s="4" t="b">
        <f aca="false">TRUE()</f>
        <v>1</v>
      </c>
      <c r="J25" s="1" t="s">
        <v>5535</v>
      </c>
      <c r="K25" s="1" t="s">
        <v>5446</v>
      </c>
    </row>
    <row r="26" customFormat="false" ht="48" hidden="false" customHeight="true" outlineLevel="0" collapsed="false">
      <c r="A26" s="1" t="s">
        <v>5389</v>
      </c>
      <c r="B26" s="1" t="s">
        <v>581</v>
      </c>
      <c r="C26" s="1" t="s">
        <v>43</v>
      </c>
      <c r="D26" s="1" t="s">
        <v>5536</v>
      </c>
      <c r="E26" s="1" t="s">
        <v>5537</v>
      </c>
      <c r="F26" s="1" t="s">
        <v>5538</v>
      </c>
      <c r="G26" s="1" t="s">
        <v>41</v>
      </c>
      <c r="H26" s="4" t="b">
        <f aca="false">FALSE()</f>
        <v>0</v>
      </c>
      <c r="I26" s="4" t="b">
        <f aca="false">TRUE()</f>
        <v>1</v>
      </c>
      <c r="J26" s="1" t="s">
        <v>5469</v>
      </c>
      <c r="K26" s="1" t="s">
        <v>5446</v>
      </c>
    </row>
    <row r="27" customFormat="false" ht="48" hidden="false" customHeight="true" outlineLevel="0" collapsed="false">
      <c r="A27" s="1" t="s">
        <v>5389</v>
      </c>
      <c r="B27" s="1" t="s">
        <v>581</v>
      </c>
      <c r="C27" s="1" t="s">
        <v>43</v>
      </c>
      <c r="D27" s="1" t="s">
        <v>5539</v>
      </c>
      <c r="E27" s="1" t="s">
        <v>5540</v>
      </c>
      <c r="F27" s="1" t="s">
        <v>5541</v>
      </c>
      <c r="G27" s="1" t="s">
        <v>41</v>
      </c>
      <c r="H27" s="4" t="b">
        <f aca="false">FALSE()</f>
        <v>0</v>
      </c>
      <c r="I27" s="4" t="b">
        <f aca="false">TRUE()</f>
        <v>1</v>
      </c>
      <c r="J27" s="1" t="s">
        <v>5542</v>
      </c>
      <c r="K27" s="1" t="s">
        <v>5446</v>
      </c>
    </row>
    <row r="28" customFormat="false" ht="48" hidden="false" customHeight="true" outlineLevel="0" collapsed="false">
      <c r="A28" s="1" t="s">
        <v>5427</v>
      </c>
      <c r="B28" s="1" t="s">
        <v>1426</v>
      </c>
      <c r="C28" s="1" t="s">
        <v>43</v>
      </c>
      <c r="D28" s="1" t="s">
        <v>5543</v>
      </c>
      <c r="E28" s="1" t="s">
        <v>5544</v>
      </c>
      <c r="F28" s="1" t="s">
        <v>5545</v>
      </c>
      <c r="G28" s="1" t="s">
        <v>43</v>
      </c>
      <c r="H28" s="4" t="b">
        <f aca="false">FALSE()</f>
        <v>0</v>
      </c>
      <c r="I28" s="4" t="b">
        <f aca="false">TRUE()</f>
        <v>1</v>
      </c>
      <c r="J28" s="1" t="s">
        <v>5546</v>
      </c>
      <c r="K28" s="1" t="s">
        <v>5446</v>
      </c>
    </row>
    <row r="29" customFormat="false" ht="48" hidden="false" customHeight="true" outlineLevel="0" collapsed="false">
      <c r="A29" s="1" t="s">
        <v>5427</v>
      </c>
      <c r="B29" s="1" t="s">
        <v>1426</v>
      </c>
      <c r="C29" s="1" t="s">
        <v>43</v>
      </c>
      <c r="D29" s="1" t="s">
        <v>5547</v>
      </c>
      <c r="E29" s="1" t="s">
        <v>5548</v>
      </c>
      <c r="F29" s="1" t="s">
        <v>5549</v>
      </c>
      <c r="G29" s="1" t="s">
        <v>43</v>
      </c>
      <c r="H29" s="4" t="b">
        <f aca="false">FALSE()</f>
        <v>0</v>
      </c>
      <c r="I29" s="4" t="b">
        <f aca="false">TRUE()</f>
        <v>1</v>
      </c>
      <c r="J29" s="1" t="s">
        <v>5550</v>
      </c>
      <c r="K29" s="1" t="s">
        <v>5446</v>
      </c>
    </row>
    <row r="30" customFormat="false" ht="48" hidden="false" customHeight="true" outlineLevel="0" collapsed="false">
      <c r="A30" s="1" t="s">
        <v>5427</v>
      </c>
      <c r="B30" s="1" t="s">
        <v>1426</v>
      </c>
      <c r="C30" s="1" t="s">
        <v>43</v>
      </c>
      <c r="D30" s="1" t="s">
        <v>5551</v>
      </c>
      <c r="E30" s="1" t="s">
        <v>5460</v>
      </c>
      <c r="F30" s="1" t="s">
        <v>5552</v>
      </c>
      <c r="G30" s="1" t="s">
        <v>43</v>
      </c>
      <c r="H30" s="4" t="b">
        <f aca="false">FALSE()</f>
        <v>0</v>
      </c>
      <c r="I30" s="4" t="b">
        <f aca="false">TRUE()</f>
        <v>1</v>
      </c>
      <c r="J30" s="1" t="s">
        <v>5553</v>
      </c>
      <c r="K30" s="1" t="s">
        <v>5446</v>
      </c>
    </row>
    <row r="31" customFormat="false" ht="48" hidden="false" customHeight="true" outlineLevel="0" collapsed="false">
      <c r="A31" s="1" t="s">
        <v>5427</v>
      </c>
      <c r="B31" s="1" t="s">
        <v>1426</v>
      </c>
      <c r="C31" s="1" t="s">
        <v>43</v>
      </c>
      <c r="D31" s="1" t="s">
        <v>5554</v>
      </c>
      <c r="E31" s="1" t="s">
        <v>5555</v>
      </c>
      <c r="F31" s="1" t="s">
        <v>5556</v>
      </c>
      <c r="G31" s="1" t="s">
        <v>43</v>
      </c>
      <c r="H31" s="4" t="b">
        <f aca="false">FALSE()</f>
        <v>0</v>
      </c>
      <c r="I31" s="4" t="b">
        <f aca="false">TRUE()</f>
        <v>1</v>
      </c>
      <c r="J31" s="1" t="s">
        <v>5445</v>
      </c>
      <c r="K31" s="1" t="s">
        <v>5446</v>
      </c>
    </row>
    <row r="32" customFormat="false" ht="48" hidden="false" customHeight="true" outlineLevel="0" collapsed="false">
      <c r="A32" s="1" t="s">
        <v>5427</v>
      </c>
      <c r="B32" s="1" t="s">
        <v>1426</v>
      </c>
      <c r="C32" s="1" t="s">
        <v>43</v>
      </c>
      <c r="D32" s="1" t="s">
        <v>5557</v>
      </c>
      <c r="E32" s="1" t="s">
        <v>5558</v>
      </c>
      <c r="F32" s="1" t="s">
        <v>5559</v>
      </c>
      <c r="G32" s="1" t="s">
        <v>43</v>
      </c>
      <c r="H32" s="4" t="b">
        <f aca="false">FALSE()</f>
        <v>0</v>
      </c>
      <c r="I32" s="4" t="b">
        <f aca="false">TRUE()</f>
        <v>1</v>
      </c>
      <c r="J32" s="1" t="s">
        <v>5560</v>
      </c>
      <c r="K32" s="1" t="s">
        <v>5446</v>
      </c>
    </row>
    <row r="33" customFormat="false" ht="48" hidden="false" customHeight="true" outlineLevel="0" collapsed="false">
      <c r="A33" s="1" t="s">
        <v>5427</v>
      </c>
      <c r="B33" s="1" t="s">
        <v>1426</v>
      </c>
      <c r="C33" s="1" t="s">
        <v>43</v>
      </c>
      <c r="D33" s="1" t="s">
        <v>5561</v>
      </c>
      <c r="E33" s="1" t="s">
        <v>5562</v>
      </c>
      <c r="F33" s="1" t="s">
        <v>5563</v>
      </c>
      <c r="G33" s="1" t="s">
        <v>43</v>
      </c>
      <c r="H33" s="4" t="b">
        <f aca="false">FALSE()</f>
        <v>0</v>
      </c>
      <c r="I33" s="4" t="b">
        <f aca="false">TRUE()</f>
        <v>1</v>
      </c>
      <c r="J33" s="1" t="s">
        <v>5564</v>
      </c>
      <c r="K33" s="1" t="s">
        <v>5446</v>
      </c>
    </row>
    <row r="34" customFormat="false" ht="48" hidden="false" customHeight="true" outlineLevel="0" collapsed="false">
      <c r="A34" s="1" t="s">
        <v>5427</v>
      </c>
      <c r="B34" s="1" t="s">
        <v>1426</v>
      </c>
      <c r="C34" s="1" t="s">
        <v>43</v>
      </c>
      <c r="D34" s="1" t="s">
        <v>5565</v>
      </c>
      <c r="E34" s="1" t="s">
        <v>5566</v>
      </c>
      <c r="F34" s="1" t="s">
        <v>5567</v>
      </c>
      <c r="G34" s="1" t="s">
        <v>43</v>
      </c>
      <c r="H34" s="4" t="b">
        <f aca="false">FALSE()</f>
        <v>0</v>
      </c>
      <c r="I34" s="4" t="b">
        <f aca="false">TRUE()</f>
        <v>1</v>
      </c>
      <c r="J34" s="1" t="s">
        <v>5568</v>
      </c>
      <c r="K34" s="1" t="s">
        <v>5446</v>
      </c>
    </row>
    <row r="35" customFormat="false" ht="48" hidden="false" customHeight="true" outlineLevel="0" collapsed="false">
      <c r="A35" s="1" t="s">
        <v>5427</v>
      </c>
      <c r="B35" s="1" t="s">
        <v>1426</v>
      </c>
      <c r="C35" s="1" t="s">
        <v>43</v>
      </c>
      <c r="D35" s="1" t="s">
        <v>5569</v>
      </c>
      <c r="E35" s="1" t="s">
        <v>5570</v>
      </c>
      <c r="F35" s="1" t="s">
        <v>5571</v>
      </c>
      <c r="G35" s="1" t="s">
        <v>43</v>
      </c>
      <c r="H35" s="4" t="b">
        <f aca="false">FALSE()</f>
        <v>0</v>
      </c>
      <c r="I35" s="4" t="b">
        <f aca="false">TRUE()</f>
        <v>1</v>
      </c>
      <c r="J35" s="1" t="s">
        <v>5553</v>
      </c>
      <c r="K35" s="1" t="s">
        <v>5446</v>
      </c>
    </row>
    <row r="36" customFormat="false" ht="48" hidden="false" customHeight="true" outlineLevel="0" collapsed="false">
      <c r="A36" s="1" t="s">
        <v>5427</v>
      </c>
      <c r="B36" s="1" t="s">
        <v>1426</v>
      </c>
      <c r="C36" s="1" t="s">
        <v>43</v>
      </c>
      <c r="D36" s="1" t="s">
        <v>5572</v>
      </c>
      <c r="E36" s="1" t="s">
        <v>5573</v>
      </c>
      <c r="F36" s="1" t="s">
        <v>5574</v>
      </c>
      <c r="G36" s="1" t="s">
        <v>41</v>
      </c>
      <c r="H36" s="4" t="b">
        <f aca="false">FALSE()</f>
        <v>0</v>
      </c>
      <c r="I36" s="4" t="b">
        <f aca="false">TRUE()</f>
        <v>1</v>
      </c>
      <c r="J36" s="1" t="s">
        <v>5575</v>
      </c>
      <c r="K36" s="1" t="s">
        <v>5446</v>
      </c>
    </row>
    <row r="37" customFormat="false" ht="48" hidden="false" customHeight="true" outlineLevel="0" collapsed="false">
      <c r="A37" s="1" t="s">
        <v>5427</v>
      </c>
      <c r="B37" s="1" t="s">
        <v>1426</v>
      </c>
      <c r="C37" s="1" t="s">
        <v>43</v>
      </c>
      <c r="D37" s="1" t="s">
        <v>5576</v>
      </c>
      <c r="E37" s="1" t="s">
        <v>5577</v>
      </c>
      <c r="F37" s="1" t="s">
        <v>5578</v>
      </c>
      <c r="G37" s="1" t="s">
        <v>5579</v>
      </c>
      <c r="H37" s="4" t="b">
        <f aca="false">FALSE()</f>
        <v>0</v>
      </c>
      <c r="I37" s="4" t="b">
        <f aca="false">TRUE()</f>
        <v>1</v>
      </c>
      <c r="K37" s="1" t="s">
        <v>5446</v>
      </c>
    </row>
    <row r="38" customFormat="false" ht="48" hidden="false" customHeight="true" outlineLevel="0" collapsed="false">
      <c r="A38" s="1" t="s">
        <v>5427</v>
      </c>
      <c r="B38" s="1" t="s">
        <v>1426</v>
      </c>
      <c r="C38" s="1" t="s">
        <v>43</v>
      </c>
      <c r="D38" s="1" t="s">
        <v>5580</v>
      </c>
      <c r="E38" s="1" t="s">
        <v>5489</v>
      </c>
      <c r="F38" s="1" t="s">
        <v>5581</v>
      </c>
      <c r="G38" s="1" t="s">
        <v>41</v>
      </c>
      <c r="H38" s="4" t="b">
        <f aca="false">FALSE()</f>
        <v>0</v>
      </c>
      <c r="I38" s="4" t="b">
        <f aca="false">TRUE()</f>
        <v>1</v>
      </c>
      <c r="J38" s="1" t="s">
        <v>5582</v>
      </c>
      <c r="K38" s="1" t="s">
        <v>5446</v>
      </c>
    </row>
    <row r="39" customFormat="false" ht="48" hidden="false" customHeight="true" outlineLevel="0" collapsed="false">
      <c r="A39" s="1" t="s">
        <v>5427</v>
      </c>
      <c r="B39" s="1" t="s">
        <v>1426</v>
      </c>
      <c r="C39" s="1" t="s">
        <v>43</v>
      </c>
      <c r="D39" s="1" t="s">
        <v>5583</v>
      </c>
      <c r="E39" s="1" t="s">
        <v>5584</v>
      </c>
      <c r="F39" s="1" t="s">
        <v>5585</v>
      </c>
      <c r="G39" s="1" t="s">
        <v>5579</v>
      </c>
      <c r="H39" s="4" t="b">
        <f aca="false">FALSE()</f>
        <v>0</v>
      </c>
      <c r="I39" s="4" t="b">
        <f aca="false">TRUE()</f>
        <v>1</v>
      </c>
      <c r="K39" s="1" t="s">
        <v>5446</v>
      </c>
    </row>
    <row r="40" customFormat="false" ht="48" hidden="false" customHeight="true" outlineLevel="0" collapsed="false">
      <c r="A40" s="1" t="s">
        <v>5427</v>
      </c>
      <c r="B40" s="1" t="s">
        <v>1426</v>
      </c>
      <c r="C40" s="1" t="s">
        <v>43</v>
      </c>
      <c r="D40" s="1" t="s">
        <v>5586</v>
      </c>
      <c r="E40" s="1" t="s">
        <v>5587</v>
      </c>
      <c r="F40" s="1" t="s">
        <v>5588</v>
      </c>
      <c r="G40" s="1" t="s">
        <v>41</v>
      </c>
      <c r="H40" s="4" t="b">
        <f aca="false">FALSE()</f>
        <v>0</v>
      </c>
      <c r="I40" s="4" t="b">
        <f aca="false">TRUE()</f>
        <v>1</v>
      </c>
      <c r="J40" s="1" t="s">
        <v>5553</v>
      </c>
      <c r="K40" s="1" t="s">
        <v>5446</v>
      </c>
    </row>
    <row r="41" customFormat="false" ht="48" hidden="false" customHeight="true" outlineLevel="0" collapsed="false">
      <c r="A41" s="1" t="s">
        <v>5411</v>
      </c>
      <c r="B41" s="1" t="s">
        <v>1752</v>
      </c>
      <c r="C41" s="1" t="s">
        <v>43</v>
      </c>
      <c r="D41" s="1" t="s">
        <v>5589</v>
      </c>
      <c r="E41" s="1" t="s">
        <v>5448</v>
      </c>
      <c r="F41" s="1" t="s">
        <v>5590</v>
      </c>
      <c r="G41" s="1" t="s">
        <v>43</v>
      </c>
      <c r="H41" s="4" t="b">
        <f aca="false">FALSE()</f>
        <v>0</v>
      </c>
      <c r="I41" s="4" t="b">
        <f aca="false">TRUE()</f>
        <v>1</v>
      </c>
      <c r="K41" s="1" t="s">
        <v>5446</v>
      </c>
    </row>
    <row r="42" customFormat="false" ht="48" hidden="false" customHeight="true" outlineLevel="0" collapsed="false">
      <c r="A42" s="1" t="s">
        <v>5411</v>
      </c>
      <c r="B42" s="1" t="s">
        <v>1752</v>
      </c>
      <c r="C42" s="1" t="s">
        <v>43</v>
      </c>
      <c r="D42" s="1" t="s">
        <v>5591</v>
      </c>
      <c r="E42" s="1" t="s">
        <v>5592</v>
      </c>
      <c r="F42" s="1" t="s">
        <v>5593</v>
      </c>
      <c r="G42" s="1" t="s">
        <v>43</v>
      </c>
      <c r="H42" s="4" t="b">
        <f aca="false">FALSE()</f>
        <v>0</v>
      </c>
      <c r="I42" s="4" t="b">
        <f aca="false">TRUE()</f>
        <v>1</v>
      </c>
      <c r="J42" s="1" t="s">
        <v>5507</v>
      </c>
      <c r="K42" s="1" t="s">
        <v>5446</v>
      </c>
    </row>
    <row r="43" customFormat="false" ht="48" hidden="false" customHeight="true" outlineLevel="0" collapsed="false">
      <c r="A43" s="1" t="s">
        <v>5411</v>
      </c>
      <c r="B43" s="1" t="s">
        <v>1752</v>
      </c>
      <c r="C43" s="1" t="s">
        <v>43</v>
      </c>
      <c r="D43" s="1" t="s">
        <v>5594</v>
      </c>
      <c r="E43" s="1" t="s">
        <v>5595</v>
      </c>
      <c r="F43" s="1" t="s">
        <v>5596</v>
      </c>
      <c r="G43" s="1" t="s">
        <v>43</v>
      </c>
      <c r="H43" s="4" t="b">
        <f aca="false">FALSE()</f>
        <v>0</v>
      </c>
      <c r="I43" s="4" t="b">
        <f aca="false">TRUE()</f>
        <v>1</v>
      </c>
      <c r="J43" s="1" t="s">
        <v>5597</v>
      </c>
      <c r="K43" s="1" t="s">
        <v>5446</v>
      </c>
    </row>
    <row r="44" customFormat="false" ht="48" hidden="false" customHeight="true" outlineLevel="0" collapsed="false">
      <c r="A44" s="1" t="s">
        <v>5411</v>
      </c>
      <c r="B44" s="1" t="s">
        <v>1752</v>
      </c>
      <c r="C44" s="1" t="s">
        <v>43</v>
      </c>
      <c r="D44" s="1" t="s">
        <v>5598</v>
      </c>
      <c r="E44" s="1" t="s">
        <v>5599</v>
      </c>
      <c r="F44" s="1" t="s">
        <v>5600</v>
      </c>
      <c r="G44" s="1" t="s">
        <v>43</v>
      </c>
      <c r="H44" s="4" t="b">
        <f aca="false">FALSE()</f>
        <v>0</v>
      </c>
      <c r="I44" s="4" t="b">
        <f aca="false">TRUE()</f>
        <v>1</v>
      </c>
      <c r="J44" s="1" t="s">
        <v>5601</v>
      </c>
      <c r="K44" s="1" t="s">
        <v>5446</v>
      </c>
    </row>
    <row r="45" customFormat="false" ht="48" hidden="false" customHeight="true" outlineLevel="0" collapsed="false">
      <c r="A45" s="1" t="s">
        <v>5411</v>
      </c>
      <c r="B45" s="1" t="s">
        <v>1752</v>
      </c>
      <c r="C45" s="1" t="s">
        <v>43</v>
      </c>
      <c r="D45" s="1" t="s">
        <v>5602</v>
      </c>
      <c r="E45" s="1" t="s">
        <v>5603</v>
      </c>
      <c r="F45" s="1" t="s">
        <v>5604</v>
      </c>
      <c r="G45" s="1" t="s">
        <v>43</v>
      </c>
      <c r="H45" s="4" t="b">
        <f aca="false">FALSE()</f>
        <v>0</v>
      </c>
      <c r="I45" s="4" t="b">
        <f aca="false">TRUE()</f>
        <v>1</v>
      </c>
      <c r="J45" s="1" t="s">
        <v>5605</v>
      </c>
      <c r="K45" s="1" t="s">
        <v>5446</v>
      </c>
    </row>
    <row r="46" customFormat="false" ht="48" hidden="false" customHeight="true" outlineLevel="0" collapsed="false">
      <c r="A46" s="1" t="s">
        <v>5411</v>
      </c>
      <c r="B46" s="1" t="s">
        <v>1752</v>
      </c>
      <c r="C46" s="1" t="s">
        <v>43</v>
      </c>
      <c r="D46" s="1" t="s">
        <v>5606</v>
      </c>
      <c r="E46" s="1" t="s">
        <v>5607</v>
      </c>
      <c r="F46" s="1" t="s">
        <v>5608</v>
      </c>
      <c r="G46" s="1" t="s">
        <v>43</v>
      </c>
      <c r="H46" s="4" t="b">
        <f aca="false">FALSE()</f>
        <v>0</v>
      </c>
      <c r="I46" s="4" t="b">
        <f aca="false">TRUE()</f>
        <v>1</v>
      </c>
      <c r="J46" s="1" t="s">
        <v>5609</v>
      </c>
      <c r="K46" s="1" t="s">
        <v>5446</v>
      </c>
    </row>
    <row r="47" customFormat="false" ht="48" hidden="false" customHeight="true" outlineLevel="0" collapsed="false">
      <c r="A47" s="1" t="s">
        <v>5411</v>
      </c>
      <c r="B47" s="1" t="s">
        <v>1752</v>
      </c>
      <c r="C47" s="1" t="s">
        <v>43</v>
      </c>
      <c r="D47" s="1" t="s">
        <v>5610</v>
      </c>
      <c r="E47" s="1" t="s">
        <v>5611</v>
      </c>
      <c r="F47" s="1" t="s">
        <v>5612</v>
      </c>
      <c r="G47" s="1" t="s">
        <v>43</v>
      </c>
      <c r="H47" s="4" t="b">
        <f aca="false">FALSE()</f>
        <v>0</v>
      </c>
      <c r="I47" s="4" t="b">
        <f aca="false">TRUE()</f>
        <v>1</v>
      </c>
      <c r="J47" s="1" t="s">
        <v>5613</v>
      </c>
      <c r="K47" s="1" t="s">
        <v>5446</v>
      </c>
    </row>
    <row r="48" customFormat="false" ht="48" hidden="false" customHeight="true" outlineLevel="0" collapsed="false">
      <c r="A48" s="1" t="s">
        <v>5411</v>
      </c>
      <c r="B48" s="1" t="s">
        <v>1752</v>
      </c>
      <c r="C48" s="1" t="s">
        <v>43</v>
      </c>
      <c r="D48" s="1" t="s">
        <v>5614</v>
      </c>
      <c r="E48" s="1" t="s">
        <v>5615</v>
      </c>
      <c r="F48" s="1" t="s">
        <v>5616</v>
      </c>
      <c r="G48" s="1" t="s">
        <v>43</v>
      </c>
      <c r="H48" s="4" t="b">
        <f aca="false">FALSE()</f>
        <v>0</v>
      </c>
      <c r="I48" s="4" t="b">
        <f aca="false">TRUE()</f>
        <v>1</v>
      </c>
      <c r="J48" s="1" t="s">
        <v>5454</v>
      </c>
      <c r="K48" s="1" t="s">
        <v>5446</v>
      </c>
    </row>
    <row r="49" customFormat="false" ht="48" hidden="false" customHeight="true" outlineLevel="0" collapsed="false">
      <c r="A49" s="1" t="s">
        <v>5411</v>
      </c>
      <c r="B49" s="1" t="s">
        <v>1752</v>
      </c>
      <c r="C49" s="1" t="s">
        <v>43</v>
      </c>
      <c r="D49" s="1" t="s">
        <v>5617</v>
      </c>
      <c r="E49" s="1" t="s">
        <v>5618</v>
      </c>
      <c r="F49" s="1" t="s">
        <v>5619</v>
      </c>
      <c r="G49" s="1" t="s">
        <v>5579</v>
      </c>
      <c r="H49" s="4" t="b">
        <f aca="false">FALSE()</f>
        <v>0</v>
      </c>
      <c r="I49" s="4" t="b">
        <f aca="false">TRUE()</f>
        <v>1</v>
      </c>
      <c r="K49" s="1" t="s">
        <v>5446</v>
      </c>
    </row>
    <row r="50" customFormat="false" ht="48" hidden="false" customHeight="true" outlineLevel="0" collapsed="false">
      <c r="A50" s="1" t="s">
        <v>5411</v>
      </c>
      <c r="B50" s="1" t="s">
        <v>1752</v>
      </c>
      <c r="C50" s="1" t="s">
        <v>43</v>
      </c>
      <c r="D50" s="1" t="s">
        <v>5620</v>
      </c>
      <c r="E50" s="1" t="s">
        <v>5621</v>
      </c>
      <c r="F50" s="1" t="s">
        <v>5622</v>
      </c>
      <c r="G50" s="1" t="s">
        <v>41</v>
      </c>
      <c r="H50" s="4" t="b">
        <f aca="false">FALSE()</f>
        <v>0</v>
      </c>
      <c r="I50" s="4" t="b">
        <f aca="false">TRUE()</f>
        <v>1</v>
      </c>
      <c r="J50" s="1" t="s">
        <v>5623</v>
      </c>
      <c r="K50" s="1" t="s">
        <v>5446</v>
      </c>
    </row>
    <row r="51" customFormat="false" ht="48" hidden="false" customHeight="true" outlineLevel="0" collapsed="false">
      <c r="A51" s="1" t="s">
        <v>5411</v>
      </c>
      <c r="B51" s="1" t="s">
        <v>1752</v>
      </c>
      <c r="C51" s="1" t="s">
        <v>43</v>
      </c>
      <c r="D51" s="1" t="s">
        <v>5624</v>
      </c>
      <c r="E51" s="1" t="s">
        <v>5625</v>
      </c>
      <c r="F51" s="1" t="s">
        <v>5626</v>
      </c>
      <c r="G51" s="1" t="s">
        <v>41</v>
      </c>
      <c r="H51" s="4" t="b">
        <f aca="false">FALSE()</f>
        <v>0</v>
      </c>
      <c r="I51" s="4" t="b">
        <f aca="false">TRUE()</f>
        <v>1</v>
      </c>
      <c r="J51" s="1" t="s">
        <v>5627</v>
      </c>
      <c r="K51" s="1" t="s">
        <v>5446</v>
      </c>
    </row>
    <row r="52" customFormat="false" ht="48" hidden="false" customHeight="true" outlineLevel="0" collapsed="false">
      <c r="A52" s="1" t="s">
        <v>5411</v>
      </c>
      <c r="B52" s="1" t="s">
        <v>1752</v>
      </c>
      <c r="C52" s="1" t="s">
        <v>43</v>
      </c>
      <c r="D52" s="1" t="s">
        <v>5628</v>
      </c>
      <c r="E52" s="1" t="s">
        <v>5629</v>
      </c>
      <c r="F52" s="1" t="s">
        <v>5630</v>
      </c>
      <c r="G52" s="1" t="s">
        <v>41</v>
      </c>
      <c r="H52" s="4" t="b">
        <f aca="false">FALSE()</f>
        <v>0</v>
      </c>
      <c r="I52" s="4" t="b">
        <f aca="false">TRUE()</f>
        <v>1</v>
      </c>
      <c r="J52" s="1" t="s">
        <v>5631</v>
      </c>
      <c r="K52" s="1" t="s">
        <v>5446</v>
      </c>
    </row>
    <row r="53" customFormat="false" ht="48" hidden="false" customHeight="true" outlineLevel="0" collapsed="false">
      <c r="A53" s="1" t="s">
        <v>5411</v>
      </c>
      <c r="B53" s="1" t="s">
        <v>1752</v>
      </c>
      <c r="C53" s="1" t="s">
        <v>43</v>
      </c>
      <c r="D53" s="1" t="s">
        <v>5632</v>
      </c>
      <c r="E53" s="1" t="s">
        <v>5633</v>
      </c>
      <c r="F53" s="1" t="s">
        <v>5634</v>
      </c>
      <c r="G53" s="1" t="s">
        <v>41</v>
      </c>
      <c r="H53" s="4" t="b">
        <f aca="false">FALSE()</f>
        <v>0</v>
      </c>
      <c r="I53" s="4" t="b">
        <f aca="false">TRUE()</f>
        <v>1</v>
      </c>
      <c r="J53" s="1" t="s">
        <v>5445</v>
      </c>
      <c r="K53" s="1" t="s">
        <v>5446</v>
      </c>
    </row>
    <row r="54" customFormat="false" ht="48" hidden="false" customHeight="true" outlineLevel="0" collapsed="false">
      <c r="A54" s="1" t="s">
        <v>5421</v>
      </c>
      <c r="B54" s="1" t="s">
        <v>1934</v>
      </c>
      <c r="C54" s="1" t="s">
        <v>43</v>
      </c>
      <c r="D54" s="1" t="s">
        <v>5635</v>
      </c>
      <c r="E54" s="1" t="s">
        <v>5460</v>
      </c>
      <c r="F54" s="1" t="s">
        <v>5636</v>
      </c>
      <c r="G54" s="1" t="s">
        <v>43</v>
      </c>
      <c r="H54" s="4" t="b">
        <f aca="false">FALSE()</f>
        <v>0</v>
      </c>
      <c r="I54" s="4" t="b">
        <f aca="false">TRUE()</f>
        <v>1</v>
      </c>
      <c r="J54" s="1" t="s">
        <v>5637</v>
      </c>
      <c r="K54" s="1" t="s">
        <v>5446</v>
      </c>
    </row>
    <row r="55" customFormat="false" ht="48" hidden="false" customHeight="true" outlineLevel="0" collapsed="false">
      <c r="A55" s="1" t="s">
        <v>5421</v>
      </c>
      <c r="B55" s="1" t="s">
        <v>1934</v>
      </c>
      <c r="C55" s="1" t="s">
        <v>43</v>
      </c>
      <c r="D55" s="1" t="s">
        <v>5638</v>
      </c>
      <c r="E55" s="1" t="s">
        <v>5570</v>
      </c>
      <c r="F55" s="1" t="s">
        <v>5639</v>
      </c>
      <c r="G55" s="1" t="s">
        <v>43</v>
      </c>
      <c r="H55" s="4" t="b">
        <f aca="false">FALSE()</f>
        <v>0</v>
      </c>
      <c r="I55" s="4" t="b">
        <f aca="false">TRUE()</f>
        <v>1</v>
      </c>
      <c r="J55" s="1" t="s">
        <v>5640</v>
      </c>
      <c r="K55" s="1" t="s">
        <v>5446</v>
      </c>
    </row>
    <row r="56" customFormat="false" ht="48" hidden="false" customHeight="true" outlineLevel="0" collapsed="false">
      <c r="A56" s="1" t="s">
        <v>5421</v>
      </c>
      <c r="B56" s="1" t="s">
        <v>1934</v>
      </c>
      <c r="C56" s="1" t="s">
        <v>43</v>
      </c>
      <c r="D56" s="1" t="s">
        <v>5641</v>
      </c>
      <c r="E56" s="1" t="s">
        <v>5642</v>
      </c>
      <c r="F56" s="1" t="s">
        <v>5643</v>
      </c>
      <c r="G56" s="1" t="s">
        <v>43</v>
      </c>
      <c r="H56" s="4" t="b">
        <f aca="false">FALSE()</f>
        <v>0</v>
      </c>
      <c r="I56" s="4" t="b">
        <f aca="false">TRUE()</f>
        <v>1</v>
      </c>
      <c r="J56" s="1" t="s">
        <v>5445</v>
      </c>
      <c r="K56" s="1" t="s">
        <v>5446</v>
      </c>
    </row>
    <row r="57" customFormat="false" ht="48" hidden="false" customHeight="true" outlineLevel="0" collapsed="false">
      <c r="A57" s="1" t="s">
        <v>5421</v>
      </c>
      <c r="B57" s="1" t="s">
        <v>1934</v>
      </c>
      <c r="C57" s="1" t="s">
        <v>43</v>
      </c>
      <c r="D57" s="1" t="s">
        <v>5644</v>
      </c>
      <c r="E57" s="1" t="s">
        <v>5501</v>
      </c>
      <c r="F57" s="1" t="s">
        <v>5645</v>
      </c>
      <c r="G57" s="1" t="s">
        <v>43</v>
      </c>
      <c r="H57" s="4" t="b">
        <f aca="false">FALSE()</f>
        <v>0</v>
      </c>
      <c r="I57" s="4" t="b">
        <f aca="false">TRUE()</f>
        <v>1</v>
      </c>
      <c r="J57" s="1" t="s">
        <v>5640</v>
      </c>
      <c r="K57" s="1" t="s">
        <v>5446</v>
      </c>
    </row>
    <row r="58" customFormat="false" ht="48" hidden="false" customHeight="true" outlineLevel="0" collapsed="false">
      <c r="A58" s="1" t="s">
        <v>5421</v>
      </c>
      <c r="B58" s="1" t="s">
        <v>1934</v>
      </c>
      <c r="C58" s="1" t="s">
        <v>43</v>
      </c>
      <c r="D58" s="1" t="s">
        <v>5646</v>
      </c>
      <c r="E58" s="1" t="s">
        <v>5521</v>
      </c>
      <c r="F58" s="1" t="s">
        <v>5647</v>
      </c>
      <c r="G58" s="1" t="s">
        <v>43</v>
      </c>
      <c r="H58" s="4" t="b">
        <f aca="false">FALSE()</f>
        <v>0</v>
      </c>
      <c r="I58" s="4" t="b">
        <f aca="false">TRUE()</f>
        <v>1</v>
      </c>
      <c r="J58" s="1" t="s">
        <v>5640</v>
      </c>
      <c r="K58" s="1" t="s">
        <v>5446</v>
      </c>
    </row>
    <row r="59" customFormat="false" ht="48" hidden="false" customHeight="true" outlineLevel="0" collapsed="false">
      <c r="A59" s="1" t="s">
        <v>5421</v>
      </c>
      <c r="B59" s="1" t="s">
        <v>1934</v>
      </c>
      <c r="C59" s="1" t="s">
        <v>43</v>
      </c>
      <c r="D59" s="1" t="s">
        <v>5648</v>
      </c>
      <c r="E59" s="1" t="s">
        <v>5471</v>
      </c>
      <c r="F59" s="1" t="s">
        <v>5649</v>
      </c>
      <c r="G59" s="1" t="s">
        <v>43</v>
      </c>
      <c r="H59" s="4" t="b">
        <f aca="false">FALSE()</f>
        <v>0</v>
      </c>
      <c r="I59" s="4" t="b">
        <f aca="false">TRUE()</f>
        <v>1</v>
      </c>
      <c r="J59" s="1" t="s">
        <v>5650</v>
      </c>
      <c r="K59" s="1" t="s">
        <v>5446</v>
      </c>
    </row>
    <row r="60" customFormat="false" ht="48" hidden="false" customHeight="true" outlineLevel="0" collapsed="false">
      <c r="A60" s="1" t="s">
        <v>5421</v>
      </c>
      <c r="B60" s="1" t="s">
        <v>1934</v>
      </c>
      <c r="C60" s="1" t="s">
        <v>43</v>
      </c>
      <c r="D60" s="1" t="s">
        <v>5651</v>
      </c>
      <c r="E60" s="1" t="s">
        <v>5652</v>
      </c>
      <c r="F60" s="1" t="s">
        <v>5653</v>
      </c>
      <c r="G60" s="1" t="s">
        <v>43</v>
      </c>
      <c r="H60" s="4" t="b">
        <f aca="false">FALSE()</f>
        <v>0</v>
      </c>
      <c r="I60" s="4" t="b">
        <f aca="false">TRUE()</f>
        <v>1</v>
      </c>
      <c r="K60" s="1" t="s">
        <v>5446</v>
      </c>
    </row>
    <row r="61" customFormat="false" ht="48" hidden="false" customHeight="true" outlineLevel="0" collapsed="false">
      <c r="A61" s="1" t="s">
        <v>5421</v>
      </c>
      <c r="B61" s="1" t="s">
        <v>1934</v>
      </c>
      <c r="C61" s="1" t="s">
        <v>43</v>
      </c>
      <c r="D61" s="1" t="s">
        <v>5654</v>
      </c>
      <c r="E61" s="1" t="s">
        <v>5655</v>
      </c>
      <c r="F61" s="1" t="s">
        <v>5656</v>
      </c>
      <c r="G61" s="1" t="s">
        <v>43</v>
      </c>
      <c r="H61" s="4" t="b">
        <f aca="false">FALSE()</f>
        <v>0</v>
      </c>
      <c r="I61" s="4" t="b">
        <f aca="false">TRUE()</f>
        <v>1</v>
      </c>
      <c r="J61" s="1" t="s">
        <v>5553</v>
      </c>
      <c r="K61" s="1" t="s">
        <v>5446</v>
      </c>
    </row>
    <row r="62" customFormat="false" ht="48" hidden="false" customHeight="true" outlineLevel="0" collapsed="false">
      <c r="A62" s="1" t="s">
        <v>5421</v>
      </c>
      <c r="B62" s="1" t="s">
        <v>1934</v>
      </c>
      <c r="C62" s="1" t="s">
        <v>43</v>
      </c>
      <c r="D62" s="1" t="s">
        <v>5657</v>
      </c>
      <c r="E62" s="1" t="s">
        <v>5658</v>
      </c>
      <c r="F62" s="1" t="s">
        <v>5659</v>
      </c>
      <c r="G62" s="1" t="s">
        <v>5579</v>
      </c>
      <c r="H62" s="4" t="b">
        <f aca="false">FALSE()</f>
        <v>0</v>
      </c>
      <c r="I62" s="4" t="b">
        <f aca="false">TRUE()</f>
        <v>1</v>
      </c>
      <c r="J62" s="1" t="s">
        <v>5660</v>
      </c>
      <c r="K62" s="1" t="s">
        <v>5446</v>
      </c>
    </row>
    <row r="63" customFormat="false" ht="48" hidden="false" customHeight="true" outlineLevel="0" collapsed="false">
      <c r="A63" s="1" t="s">
        <v>5421</v>
      </c>
      <c r="B63" s="1" t="s">
        <v>1934</v>
      </c>
      <c r="C63" s="1" t="s">
        <v>43</v>
      </c>
      <c r="D63" s="1" t="s">
        <v>5661</v>
      </c>
      <c r="E63" s="1" t="s">
        <v>5662</v>
      </c>
      <c r="F63" s="1" t="s">
        <v>5663</v>
      </c>
      <c r="G63" s="1" t="s">
        <v>5579</v>
      </c>
      <c r="H63" s="4" t="b">
        <f aca="false">FALSE()</f>
        <v>0</v>
      </c>
      <c r="I63" s="4" t="b">
        <f aca="false">TRUE()</f>
        <v>1</v>
      </c>
      <c r="K63" s="1" t="s">
        <v>5446</v>
      </c>
    </row>
    <row r="64" customFormat="false" ht="48" hidden="false" customHeight="true" outlineLevel="0" collapsed="false">
      <c r="A64" s="1" t="s">
        <v>5421</v>
      </c>
      <c r="B64" s="1" t="s">
        <v>1934</v>
      </c>
      <c r="C64" s="1" t="s">
        <v>43</v>
      </c>
      <c r="D64" s="1" t="s">
        <v>5664</v>
      </c>
      <c r="E64" s="1" t="s">
        <v>5665</v>
      </c>
      <c r="F64" s="1" t="s">
        <v>5666</v>
      </c>
      <c r="G64" s="1" t="s">
        <v>45</v>
      </c>
      <c r="H64" s="4" t="b">
        <f aca="false">FALSE()</f>
        <v>0</v>
      </c>
      <c r="I64" s="4" t="b">
        <f aca="false">TRUE()</f>
        <v>1</v>
      </c>
      <c r="J64" s="1" t="s">
        <v>5667</v>
      </c>
      <c r="K64" s="1" t="s">
        <v>5446</v>
      </c>
    </row>
    <row r="65" customFormat="false" ht="48" hidden="false" customHeight="true" outlineLevel="0" collapsed="false">
      <c r="A65" s="1" t="s">
        <v>5421</v>
      </c>
      <c r="B65" s="1" t="s">
        <v>1934</v>
      </c>
      <c r="C65" s="1" t="s">
        <v>43</v>
      </c>
      <c r="D65" s="1" t="s">
        <v>5668</v>
      </c>
      <c r="E65" s="1" t="s">
        <v>5669</v>
      </c>
      <c r="F65" s="1" t="s">
        <v>5670</v>
      </c>
      <c r="G65" s="1" t="s">
        <v>41</v>
      </c>
      <c r="H65" s="4" t="b">
        <f aca="false">FALSE()</f>
        <v>0</v>
      </c>
      <c r="I65" s="4" t="b">
        <f aca="false">TRUE()</f>
        <v>1</v>
      </c>
      <c r="J65" s="1" t="s">
        <v>5507</v>
      </c>
      <c r="K65" s="1" t="s">
        <v>5446</v>
      </c>
    </row>
    <row r="66" customFormat="false" ht="48" hidden="false" customHeight="true" outlineLevel="0" collapsed="false">
      <c r="A66" s="1" t="s">
        <v>5421</v>
      </c>
      <c r="B66" s="1" t="s">
        <v>1934</v>
      </c>
      <c r="C66" s="1" t="s">
        <v>43</v>
      </c>
      <c r="D66" s="1" t="s">
        <v>5671</v>
      </c>
      <c r="E66" s="1" t="s">
        <v>5672</v>
      </c>
      <c r="F66" s="1" t="s">
        <v>5673</v>
      </c>
      <c r="G66" s="1" t="s">
        <v>5579</v>
      </c>
      <c r="H66" s="4" t="b">
        <f aca="false">FALSE()</f>
        <v>0</v>
      </c>
      <c r="I66" s="4" t="b">
        <f aca="false">TRUE()</f>
        <v>1</v>
      </c>
      <c r="J66" s="1" t="s">
        <v>5454</v>
      </c>
      <c r="K66" s="1" t="s">
        <v>5446</v>
      </c>
    </row>
    <row r="67" customFormat="false" ht="48" hidden="false" customHeight="true" outlineLevel="0" collapsed="false">
      <c r="A67" s="1" t="s">
        <v>5399</v>
      </c>
      <c r="B67" s="1" t="s">
        <v>2098</v>
      </c>
      <c r="C67" s="1" t="s">
        <v>45</v>
      </c>
      <c r="D67" s="1" t="s">
        <v>5674</v>
      </c>
      <c r="E67" s="1" t="s">
        <v>5675</v>
      </c>
      <c r="F67" s="1" t="s">
        <v>5676</v>
      </c>
      <c r="G67" s="1" t="s">
        <v>41</v>
      </c>
      <c r="H67" s="4" t="b">
        <f aca="false">FALSE()</f>
        <v>0</v>
      </c>
      <c r="I67" s="4" t="b">
        <f aca="false">TRUE()</f>
        <v>1</v>
      </c>
      <c r="J67" s="1" t="s">
        <v>5677</v>
      </c>
      <c r="K67" s="1" t="s">
        <v>5446</v>
      </c>
    </row>
    <row r="68" customFormat="false" ht="48" hidden="false" customHeight="true" outlineLevel="0" collapsed="false">
      <c r="A68" s="1" t="s">
        <v>5399</v>
      </c>
      <c r="B68" s="1" t="s">
        <v>2098</v>
      </c>
      <c r="C68" s="1" t="s">
        <v>45</v>
      </c>
      <c r="D68" s="1" t="s">
        <v>5678</v>
      </c>
      <c r="E68" s="1" t="s">
        <v>5679</v>
      </c>
      <c r="F68" s="1" t="s">
        <v>5680</v>
      </c>
      <c r="G68" s="1" t="s">
        <v>5579</v>
      </c>
      <c r="H68" s="4" t="b">
        <f aca="false">FALSE()</f>
        <v>0</v>
      </c>
      <c r="I68" s="4" t="b">
        <f aca="false">TRUE()</f>
        <v>1</v>
      </c>
      <c r="J68" s="1" t="s">
        <v>5560</v>
      </c>
      <c r="K68" s="1" t="s">
        <v>5446</v>
      </c>
    </row>
    <row r="69" customFormat="false" ht="48" hidden="false" customHeight="true" outlineLevel="0" collapsed="false">
      <c r="A69" s="1" t="s">
        <v>5399</v>
      </c>
      <c r="B69" s="1" t="s">
        <v>2098</v>
      </c>
      <c r="C69" s="1" t="s">
        <v>45</v>
      </c>
      <c r="D69" s="1" t="s">
        <v>5681</v>
      </c>
      <c r="E69" s="1" t="s">
        <v>5682</v>
      </c>
      <c r="F69" s="1" t="s">
        <v>5683</v>
      </c>
      <c r="G69" s="1" t="s">
        <v>41</v>
      </c>
      <c r="H69" s="4" t="b">
        <f aca="false">FALSE()</f>
        <v>0</v>
      </c>
      <c r="I69" s="4" t="b">
        <f aca="false">TRUE()</f>
        <v>1</v>
      </c>
      <c r="J69" s="1" t="s">
        <v>5684</v>
      </c>
      <c r="K69" s="1" t="s">
        <v>5446</v>
      </c>
    </row>
    <row r="70" customFormat="false" ht="48" hidden="false" customHeight="true" outlineLevel="0" collapsed="false">
      <c r="A70" s="1" t="s">
        <v>5399</v>
      </c>
      <c r="B70" s="1" t="s">
        <v>2098</v>
      </c>
      <c r="C70" s="1" t="s">
        <v>45</v>
      </c>
      <c r="D70" s="1" t="s">
        <v>5685</v>
      </c>
      <c r="E70" s="1" t="s">
        <v>5686</v>
      </c>
      <c r="F70" s="1" t="s">
        <v>5687</v>
      </c>
      <c r="G70" s="1" t="s">
        <v>41</v>
      </c>
      <c r="H70" s="4" t="b">
        <f aca="false">FALSE()</f>
        <v>0</v>
      </c>
      <c r="I70" s="4" t="b">
        <f aca="false">TRUE()</f>
        <v>1</v>
      </c>
      <c r="J70" s="1" t="s">
        <v>5640</v>
      </c>
      <c r="K70" s="1" t="s">
        <v>5446</v>
      </c>
    </row>
    <row r="71" customFormat="false" ht="48" hidden="false" customHeight="true" outlineLevel="0" collapsed="false">
      <c r="A71" s="1" t="s">
        <v>5399</v>
      </c>
      <c r="B71" s="1" t="s">
        <v>2098</v>
      </c>
      <c r="C71" s="1" t="s">
        <v>45</v>
      </c>
      <c r="D71" s="1" t="s">
        <v>5688</v>
      </c>
      <c r="E71" s="1" t="s">
        <v>5689</v>
      </c>
      <c r="F71" s="1" t="s">
        <v>5690</v>
      </c>
      <c r="G71" s="1" t="s">
        <v>41</v>
      </c>
      <c r="H71" s="4" t="b">
        <f aca="false">FALSE()</f>
        <v>0</v>
      </c>
      <c r="I71" s="4" t="b">
        <f aca="false">TRUE()</f>
        <v>1</v>
      </c>
      <c r="J71" s="1" t="s">
        <v>5691</v>
      </c>
      <c r="K71" s="1" t="s">
        <v>5446</v>
      </c>
    </row>
    <row r="72" customFormat="false" ht="48" hidden="false" customHeight="true" outlineLevel="0" collapsed="false">
      <c r="A72" s="1" t="s">
        <v>5403</v>
      </c>
      <c r="B72" s="1" t="s">
        <v>2404</v>
      </c>
      <c r="C72" s="1" t="s">
        <v>45</v>
      </c>
      <c r="D72" s="1" t="s">
        <v>5692</v>
      </c>
      <c r="E72" s="1" t="s">
        <v>5693</v>
      </c>
      <c r="F72" s="1" t="s">
        <v>5694</v>
      </c>
      <c r="G72" s="1" t="s">
        <v>45</v>
      </c>
      <c r="H72" s="4" t="b">
        <f aca="false">FALSE()</f>
        <v>0</v>
      </c>
      <c r="I72" s="4" t="b">
        <f aca="false">TRUE()</f>
        <v>1</v>
      </c>
      <c r="J72" s="1" t="s">
        <v>5499</v>
      </c>
      <c r="K72" s="1" t="s">
        <v>5446</v>
      </c>
    </row>
    <row r="73" customFormat="false" ht="48" hidden="false" customHeight="true" outlineLevel="0" collapsed="false">
      <c r="A73" s="1" t="s">
        <v>5403</v>
      </c>
      <c r="B73" s="1" t="s">
        <v>2404</v>
      </c>
      <c r="C73" s="1" t="s">
        <v>45</v>
      </c>
      <c r="D73" s="1" t="s">
        <v>5695</v>
      </c>
      <c r="E73" s="1" t="s">
        <v>5696</v>
      </c>
      <c r="F73" s="1" t="s">
        <v>5697</v>
      </c>
      <c r="G73" s="1" t="s">
        <v>45</v>
      </c>
      <c r="H73" s="4" t="b">
        <f aca="false">FALSE()</f>
        <v>0</v>
      </c>
      <c r="I73" s="4" t="b">
        <f aca="false">TRUE()</f>
        <v>1</v>
      </c>
      <c r="J73" s="1" t="s">
        <v>5698</v>
      </c>
      <c r="K73" s="1" t="s">
        <v>5446</v>
      </c>
    </row>
    <row r="74" customFormat="false" ht="48" hidden="false" customHeight="true" outlineLevel="0" collapsed="false">
      <c r="A74" s="1" t="s">
        <v>5403</v>
      </c>
      <c r="B74" s="1" t="s">
        <v>2404</v>
      </c>
      <c r="C74" s="1" t="s">
        <v>45</v>
      </c>
      <c r="D74" s="1" t="s">
        <v>5699</v>
      </c>
      <c r="E74" s="1" t="s">
        <v>5700</v>
      </c>
      <c r="F74" s="1" t="s">
        <v>5701</v>
      </c>
      <c r="G74" s="1" t="s">
        <v>45</v>
      </c>
      <c r="H74" s="4" t="b">
        <f aca="false">FALSE()</f>
        <v>0</v>
      </c>
      <c r="I74" s="4" t="b">
        <f aca="false">TRUE()</f>
        <v>1</v>
      </c>
      <c r="J74" s="1" t="s">
        <v>5609</v>
      </c>
      <c r="K74" s="1" t="s">
        <v>5446</v>
      </c>
    </row>
    <row r="75" customFormat="false" ht="48" hidden="false" customHeight="true" outlineLevel="0" collapsed="false">
      <c r="A75" s="1" t="s">
        <v>5403</v>
      </c>
      <c r="B75" s="1" t="s">
        <v>2404</v>
      </c>
      <c r="C75" s="1" t="s">
        <v>45</v>
      </c>
      <c r="D75" s="1" t="s">
        <v>5702</v>
      </c>
      <c r="E75" s="1" t="s">
        <v>5703</v>
      </c>
      <c r="F75" s="1" t="s">
        <v>5704</v>
      </c>
      <c r="G75" s="1" t="s">
        <v>45</v>
      </c>
      <c r="H75" s="4" t="b">
        <f aca="false">FALSE()</f>
        <v>0</v>
      </c>
      <c r="I75" s="4" t="b">
        <f aca="false">TRUE()</f>
        <v>1</v>
      </c>
      <c r="K75" s="1" t="s">
        <v>5446</v>
      </c>
    </row>
    <row r="76" customFormat="false" ht="48" hidden="false" customHeight="true" outlineLevel="0" collapsed="false">
      <c r="A76" s="1" t="s">
        <v>5403</v>
      </c>
      <c r="B76" s="1" t="s">
        <v>2404</v>
      </c>
      <c r="C76" s="1" t="s">
        <v>45</v>
      </c>
      <c r="D76" s="1" t="s">
        <v>5705</v>
      </c>
      <c r="E76" s="1" t="s">
        <v>5706</v>
      </c>
      <c r="F76" s="1" t="s">
        <v>5707</v>
      </c>
      <c r="G76" s="1" t="s">
        <v>45</v>
      </c>
      <c r="H76" s="4" t="b">
        <f aca="false">FALSE()</f>
        <v>0</v>
      </c>
      <c r="I76" s="4" t="b">
        <f aca="false">TRUE()</f>
        <v>1</v>
      </c>
      <c r="J76" s="1" t="s">
        <v>5708</v>
      </c>
      <c r="K76" s="1" t="s">
        <v>5446</v>
      </c>
    </row>
    <row r="77" customFormat="false" ht="48" hidden="false" customHeight="true" outlineLevel="0" collapsed="false">
      <c r="A77" s="1" t="s">
        <v>5403</v>
      </c>
      <c r="B77" s="1" t="s">
        <v>2404</v>
      </c>
      <c r="C77" s="1" t="s">
        <v>45</v>
      </c>
      <c r="D77" s="1" t="s">
        <v>5709</v>
      </c>
      <c r="E77" s="1" t="s">
        <v>5710</v>
      </c>
      <c r="F77" s="1" t="s">
        <v>5711</v>
      </c>
      <c r="G77" s="1" t="s">
        <v>45</v>
      </c>
      <c r="H77" s="4" t="b">
        <f aca="false">FALSE()</f>
        <v>0</v>
      </c>
      <c r="I77" s="4" t="b">
        <f aca="false">TRUE()</f>
        <v>1</v>
      </c>
      <c r="J77" s="1" t="s">
        <v>5640</v>
      </c>
      <c r="K77" s="1" t="s">
        <v>5446</v>
      </c>
    </row>
    <row r="78" customFormat="false" ht="48" hidden="false" customHeight="true" outlineLevel="0" collapsed="false">
      <c r="A78" s="1" t="s">
        <v>5403</v>
      </c>
      <c r="B78" s="1" t="s">
        <v>2404</v>
      </c>
      <c r="C78" s="1" t="s">
        <v>45</v>
      </c>
      <c r="D78" s="1" t="s">
        <v>5712</v>
      </c>
      <c r="E78" s="1" t="s">
        <v>5713</v>
      </c>
      <c r="F78" s="1" t="s">
        <v>5714</v>
      </c>
      <c r="G78" s="1" t="s">
        <v>45</v>
      </c>
      <c r="H78" s="4" t="b">
        <f aca="false">FALSE()</f>
        <v>0</v>
      </c>
      <c r="I78" s="4" t="b">
        <f aca="false">TRUE()</f>
        <v>1</v>
      </c>
      <c r="J78" s="1" t="s">
        <v>5715</v>
      </c>
      <c r="K78" s="1" t="s">
        <v>5446</v>
      </c>
    </row>
    <row r="79" customFormat="false" ht="48" hidden="false" customHeight="true" outlineLevel="0" collapsed="false">
      <c r="A79" s="1" t="s">
        <v>5403</v>
      </c>
      <c r="B79" s="1" t="s">
        <v>2404</v>
      </c>
      <c r="C79" s="1" t="s">
        <v>45</v>
      </c>
      <c r="D79" s="1" t="s">
        <v>5716</v>
      </c>
      <c r="E79" s="1" t="s">
        <v>5717</v>
      </c>
      <c r="F79" s="1" t="s">
        <v>5718</v>
      </c>
      <c r="G79" s="1" t="s">
        <v>45</v>
      </c>
      <c r="H79" s="4" t="b">
        <f aca="false">FALSE()</f>
        <v>0</v>
      </c>
      <c r="I79" s="4" t="b">
        <f aca="false">TRUE()</f>
        <v>1</v>
      </c>
      <c r="J79" s="1" t="s">
        <v>5640</v>
      </c>
      <c r="K79" s="1" t="s">
        <v>5446</v>
      </c>
    </row>
    <row r="80" customFormat="false" ht="48" hidden="false" customHeight="true" outlineLevel="0" collapsed="false">
      <c r="A80" s="1" t="s">
        <v>5403</v>
      </c>
      <c r="B80" s="1" t="s">
        <v>2404</v>
      </c>
      <c r="C80" s="1" t="s">
        <v>45</v>
      </c>
      <c r="D80" s="1" t="s">
        <v>5719</v>
      </c>
      <c r="E80" s="1" t="s">
        <v>5720</v>
      </c>
      <c r="F80" s="1" t="s">
        <v>5721</v>
      </c>
      <c r="G80" s="1" t="s">
        <v>5579</v>
      </c>
      <c r="H80" s="4" t="b">
        <f aca="false">FALSE()</f>
        <v>0</v>
      </c>
      <c r="I80" s="4" t="b">
        <f aca="false">TRUE()</f>
        <v>1</v>
      </c>
      <c r="J80" s="1" t="s">
        <v>5722</v>
      </c>
      <c r="K80" s="1" t="s">
        <v>5446</v>
      </c>
    </row>
    <row r="81" customFormat="false" ht="48" hidden="false" customHeight="true" outlineLevel="0" collapsed="false">
      <c r="A81" s="1" t="s">
        <v>5403</v>
      </c>
      <c r="B81" s="1" t="s">
        <v>2404</v>
      </c>
      <c r="C81" s="1" t="s">
        <v>45</v>
      </c>
      <c r="D81" s="1" t="s">
        <v>5723</v>
      </c>
      <c r="E81" s="1" t="s">
        <v>5724</v>
      </c>
      <c r="F81" s="1" t="s">
        <v>5725</v>
      </c>
      <c r="G81" s="1" t="s">
        <v>5579</v>
      </c>
      <c r="H81" s="4" t="b">
        <f aca="false">FALSE()</f>
        <v>0</v>
      </c>
      <c r="I81" s="4" t="b">
        <f aca="false">TRUE()</f>
        <v>1</v>
      </c>
      <c r="K81" s="1" t="s">
        <v>5446</v>
      </c>
    </row>
    <row r="82" customFormat="false" ht="48" hidden="false" customHeight="true" outlineLevel="0" collapsed="false">
      <c r="A82" s="1" t="s">
        <v>5403</v>
      </c>
      <c r="B82" s="1" t="s">
        <v>2404</v>
      </c>
      <c r="C82" s="1" t="s">
        <v>45</v>
      </c>
      <c r="D82" s="1" t="s">
        <v>5726</v>
      </c>
      <c r="E82" s="1" t="s">
        <v>5727</v>
      </c>
      <c r="F82" s="1" t="s">
        <v>5728</v>
      </c>
      <c r="G82" s="1" t="s">
        <v>5579</v>
      </c>
      <c r="H82" s="4" t="b">
        <f aca="false">FALSE()</f>
        <v>0</v>
      </c>
      <c r="I82" s="4" t="b">
        <f aca="false">TRUE()</f>
        <v>1</v>
      </c>
      <c r="K82" s="1" t="s">
        <v>5446</v>
      </c>
    </row>
    <row r="83" customFormat="false" ht="48" hidden="false" customHeight="true" outlineLevel="0" collapsed="false">
      <c r="A83" s="1" t="s">
        <v>5403</v>
      </c>
      <c r="B83" s="1" t="s">
        <v>2404</v>
      </c>
      <c r="C83" s="1" t="s">
        <v>45</v>
      </c>
      <c r="D83" s="1" t="s">
        <v>5729</v>
      </c>
      <c r="E83" s="1" t="s">
        <v>5730</v>
      </c>
      <c r="F83" s="1" t="s">
        <v>5731</v>
      </c>
      <c r="G83" s="1" t="s">
        <v>5579</v>
      </c>
      <c r="H83" s="4" t="b">
        <f aca="false">FALSE()</f>
        <v>0</v>
      </c>
      <c r="I83" s="4" t="b">
        <f aca="false">TRUE()</f>
        <v>1</v>
      </c>
      <c r="K83" s="1" t="s">
        <v>5446</v>
      </c>
    </row>
    <row r="84" customFormat="false" ht="48" hidden="false" customHeight="true" outlineLevel="0" collapsed="false">
      <c r="A84" s="1" t="s">
        <v>5403</v>
      </c>
      <c r="B84" s="1" t="s">
        <v>2404</v>
      </c>
      <c r="C84" s="1" t="s">
        <v>45</v>
      </c>
      <c r="D84" s="1" t="s">
        <v>5732</v>
      </c>
      <c r="E84" s="1" t="s">
        <v>5733</v>
      </c>
      <c r="F84" s="1" t="s">
        <v>5734</v>
      </c>
      <c r="G84" s="1" t="s">
        <v>5579</v>
      </c>
      <c r="H84" s="4" t="b">
        <f aca="false">FALSE()</f>
        <v>0</v>
      </c>
      <c r="I84" s="4" t="b">
        <f aca="false">TRUE()</f>
        <v>1</v>
      </c>
      <c r="K84" s="1" t="s">
        <v>5446</v>
      </c>
    </row>
    <row r="85" customFormat="false" ht="48" hidden="false" customHeight="true" outlineLevel="0" collapsed="false">
      <c r="A85" s="1" t="s">
        <v>5396</v>
      </c>
      <c r="B85" s="1" t="s">
        <v>3136</v>
      </c>
      <c r="C85" s="1" t="s">
        <v>45</v>
      </c>
      <c r="D85" s="1" t="s">
        <v>5735</v>
      </c>
      <c r="E85" s="1" t="s">
        <v>5736</v>
      </c>
      <c r="F85" s="1" t="s">
        <v>5737</v>
      </c>
      <c r="G85" s="1" t="s">
        <v>45</v>
      </c>
      <c r="H85" s="4" t="b">
        <f aca="false">FALSE()</f>
        <v>0</v>
      </c>
      <c r="I85" s="4" t="b">
        <f aca="false">TRUE()</f>
        <v>1</v>
      </c>
      <c r="J85" s="1" t="s">
        <v>5738</v>
      </c>
      <c r="K85" s="1" t="s">
        <v>5446</v>
      </c>
    </row>
    <row r="86" customFormat="false" ht="48" hidden="false" customHeight="true" outlineLevel="0" collapsed="false">
      <c r="A86" s="1" t="s">
        <v>5396</v>
      </c>
      <c r="B86" s="1" t="s">
        <v>3136</v>
      </c>
      <c r="C86" s="1" t="s">
        <v>45</v>
      </c>
      <c r="D86" s="1" t="s">
        <v>5739</v>
      </c>
      <c r="E86" s="1" t="s">
        <v>5740</v>
      </c>
      <c r="F86" s="1" t="s">
        <v>5741</v>
      </c>
      <c r="G86" s="1" t="s">
        <v>45</v>
      </c>
      <c r="H86" s="4" t="b">
        <f aca="false">FALSE()</f>
        <v>0</v>
      </c>
      <c r="I86" s="4" t="b">
        <f aca="false">TRUE()</f>
        <v>1</v>
      </c>
      <c r="J86" s="1" t="s">
        <v>5742</v>
      </c>
      <c r="K86" s="1" t="s">
        <v>5446</v>
      </c>
    </row>
    <row r="87" customFormat="false" ht="48" hidden="false" customHeight="true" outlineLevel="0" collapsed="false">
      <c r="A87" s="1" t="s">
        <v>5396</v>
      </c>
      <c r="B87" s="1" t="s">
        <v>3136</v>
      </c>
      <c r="C87" s="1" t="s">
        <v>45</v>
      </c>
      <c r="D87" s="1" t="s">
        <v>5743</v>
      </c>
      <c r="E87" s="1" t="s">
        <v>5744</v>
      </c>
      <c r="F87" s="1" t="s">
        <v>5745</v>
      </c>
      <c r="G87" s="1" t="s">
        <v>45</v>
      </c>
      <c r="H87" s="4" t="b">
        <f aca="false">FALSE()</f>
        <v>0</v>
      </c>
      <c r="I87" s="4" t="b">
        <f aca="false">TRUE()</f>
        <v>1</v>
      </c>
      <c r="J87" s="1" t="s">
        <v>5746</v>
      </c>
      <c r="K87" s="1" t="s">
        <v>5446</v>
      </c>
    </row>
    <row r="88" customFormat="false" ht="48" hidden="false" customHeight="true" outlineLevel="0" collapsed="false">
      <c r="A88" s="1" t="s">
        <v>5396</v>
      </c>
      <c r="B88" s="1" t="s">
        <v>3136</v>
      </c>
      <c r="C88" s="1" t="s">
        <v>45</v>
      </c>
      <c r="D88" s="1" t="s">
        <v>5747</v>
      </c>
      <c r="E88" s="1" t="s">
        <v>5748</v>
      </c>
      <c r="F88" s="1" t="s">
        <v>5749</v>
      </c>
      <c r="G88" s="1" t="s">
        <v>45</v>
      </c>
      <c r="H88" s="4" t="b">
        <f aca="false">FALSE()</f>
        <v>0</v>
      </c>
      <c r="I88" s="4" t="b">
        <f aca="false">TRUE()</f>
        <v>1</v>
      </c>
      <c r="J88" s="1" t="s">
        <v>5750</v>
      </c>
      <c r="K88" s="1" t="s">
        <v>5446</v>
      </c>
    </row>
    <row r="89" customFormat="false" ht="48" hidden="false" customHeight="true" outlineLevel="0" collapsed="false">
      <c r="A89" s="1" t="s">
        <v>5396</v>
      </c>
      <c r="B89" s="1" t="s">
        <v>3136</v>
      </c>
      <c r="C89" s="1" t="s">
        <v>45</v>
      </c>
      <c r="D89" s="1" t="s">
        <v>5751</v>
      </c>
      <c r="E89" s="1" t="s">
        <v>5752</v>
      </c>
      <c r="F89" s="1" t="s">
        <v>5753</v>
      </c>
      <c r="G89" s="1" t="s">
        <v>45</v>
      </c>
      <c r="H89" s="4" t="b">
        <f aca="false">FALSE()</f>
        <v>0</v>
      </c>
      <c r="I89" s="4" t="b">
        <f aca="false">TRUE()</f>
        <v>1</v>
      </c>
      <c r="J89" s="1" t="s">
        <v>5754</v>
      </c>
      <c r="K89" s="1" t="s">
        <v>5446</v>
      </c>
    </row>
    <row r="90" customFormat="false" ht="48" hidden="false" customHeight="true" outlineLevel="0" collapsed="false">
      <c r="A90" s="1" t="s">
        <v>5396</v>
      </c>
      <c r="B90" s="1" t="s">
        <v>3136</v>
      </c>
      <c r="C90" s="1" t="s">
        <v>45</v>
      </c>
      <c r="D90" s="1" t="s">
        <v>5755</v>
      </c>
      <c r="E90" s="1" t="s">
        <v>5756</v>
      </c>
      <c r="F90" s="1" t="s">
        <v>5757</v>
      </c>
      <c r="G90" s="1" t="s">
        <v>45</v>
      </c>
      <c r="H90" s="4" t="b">
        <f aca="false">FALSE()</f>
        <v>0</v>
      </c>
      <c r="I90" s="4" t="b">
        <f aca="false">TRUE()</f>
        <v>1</v>
      </c>
      <c r="J90" s="1" t="s">
        <v>5758</v>
      </c>
      <c r="K90" s="1" t="s">
        <v>5446</v>
      </c>
    </row>
    <row r="91" customFormat="false" ht="48" hidden="false" customHeight="true" outlineLevel="0" collapsed="false">
      <c r="A91" s="1" t="s">
        <v>5396</v>
      </c>
      <c r="B91" s="1" t="s">
        <v>3136</v>
      </c>
      <c r="C91" s="1" t="s">
        <v>45</v>
      </c>
      <c r="D91" s="1" t="s">
        <v>5759</v>
      </c>
      <c r="E91" s="1" t="s">
        <v>5760</v>
      </c>
      <c r="F91" s="1" t="s">
        <v>5761</v>
      </c>
      <c r="G91" s="1" t="s">
        <v>45</v>
      </c>
      <c r="H91" s="4" t="b">
        <f aca="false">FALSE()</f>
        <v>0</v>
      </c>
      <c r="I91" s="4" t="b">
        <f aca="false">TRUE()</f>
        <v>1</v>
      </c>
      <c r="J91" s="1" t="s">
        <v>5762</v>
      </c>
      <c r="K91" s="1" t="s">
        <v>5446</v>
      </c>
    </row>
    <row r="92" customFormat="false" ht="48" hidden="false" customHeight="true" outlineLevel="0" collapsed="false">
      <c r="A92" s="1" t="s">
        <v>5396</v>
      </c>
      <c r="B92" s="1" t="s">
        <v>3136</v>
      </c>
      <c r="C92" s="1" t="s">
        <v>45</v>
      </c>
      <c r="D92" s="1" t="s">
        <v>5763</v>
      </c>
      <c r="E92" s="1" t="s">
        <v>5764</v>
      </c>
      <c r="F92" s="1" t="s">
        <v>5765</v>
      </c>
      <c r="G92" s="1" t="s">
        <v>45</v>
      </c>
      <c r="H92" s="4" t="b">
        <f aca="false">FALSE()</f>
        <v>0</v>
      </c>
      <c r="I92" s="4" t="b">
        <f aca="false">TRUE()</f>
        <v>1</v>
      </c>
      <c r="J92" s="1" t="s">
        <v>5766</v>
      </c>
      <c r="K92" s="1" t="s">
        <v>5446</v>
      </c>
    </row>
    <row r="93" customFormat="false" ht="48" hidden="false" customHeight="true" outlineLevel="0" collapsed="false">
      <c r="A93" s="1" t="s">
        <v>5396</v>
      </c>
      <c r="B93" s="1" t="s">
        <v>3136</v>
      </c>
      <c r="C93" s="1" t="s">
        <v>45</v>
      </c>
      <c r="D93" s="1" t="s">
        <v>5767</v>
      </c>
      <c r="E93" s="1" t="s">
        <v>5768</v>
      </c>
      <c r="F93" s="1" t="s">
        <v>5769</v>
      </c>
      <c r="G93" s="1" t="s">
        <v>5579</v>
      </c>
      <c r="H93" s="4" t="b">
        <f aca="false">FALSE()</f>
        <v>0</v>
      </c>
      <c r="I93" s="4" t="b">
        <f aca="false">TRUE()</f>
        <v>1</v>
      </c>
      <c r="J93" s="1" t="s">
        <v>5762</v>
      </c>
      <c r="K93" s="1" t="s">
        <v>5446</v>
      </c>
    </row>
    <row r="94" customFormat="false" ht="48" hidden="false" customHeight="true" outlineLevel="0" collapsed="false">
      <c r="A94" s="1" t="s">
        <v>5396</v>
      </c>
      <c r="B94" s="1" t="s">
        <v>3136</v>
      </c>
      <c r="C94" s="1" t="s">
        <v>45</v>
      </c>
      <c r="D94" s="1" t="s">
        <v>5770</v>
      </c>
      <c r="E94" s="1" t="s">
        <v>5771</v>
      </c>
      <c r="F94" s="1" t="s">
        <v>5772</v>
      </c>
      <c r="G94" s="1" t="s">
        <v>5579</v>
      </c>
      <c r="H94" s="4" t="b">
        <f aca="false">FALSE()</f>
        <v>0</v>
      </c>
      <c r="I94" s="4" t="b">
        <f aca="false">TRUE()</f>
        <v>1</v>
      </c>
      <c r="J94" s="1" t="s">
        <v>5773</v>
      </c>
      <c r="K94" s="1" t="s">
        <v>5446</v>
      </c>
    </row>
    <row r="95" customFormat="false" ht="48" hidden="false" customHeight="true" outlineLevel="0" collapsed="false">
      <c r="A95" s="1" t="s">
        <v>5396</v>
      </c>
      <c r="B95" s="1" t="s">
        <v>3136</v>
      </c>
      <c r="C95" s="1" t="s">
        <v>45</v>
      </c>
      <c r="D95" s="1" t="s">
        <v>5774</v>
      </c>
      <c r="E95" s="1" t="s">
        <v>5775</v>
      </c>
      <c r="F95" s="1" t="s">
        <v>5776</v>
      </c>
      <c r="G95" s="1" t="s">
        <v>5579</v>
      </c>
      <c r="H95" s="4" t="b">
        <f aca="false">FALSE()</f>
        <v>0</v>
      </c>
      <c r="I95" s="4" t="b">
        <f aca="false">TRUE()</f>
        <v>1</v>
      </c>
      <c r="J95" s="1" t="s">
        <v>5777</v>
      </c>
      <c r="K95" s="1" t="s">
        <v>5446</v>
      </c>
    </row>
    <row r="96" customFormat="false" ht="48" hidden="false" customHeight="true" outlineLevel="0" collapsed="false">
      <c r="A96" s="1" t="s">
        <v>5396</v>
      </c>
      <c r="B96" s="1" t="s">
        <v>3136</v>
      </c>
      <c r="C96" s="1" t="s">
        <v>45</v>
      </c>
      <c r="D96" s="1" t="s">
        <v>5778</v>
      </c>
      <c r="E96" s="1" t="s">
        <v>5779</v>
      </c>
      <c r="F96" s="1" t="s">
        <v>5780</v>
      </c>
      <c r="G96" s="1" t="s">
        <v>5579</v>
      </c>
      <c r="H96" s="4" t="b">
        <f aca="false">FALSE()</f>
        <v>0</v>
      </c>
      <c r="I96" s="4" t="b">
        <f aca="false">TRUE()</f>
        <v>1</v>
      </c>
      <c r="K96" s="1" t="s">
        <v>5446</v>
      </c>
    </row>
    <row r="97" customFormat="false" ht="48" hidden="false" customHeight="true" outlineLevel="0" collapsed="false">
      <c r="A97" s="1" t="s">
        <v>5396</v>
      </c>
      <c r="B97" s="1" t="s">
        <v>3136</v>
      </c>
      <c r="C97" s="1" t="s">
        <v>45</v>
      </c>
      <c r="D97" s="1" t="s">
        <v>5781</v>
      </c>
      <c r="E97" s="1" t="s">
        <v>5782</v>
      </c>
      <c r="F97" s="1" t="s">
        <v>5783</v>
      </c>
      <c r="G97" s="1" t="s">
        <v>5579</v>
      </c>
      <c r="H97" s="4" t="b">
        <f aca="false">FALSE()</f>
        <v>0</v>
      </c>
      <c r="I97" s="4" t="b">
        <f aca="false">TRUE()</f>
        <v>1</v>
      </c>
      <c r="K97" s="1" t="s">
        <v>5446</v>
      </c>
    </row>
    <row r="98" customFormat="false" ht="48" hidden="false" customHeight="true" outlineLevel="0" collapsed="false">
      <c r="A98" s="1" t="s">
        <v>5401</v>
      </c>
      <c r="B98" s="1" t="s">
        <v>2742</v>
      </c>
      <c r="C98" s="1" t="s">
        <v>45</v>
      </c>
      <c r="D98" s="1" t="s">
        <v>5784</v>
      </c>
      <c r="E98" s="1" t="s">
        <v>5785</v>
      </c>
      <c r="F98" s="1" t="s">
        <v>5786</v>
      </c>
      <c r="G98" s="1" t="s">
        <v>45</v>
      </c>
      <c r="H98" s="4" t="b">
        <f aca="false">FALSE()</f>
        <v>0</v>
      </c>
      <c r="I98" s="4" t="b">
        <f aca="false">TRUE()</f>
        <v>1</v>
      </c>
      <c r="J98" s="1" t="s">
        <v>5787</v>
      </c>
      <c r="K98" s="1" t="s">
        <v>5446</v>
      </c>
    </row>
    <row r="99" customFormat="false" ht="48" hidden="false" customHeight="true" outlineLevel="0" collapsed="false">
      <c r="A99" s="1" t="s">
        <v>5401</v>
      </c>
      <c r="B99" s="1" t="s">
        <v>2742</v>
      </c>
      <c r="C99" s="1" t="s">
        <v>45</v>
      </c>
      <c r="D99" s="1" t="s">
        <v>5788</v>
      </c>
      <c r="E99" s="1" t="s">
        <v>5789</v>
      </c>
      <c r="F99" s="1" t="s">
        <v>5790</v>
      </c>
      <c r="G99" s="1" t="s">
        <v>45</v>
      </c>
      <c r="H99" s="4" t="b">
        <f aca="false">FALSE()</f>
        <v>0</v>
      </c>
      <c r="I99" s="4" t="b">
        <f aca="false">TRUE()</f>
        <v>1</v>
      </c>
      <c r="K99" s="1" t="s">
        <v>5446</v>
      </c>
    </row>
    <row r="100" customFormat="false" ht="48" hidden="false" customHeight="true" outlineLevel="0" collapsed="false">
      <c r="A100" s="1" t="s">
        <v>5401</v>
      </c>
      <c r="B100" s="1" t="s">
        <v>2742</v>
      </c>
      <c r="C100" s="1" t="s">
        <v>45</v>
      </c>
      <c r="D100" s="1" t="s">
        <v>5791</v>
      </c>
      <c r="E100" s="1" t="s">
        <v>5792</v>
      </c>
      <c r="F100" s="1" t="s">
        <v>5793</v>
      </c>
      <c r="G100" s="1" t="s">
        <v>45</v>
      </c>
      <c r="H100" s="4" t="b">
        <f aca="false">FALSE()</f>
        <v>0</v>
      </c>
      <c r="I100" s="4" t="b">
        <f aca="false">TRUE()</f>
        <v>1</v>
      </c>
      <c r="J100" s="1" t="s">
        <v>5553</v>
      </c>
      <c r="K100" s="1" t="s">
        <v>5446</v>
      </c>
    </row>
    <row r="101" customFormat="false" ht="48" hidden="false" customHeight="true" outlineLevel="0" collapsed="false">
      <c r="A101" s="1" t="s">
        <v>5401</v>
      </c>
      <c r="B101" s="1" t="s">
        <v>2742</v>
      </c>
      <c r="C101" s="1" t="s">
        <v>45</v>
      </c>
      <c r="D101" s="1" t="s">
        <v>5794</v>
      </c>
      <c r="E101" s="1" t="s">
        <v>5795</v>
      </c>
      <c r="F101" s="1" t="s">
        <v>5796</v>
      </c>
      <c r="G101" s="1" t="s">
        <v>45</v>
      </c>
      <c r="H101" s="4" t="b">
        <f aca="false">FALSE()</f>
        <v>0</v>
      </c>
      <c r="I101" s="4" t="b">
        <f aca="false">TRUE()</f>
        <v>1</v>
      </c>
      <c r="J101" s="1" t="s">
        <v>5787</v>
      </c>
      <c r="K101" s="1" t="s">
        <v>5446</v>
      </c>
    </row>
    <row r="102" customFormat="false" ht="48" hidden="false" customHeight="true" outlineLevel="0" collapsed="false">
      <c r="A102" s="1" t="s">
        <v>5401</v>
      </c>
      <c r="B102" s="1" t="s">
        <v>2742</v>
      </c>
      <c r="C102" s="1" t="s">
        <v>45</v>
      </c>
      <c r="D102" s="1" t="s">
        <v>5797</v>
      </c>
      <c r="E102" s="1" t="s">
        <v>5798</v>
      </c>
      <c r="F102" s="1" t="s">
        <v>5799</v>
      </c>
      <c r="G102" s="1" t="s">
        <v>45</v>
      </c>
      <c r="H102" s="4" t="b">
        <f aca="false">FALSE()</f>
        <v>0</v>
      </c>
      <c r="I102" s="4" t="b">
        <f aca="false">TRUE()</f>
        <v>1</v>
      </c>
      <c r="K102" s="1" t="s">
        <v>5446</v>
      </c>
    </row>
    <row r="103" customFormat="false" ht="48" hidden="false" customHeight="true" outlineLevel="0" collapsed="false">
      <c r="A103" s="1" t="s">
        <v>5401</v>
      </c>
      <c r="B103" s="1" t="s">
        <v>2742</v>
      </c>
      <c r="C103" s="1" t="s">
        <v>45</v>
      </c>
      <c r="D103" s="1" t="s">
        <v>5800</v>
      </c>
      <c r="E103" s="1" t="s">
        <v>5801</v>
      </c>
      <c r="F103" s="1" t="s">
        <v>5802</v>
      </c>
      <c r="G103" s="1" t="s">
        <v>45</v>
      </c>
      <c r="H103" s="4" t="b">
        <f aca="false">FALSE()</f>
        <v>0</v>
      </c>
      <c r="I103" s="4" t="b">
        <f aca="false">TRUE()</f>
        <v>1</v>
      </c>
      <c r="J103" s="1" t="s">
        <v>5553</v>
      </c>
      <c r="K103" s="1" t="s">
        <v>5446</v>
      </c>
    </row>
    <row r="104" customFormat="false" ht="48" hidden="false" customHeight="true" outlineLevel="0" collapsed="false">
      <c r="A104" s="1" t="s">
        <v>5401</v>
      </c>
      <c r="B104" s="1" t="s">
        <v>2742</v>
      </c>
      <c r="C104" s="1" t="s">
        <v>45</v>
      </c>
      <c r="D104" s="1" t="s">
        <v>5803</v>
      </c>
      <c r="E104" s="1" t="s">
        <v>5804</v>
      </c>
      <c r="F104" s="1" t="s">
        <v>5805</v>
      </c>
      <c r="G104" s="1" t="s">
        <v>45</v>
      </c>
      <c r="H104" s="4" t="b">
        <f aca="false">FALSE()</f>
        <v>0</v>
      </c>
      <c r="I104" s="4" t="b">
        <f aca="false">TRUE()</f>
        <v>1</v>
      </c>
      <c r="J104" s="1" t="s">
        <v>5640</v>
      </c>
      <c r="K104" s="1" t="s">
        <v>5446</v>
      </c>
    </row>
    <row r="105" customFormat="false" ht="48" hidden="false" customHeight="true" outlineLevel="0" collapsed="false">
      <c r="A105" s="1" t="s">
        <v>5401</v>
      </c>
      <c r="B105" s="1" t="s">
        <v>2742</v>
      </c>
      <c r="C105" s="1" t="s">
        <v>45</v>
      </c>
      <c r="D105" s="1" t="s">
        <v>5806</v>
      </c>
      <c r="E105" s="1" t="s">
        <v>5807</v>
      </c>
      <c r="F105" s="1" t="s">
        <v>5808</v>
      </c>
      <c r="G105" s="1" t="s">
        <v>45</v>
      </c>
      <c r="H105" s="4" t="b">
        <f aca="false">FALSE()</f>
        <v>0</v>
      </c>
      <c r="I105" s="4" t="b">
        <f aca="false">TRUE()</f>
        <v>1</v>
      </c>
      <c r="J105" s="1" t="s">
        <v>5454</v>
      </c>
      <c r="K105" s="1" t="s">
        <v>5446</v>
      </c>
    </row>
    <row r="106" customFormat="false" ht="48" hidden="false" customHeight="true" outlineLevel="0" collapsed="false">
      <c r="A106" s="1" t="s">
        <v>5401</v>
      </c>
      <c r="B106" s="1" t="s">
        <v>2742</v>
      </c>
      <c r="C106" s="1" t="s">
        <v>45</v>
      </c>
      <c r="D106" s="1" t="s">
        <v>5809</v>
      </c>
      <c r="E106" s="1" t="s">
        <v>5810</v>
      </c>
      <c r="F106" s="1" t="s">
        <v>5811</v>
      </c>
      <c r="G106" s="1" t="s">
        <v>5579</v>
      </c>
      <c r="H106" s="4" t="b">
        <f aca="false">FALSE()</f>
        <v>0</v>
      </c>
      <c r="I106" s="4" t="b">
        <f aca="false">TRUE()</f>
        <v>1</v>
      </c>
      <c r="J106" s="1" t="s">
        <v>5640</v>
      </c>
      <c r="K106" s="1" t="s">
        <v>5446</v>
      </c>
    </row>
    <row r="107" customFormat="false" ht="48" hidden="false" customHeight="true" outlineLevel="0" collapsed="false">
      <c r="A107" s="1" t="s">
        <v>5401</v>
      </c>
      <c r="B107" s="1" t="s">
        <v>2742</v>
      </c>
      <c r="C107" s="1" t="s">
        <v>45</v>
      </c>
      <c r="D107" s="1" t="s">
        <v>5812</v>
      </c>
      <c r="E107" s="1" t="s">
        <v>5813</v>
      </c>
      <c r="F107" s="1" t="s">
        <v>5814</v>
      </c>
      <c r="G107" s="1" t="s">
        <v>5579</v>
      </c>
      <c r="H107" s="4" t="b">
        <f aca="false">FALSE()</f>
        <v>0</v>
      </c>
      <c r="I107" s="4" t="b">
        <f aca="false">TRUE()</f>
        <v>1</v>
      </c>
      <c r="J107" s="1" t="s">
        <v>5640</v>
      </c>
      <c r="K107" s="1" t="s">
        <v>5446</v>
      </c>
    </row>
    <row r="108" customFormat="false" ht="48" hidden="false" customHeight="true" outlineLevel="0" collapsed="false">
      <c r="A108" s="1" t="s">
        <v>5401</v>
      </c>
      <c r="B108" s="1" t="s">
        <v>2742</v>
      </c>
      <c r="C108" s="1" t="s">
        <v>45</v>
      </c>
      <c r="D108" s="1" t="s">
        <v>5815</v>
      </c>
      <c r="E108" s="1" t="s">
        <v>5816</v>
      </c>
      <c r="F108" s="1" t="s">
        <v>5817</v>
      </c>
      <c r="G108" s="1" t="s">
        <v>41</v>
      </c>
      <c r="H108" s="4" t="b">
        <f aca="false">FALSE()</f>
        <v>0</v>
      </c>
      <c r="I108" s="4" t="b">
        <f aca="false">TRUE()</f>
        <v>1</v>
      </c>
      <c r="J108" s="1" t="s">
        <v>5818</v>
      </c>
      <c r="K108" s="1" t="s">
        <v>5446</v>
      </c>
    </row>
    <row r="109" customFormat="false" ht="48" hidden="false" customHeight="true" outlineLevel="0" collapsed="false">
      <c r="A109" s="1" t="s">
        <v>5401</v>
      </c>
      <c r="B109" s="1" t="s">
        <v>2742</v>
      </c>
      <c r="C109" s="1" t="s">
        <v>45</v>
      </c>
      <c r="D109" s="1" t="s">
        <v>5819</v>
      </c>
      <c r="E109" s="1" t="s">
        <v>5820</v>
      </c>
      <c r="F109" s="1" t="s">
        <v>5821</v>
      </c>
      <c r="G109" s="1" t="s">
        <v>41</v>
      </c>
      <c r="H109" s="4" t="b">
        <f aca="false">FALSE()</f>
        <v>0</v>
      </c>
      <c r="I109" s="4" t="b">
        <f aca="false">TRUE()</f>
        <v>1</v>
      </c>
      <c r="J109" s="1" t="s">
        <v>5822</v>
      </c>
      <c r="K109" s="1" t="s">
        <v>5446</v>
      </c>
    </row>
    <row r="110" customFormat="false" ht="48" hidden="false" customHeight="true" outlineLevel="0" collapsed="false">
      <c r="A110" s="1" t="s">
        <v>5401</v>
      </c>
      <c r="B110" s="1" t="s">
        <v>2742</v>
      </c>
      <c r="C110" s="1" t="s">
        <v>45</v>
      </c>
      <c r="D110" s="1" t="s">
        <v>5823</v>
      </c>
      <c r="E110" s="1" t="s">
        <v>5824</v>
      </c>
      <c r="F110" s="1" t="s">
        <v>5825</v>
      </c>
      <c r="G110" s="1" t="s">
        <v>41</v>
      </c>
      <c r="H110" s="4" t="b">
        <f aca="false">FALSE()</f>
        <v>0</v>
      </c>
      <c r="I110" s="4" t="b">
        <f aca="false">TRUE()</f>
        <v>1</v>
      </c>
      <c r="J110" s="1" t="s">
        <v>5826</v>
      </c>
      <c r="K110" s="1" t="s">
        <v>5446</v>
      </c>
    </row>
    <row r="111" customFormat="false" ht="48" hidden="false" customHeight="true" outlineLevel="0" collapsed="false">
      <c r="A111" s="1" t="s">
        <v>5393</v>
      </c>
      <c r="B111" s="1" t="s">
        <v>3540</v>
      </c>
      <c r="C111" s="1" t="s">
        <v>45</v>
      </c>
      <c r="D111" s="1" t="s">
        <v>5827</v>
      </c>
      <c r="E111" s="1" t="s">
        <v>5710</v>
      </c>
      <c r="F111" s="1" t="s">
        <v>5828</v>
      </c>
      <c r="G111" s="1" t="s">
        <v>45</v>
      </c>
      <c r="H111" s="4" t="b">
        <f aca="false">FALSE()</f>
        <v>0</v>
      </c>
      <c r="I111" s="4" t="b">
        <f aca="false">TRUE()</f>
        <v>1</v>
      </c>
      <c r="J111" s="1" t="s">
        <v>5640</v>
      </c>
      <c r="K111" s="1" t="s">
        <v>5446</v>
      </c>
    </row>
    <row r="112" customFormat="false" ht="48" hidden="false" customHeight="true" outlineLevel="0" collapsed="false">
      <c r="A112" s="1" t="s">
        <v>5393</v>
      </c>
      <c r="B112" s="1" t="s">
        <v>3540</v>
      </c>
      <c r="C112" s="1" t="s">
        <v>45</v>
      </c>
      <c r="D112" s="1" t="s">
        <v>5829</v>
      </c>
      <c r="E112" s="1" t="s">
        <v>5830</v>
      </c>
      <c r="F112" s="1" t="s">
        <v>5831</v>
      </c>
      <c r="G112" s="1" t="s">
        <v>45</v>
      </c>
      <c r="H112" s="4" t="b">
        <f aca="false">FALSE()</f>
        <v>0</v>
      </c>
      <c r="I112" s="4" t="b">
        <f aca="false">TRUE()</f>
        <v>1</v>
      </c>
      <c r="K112" s="1" t="s">
        <v>5446</v>
      </c>
    </row>
    <row r="113" customFormat="false" ht="48" hidden="false" customHeight="true" outlineLevel="0" collapsed="false">
      <c r="A113" s="1" t="s">
        <v>5393</v>
      </c>
      <c r="B113" s="1" t="s">
        <v>3540</v>
      </c>
      <c r="C113" s="1" t="s">
        <v>45</v>
      </c>
      <c r="D113" s="1" t="s">
        <v>5832</v>
      </c>
      <c r="E113" s="1" t="s">
        <v>5833</v>
      </c>
      <c r="F113" s="1" t="s">
        <v>5834</v>
      </c>
      <c r="G113" s="1" t="s">
        <v>45</v>
      </c>
      <c r="H113" s="4" t="b">
        <f aca="false">FALSE()</f>
        <v>0</v>
      </c>
      <c r="I113" s="4" t="b">
        <f aca="false">TRUE()</f>
        <v>1</v>
      </c>
      <c r="J113" s="1" t="s">
        <v>5835</v>
      </c>
      <c r="K113" s="1" t="s">
        <v>5446</v>
      </c>
    </row>
    <row r="114" customFormat="false" ht="48" hidden="false" customHeight="true" outlineLevel="0" collapsed="false">
      <c r="A114" s="1" t="s">
        <v>5393</v>
      </c>
      <c r="B114" s="1" t="s">
        <v>3540</v>
      </c>
      <c r="C114" s="1" t="s">
        <v>45</v>
      </c>
      <c r="D114" s="1" t="s">
        <v>5836</v>
      </c>
      <c r="E114" s="1" t="s">
        <v>5837</v>
      </c>
      <c r="F114" s="1" t="s">
        <v>5838</v>
      </c>
      <c r="G114" s="1" t="s">
        <v>45</v>
      </c>
      <c r="H114" s="4" t="b">
        <f aca="false">FALSE()</f>
        <v>0</v>
      </c>
      <c r="I114" s="4" t="b">
        <f aca="false">TRUE()</f>
        <v>1</v>
      </c>
      <c r="J114" s="1" t="s">
        <v>5839</v>
      </c>
      <c r="K114" s="1" t="s">
        <v>5446</v>
      </c>
    </row>
    <row r="115" customFormat="false" ht="48" hidden="false" customHeight="true" outlineLevel="0" collapsed="false">
      <c r="A115" s="1" t="s">
        <v>5393</v>
      </c>
      <c r="B115" s="1" t="s">
        <v>3540</v>
      </c>
      <c r="C115" s="1" t="s">
        <v>45</v>
      </c>
      <c r="D115" s="1" t="s">
        <v>5840</v>
      </c>
      <c r="E115" s="1" t="s">
        <v>5841</v>
      </c>
      <c r="F115" s="1" t="s">
        <v>5842</v>
      </c>
      <c r="G115" s="1" t="s">
        <v>45</v>
      </c>
      <c r="H115" s="4" t="b">
        <f aca="false">FALSE()</f>
        <v>0</v>
      </c>
      <c r="I115" s="4" t="b">
        <f aca="false">TRUE()</f>
        <v>1</v>
      </c>
      <c r="J115" s="1" t="s">
        <v>5640</v>
      </c>
      <c r="K115" s="1" t="s">
        <v>5446</v>
      </c>
    </row>
    <row r="116" customFormat="false" ht="48" hidden="false" customHeight="true" outlineLevel="0" collapsed="false">
      <c r="A116" s="1" t="s">
        <v>5393</v>
      </c>
      <c r="B116" s="1" t="s">
        <v>3540</v>
      </c>
      <c r="C116" s="1" t="s">
        <v>45</v>
      </c>
      <c r="D116" s="1" t="s">
        <v>5843</v>
      </c>
      <c r="E116" s="1" t="s">
        <v>5844</v>
      </c>
      <c r="F116" s="1" t="s">
        <v>5845</v>
      </c>
      <c r="G116" s="1" t="s">
        <v>45</v>
      </c>
      <c r="H116" s="4" t="b">
        <f aca="false">FALSE()</f>
        <v>0</v>
      </c>
      <c r="I116" s="4" t="b">
        <f aca="false">TRUE()</f>
        <v>1</v>
      </c>
      <c r="J116" s="1" t="s">
        <v>5640</v>
      </c>
      <c r="K116" s="1" t="s">
        <v>5446</v>
      </c>
    </row>
    <row r="117" customFormat="false" ht="48" hidden="false" customHeight="true" outlineLevel="0" collapsed="false">
      <c r="A117" s="1" t="s">
        <v>5393</v>
      </c>
      <c r="B117" s="1" t="s">
        <v>3540</v>
      </c>
      <c r="C117" s="1" t="s">
        <v>45</v>
      </c>
      <c r="D117" s="1" t="s">
        <v>5846</v>
      </c>
      <c r="E117" s="1" t="s">
        <v>5847</v>
      </c>
      <c r="F117" s="1" t="s">
        <v>5848</v>
      </c>
      <c r="G117" s="1" t="s">
        <v>45</v>
      </c>
      <c r="H117" s="4" t="b">
        <f aca="false">FALSE()</f>
        <v>0</v>
      </c>
      <c r="I117" s="4" t="b">
        <f aca="false">TRUE()</f>
        <v>1</v>
      </c>
      <c r="J117" s="1" t="s">
        <v>5640</v>
      </c>
      <c r="K117" s="1" t="s">
        <v>5446</v>
      </c>
    </row>
    <row r="118" customFormat="false" ht="48" hidden="false" customHeight="true" outlineLevel="0" collapsed="false">
      <c r="A118" s="1" t="s">
        <v>5393</v>
      </c>
      <c r="B118" s="1" t="s">
        <v>3540</v>
      </c>
      <c r="C118" s="1" t="s">
        <v>45</v>
      </c>
      <c r="D118" s="1" t="s">
        <v>5849</v>
      </c>
      <c r="E118" s="1" t="s">
        <v>5850</v>
      </c>
      <c r="F118" s="1" t="s">
        <v>5851</v>
      </c>
      <c r="G118" s="1" t="s">
        <v>45</v>
      </c>
      <c r="H118" s="4" t="b">
        <f aca="false">FALSE()</f>
        <v>0</v>
      </c>
      <c r="I118" s="4" t="b">
        <f aca="false">TRUE()</f>
        <v>1</v>
      </c>
      <c r="K118" s="1" t="s">
        <v>5446</v>
      </c>
    </row>
    <row r="119" customFormat="false" ht="48" hidden="false" customHeight="true" outlineLevel="0" collapsed="false">
      <c r="A119" s="1" t="s">
        <v>5393</v>
      </c>
      <c r="B119" s="1" t="s">
        <v>3540</v>
      </c>
      <c r="C119" s="1" t="s">
        <v>45</v>
      </c>
      <c r="D119" s="1" t="s">
        <v>5852</v>
      </c>
      <c r="E119" s="1" t="s">
        <v>5853</v>
      </c>
      <c r="F119" s="1" t="s">
        <v>5854</v>
      </c>
      <c r="G119" s="1" t="s">
        <v>5579</v>
      </c>
      <c r="H119" s="4" t="b">
        <f aca="false">FALSE()</f>
        <v>0</v>
      </c>
      <c r="I119" s="4" t="b">
        <f aca="false">TRUE()</f>
        <v>1</v>
      </c>
      <c r="J119" s="1" t="s">
        <v>5773</v>
      </c>
      <c r="K119" s="1" t="s">
        <v>5446</v>
      </c>
    </row>
    <row r="120" customFormat="false" ht="48" hidden="false" customHeight="true" outlineLevel="0" collapsed="false">
      <c r="A120" s="1" t="s">
        <v>5393</v>
      </c>
      <c r="B120" s="1" t="s">
        <v>3540</v>
      </c>
      <c r="C120" s="1" t="s">
        <v>45</v>
      </c>
      <c r="D120" s="1" t="s">
        <v>5855</v>
      </c>
      <c r="E120" s="1" t="s">
        <v>5856</v>
      </c>
      <c r="F120" s="1" t="s">
        <v>5857</v>
      </c>
      <c r="G120" s="1" t="s">
        <v>5579</v>
      </c>
      <c r="H120" s="4" t="b">
        <f aca="false">FALSE()</f>
        <v>0</v>
      </c>
      <c r="I120" s="4" t="b">
        <f aca="false">TRUE()</f>
        <v>1</v>
      </c>
      <c r="K120" s="1" t="s">
        <v>5446</v>
      </c>
    </row>
    <row r="121" customFormat="false" ht="48" hidden="false" customHeight="true" outlineLevel="0" collapsed="false">
      <c r="A121" s="1" t="s">
        <v>5393</v>
      </c>
      <c r="B121" s="1" t="s">
        <v>3540</v>
      </c>
      <c r="C121" s="1" t="s">
        <v>45</v>
      </c>
      <c r="D121" s="1" t="s">
        <v>5858</v>
      </c>
      <c r="E121" s="1" t="s">
        <v>5859</v>
      </c>
      <c r="F121" s="1" t="s">
        <v>5860</v>
      </c>
      <c r="G121" s="1" t="s">
        <v>5579</v>
      </c>
      <c r="H121" s="4" t="b">
        <f aca="false">FALSE()</f>
        <v>0</v>
      </c>
      <c r="I121" s="4" t="b">
        <f aca="false">TRUE()</f>
        <v>1</v>
      </c>
      <c r="K121" s="1" t="s">
        <v>5446</v>
      </c>
    </row>
    <row r="122" customFormat="false" ht="48" hidden="false" customHeight="true" outlineLevel="0" collapsed="false">
      <c r="A122" s="1" t="s">
        <v>5393</v>
      </c>
      <c r="B122" s="1" t="s">
        <v>3540</v>
      </c>
      <c r="C122" s="1" t="s">
        <v>45</v>
      </c>
      <c r="D122" s="1" t="s">
        <v>5861</v>
      </c>
      <c r="E122" s="1" t="s">
        <v>5862</v>
      </c>
      <c r="F122" s="1" t="s">
        <v>5863</v>
      </c>
      <c r="G122" s="1" t="s">
        <v>5579</v>
      </c>
      <c r="H122" s="4" t="b">
        <f aca="false">FALSE()</f>
        <v>0</v>
      </c>
      <c r="I122" s="4" t="b">
        <f aca="false">TRUE()</f>
        <v>1</v>
      </c>
      <c r="J122" s="1" t="s">
        <v>5640</v>
      </c>
      <c r="K122" s="1" t="s">
        <v>5446</v>
      </c>
    </row>
    <row r="123" customFormat="false" ht="48" hidden="false" customHeight="true" outlineLevel="0" collapsed="false">
      <c r="A123" s="1" t="s">
        <v>5393</v>
      </c>
      <c r="B123" s="1" t="s">
        <v>3540</v>
      </c>
      <c r="C123" s="1" t="s">
        <v>45</v>
      </c>
      <c r="D123" s="1" t="s">
        <v>5864</v>
      </c>
      <c r="E123" s="1" t="s">
        <v>5865</v>
      </c>
      <c r="F123" s="1" t="s">
        <v>5866</v>
      </c>
      <c r="G123" s="1" t="s">
        <v>5579</v>
      </c>
      <c r="H123" s="4" t="b">
        <f aca="false">FALSE()</f>
        <v>0</v>
      </c>
      <c r="I123" s="4" t="b">
        <f aca="false">TRUE()</f>
        <v>1</v>
      </c>
      <c r="K123" s="1" t="s">
        <v>5446</v>
      </c>
    </row>
  </sheetData>
  <autoFilter ref="A1:K123"/>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6" min="1" style="1" width="24.71"/>
  </cols>
  <sheetData>
    <row r="1" customFormat="false" ht="36" hidden="false" customHeight="true" outlineLevel="0" collapsed="false">
      <c r="A1" s="2" t="s">
        <v>5437</v>
      </c>
      <c r="B1" s="2" t="s">
        <v>5867</v>
      </c>
      <c r="C1" s="2" t="s">
        <v>5868</v>
      </c>
      <c r="D1" s="2" t="s">
        <v>5869</v>
      </c>
      <c r="E1" s="2" t="s">
        <v>5870</v>
      </c>
      <c r="F1" s="2" t="s">
        <v>5871</v>
      </c>
    </row>
    <row r="2" customFormat="false" ht="48" hidden="false" customHeight="true" outlineLevel="0" collapsed="false">
      <c r="A2" s="1" t="s">
        <v>41</v>
      </c>
      <c r="B2" s="1" t="s">
        <v>5640</v>
      </c>
      <c r="C2" s="1" t="n">
        <v>17</v>
      </c>
      <c r="D2" s="1" t="n">
        <v>25</v>
      </c>
      <c r="E2" s="1" t="n">
        <v>0.68</v>
      </c>
      <c r="F2" s="1" t="s">
        <v>5872</v>
      </c>
    </row>
    <row r="3" customFormat="false" ht="48" hidden="false" customHeight="true" outlineLevel="0" collapsed="false">
      <c r="A3" s="1" t="s">
        <v>41</v>
      </c>
      <c r="B3" s="1" t="s">
        <v>5560</v>
      </c>
      <c r="C3" s="1" t="n">
        <v>11</v>
      </c>
      <c r="D3" s="1" t="n">
        <v>25</v>
      </c>
      <c r="E3" s="1" t="n">
        <v>0.44</v>
      </c>
      <c r="F3" s="1" t="s">
        <v>5872</v>
      </c>
    </row>
    <row r="4" customFormat="false" ht="48" hidden="false" customHeight="true" outlineLevel="0" collapsed="false">
      <c r="A4" s="1" t="s">
        <v>41</v>
      </c>
      <c r="B4" s="1" t="s">
        <v>5507</v>
      </c>
      <c r="C4" s="1" t="n">
        <v>10</v>
      </c>
      <c r="D4" s="1" t="n">
        <v>25</v>
      </c>
      <c r="E4" s="1" t="n">
        <v>0.4</v>
      </c>
      <c r="F4" s="1" t="s">
        <v>5872</v>
      </c>
    </row>
    <row r="5" customFormat="false" ht="48" hidden="false" customHeight="true" outlineLevel="0" collapsed="false">
      <c r="A5" s="1" t="s">
        <v>41</v>
      </c>
      <c r="B5" s="1" t="s">
        <v>5873</v>
      </c>
      <c r="C5" s="1" t="n">
        <v>2</v>
      </c>
      <c r="D5" s="1" t="n">
        <v>25</v>
      </c>
      <c r="E5" s="1" t="n">
        <v>0.08</v>
      </c>
      <c r="F5" s="1" t="s">
        <v>5872</v>
      </c>
    </row>
    <row r="6" customFormat="false" ht="48" hidden="false" customHeight="true" outlineLevel="0" collapsed="false">
      <c r="A6" s="1" t="s">
        <v>41</v>
      </c>
      <c r="B6" s="1" t="s">
        <v>5874</v>
      </c>
      <c r="C6" s="1" t="n">
        <v>1</v>
      </c>
      <c r="D6" s="1" t="n">
        <v>25</v>
      </c>
      <c r="E6" s="1" t="n">
        <v>0.04</v>
      </c>
      <c r="F6" s="1" t="s">
        <v>5872</v>
      </c>
    </row>
    <row r="7" customFormat="false" ht="48" hidden="false" customHeight="true" outlineLevel="0" collapsed="false">
      <c r="A7" s="1" t="s">
        <v>41</v>
      </c>
      <c r="B7" s="1" t="s">
        <v>5623</v>
      </c>
      <c r="C7" s="1" t="n">
        <v>13</v>
      </c>
      <c r="D7" s="1" t="n">
        <v>25</v>
      </c>
      <c r="E7" s="1" t="n">
        <v>0.52</v>
      </c>
      <c r="F7" s="1" t="s">
        <v>5872</v>
      </c>
    </row>
    <row r="8" customFormat="false" ht="48" hidden="false" customHeight="true" outlineLevel="0" collapsed="false">
      <c r="A8" s="1" t="s">
        <v>41</v>
      </c>
      <c r="B8" s="1" t="s">
        <v>5708</v>
      </c>
      <c r="C8" s="1" t="n">
        <v>9</v>
      </c>
      <c r="D8" s="1" t="n">
        <v>25</v>
      </c>
      <c r="E8" s="1" t="n">
        <v>0.36</v>
      </c>
      <c r="F8" s="1" t="s">
        <v>5872</v>
      </c>
    </row>
    <row r="9" customFormat="false" ht="48" hidden="false" customHeight="true" outlineLevel="0" collapsed="false">
      <c r="A9" s="1" t="s">
        <v>41</v>
      </c>
      <c r="B9" s="1" t="s">
        <v>5454</v>
      </c>
      <c r="C9" s="1" t="n">
        <v>9</v>
      </c>
      <c r="D9" s="1" t="n">
        <v>25</v>
      </c>
      <c r="E9" s="1" t="n">
        <v>0.36</v>
      </c>
      <c r="F9" s="1" t="s">
        <v>5872</v>
      </c>
    </row>
    <row r="10" customFormat="false" ht="48" hidden="false" customHeight="true" outlineLevel="0" collapsed="false">
      <c r="A10" s="1" t="s">
        <v>41</v>
      </c>
      <c r="B10" s="1" t="s">
        <v>5875</v>
      </c>
      <c r="C10" s="1" t="n">
        <v>4</v>
      </c>
      <c r="D10" s="1" t="n">
        <v>25</v>
      </c>
      <c r="E10" s="1" t="n">
        <v>0.16</v>
      </c>
      <c r="F10" s="1" t="s">
        <v>5872</v>
      </c>
    </row>
    <row r="11" customFormat="false" ht="48" hidden="false" customHeight="true" outlineLevel="0" collapsed="false">
      <c r="A11" s="1" t="s">
        <v>41</v>
      </c>
      <c r="B11" s="1" t="s">
        <v>5762</v>
      </c>
      <c r="C11" s="1" t="n">
        <v>1</v>
      </c>
      <c r="D11" s="1" t="n">
        <v>25</v>
      </c>
      <c r="E11" s="1" t="n">
        <v>0.04</v>
      </c>
      <c r="F11" s="1" t="s">
        <v>5872</v>
      </c>
    </row>
    <row r="12" customFormat="false" ht="48" hidden="false" customHeight="true" outlineLevel="0" collapsed="false">
      <c r="A12" s="1" t="s">
        <v>41</v>
      </c>
      <c r="B12" s="1" t="s">
        <v>5773</v>
      </c>
      <c r="C12" s="1" t="n">
        <v>4</v>
      </c>
      <c r="D12" s="1" t="n">
        <v>25</v>
      </c>
      <c r="E12" s="1" t="n">
        <v>0.16</v>
      </c>
      <c r="F12" s="1" t="s">
        <v>5872</v>
      </c>
    </row>
    <row r="13" customFormat="false" ht="48" hidden="false" customHeight="true" outlineLevel="0" collapsed="false">
      <c r="A13" s="1" t="s">
        <v>43</v>
      </c>
      <c r="B13" s="1" t="s">
        <v>5640</v>
      </c>
      <c r="C13" s="1" t="n">
        <v>25</v>
      </c>
      <c r="D13" s="1" t="n">
        <v>40</v>
      </c>
      <c r="E13" s="1" t="n">
        <v>0.625</v>
      </c>
      <c r="F13" s="1" t="s">
        <v>5872</v>
      </c>
    </row>
    <row r="14" customFormat="false" ht="48" hidden="false" customHeight="true" outlineLevel="0" collapsed="false">
      <c r="A14" s="1" t="s">
        <v>43</v>
      </c>
      <c r="B14" s="1" t="s">
        <v>5560</v>
      </c>
      <c r="C14" s="1" t="n">
        <v>13</v>
      </c>
      <c r="D14" s="1" t="n">
        <v>40</v>
      </c>
      <c r="E14" s="1" t="n">
        <v>0.325</v>
      </c>
      <c r="F14" s="1" t="s">
        <v>5872</v>
      </c>
    </row>
    <row r="15" customFormat="false" ht="48" hidden="false" customHeight="true" outlineLevel="0" collapsed="false">
      <c r="A15" s="1" t="s">
        <v>43</v>
      </c>
      <c r="B15" s="1" t="s">
        <v>5507</v>
      </c>
      <c r="C15" s="1" t="n">
        <v>22</v>
      </c>
      <c r="D15" s="1" t="n">
        <v>40</v>
      </c>
      <c r="E15" s="1" t="n">
        <v>0.55</v>
      </c>
      <c r="F15" s="1" t="s">
        <v>5872</v>
      </c>
    </row>
    <row r="16" customFormat="false" ht="48" hidden="false" customHeight="true" outlineLevel="0" collapsed="false">
      <c r="A16" s="1" t="s">
        <v>43</v>
      </c>
      <c r="B16" s="1" t="s">
        <v>5873</v>
      </c>
      <c r="C16" s="1" t="n">
        <v>4</v>
      </c>
      <c r="D16" s="1" t="n">
        <v>40</v>
      </c>
      <c r="E16" s="1" t="n">
        <v>0.1</v>
      </c>
      <c r="F16" s="1" t="s">
        <v>5872</v>
      </c>
    </row>
    <row r="17" customFormat="false" ht="48" hidden="false" customHeight="true" outlineLevel="0" collapsed="false">
      <c r="A17" s="1" t="s">
        <v>43</v>
      </c>
      <c r="B17" s="1" t="s">
        <v>5874</v>
      </c>
      <c r="C17" s="1" t="n">
        <v>1</v>
      </c>
      <c r="D17" s="1" t="n">
        <v>40</v>
      </c>
      <c r="E17" s="1" t="n">
        <v>0.025</v>
      </c>
      <c r="F17" s="1" t="s">
        <v>5872</v>
      </c>
    </row>
    <row r="18" customFormat="false" ht="48" hidden="false" customHeight="true" outlineLevel="0" collapsed="false">
      <c r="A18" s="1" t="s">
        <v>43</v>
      </c>
      <c r="B18" s="1" t="s">
        <v>5623</v>
      </c>
      <c r="C18" s="1" t="n">
        <v>11</v>
      </c>
      <c r="D18" s="1" t="n">
        <v>40</v>
      </c>
      <c r="E18" s="1" t="n">
        <v>0.275</v>
      </c>
      <c r="F18" s="1" t="s">
        <v>5872</v>
      </c>
    </row>
    <row r="19" customFormat="false" ht="48" hidden="false" customHeight="true" outlineLevel="0" collapsed="false">
      <c r="A19" s="1" t="s">
        <v>43</v>
      </c>
      <c r="B19" s="1" t="s">
        <v>5708</v>
      </c>
      <c r="C19" s="1" t="n">
        <v>16</v>
      </c>
      <c r="D19" s="1" t="n">
        <v>40</v>
      </c>
      <c r="E19" s="1" t="n">
        <v>0.4</v>
      </c>
      <c r="F19" s="1" t="s">
        <v>5872</v>
      </c>
    </row>
    <row r="20" customFormat="false" ht="48" hidden="false" customHeight="true" outlineLevel="0" collapsed="false">
      <c r="A20" s="1" t="s">
        <v>43</v>
      </c>
      <c r="B20" s="1" t="s">
        <v>5454</v>
      </c>
      <c r="C20" s="1" t="n">
        <v>15</v>
      </c>
      <c r="D20" s="1" t="n">
        <v>40</v>
      </c>
      <c r="E20" s="1" t="n">
        <v>0.375</v>
      </c>
      <c r="F20" s="1" t="s">
        <v>5872</v>
      </c>
    </row>
    <row r="21" customFormat="false" ht="48" hidden="false" customHeight="true" outlineLevel="0" collapsed="false">
      <c r="A21" s="1" t="s">
        <v>43</v>
      </c>
      <c r="B21" s="1" t="s">
        <v>5875</v>
      </c>
      <c r="C21" s="1" t="n">
        <v>13</v>
      </c>
      <c r="D21" s="1" t="n">
        <v>40</v>
      </c>
      <c r="E21" s="1" t="n">
        <v>0.325</v>
      </c>
      <c r="F21" s="1" t="s">
        <v>5872</v>
      </c>
    </row>
    <row r="22" customFormat="false" ht="48" hidden="false" customHeight="true" outlineLevel="0" collapsed="false">
      <c r="A22" s="1" t="s">
        <v>43</v>
      </c>
      <c r="B22" s="1" t="s">
        <v>5762</v>
      </c>
      <c r="C22" s="1" t="n">
        <v>3</v>
      </c>
      <c r="D22" s="1" t="n">
        <v>40</v>
      </c>
      <c r="E22" s="1" t="n">
        <v>0.075</v>
      </c>
      <c r="F22" s="1" t="s">
        <v>5872</v>
      </c>
    </row>
    <row r="23" customFormat="false" ht="48" hidden="false" customHeight="true" outlineLevel="0" collapsed="false">
      <c r="A23" s="1" t="s">
        <v>43</v>
      </c>
      <c r="B23" s="1" t="s">
        <v>5773</v>
      </c>
      <c r="C23" s="1" t="n">
        <v>6</v>
      </c>
      <c r="D23" s="1" t="n">
        <v>40</v>
      </c>
      <c r="E23" s="1" t="n">
        <v>0.15</v>
      </c>
      <c r="F23" s="1" t="s">
        <v>5872</v>
      </c>
    </row>
    <row r="24" customFormat="false" ht="48" hidden="false" customHeight="true" outlineLevel="0" collapsed="false">
      <c r="A24" s="1" t="s">
        <v>45</v>
      </c>
      <c r="B24" s="1" t="s">
        <v>5640</v>
      </c>
      <c r="C24" s="1" t="n">
        <v>18</v>
      </c>
      <c r="D24" s="1" t="n">
        <v>33</v>
      </c>
      <c r="E24" s="1" t="n">
        <v>0.545454545454545</v>
      </c>
      <c r="F24" s="1" t="s">
        <v>5872</v>
      </c>
    </row>
    <row r="25" customFormat="false" ht="48" hidden="false" customHeight="true" outlineLevel="0" collapsed="false">
      <c r="A25" s="1" t="s">
        <v>45</v>
      </c>
      <c r="B25" s="1" t="s">
        <v>5560</v>
      </c>
      <c r="C25" s="1" t="n">
        <v>3</v>
      </c>
      <c r="D25" s="1" t="n">
        <v>33</v>
      </c>
      <c r="E25" s="1" t="n">
        <v>0.0909090909090909</v>
      </c>
      <c r="F25" s="1" t="s">
        <v>5872</v>
      </c>
    </row>
    <row r="26" customFormat="false" ht="48" hidden="false" customHeight="true" outlineLevel="0" collapsed="false">
      <c r="A26" s="1" t="s">
        <v>45</v>
      </c>
      <c r="B26" s="1" t="s">
        <v>5507</v>
      </c>
      <c r="C26" s="1" t="n">
        <v>13</v>
      </c>
      <c r="D26" s="1" t="n">
        <v>33</v>
      </c>
      <c r="E26" s="1" t="n">
        <v>0.393939393939394</v>
      </c>
      <c r="F26" s="1" t="s">
        <v>5872</v>
      </c>
    </row>
    <row r="27" customFormat="false" ht="48" hidden="false" customHeight="true" outlineLevel="0" collapsed="false">
      <c r="A27" s="1" t="s">
        <v>45</v>
      </c>
      <c r="B27" s="1" t="s">
        <v>5873</v>
      </c>
      <c r="C27" s="1" t="n">
        <v>2</v>
      </c>
      <c r="D27" s="1" t="n">
        <v>33</v>
      </c>
      <c r="E27" s="1" t="n">
        <v>0.0606060606060606</v>
      </c>
      <c r="F27" s="1" t="s">
        <v>5872</v>
      </c>
    </row>
    <row r="28" customFormat="false" ht="48" hidden="false" customHeight="true" outlineLevel="0" collapsed="false">
      <c r="A28" s="1" t="s">
        <v>45</v>
      </c>
      <c r="B28" s="1" t="s">
        <v>5874</v>
      </c>
      <c r="C28" s="1" t="n">
        <v>0</v>
      </c>
      <c r="D28" s="1" t="n">
        <v>33</v>
      </c>
      <c r="E28" s="1" t="n">
        <v>0</v>
      </c>
      <c r="F28" s="1" t="s">
        <v>5872</v>
      </c>
    </row>
    <row r="29" customFormat="false" ht="48" hidden="false" customHeight="true" outlineLevel="0" collapsed="false">
      <c r="A29" s="1" t="s">
        <v>45</v>
      </c>
      <c r="B29" s="1" t="s">
        <v>5623</v>
      </c>
      <c r="C29" s="1" t="n">
        <v>3</v>
      </c>
      <c r="D29" s="1" t="n">
        <v>33</v>
      </c>
      <c r="E29" s="1" t="n">
        <v>0.0909090909090909</v>
      </c>
      <c r="F29" s="1" t="s">
        <v>5872</v>
      </c>
    </row>
    <row r="30" customFormat="false" ht="48" hidden="false" customHeight="true" outlineLevel="0" collapsed="false">
      <c r="A30" s="1" t="s">
        <v>45</v>
      </c>
      <c r="B30" s="1" t="s">
        <v>5708</v>
      </c>
      <c r="C30" s="1" t="n">
        <v>5</v>
      </c>
      <c r="D30" s="1" t="n">
        <v>33</v>
      </c>
      <c r="E30" s="1" t="n">
        <v>0.151515151515152</v>
      </c>
      <c r="F30" s="1" t="s">
        <v>5872</v>
      </c>
    </row>
    <row r="31" customFormat="false" ht="48" hidden="false" customHeight="true" outlineLevel="0" collapsed="false">
      <c r="A31" s="1" t="s">
        <v>45</v>
      </c>
      <c r="B31" s="1" t="s">
        <v>5454</v>
      </c>
      <c r="C31" s="1" t="n">
        <v>9</v>
      </c>
      <c r="D31" s="1" t="n">
        <v>33</v>
      </c>
      <c r="E31" s="1" t="n">
        <v>0.272727272727273</v>
      </c>
      <c r="F31" s="1" t="s">
        <v>5872</v>
      </c>
    </row>
    <row r="32" customFormat="false" ht="48" hidden="false" customHeight="true" outlineLevel="0" collapsed="false">
      <c r="A32" s="1" t="s">
        <v>45</v>
      </c>
      <c r="B32" s="1" t="s">
        <v>5875</v>
      </c>
      <c r="C32" s="1" t="n">
        <v>5</v>
      </c>
      <c r="D32" s="1" t="n">
        <v>33</v>
      </c>
      <c r="E32" s="1" t="n">
        <v>0.151515151515152</v>
      </c>
      <c r="F32" s="1" t="s">
        <v>5872</v>
      </c>
    </row>
    <row r="33" customFormat="false" ht="48" hidden="false" customHeight="true" outlineLevel="0" collapsed="false">
      <c r="A33" s="1" t="s">
        <v>45</v>
      </c>
      <c r="B33" s="1" t="s">
        <v>5762</v>
      </c>
      <c r="C33" s="1" t="n">
        <v>8</v>
      </c>
      <c r="D33" s="1" t="n">
        <v>33</v>
      </c>
      <c r="E33" s="1" t="n">
        <v>0.242424242424242</v>
      </c>
      <c r="F33" s="1" t="s">
        <v>5872</v>
      </c>
    </row>
    <row r="34" customFormat="false" ht="48" hidden="false" customHeight="true" outlineLevel="0" collapsed="false">
      <c r="A34" s="1" t="s">
        <v>45</v>
      </c>
      <c r="B34" s="1" t="s">
        <v>5773</v>
      </c>
      <c r="C34" s="1" t="n">
        <v>4</v>
      </c>
      <c r="D34" s="1" t="n">
        <v>33</v>
      </c>
      <c r="E34" s="1" t="n">
        <v>0.121212121212121</v>
      </c>
      <c r="F34" s="1" t="s">
        <v>5872</v>
      </c>
    </row>
    <row r="35" customFormat="false" ht="48" hidden="false" customHeight="true" outlineLevel="0" collapsed="false">
      <c r="A35" s="1" t="s">
        <v>5579</v>
      </c>
      <c r="B35" s="1" t="s">
        <v>5640</v>
      </c>
      <c r="C35" s="1" t="n">
        <v>4</v>
      </c>
      <c r="D35" s="1" t="n">
        <v>24</v>
      </c>
      <c r="E35" s="1" t="n">
        <v>0.166666666666667</v>
      </c>
      <c r="F35" s="1" t="s">
        <v>5872</v>
      </c>
    </row>
    <row r="36" customFormat="false" ht="48" hidden="false" customHeight="true" outlineLevel="0" collapsed="false">
      <c r="A36" s="1" t="s">
        <v>5579</v>
      </c>
      <c r="B36" s="1" t="s">
        <v>5560</v>
      </c>
      <c r="C36" s="1" t="n">
        <v>1</v>
      </c>
      <c r="D36" s="1" t="n">
        <v>24</v>
      </c>
      <c r="E36" s="1" t="n">
        <v>0.0416666666666667</v>
      </c>
      <c r="F36" s="1" t="s">
        <v>5872</v>
      </c>
    </row>
    <row r="37" customFormat="false" ht="48" hidden="false" customHeight="true" outlineLevel="0" collapsed="false">
      <c r="A37" s="1" t="s">
        <v>5579</v>
      </c>
      <c r="B37" s="1" t="s">
        <v>5507</v>
      </c>
      <c r="C37" s="1" t="n">
        <v>1</v>
      </c>
      <c r="D37" s="1" t="n">
        <v>24</v>
      </c>
      <c r="E37" s="1" t="n">
        <v>0.0416666666666667</v>
      </c>
      <c r="F37" s="1" t="s">
        <v>5872</v>
      </c>
    </row>
    <row r="38" customFormat="false" ht="48" hidden="false" customHeight="true" outlineLevel="0" collapsed="false">
      <c r="A38" s="1" t="s">
        <v>5579</v>
      </c>
      <c r="B38" s="1" t="s">
        <v>5873</v>
      </c>
      <c r="C38" s="1" t="n">
        <v>0</v>
      </c>
      <c r="D38" s="1" t="n">
        <v>24</v>
      </c>
      <c r="E38" s="1" t="n">
        <v>0</v>
      </c>
      <c r="F38" s="1" t="s">
        <v>5872</v>
      </c>
    </row>
    <row r="39" customFormat="false" ht="48" hidden="false" customHeight="true" outlineLevel="0" collapsed="false">
      <c r="A39" s="1" t="s">
        <v>5579</v>
      </c>
      <c r="B39" s="1" t="s">
        <v>5874</v>
      </c>
      <c r="C39" s="1" t="n">
        <v>1</v>
      </c>
      <c r="D39" s="1" t="n">
        <v>24</v>
      </c>
      <c r="E39" s="1" t="n">
        <v>0.0416666666666667</v>
      </c>
      <c r="F39" s="1" t="s">
        <v>5872</v>
      </c>
    </row>
    <row r="40" customFormat="false" ht="48" hidden="false" customHeight="true" outlineLevel="0" collapsed="false">
      <c r="A40" s="1" t="s">
        <v>5579</v>
      </c>
      <c r="B40" s="1" t="s">
        <v>5623</v>
      </c>
      <c r="C40" s="1" t="n">
        <v>1</v>
      </c>
      <c r="D40" s="1" t="n">
        <v>24</v>
      </c>
      <c r="E40" s="1" t="n">
        <v>0.0416666666666667</v>
      </c>
      <c r="F40" s="1" t="s">
        <v>5872</v>
      </c>
    </row>
    <row r="41" customFormat="false" ht="48" hidden="false" customHeight="true" outlineLevel="0" collapsed="false">
      <c r="A41" s="1" t="s">
        <v>5579</v>
      </c>
      <c r="B41" s="1" t="s">
        <v>5708</v>
      </c>
      <c r="C41" s="1" t="n">
        <v>1</v>
      </c>
      <c r="D41" s="1" t="n">
        <v>24</v>
      </c>
      <c r="E41" s="1" t="n">
        <v>0.0416666666666667</v>
      </c>
      <c r="F41" s="1" t="s">
        <v>5872</v>
      </c>
    </row>
    <row r="42" customFormat="false" ht="48" hidden="false" customHeight="true" outlineLevel="0" collapsed="false">
      <c r="A42" s="1" t="s">
        <v>5579</v>
      </c>
      <c r="B42" s="1" t="s">
        <v>5454</v>
      </c>
      <c r="C42" s="1" t="n">
        <v>1</v>
      </c>
      <c r="D42" s="1" t="n">
        <v>24</v>
      </c>
      <c r="E42" s="1" t="n">
        <v>0.0416666666666667</v>
      </c>
      <c r="F42" s="1" t="s">
        <v>5872</v>
      </c>
    </row>
    <row r="43" customFormat="false" ht="48" hidden="false" customHeight="true" outlineLevel="0" collapsed="false">
      <c r="A43" s="1" t="s">
        <v>5579</v>
      </c>
      <c r="B43" s="1" t="s">
        <v>5875</v>
      </c>
      <c r="C43" s="1" t="n">
        <v>0</v>
      </c>
      <c r="D43" s="1" t="n">
        <v>24</v>
      </c>
      <c r="E43" s="1" t="n">
        <v>0</v>
      </c>
      <c r="F43" s="1" t="s">
        <v>5872</v>
      </c>
    </row>
    <row r="44" customFormat="false" ht="48" hidden="false" customHeight="true" outlineLevel="0" collapsed="false">
      <c r="A44" s="1" t="s">
        <v>5579</v>
      </c>
      <c r="B44" s="1" t="s">
        <v>5762</v>
      </c>
      <c r="C44" s="1" t="n">
        <v>2</v>
      </c>
      <c r="D44" s="1" t="n">
        <v>24</v>
      </c>
      <c r="E44" s="1" t="n">
        <v>0.0833333333333333</v>
      </c>
      <c r="F44" s="1" t="s">
        <v>5872</v>
      </c>
    </row>
    <row r="45" customFormat="false" ht="48" hidden="false" customHeight="true" outlineLevel="0" collapsed="false">
      <c r="A45" s="1" t="s">
        <v>5579</v>
      </c>
      <c r="B45" s="1" t="s">
        <v>5773</v>
      </c>
      <c r="C45" s="1" t="n">
        <v>3</v>
      </c>
      <c r="D45" s="1" t="n">
        <v>24</v>
      </c>
      <c r="E45" s="1" t="n">
        <v>0.125</v>
      </c>
      <c r="F45" s="1" t="s">
        <v>5872</v>
      </c>
    </row>
  </sheetData>
  <autoFilter ref="A1:F45"/>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15" min="1" style="1" width="24.71"/>
  </cols>
  <sheetData>
    <row r="1" customFormat="false" ht="36" hidden="false" customHeight="true" outlineLevel="0" collapsed="false">
      <c r="A1" s="2" t="s">
        <v>5876</v>
      </c>
      <c r="B1" s="2" t="s">
        <v>5877</v>
      </c>
      <c r="C1" s="2" t="s">
        <v>5878</v>
      </c>
      <c r="D1" s="2" t="s">
        <v>5879</v>
      </c>
      <c r="E1" s="2" t="s">
        <v>5880</v>
      </c>
      <c r="F1" s="2" t="s">
        <v>5881</v>
      </c>
      <c r="G1" s="2" t="s">
        <v>5882</v>
      </c>
      <c r="H1" s="2" t="s">
        <v>5883</v>
      </c>
      <c r="I1" s="2" t="s">
        <v>5884</v>
      </c>
      <c r="J1" s="2" t="s">
        <v>5885</v>
      </c>
      <c r="K1" s="2" t="s">
        <v>5886</v>
      </c>
      <c r="L1" s="2" t="s">
        <v>5887</v>
      </c>
      <c r="M1" s="2" t="s">
        <v>5888</v>
      </c>
      <c r="N1" s="2" t="s">
        <v>5383</v>
      </c>
      <c r="O1" s="2" t="s">
        <v>5889</v>
      </c>
    </row>
    <row r="2" customFormat="false" ht="48" hidden="false" customHeight="true" outlineLevel="0" collapsed="false">
      <c r="A2" s="1" t="s">
        <v>43</v>
      </c>
      <c r="B2" s="1" t="s">
        <v>214</v>
      </c>
      <c r="C2" s="1" t="s">
        <v>213</v>
      </c>
      <c r="D2" s="1" t="n">
        <v>48</v>
      </c>
      <c r="E2" s="1" t="n">
        <v>0</v>
      </c>
      <c r="F2" s="1" t="s">
        <v>5890</v>
      </c>
      <c r="G2" s="1" t="s">
        <v>5890</v>
      </c>
      <c r="H2" s="1" t="s">
        <v>5890</v>
      </c>
      <c r="I2" s="1" t="s">
        <v>5890</v>
      </c>
      <c r="J2" s="1" t="s">
        <v>5890</v>
      </c>
      <c r="K2" s="1" t="s">
        <v>5890</v>
      </c>
      <c r="L2" s="1" t="s">
        <v>5890</v>
      </c>
      <c r="M2" s="1" t="s">
        <v>5890</v>
      </c>
      <c r="N2" s="1" t="s">
        <v>220</v>
      </c>
      <c r="O2" s="1" t="s">
        <v>5891</v>
      </c>
    </row>
    <row r="3" customFormat="false" ht="48" hidden="false" customHeight="true" outlineLevel="0" collapsed="false">
      <c r="A3" s="1" t="s">
        <v>43</v>
      </c>
      <c r="B3" s="1" t="s">
        <v>399</v>
      </c>
      <c r="C3" s="1" t="s">
        <v>93</v>
      </c>
      <c r="D3" s="1" t="n">
        <v>48</v>
      </c>
      <c r="E3" s="1" t="n">
        <v>0</v>
      </c>
      <c r="F3" s="1" t="s">
        <v>5890</v>
      </c>
      <c r="G3" s="1" t="s">
        <v>5890</v>
      </c>
      <c r="H3" s="1" t="s">
        <v>5890</v>
      </c>
      <c r="I3" s="1" t="s">
        <v>5890</v>
      </c>
      <c r="J3" s="1" t="s">
        <v>5890</v>
      </c>
      <c r="K3" s="1" t="s">
        <v>5890</v>
      </c>
      <c r="L3" s="1" t="s">
        <v>5890</v>
      </c>
      <c r="M3" s="1" t="s">
        <v>5890</v>
      </c>
      <c r="N3" s="1" t="s">
        <v>404</v>
      </c>
      <c r="O3" s="1" t="s">
        <v>5891</v>
      </c>
    </row>
    <row r="4" customFormat="false" ht="48" hidden="false" customHeight="true" outlineLevel="0" collapsed="false">
      <c r="A4" s="1" t="s">
        <v>43</v>
      </c>
      <c r="B4" s="1" t="s">
        <v>580</v>
      </c>
      <c r="C4" s="1" t="s">
        <v>84</v>
      </c>
      <c r="D4" s="1" t="n">
        <v>48</v>
      </c>
      <c r="E4" s="1" t="n">
        <v>0</v>
      </c>
      <c r="F4" s="1" t="s">
        <v>5890</v>
      </c>
      <c r="G4" s="1" t="s">
        <v>5890</v>
      </c>
      <c r="H4" s="1" t="s">
        <v>5890</v>
      </c>
      <c r="I4" s="1" t="s">
        <v>5890</v>
      </c>
      <c r="J4" s="1" t="s">
        <v>5890</v>
      </c>
      <c r="K4" s="1" t="s">
        <v>5890</v>
      </c>
      <c r="L4" s="1" t="s">
        <v>5890</v>
      </c>
      <c r="M4" s="1" t="s">
        <v>5890</v>
      </c>
      <c r="N4" s="1" t="s">
        <v>585</v>
      </c>
      <c r="O4" s="1" t="s">
        <v>5891</v>
      </c>
    </row>
    <row r="5" customFormat="false" ht="48" hidden="false" customHeight="true" outlineLevel="0" collapsed="false">
      <c r="A5" s="1" t="s">
        <v>43</v>
      </c>
      <c r="B5" s="1" t="s">
        <v>762</v>
      </c>
      <c r="C5" s="1" t="s">
        <v>66</v>
      </c>
      <c r="D5" s="1" t="n">
        <v>48</v>
      </c>
      <c r="E5" s="1" t="n">
        <v>0</v>
      </c>
      <c r="F5" s="1" t="s">
        <v>5890</v>
      </c>
      <c r="G5" s="1" t="s">
        <v>5890</v>
      </c>
      <c r="H5" s="1" t="s">
        <v>5890</v>
      </c>
      <c r="I5" s="1" t="s">
        <v>5890</v>
      </c>
      <c r="J5" s="1" t="s">
        <v>5890</v>
      </c>
      <c r="K5" s="1" t="s">
        <v>5890</v>
      </c>
      <c r="L5" s="1" t="s">
        <v>5890</v>
      </c>
      <c r="M5" s="1" t="s">
        <v>5890</v>
      </c>
      <c r="N5" s="1" t="s">
        <v>767</v>
      </c>
      <c r="O5" s="1" t="s">
        <v>5891</v>
      </c>
    </row>
    <row r="6" customFormat="false" ht="48" hidden="false" customHeight="true" outlineLevel="0" collapsed="false">
      <c r="A6" s="1" t="s">
        <v>43</v>
      </c>
      <c r="B6" s="1" t="s">
        <v>932</v>
      </c>
      <c r="C6" s="1" t="s">
        <v>931</v>
      </c>
      <c r="D6" s="1" t="n">
        <v>48</v>
      </c>
      <c r="E6" s="1" t="n">
        <v>0</v>
      </c>
      <c r="F6" s="1" t="s">
        <v>5890</v>
      </c>
      <c r="G6" s="1" t="s">
        <v>5890</v>
      </c>
      <c r="H6" s="1" t="s">
        <v>5890</v>
      </c>
      <c r="I6" s="1" t="s">
        <v>5890</v>
      </c>
      <c r="J6" s="1" t="s">
        <v>5890</v>
      </c>
      <c r="K6" s="1" t="s">
        <v>5890</v>
      </c>
      <c r="L6" s="1" t="s">
        <v>5890</v>
      </c>
      <c r="M6" s="1" t="s">
        <v>5890</v>
      </c>
      <c r="N6" s="1" t="s">
        <v>937</v>
      </c>
      <c r="O6" s="1" t="s">
        <v>5891</v>
      </c>
    </row>
    <row r="7" customFormat="false" ht="48" hidden="false" customHeight="true" outlineLevel="0" collapsed="false">
      <c r="A7" s="1" t="s">
        <v>43</v>
      </c>
      <c r="B7" s="1" t="s">
        <v>1101</v>
      </c>
      <c r="C7" s="1" t="s">
        <v>1100</v>
      </c>
      <c r="D7" s="1" t="n">
        <v>48</v>
      </c>
      <c r="E7" s="1" t="n">
        <v>0</v>
      </c>
      <c r="F7" s="1" t="s">
        <v>5890</v>
      </c>
      <c r="G7" s="1" t="s">
        <v>5890</v>
      </c>
      <c r="H7" s="1" t="s">
        <v>5890</v>
      </c>
      <c r="I7" s="1" t="s">
        <v>5890</v>
      </c>
      <c r="J7" s="1" t="s">
        <v>5890</v>
      </c>
      <c r="K7" s="1" t="s">
        <v>5890</v>
      </c>
      <c r="L7" s="1" t="s">
        <v>5890</v>
      </c>
      <c r="M7" s="1" t="s">
        <v>5890</v>
      </c>
      <c r="N7" s="1" t="s">
        <v>1105</v>
      </c>
      <c r="O7" s="1" t="s">
        <v>5891</v>
      </c>
    </row>
    <row r="8" customFormat="false" ht="48" hidden="false" customHeight="true" outlineLevel="0" collapsed="false">
      <c r="A8" s="1" t="s">
        <v>43</v>
      </c>
      <c r="B8" s="1" t="s">
        <v>1259</v>
      </c>
      <c r="C8" s="1" t="s">
        <v>75</v>
      </c>
      <c r="D8" s="1" t="n">
        <v>48</v>
      </c>
      <c r="E8" s="1" t="n">
        <v>0</v>
      </c>
      <c r="F8" s="1" t="s">
        <v>5890</v>
      </c>
      <c r="G8" s="1" t="s">
        <v>5890</v>
      </c>
      <c r="H8" s="1" t="s">
        <v>5890</v>
      </c>
      <c r="I8" s="1" t="s">
        <v>5890</v>
      </c>
      <c r="J8" s="1" t="s">
        <v>5890</v>
      </c>
      <c r="K8" s="1" t="s">
        <v>5890</v>
      </c>
      <c r="L8" s="1" t="s">
        <v>5890</v>
      </c>
      <c r="M8" s="1" t="s">
        <v>5890</v>
      </c>
      <c r="N8" s="1" t="s">
        <v>1263</v>
      </c>
      <c r="O8" s="1" t="s">
        <v>5891</v>
      </c>
    </row>
    <row r="9" customFormat="false" ht="48" hidden="false" customHeight="true" outlineLevel="0" collapsed="false">
      <c r="A9" s="1" t="s">
        <v>43</v>
      </c>
      <c r="B9" s="1" t="s">
        <v>1425</v>
      </c>
      <c r="C9" s="1" t="s">
        <v>111</v>
      </c>
      <c r="D9" s="1" t="n">
        <v>48</v>
      </c>
      <c r="E9" s="1" t="n">
        <v>0</v>
      </c>
      <c r="F9" s="1" t="s">
        <v>5890</v>
      </c>
      <c r="G9" s="1" t="s">
        <v>5890</v>
      </c>
      <c r="H9" s="1" t="s">
        <v>5890</v>
      </c>
      <c r="I9" s="1" t="s">
        <v>5890</v>
      </c>
      <c r="J9" s="1" t="s">
        <v>5890</v>
      </c>
      <c r="K9" s="1" t="s">
        <v>5890</v>
      </c>
      <c r="L9" s="1" t="s">
        <v>5890</v>
      </c>
      <c r="M9" s="1" t="s">
        <v>5890</v>
      </c>
      <c r="N9" s="1" t="s">
        <v>1430</v>
      </c>
      <c r="O9" s="1" t="s">
        <v>5891</v>
      </c>
    </row>
    <row r="10" customFormat="false" ht="48" hidden="false" customHeight="true" outlineLevel="0" collapsed="false">
      <c r="A10" s="1" t="s">
        <v>43</v>
      </c>
      <c r="B10" s="1" t="s">
        <v>1586</v>
      </c>
      <c r="C10" s="1" t="s">
        <v>102</v>
      </c>
      <c r="D10" s="1" t="n">
        <v>48</v>
      </c>
      <c r="E10" s="1" t="n">
        <v>0</v>
      </c>
      <c r="F10" s="1" t="s">
        <v>5890</v>
      </c>
      <c r="G10" s="1" t="s">
        <v>5890</v>
      </c>
      <c r="H10" s="1" t="s">
        <v>5890</v>
      </c>
      <c r="I10" s="1" t="s">
        <v>5890</v>
      </c>
      <c r="J10" s="1" t="s">
        <v>5890</v>
      </c>
      <c r="K10" s="1" t="s">
        <v>5890</v>
      </c>
      <c r="L10" s="1" t="s">
        <v>5890</v>
      </c>
      <c r="M10" s="1" t="s">
        <v>5890</v>
      </c>
      <c r="N10" s="1" t="s">
        <v>1591</v>
      </c>
      <c r="O10" s="1" t="s">
        <v>5891</v>
      </c>
    </row>
    <row r="11" customFormat="false" ht="48" hidden="false" customHeight="true" outlineLevel="0" collapsed="false">
      <c r="A11" s="1" t="s">
        <v>43</v>
      </c>
      <c r="B11" s="1" t="s">
        <v>1751</v>
      </c>
      <c r="C11" s="1" t="s">
        <v>57</v>
      </c>
      <c r="D11" s="1" t="n">
        <v>58</v>
      </c>
      <c r="E11" s="1" t="n">
        <v>10</v>
      </c>
      <c r="F11" s="1" t="s">
        <v>5890</v>
      </c>
      <c r="G11" s="1" t="s">
        <v>5890</v>
      </c>
      <c r="H11" s="1" t="s">
        <v>5890</v>
      </c>
      <c r="I11" s="1" t="s">
        <v>5890</v>
      </c>
      <c r="J11" s="1" t="s">
        <v>5890</v>
      </c>
      <c r="K11" s="1" t="s">
        <v>5890</v>
      </c>
      <c r="L11" s="1" t="s">
        <v>5890</v>
      </c>
      <c r="M11" s="1" t="s">
        <v>5890</v>
      </c>
      <c r="N11" s="1" t="s">
        <v>1755</v>
      </c>
      <c r="O11" s="1" t="s">
        <v>5891</v>
      </c>
    </row>
    <row r="12" customFormat="false" ht="48" hidden="false" customHeight="true" outlineLevel="0" collapsed="false">
      <c r="A12" s="1" t="s">
        <v>43</v>
      </c>
      <c r="B12" s="1" t="s">
        <v>1933</v>
      </c>
      <c r="C12" s="1" t="s">
        <v>120</v>
      </c>
      <c r="D12" s="1" t="n">
        <v>48</v>
      </c>
      <c r="E12" s="1" t="n">
        <v>0</v>
      </c>
      <c r="F12" s="1" t="s">
        <v>5890</v>
      </c>
      <c r="G12" s="1" t="s">
        <v>5890</v>
      </c>
      <c r="H12" s="1" t="s">
        <v>5890</v>
      </c>
      <c r="I12" s="1" t="s">
        <v>5890</v>
      </c>
      <c r="J12" s="1" t="s">
        <v>5890</v>
      </c>
      <c r="K12" s="1" t="s">
        <v>5890</v>
      </c>
      <c r="L12" s="1" t="s">
        <v>5890</v>
      </c>
      <c r="M12" s="1" t="s">
        <v>5890</v>
      </c>
      <c r="N12" s="1" t="s">
        <v>1937</v>
      </c>
      <c r="O12" s="1" t="s">
        <v>5891</v>
      </c>
    </row>
    <row r="13" customFormat="false" ht="48" hidden="false" customHeight="true" outlineLevel="0" collapsed="false">
      <c r="A13" s="1" t="s">
        <v>45</v>
      </c>
      <c r="B13" s="1" t="s">
        <v>214</v>
      </c>
      <c r="C13" s="1" t="s">
        <v>213</v>
      </c>
      <c r="D13" s="1" t="n">
        <v>48</v>
      </c>
      <c r="E13" s="1" t="n">
        <v>0</v>
      </c>
      <c r="F13" s="1" t="s">
        <v>5890</v>
      </c>
      <c r="G13" s="1" t="s">
        <v>5890</v>
      </c>
      <c r="H13" s="1" t="s">
        <v>5890</v>
      </c>
      <c r="I13" s="1" t="s">
        <v>5890</v>
      </c>
      <c r="J13" s="1" t="s">
        <v>5890</v>
      </c>
      <c r="K13" s="1" t="s">
        <v>5890</v>
      </c>
      <c r="L13" s="1" t="s">
        <v>5890</v>
      </c>
      <c r="M13" s="1" t="s">
        <v>5890</v>
      </c>
      <c r="N13" s="1" t="s">
        <v>2100</v>
      </c>
      <c r="O13" s="1" t="s">
        <v>5891</v>
      </c>
    </row>
    <row r="14" customFormat="false" ht="48" hidden="false" customHeight="true" outlineLevel="0" collapsed="false">
      <c r="A14" s="1" t="s">
        <v>45</v>
      </c>
      <c r="B14" s="1" t="s">
        <v>399</v>
      </c>
      <c r="C14" s="1" t="s">
        <v>93</v>
      </c>
      <c r="D14" s="1" t="n">
        <v>48</v>
      </c>
      <c r="E14" s="1" t="n">
        <v>0</v>
      </c>
      <c r="F14" s="1" t="s">
        <v>5890</v>
      </c>
      <c r="G14" s="1" t="s">
        <v>5890</v>
      </c>
      <c r="H14" s="1" t="s">
        <v>5890</v>
      </c>
      <c r="I14" s="1" t="s">
        <v>5890</v>
      </c>
      <c r="J14" s="1" t="s">
        <v>5890</v>
      </c>
      <c r="K14" s="1" t="s">
        <v>5890</v>
      </c>
      <c r="L14" s="1" t="s">
        <v>5890</v>
      </c>
      <c r="M14" s="1" t="s">
        <v>5890</v>
      </c>
      <c r="N14" s="1" t="s">
        <v>2249</v>
      </c>
      <c r="O14" s="1" t="s">
        <v>5891</v>
      </c>
    </row>
    <row r="15" customFormat="false" ht="48" hidden="false" customHeight="true" outlineLevel="0" collapsed="false">
      <c r="A15" s="1" t="s">
        <v>45</v>
      </c>
      <c r="B15" s="1" t="s">
        <v>580</v>
      </c>
      <c r="C15" s="1" t="s">
        <v>84</v>
      </c>
      <c r="D15" s="1" t="n">
        <v>48</v>
      </c>
      <c r="E15" s="1" t="n">
        <v>0</v>
      </c>
      <c r="F15" s="1" t="s">
        <v>5890</v>
      </c>
      <c r="G15" s="1" t="s">
        <v>5890</v>
      </c>
      <c r="H15" s="1" t="s">
        <v>5890</v>
      </c>
      <c r="I15" s="1" t="s">
        <v>5890</v>
      </c>
      <c r="J15" s="1" t="s">
        <v>5890</v>
      </c>
      <c r="K15" s="1" t="s">
        <v>5890</v>
      </c>
      <c r="L15" s="1" t="s">
        <v>5890</v>
      </c>
      <c r="M15" s="1" t="s">
        <v>5890</v>
      </c>
      <c r="N15" s="1" t="s">
        <v>2407</v>
      </c>
      <c r="O15" s="1" t="s">
        <v>5891</v>
      </c>
    </row>
    <row r="16" customFormat="false" ht="48" hidden="false" customHeight="true" outlineLevel="0" collapsed="false">
      <c r="A16" s="1" t="s">
        <v>45</v>
      </c>
      <c r="B16" s="1" t="s">
        <v>762</v>
      </c>
      <c r="C16" s="1" t="s">
        <v>66</v>
      </c>
      <c r="D16" s="1" t="n">
        <v>48</v>
      </c>
      <c r="E16" s="1" t="n">
        <v>0</v>
      </c>
      <c r="F16" s="1" t="s">
        <v>5890</v>
      </c>
      <c r="G16" s="1" t="s">
        <v>5890</v>
      </c>
      <c r="H16" s="1" t="s">
        <v>5890</v>
      </c>
      <c r="I16" s="1" t="s">
        <v>5890</v>
      </c>
      <c r="J16" s="1" t="s">
        <v>5890</v>
      </c>
      <c r="K16" s="1" t="s">
        <v>5890</v>
      </c>
      <c r="L16" s="1" t="s">
        <v>5890</v>
      </c>
      <c r="M16" s="1" t="s">
        <v>5890</v>
      </c>
      <c r="N16" s="1" t="s">
        <v>2571</v>
      </c>
      <c r="O16" s="1" t="s">
        <v>5891</v>
      </c>
    </row>
    <row r="17" customFormat="false" ht="48" hidden="false" customHeight="true" outlineLevel="0" collapsed="false">
      <c r="A17" s="1" t="s">
        <v>45</v>
      </c>
      <c r="B17" s="1" t="s">
        <v>932</v>
      </c>
      <c r="C17" s="1" t="s">
        <v>931</v>
      </c>
      <c r="D17" s="1" t="n">
        <v>48</v>
      </c>
      <c r="E17" s="1" t="n">
        <v>0</v>
      </c>
      <c r="F17" s="1" t="s">
        <v>5890</v>
      </c>
      <c r="G17" s="1" t="s">
        <v>5890</v>
      </c>
      <c r="H17" s="1" t="s">
        <v>5890</v>
      </c>
      <c r="I17" s="1" t="s">
        <v>5890</v>
      </c>
      <c r="J17" s="1" t="s">
        <v>5890</v>
      </c>
      <c r="K17" s="1" t="s">
        <v>5890</v>
      </c>
      <c r="L17" s="1" t="s">
        <v>5890</v>
      </c>
      <c r="M17" s="1" t="s">
        <v>5890</v>
      </c>
      <c r="N17" s="1" t="s">
        <v>2716</v>
      </c>
      <c r="O17" s="1" t="s">
        <v>5891</v>
      </c>
    </row>
    <row r="18" customFormat="false" ht="48" hidden="false" customHeight="true" outlineLevel="0" collapsed="false">
      <c r="A18" s="1" t="s">
        <v>45</v>
      </c>
      <c r="B18" s="1" t="s">
        <v>1101</v>
      </c>
      <c r="C18" s="1" t="s">
        <v>1100</v>
      </c>
      <c r="D18" s="1" t="n">
        <v>48</v>
      </c>
      <c r="E18" s="1" t="n">
        <v>0</v>
      </c>
      <c r="F18" s="1" t="s">
        <v>5890</v>
      </c>
      <c r="G18" s="1" t="s">
        <v>5890</v>
      </c>
      <c r="H18" s="1" t="s">
        <v>5890</v>
      </c>
      <c r="I18" s="1" t="s">
        <v>5890</v>
      </c>
      <c r="J18" s="1" t="s">
        <v>5890</v>
      </c>
      <c r="K18" s="1" t="s">
        <v>5890</v>
      </c>
      <c r="L18" s="1" t="s">
        <v>5890</v>
      </c>
      <c r="M18" s="1" t="s">
        <v>5890</v>
      </c>
      <c r="N18" s="1" t="s">
        <v>2857</v>
      </c>
      <c r="O18" s="1" t="s">
        <v>5891</v>
      </c>
    </row>
    <row r="19" customFormat="false" ht="48" hidden="false" customHeight="true" outlineLevel="0" collapsed="false">
      <c r="A19" s="1" t="s">
        <v>45</v>
      </c>
      <c r="B19" s="1" t="s">
        <v>1259</v>
      </c>
      <c r="C19" s="1" t="s">
        <v>75</v>
      </c>
      <c r="D19" s="1" t="n">
        <v>48</v>
      </c>
      <c r="E19" s="1" t="n">
        <v>0</v>
      </c>
      <c r="F19" s="1" t="s">
        <v>5890</v>
      </c>
      <c r="G19" s="1" t="s">
        <v>5890</v>
      </c>
      <c r="H19" s="1" t="s">
        <v>5890</v>
      </c>
      <c r="I19" s="1" t="s">
        <v>5890</v>
      </c>
      <c r="J19" s="1" t="s">
        <v>5890</v>
      </c>
      <c r="K19" s="1" t="s">
        <v>5890</v>
      </c>
      <c r="L19" s="1" t="s">
        <v>5890</v>
      </c>
      <c r="M19" s="1" t="s">
        <v>5890</v>
      </c>
      <c r="N19" s="1" t="s">
        <v>2993</v>
      </c>
      <c r="O19" s="1" t="s">
        <v>5891</v>
      </c>
    </row>
    <row r="20" customFormat="false" ht="48" hidden="false" customHeight="true" outlineLevel="0" collapsed="false">
      <c r="A20" s="1" t="s">
        <v>45</v>
      </c>
      <c r="B20" s="1" t="s">
        <v>1425</v>
      </c>
      <c r="C20" s="1" t="s">
        <v>111</v>
      </c>
      <c r="D20" s="1" t="n">
        <v>48</v>
      </c>
      <c r="E20" s="1" t="n">
        <v>0</v>
      </c>
      <c r="F20" s="1" t="s">
        <v>5890</v>
      </c>
      <c r="G20" s="1" t="s">
        <v>5890</v>
      </c>
      <c r="H20" s="1" t="s">
        <v>5890</v>
      </c>
      <c r="I20" s="1" t="s">
        <v>5890</v>
      </c>
      <c r="J20" s="1" t="s">
        <v>5890</v>
      </c>
      <c r="K20" s="1" t="s">
        <v>5890</v>
      </c>
      <c r="L20" s="1" t="s">
        <v>5890</v>
      </c>
      <c r="M20" s="1" t="s">
        <v>5890</v>
      </c>
      <c r="N20" s="1" t="s">
        <v>3139</v>
      </c>
      <c r="O20" s="1" t="s">
        <v>5891</v>
      </c>
    </row>
    <row r="21" customFormat="false" ht="48" hidden="false" customHeight="true" outlineLevel="0" collapsed="false">
      <c r="A21" s="1" t="s">
        <v>45</v>
      </c>
      <c r="B21" s="1" t="s">
        <v>1586</v>
      </c>
      <c r="C21" s="1" t="s">
        <v>102</v>
      </c>
      <c r="D21" s="1" t="n">
        <v>48</v>
      </c>
      <c r="E21" s="1" t="n">
        <v>0</v>
      </c>
      <c r="F21" s="1" t="s">
        <v>5890</v>
      </c>
      <c r="G21" s="1" t="s">
        <v>5890</v>
      </c>
      <c r="H21" s="1" t="s">
        <v>5890</v>
      </c>
      <c r="I21" s="1" t="s">
        <v>5890</v>
      </c>
      <c r="J21" s="1" t="s">
        <v>5890</v>
      </c>
      <c r="K21" s="1" t="s">
        <v>5890</v>
      </c>
      <c r="L21" s="1" t="s">
        <v>5890</v>
      </c>
      <c r="M21" s="1" t="s">
        <v>5890</v>
      </c>
      <c r="N21" s="1" t="s">
        <v>3288</v>
      </c>
      <c r="O21" s="1" t="s">
        <v>5891</v>
      </c>
    </row>
    <row r="22" customFormat="false" ht="48" hidden="false" customHeight="true" outlineLevel="0" collapsed="false">
      <c r="A22" s="1" t="s">
        <v>45</v>
      </c>
      <c r="B22" s="1" t="s">
        <v>1751</v>
      </c>
      <c r="C22" s="1" t="s">
        <v>57</v>
      </c>
      <c r="D22" s="1" t="n">
        <v>48</v>
      </c>
      <c r="E22" s="1" t="n">
        <v>0</v>
      </c>
      <c r="F22" s="1" t="s">
        <v>5890</v>
      </c>
      <c r="G22" s="1" t="s">
        <v>5890</v>
      </c>
      <c r="H22" s="1" t="s">
        <v>5890</v>
      </c>
      <c r="I22" s="1" t="s">
        <v>5890</v>
      </c>
      <c r="J22" s="1" t="s">
        <v>5890</v>
      </c>
      <c r="K22" s="1" t="s">
        <v>5890</v>
      </c>
      <c r="L22" s="1" t="s">
        <v>5890</v>
      </c>
      <c r="M22" s="1" t="s">
        <v>5890</v>
      </c>
      <c r="N22" s="1" t="s">
        <v>3411</v>
      </c>
      <c r="O22" s="1" t="s">
        <v>5891</v>
      </c>
    </row>
    <row r="23" customFormat="false" ht="48" hidden="false" customHeight="true" outlineLevel="0" collapsed="false">
      <c r="A23" s="1" t="s">
        <v>45</v>
      </c>
      <c r="B23" s="1" t="s">
        <v>1933</v>
      </c>
      <c r="C23" s="1" t="s">
        <v>120</v>
      </c>
      <c r="D23" s="1" t="n">
        <v>60</v>
      </c>
      <c r="E23" s="1" t="n">
        <v>12</v>
      </c>
      <c r="F23" s="1" t="s">
        <v>5890</v>
      </c>
      <c r="G23" s="1" t="s">
        <v>5890</v>
      </c>
      <c r="H23" s="1" t="s">
        <v>5890</v>
      </c>
      <c r="I23" s="1" t="s">
        <v>5890</v>
      </c>
      <c r="J23" s="1" t="s">
        <v>5890</v>
      </c>
      <c r="K23" s="1" t="s">
        <v>5890</v>
      </c>
      <c r="L23" s="1" t="s">
        <v>5890</v>
      </c>
      <c r="M23" s="1" t="s">
        <v>5890</v>
      </c>
      <c r="N23" s="1" t="s">
        <v>3525</v>
      </c>
      <c r="O23" s="1" t="s">
        <v>5891</v>
      </c>
    </row>
    <row r="24" customFormat="false" ht="48" hidden="false" customHeight="true" outlineLevel="0" collapsed="false">
      <c r="A24" s="1" t="s">
        <v>41</v>
      </c>
      <c r="B24" s="1" t="s">
        <v>214</v>
      </c>
      <c r="C24" s="1" t="s">
        <v>213</v>
      </c>
      <c r="D24" s="1" t="n">
        <v>48</v>
      </c>
      <c r="E24" s="1" t="n">
        <v>0</v>
      </c>
      <c r="F24" s="1" t="s">
        <v>5890</v>
      </c>
      <c r="G24" s="1" t="s">
        <v>5890</v>
      </c>
      <c r="H24" s="1" t="s">
        <v>5890</v>
      </c>
      <c r="I24" s="1" t="s">
        <v>5890</v>
      </c>
      <c r="J24" s="1" t="s">
        <v>5890</v>
      </c>
      <c r="K24" s="1" t="s">
        <v>5890</v>
      </c>
      <c r="L24" s="1" t="s">
        <v>5890</v>
      </c>
      <c r="M24" s="1" t="s">
        <v>5890</v>
      </c>
      <c r="N24" s="1" t="s">
        <v>3715</v>
      </c>
      <c r="O24" s="1" t="s">
        <v>5891</v>
      </c>
    </row>
    <row r="25" customFormat="false" ht="48" hidden="false" customHeight="true" outlineLevel="0" collapsed="false">
      <c r="A25" s="1" t="s">
        <v>41</v>
      </c>
      <c r="B25" s="1" t="s">
        <v>399</v>
      </c>
      <c r="C25" s="1" t="s">
        <v>93</v>
      </c>
      <c r="D25" s="1" t="n">
        <v>48</v>
      </c>
      <c r="E25" s="1" t="n">
        <v>0</v>
      </c>
      <c r="F25" s="1" t="s">
        <v>5890</v>
      </c>
      <c r="G25" s="1" t="s">
        <v>5890</v>
      </c>
      <c r="H25" s="1" t="s">
        <v>5890</v>
      </c>
      <c r="I25" s="1" t="s">
        <v>5890</v>
      </c>
      <c r="J25" s="1" t="s">
        <v>5890</v>
      </c>
      <c r="K25" s="1" t="s">
        <v>5890</v>
      </c>
      <c r="L25" s="1" t="s">
        <v>5890</v>
      </c>
      <c r="M25" s="1" t="s">
        <v>5890</v>
      </c>
      <c r="N25" s="1" t="s">
        <v>3859</v>
      </c>
      <c r="O25" s="1" t="s">
        <v>5891</v>
      </c>
    </row>
    <row r="26" customFormat="false" ht="48" hidden="false" customHeight="true" outlineLevel="0" collapsed="false">
      <c r="A26" s="1" t="s">
        <v>41</v>
      </c>
      <c r="B26" s="1" t="s">
        <v>580</v>
      </c>
      <c r="C26" s="1" t="s">
        <v>84</v>
      </c>
      <c r="D26" s="1" t="n">
        <v>48</v>
      </c>
      <c r="E26" s="1" t="n">
        <v>0</v>
      </c>
      <c r="F26" s="1" t="s">
        <v>5890</v>
      </c>
      <c r="G26" s="1" t="s">
        <v>5890</v>
      </c>
      <c r="H26" s="1" t="s">
        <v>5890</v>
      </c>
      <c r="I26" s="1" t="s">
        <v>5890</v>
      </c>
      <c r="J26" s="1" t="s">
        <v>5890</v>
      </c>
      <c r="K26" s="1" t="s">
        <v>5890</v>
      </c>
      <c r="L26" s="1" t="s">
        <v>5890</v>
      </c>
      <c r="M26" s="1" t="s">
        <v>5890</v>
      </c>
      <c r="N26" s="1" t="s">
        <v>4004</v>
      </c>
      <c r="O26" s="1" t="s">
        <v>5891</v>
      </c>
    </row>
    <row r="27" customFormat="false" ht="48" hidden="false" customHeight="true" outlineLevel="0" collapsed="false">
      <c r="A27" s="1" t="s">
        <v>41</v>
      </c>
      <c r="B27" s="1" t="s">
        <v>762</v>
      </c>
      <c r="C27" s="1" t="s">
        <v>66</v>
      </c>
      <c r="D27" s="1" t="n">
        <v>48</v>
      </c>
      <c r="E27" s="1" t="n">
        <v>0</v>
      </c>
      <c r="F27" s="1" t="s">
        <v>5890</v>
      </c>
      <c r="G27" s="1" t="s">
        <v>5890</v>
      </c>
      <c r="H27" s="1" t="s">
        <v>5890</v>
      </c>
      <c r="I27" s="1" t="s">
        <v>5890</v>
      </c>
      <c r="J27" s="1" t="s">
        <v>5890</v>
      </c>
      <c r="K27" s="1" t="s">
        <v>5890</v>
      </c>
      <c r="L27" s="1" t="s">
        <v>5890</v>
      </c>
      <c r="M27" s="1" t="s">
        <v>5890</v>
      </c>
      <c r="N27" s="1" t="s">
        <v>4142</v>
      </c>
      <c r="O27" s="1" t="s">
        <v>5891</v>
      </c>
    </row>
    <row r="28" customFormat="false" ht="48" hidden="false" customHeight="true" outlineLevel="0" collapsed="false">
      <c r="A28" s="1" t="s">
        <v>41</v>
      </c>
      <c r="B28" s="1" t="s">
        <v>932</v>
      </c>
      <c r="C28" s="1" t="s">
        <v>931</v>
      </c>
      <c r="D28" s="1" t="n">
        <v>48</v>
      </c>
      <c r="E28" s="1" t="n">
        <v>0</v>
      </c>
      <c r="F28" s="1" t="s">
        <v>5890</v>
      </c>
      <c r="G28" s="1" t="s">
        <v>5890</v>
      </c>
      <c r="H28" s="1" t="s">
        <v>5890</v>
      </c>
      <c r="I28" s="1" t="s">
        <v>5890</v>
      </c>
      <c r="J28" s="1" t="s">
        <v>5890</v>
      </c>
      <c r="K28" s="1" t="s">
        <v>5890</v>
      </c>
      <c r="L28" s="1" t="s">
        <v>5890</v>
      </c>
      <c r="M28" s="1" t="s">
        <v>5890</v>
      </c>
      <c r="N28" s="1" t="s">
        <v>4289</v>
      </c>
      <c r="O28" s="1" t="s">
        <v>5891</v>
      </c>
    </row>
    <row r="29" customFormat="false" ht="48" hidden="false" customHeight="true" outlineLevel="0" collapsed="false">
      <c r="A29" s="1" t="s">
        <v>41</v>
      </c>
      <c r="B29" s="1" t="s">
        <v>1101</v>
      </c>
      <c r="C29" s="1" t="s">
        <v>1100</v>
      </c>
      <c r="D29" s="1" t="n">
        <v>48</v>
      </c>
      <c r="E29" s="1" t="n">
        <v>0</v>
      </c>
      <c r="F29" s="1" t="s">
        <v>5890</v>
      </c>
      <c r="G29" s="1" t="s">
        <v>5890</v>
      </c>
      <c r="H29" s="1" t="s">
        <v>5890</v>
      </c>
      <c r="I29" s="1" t="s">
        <v>5890</v>
      </c>
      <c r="J29" s="1" t="s">
        <v>5890</v>
      </c>
      <c r="K29" s="1" t="s">
        <v>5890</v>
      </c>
      <c r="L29" s="1" t="s">
        <v>5890</v>
      </c>
      <c r="M29" s="1" t="s">
        <v>5890</v>
      </c>
      <c r="N29" s="1" t="s">
        <v>4434</v>
      </c>
      <c r="O29" s="1" t="s">
        <v>5891</v>
      </c>
    </row>
    <row r="30" customFormat="false" ht="48" hidden="false" customHeight="true" outlineLevel="0" collapsed="false">
      <c r="A30" s="1" t="s">
        <v>41</v>
      </c>
      <c r="B30" s="1" t="s">
        <v>1259</v>
      </c>
      <c r="C30" s="1" t="s">
        <v>75</v>
      </c>
      <c r="D30" s="1" t="n">
        <v>59</v>
      </c>
      <c r="E30" s="1" t="n">
        <v>12</v>
      </c>
      <c r="F30" s="1" t="s">
        <v>5890</v>
      </c>
      <c r="G30" s="1" t="s">
        <v>5890</v>
      </c>
      <c r="H30" s="1" t="s">
        <v>5890</v>
      </c>
      <c r="I30" s="1" t="s">
        <v>5890</v>
      </c>
      <c r="J30" s="1" t="s">
        <v>5890</v>
      </c>
      <c r="K30" s="1" t="s">
        <v>5890</v>
      </c>
      <c r="L30" s="1" t="s">
        <v>5890</v>
      </c>
      <c r="M30" s="1" t="s">
        <v>5890</v>
      </c>
      <c r="N30" s="1" t="s">
        <v>4553</v>
      </c>
      <c r="O30" s="1" t="s">
        <v>5891</v>
      </c>
    </row>
    <row r="31" customFormat="false" ht="48" hidden="false" customHeight="true" outlineLevel="0" collapsed="false">
      <c r="A31" s="1" t="s">
        <v>41</v>
      </c>
      <c r="B31" s="1" t="s">
        <v>1425</v>
      </c>
      <c r="C31" s="1" t="s">
        <v>111</v>
      </c>
      <c r="D31" s="1" t="n">
        <v>48</v>
      </c>
      <c r="E31" s="1" t="n">
        <v>0</v>
      </c>
      <c r="F31" s="1" t="s">
        <v>5890</v>
      </c>
      <c r="G31" s="1" t="s">
        <v>5890</v>
      </c>
      <c r="H31" s="1" t="s">
        <v>5890</v>
      </c>
      <c r="I31" s="1" t="s">
        <v>5890</v>
      </c>
      <c r="J31" s="1" t="s">
        <v>5890</v>
      </c>
      <c r="K31" s="1" t="s">
        <v>5890</v>
      </c>
      <c r="L31" s="1" t="s">
        <v>5890</v>
      </c>
      <c r="M31" s="1" t="s">
        <v>5890</v>
      </c>
      <c r="N31" s="1" t="s">
        <v>4730</v>
      </c>
      <c r="O31" s="1" t="s">
        <v>5891</v>
      </c>
    </row>
    <row r="32" customFormat="false" ht="48" hidden="false" customHeight="true" outlineLevel="0" collapsed="false">
      <c r="A32" s="1" t="s">
        <v>41</v>
      </c>
      <c r="B32" s="1" t="s">
        <v>1586</v>
      </c>
      <c r="C32" s="1" t="s">
        <v>102</v>
      </c>
      <c r="D32" s="1" t="n">
        <v>58</v>
      </c>
      <c r="E32" s="1" t="n">
        <v>12</v>
      </c>
      <c r="F32" s="1" t="s">
        <v>5890</v>
      </c>
      <c r="G32" s="1" t="s">
        <v>5890</v>
      </c>
      <c r="H32" s="1" t="s">
        <v>5890</v>
      </c>
      <c r="I32" s="1" t="s">
        <v>5890</v>
      </c>
      <c r="J32" s="1" t="s">
        <v>5890</v>
      </c>
      <c r="K32" s="1" t="s">
        <v>5890</v>
      </c>
      <c r="L32" s="1" t="s">
        <v>5890</v>
      </c>
      <c r="M32" s="1" t="s">
        <v>5890</v>
      </c>
      <c r="N32" s="1" t="s">
        <v>4884</v>
      </c>
      <c r="O32" s="1" t="s">
        <v>5891</v>
      </c>
    </row>
    <row r="33" customFormat="false" ht="48" hidden="false" customHeight="true" outlineLevel="0" collapsed="false">
      <c r="A33" s="1" t="s">
        <v>41</v>
      </c>
      <c r="B33" s="1" t="s">
        <v>1751</v>
      </c>
      <c r="C33" s="1" t="s">
        <v>57</v>
      </c>
      <c r="D33" s="1" t="n">
        <v>48</v>
      </c>
      <c r="E33" s="1" t="n">
        <v>0</v>
      </c>
      <c r="F33" s="1" t="s">
        <v>5890</v>
      </c>
      <c r="G33" s="1" t="s">
        <v>5890</v>
      </c>
      <c r="H33" s="1" t="s">
        <v>5890</v>
      </c>
      <c r="I33" s="1" t="s">
        <v>5890</v>
      </c>
      <c r="J33" s="1" t="s">
        <v>5890</v>
      </c>
      <c r="K33" s="1" t="s">
        <v>5890</v>
      </c>
      <c r="L33" s="1" t="s">
        <v>5890</v>
      </c>
      <c r="M33" s="1" t="s">
        <v>5890</v>
      </c>
      <c r="N33" s="1" t="s">
        <v>5053</v>
      </c>
      <c r="O33" s="1" t="s">
        <v>5891</v>
      </c>
    </row>
    <row r="34" customFormat="false" ht="48" hidden="false" customHeight="true" outlineLevel="0" collapsed="false">
      <c r="A34" s="1" t="s">
        <v>41</v>
      </c>
      <c r="B34" s="1" t="s">
        <v>1933</v>
      </c>
      <c r="C34" s="1" t="s">
        <v>120</v>
      </c>
      <c r="D34" s="1" t="n">
        <v>48</v>
      </c>
      <c r="E34" s="1" t="n">
        <v>0</v>
      </c>
      <c r="F34" s="1" t="s">
        <v>5890</v>
      </c>
      <c r="G34" s="1" t="s">
        <v>5890</v>
      </c>
      <c r="H34" s="1" t="s">
        <v>5890</v>
      </c>
      <c r="I34" s="1" t="s">
        <v>5890</v>
      </c>
      <c r="J34" s="1" t="s">
        <v>5890</v>
      </c>
      <c r="K34" s="1" t="s">
        <v>5890</v>
      </c>
      <c r="L34" s="1" t="s">
        <v>5890</v>
      </c>
      <c r="M34" s="1" t="s">
        <v>5890</v>
      </c>
      <c r="N34" s="1" t="s">
        <v>5175</v>
      </c>
      <c r="O34" s="1" t="s">
        <v>5891</v>
      </c>
    </row>
  </sheetData>
  <autoFilter ref="A1:O34"/>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7" min="1" style="1" width="24.71"/>
  </cols>
  <sheetData>
    <row r="1" customFormat="false" ht="36" hidden="false" customHeight="true" outlineLevel="0" collapsed="false">
      <c r="A1" s="2" t="s">
        <v>5876</v>
      </c>
      <c r="B1" s="2" t="s">
        <v>5892</v>
      </c>
      <c r="C1" s="2" t="s">
        <v>5893</v>
      </c>
      <c r="D1" s="2" t="s">
        <v>5894</v>
      </c>
      <c r="E1" s="2" t="s">
        <v>5895</v>
      </c>
      <c r="F1" s="2" t="s">
        <v>5896</v>
      </c>
      <c r="G1" s="2" t="s">
        <v>142</v>
      </c>
    </row>
    <row r="2" customFormat="false" ht="48" hidden="false" customHeight="true" outlineLevel="0" collapsed="false">
      <c r="A2" s="1" t="s">
        <v>41</v>
      </c>
      <c r="B2" s="1" t="s">
        <v>5391</v>
      </c>
      <c r="C2" s="1" t="s">
        <v>5897</v>
      </c>
      <c r="D2" s="1" t="s">
        <v>5898</v>
      </c>
      <c r="E2" s="1" t="s">
        <v>5899</v>
      </c>
      <c r="F2" s="1" t="s">
        <v>5900</v>
      </c>
      <c r="G2" s="1" t="s">
        <v>5901</v>
      </c>
    </row>
    <row r="3" customFormat="false" ht="48" hidden="false" customHeight="true" outlineLevel="0" collapsed="false">
      <c r="A3" s="1" t="s">
        <v>43</v>
      </c>
      <c r="B3" s="1" t="s">
        <v>5391</v>
      </c>
      <c r="C3" s="1" t="s">
        <v>5902</v>
      </c>
      <c r="D3" s="1" t="s">
        <v>5903</v>
      </c>
      <c r="E3" s="1" t="s">
        <v>5904</v>
      </c>
      <c r="F3" s="1" t="s">
        <v>5905</v>
      </c>
      <c r="G3" s="1" t="s">
        <v>5906</v>
      </c>
    </row>
    <row r="4" customFormat="false" ht="48" hidden="false" customHeight="true" outlineLevel="0" collapsed="false">
      <c r="A4" s="1" t="s">
        <v>45</v>
      </c>
      <c r="B4" s="1" t="s">
        <v>5391</v>
      </c>
      <c r="C4" s="1" t="s">
        <v>5907</v>
      </c>
      <c r="D4" s="1" t="s">
        <v>5908</v>
      </c>
      <c r="E4" s="1" t="s">
        <v>5909</v>
      </c>
      <c r="F4" s="1" t="s">
        <v>5910</v>
      </c>
      <c r="G4" s="1" t="s">
        <v>5911</v>
      </c>
    </row>
    <row r="5" customFormat="false" ht="48" hidden="false" customHeight="true" outlineLevel="0" collapsed="false">
      <c r="A5" s="1" t="s">
        <v>5912</v>
      </c>
      <c r="B5" s="1" t="s">
        <v>5913</v>
      </c>
      <c r="C5" s="1" t="s">
        <v>5914</v>
      </c>
      <c r="D5" s="1" t="s">
        <v>5915</v>
      </c>
      <c r="E5" s="1" t="s">
        <v>5916</v>
      </c>
      <c r="F5" s="1" t="s">
        <v>5917</v>
      </c>
      <c r="G5" s="1" t="s">
        <v>5918</v>
      </c>
    </row>
    <row r="6" customFormat="false" ht="48" hidden="false" customHeight="true" outlineLevel="0" collapsed="false">
      <c r="A6" s="1" t="s">
        <v>5919</v>
      </c>
      <c r="B6" s="1" t="s">
        <v>5920</v>
      </c>
      <c r="C6" s="1" t="s">
        <v>5921</v>
      </c>
      <c r="D6" s="1" t="s">
        <v>5922</v>
      </c>
      <c r="E6" s="1" t="s">
        <v>5923</v>
      </c>
      <c r="F6" s="1" t="s">
        <v>5924</v>
      </c>
      <c r="G6" s="1" t="s">
        <v>5925</v>
      </c>
    </row>
    <row r="7" customFormat="false" ht="48" hidden="false" customHeight="true" outlineLevel="0" collapsed="false">
      <c r="A7" s="1" t="s">
        <v>5919</v>
      </c>
      <c r="B7" s="1" t="s">
        <v>5926</v>
      </c>
      <c r="C7" s="1" t="s">
        <v>5927</v>
      </c>
      <c r="D7" s="1" t="s">
        <v>5928</v>
      </c>
      <c r="E7" s="1" t="s">
        <v>5929</v>
      </c>
      <c r="F7" s="1" t="s">
        <v>5930</v>
      </c>
      <c r="G7" s="1" t="s">
        <v>5931</v>
      </c>
    </row>
    <row r="8" customFormat="false" ht="48" hidden="false" customHeight="true" outlineLevel="0" collapsed="false">
      <c r="A8" s="1" t="s">
        <v>5932</v>
      </c>
      <c r="B8" s="1" t="s">
        <v>5933</v>
      </c>
      <c r="C8" s="1" t="s">
        <v>5934</v>
      </c>
      <c r="D8" s="1" t="s">
        <v>5935</v>
      </c>
      <c r="E8" s="1" t="s">
        <v>5936</v>
      </c>
      <c r="F8" s="1" t="s">
        <v>5937</v>
      </c>
      <c r="G8" s="1" t="s">
        <v>5938</v>
      </c>
    </row>
    <row r="9" customFormat="false" ht="48" hidden="false" customHeight="true" outlineLevel="0" collapsed="false">
      <c r="A9" s="1" t="s">
        <v>5912</v>
      </c>
      <c r="B9" s="1" t="s">
        <v>5939</v>
      </c>
      <c r="C9" s="1" t="s">
        <v>5940</v>
      </c>
      <c r="D9" s="1" t="s">
        <v>5941</v>
      </c>
      <c r="E9" s="1" t="s">
        <v>5942</v>
      </c>
      <c r="F9" s="1" t="s">
        <v>5943</v>
      </c>
      <c r="G9" s="1" t="s">
        <v>5944</v>
      </c>
    </row>
  </sheetData>
  <autoFilter ref="A1:G9"/>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6" min="1" style="1" width="24.71"/>
  </cols>
  <sheetData>
    <row r="1" customFormat="false" ht="36" hidden="false" customHeight="true" outlineLevel="0" collapsed="false">
      <c r="A1" s="2" t="s">
        <v>141</v>
      </c>
      <c r="B1" s="2" t="s">
        <v>5945</v>
      </c>
      <c r="C1" s="2" t="s">
        <v>5946</v>
      </c>
      <c r="D1" s="2" t="s">
        <v>5947</v>
      </c>
      <c r="E1" s="2" t="s">
        <v>5948</v>
      </c>
      <c r="F1" s="2" t="s">
        <v>38</v>
      </c>
    </row>
    <row r="2" customFormat="false" ht="48" hidden="false" customHeight="true" outlineLevel="0" collapsed="false">
      <c r="A2" s="1" t="s">
        <v>5949</v>
      </c>
      <c r="B2" s="1" t="s">
        <v>5950</v>
      </c>
      <c r="C2" s="1" t="s">
        <v>5951</v>
      </c>
      <c r="D2" s="1" t="s">
        <v>5952</v>
      </c>
      <c r="E2" s="1" t="s">
        <v>5953</v>
      </c>
      <c r="F2" s="1" t="s">
        <v>5954</v>
      </c>
    </row>
    <row r="3" customFormat="false" ht="48" hidden="false" customHeight="true" outlineLevel="0" collapsed="false">
      <c r="A3" s="1" t="s">
        <v>5955</v>
      </c>
      <c r="B3" s="1" t="s">
        <v>5950</v>
      </c>
      <c r="C3" s="1" t="s">
        <v>5956</v>
      </c>
      <c r="D3" s="1" t="s">
        <v>5957</v>
      </c>
      <c r="E3" s="1" t="s">
        <v>5958</v>
      </c>
      <c r="F3" s="1" t="s">
        <v>5959</v>
      </c>
    </row>
    <row r="4" customFormat="false" ht="48" hidden="false" customHeight="true" outlineLevel="0" collapsed="false">
      <c r="A4" s="1" t="s">
        <v>5960</v>
      </c>
      <c r="B4" s="1" t="s">
        <v>5950</v>
      </c>
      <c r="C4" s="1" t="s">
        <v>5961</v>
      </c>
      <c r="D4" s="1" t="s">
        <v>5962</v>
      </c>
      <c r="E4" s="1" t="s">
        <v>5963</v>
      </c>
      <c r="F4" s="1" t="s">
        <v>5964</v>
      </c>
    </row>
    <row r="5" customFormat="false" ht="48" hidden="false" customHeight="true" outlineLevel="0" collapsed="false">
      <c r="A5" s="1" t="s">
        <v>5965</v>
      </c>
      <c r="B5" s="1" t="s">
        <v>5950</v>
      </c>
      <c r="C5" s="1" t="s">
        <v>5966</v>
      </c>
      <c r="D5" s="1" t="s">
        <v>5967</v>
      </c>
      <c r="E5" s="1" t="s">
        <v>5968</v>
      </c>
      <c r="F5" s="1" t="s">
        <v>5969</v>
      </c>
    </row>
    <row r="6" customFormat="false" ht="48" hidden="false" customHeight="true" outlineLevel="0" collapsed="false">
      <c r="A6" s="1" t="s">
        <v>5970</v>
      </c>
      <c r="B6" s="1" t="s">
        <v>5950</v>
      </c>
      <c r="C6" s="1" t="s">
        <v>5971</v>
      </c>
      <c r="D6" s="1" t="s">
        <v>5972</v>
      </c>
      <c r="E6" s="1" t="s">
        <v>5973</v>
      </c>
      <c r="F6" s="1" t="s">
        <v>5974</v>
      </c>
    </row>
    <row r="7" customFormat="false" ht="48" hidden="false" customHeight="true" outlineLevel="0" collapsed="false">
      <c r="A7" s="1" t="s">
        <v>5975</v>
      </c>
      <c r="B7" s="1" t="s">
        <v>5950</v>
      </c>
      <c r="C7" s="1" t="s">
        <v>5976</v>
      </c>
      <c r="D7" s="1" t="s">
        <v>5977</v>
      </c>
      <c r="E7" s="1" t="s">
        <v>5978</v>
      </c>
      <c r="F7" s="1" t="s">
        <v>5979</v>
      </c>
    </row>
    <row r="8" customFormat="false" ht="48" hidden="false" customHeight="true" outlineLevel="0" collapsed="false">
      <c r="A8" s="1" t="s">
        <v>5980</v>
      </c>
      <c r="B8" s="1" t="s">
        <v>5950</v>
      </c>
      <c r="C8" s="1" t="s">
        <v>5981</v>
      </c>
      <c r="D8" s="1" t="s">
        <v>5982</v>
      </c>
      <c r="E8" s="1" t="s">
        <v>5983</v>
      </c>
      <c r="F8" s="1" t="s">
        <v>5964</v>
      </c>
    </row>
    <row r="9" customFormat="false" ht="48" hidden="false" customHeight="true" outlineLevel="0" collapsed="false">
      <c r="A9" s="1" t="s">
        <v>5984</v>
      </c>
      <c r="B9" s="1" t="s">
        <v>5985</v>
      </c>
      <c r="C9" s="1" t="s">
        <v>5986</v>
      </c>
      <c r="D9" s="1" t="s">
        <v>5987</v>
      </c>
      <c r="E9" s="1" t="s">
        <v>5988</v>
      </c>
      <c r="F9" s="1" t="s">
        <v>5989</v>
      </c>
    </row>
    <row r="10" customFormat="false" ht="48" hidden="false" customHeight="true" outlineLevel="0" collapsed="false">
      <c r="A10" s="1" t="s">
        <v>5990</v>
      </c>
      <c r="B10" s="1" t="s">
        <v>5950</v>
      </c>
      <c r="C10" s="1" t="s">
        <v>5991</v>
      </c>
      <c r="D10" s="1" t="s">
        <v>5992</v>
      </c>
      <c r="E10" s="1" t="s">
        <v>5993</v>
      </c>
      <c r="F10" s="1" t="s">
        <v>5994</v>
      </c>
    </row>
    <row r="11" customFormat="false" ht="48" hidden="false" customHeight="true" outlineLevel="0" collapsed="false">
      <c r="A11" s="1" t="s">
        <v>5995</v>
      </c>
      <c r="B11" s="1" t="s">
        <v>5950</v>
      </c>
      <c r="C11" s="1" t="s">
        <v>5996</v>
      </c>
      <c r="D11" s="1" t="s">
        <v>5997</v>
      </c>
      <c r="E11" s="1" t="s">
        <v>5998</v>
      </c>
      <c r="F11" s="1" t="s">
        <v>5999</v>
      </c>
    </row>
  </sheetData>
  <autoFilter ref="A1:F11"/>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17" min="1" style="1" width="24.71"/>
  </cols>
  <sheetData>
    <row r="1" customFormat="false" ht="36" hidden="false" customHeight="true" outlineLevel="0" collapsed="false">
      <c r="A1" s="2" t="s">
        <v>6000</v>
      </c>
      <c r="B1" s="2" t="s">
        <v>30</v>
      </c>
      <c r="C1" s="2" t="s">
        <v>6001</v>
      </c>
      <c r="D1" s="2" t="s">
        <v>6002</v>
      </c>
      <c r="E1" s="2" t="s">
        <v>6003</v>
      </c>
      <c r="F1" s="2" t="s">
        <v>6004</v>
      </c>
      <c r="G1" s="2" t="s">
        <v>6005</v>
      </c>
      <c r="H1" s="2" t="s">
        <v>6006</v>
      </c>
      <c r="I1" s="2" t="s">
        <v>6007</v>
      </c>
      <c r="J1" s="2" t="s">
        <v>6008</v>
      </c>
      <c r="K1" s="2" t="s">
        <v>6009</v>
      </c>
      <c r="L1" s="2" t="s">
        <v>6010</v>
      </c>
      <c r="M1" s="2" t="s">
        <v>6011</v>
      </c>
      <c r="N1" s="2" t="s">
        <v>38</v>
      </c>
      <c r="O1" s="2" t="s">
        <v>6012</v>
      </c>
      <c r="P1" s="2" t="s">
        <v>6013</v>
      </c>
      <c r="Q1" s="2" t="s">
        <v>6014</v>
      </c>
    </row>
    <row r="2" customFormat="false" ht="48" hidden="false" customHeight="true" outlineLevel="0" collapsed="false">
      <c r="A2" s="1" t="s">
        <v>6015</v>
      </c>
      <c r="B2" s="1" t="s">
        <v>45</v>
      </c>
      <c r="C2" s="1" t="s">
        <v>6016</v>
      </c>
      <c r="D2" s="1" t="s">
        <v>6017</v>
      </c>
      <c r="E2" s="1" t="n">
        <v>4</v>
      </c>
      <c r="F2" s="1" t="n">
        <v>3</v>
      </c>
      <c r="G2" s="1" t="n">
        <v>3</v>
      </c>
      <c r="H2" s="1" t="n">
        <v>4</v>
      </c>
      <c r="I2" s="1" t="n">
        <v>4</v>
      </c>
      <c r="J2" s="1" t="n">
        <v>3</v>
      </c>
      <c r="K2" s="1" t="n">
        <v>4</v>
      </c>
      <c r="L2" s="1" t="n">
        <v>3</v>
      </c>
      <c r="M2" s="1" t="n">
        <v>3</v>
      </c>
      <c r="N2" s="1" t="s">
        <v>6018</v>
      </c>
      <c r="O2" s="1" t="s">
        <v>6019</v>
      </c>
      <c r="P2" s="1" t="s">
        <v>6020</v>
      </c>
      <c r="Q2" s="3" t="n">
        <f aca="false">(E2*15+F2*5+G2*15+H2*15+I2*10+J2*15+K2*10+L2*10+M2*5)/5</f>
        <v>70</v>
      </c>
    </row>
    <row r="3" customFormat="false" ht="48" hidden="false" customHeight="true" outlineLevel="0" collapsed="false">
      <c r="A3" s="1" t="s">
        <v>6021</v>
      </c>
      <c r="B3" s="1" t="s">
        <v>41</v>
      </c>
      <c r="C3" s="1" t="s">
        <v>6022</v>
      </c>
      <c r="D3" s="1" t="s">
        <v>6017</v>
      </c>
      <c r="E3" s="1" t="n">
        <v>5</v>
      </c>
      <c r="F3" s="1" t="n">
        <v>3</v>
      </c>
      <c r="G3" s="1" t="n">
        <v>2</v>
      </c>
      <c r="H3" s="1" t="n">
        <v>4</v>
      </c>
      <c r="I3" s="1" t="n">
        <v>2</v>
      </c>
      <c r="J3" s="1" t="n">
        <v>3</v>
      </c>
      <c r="K3" s="1" t="n">
        <v>4</v>
      </c>
      <c r="L3" s="1" t="n">
        <v>3</v>
      </c>
      <c r="M3" s="1" t="n">
        <v>3</v>
      </c>
      <c r="N3" s="1" t="s">
        <v>6023</v>
      </c>
      <c r="O3" s="1" t="s">
        <v>6024</v>
      </c>
      <c r="P3" s="1" t="s">
        <v>6020</v>
      </c>
      <c r="Q3" s="3" t="n">
        <f aca="false">(E3*15+F3*5+G3*15+H3*15+I3*10+J3*15+K3*10+L3*10+M3*5)/5</f>
        <v>66</v>
      </c>
    </row>
    <row r="4" customFormat="false" ht="48" hidden="false" customHeight="true" outlineLevel="0" collapsed="false">
      <c r="A4" s="1" t="s">
        <v>6025</v>
      </c>
      <c r="B4" s="1" t="s">
        <v>45</v>
      </c>
      <c r="C4" s="1" t="s">
        <v>6026</v>
      </c>
      <c r="D4" s="1" t="s">
        <v>6017</v>
      </c>
      <c r="E4" s="1" t="n">
        <v>4</v>
      </c>
      <c r="F4" s="1" t="n">
        <v>2</v>
      </c>
      <c r="G4" s="1" t="n">
        <v>2</v>
      </c>
      <c r="H4" s="1" t="n">
        <v>4</v>
      </c>
      <c r="I4" s="1" t="n">
        <v>3</v>
      </c>
      <c r="J4" s="1" t="n">
        <v>3</v>
      </c>
      <c r="K4" s="1" t="n">
        <v>4</v>
      </c>
      <c r="L4" s="1" t="n">
        <v>4</v>
      </c>
      <c r="M4" s="1" t="n">
        <v>3</v>
      </c>
      <c r="N4" s="1" t="s">
        <v>6027</v>
      </c>
      <c r="O4" s="1" t="s">
        <v>6028</v>
      </c>
      <c r="P4" s="1" t="s">
        <v>6020</v>
      </c>
      <c r="Q4" s="3" t="n">
        <f aca="false">(E4*15+F4*5+G4*15+H4*15+I4*10+J4*15+K4*10+L4*10+M4*5)/5</f>
        <v>66</v>
      </c>
    </row>
    <row r="5" customFormat="false" ht="48" hidden="false" customHeight="true" outlineLevel="0" collapsed="false">
      <c r="A5" s="1" t="s">
        <v>6029</v>
      </c>
      <c r="B5" s="1" t="s">
        <v>43</v>
      </c>
      <c r="C5" s="1" t="s">
        <v>6030</v>
      </c>
      <c r="D5" s="1" t="s">
        <v>6031</v>
      </c>
      <c r="E5" s="1" t="n">
        <v>3</v>
      </c>
      <c r="F5" s="1" t="n">
        <v>3</v>
      </c>
      <c r="G5" s="1" t="n">
        <v>3</v>
      </c>
      <c r="H5" s="1" t="n">
        <v>4</v>
      </c>
      <c r="I5" s="1" t="n">
        <v>3</v>
      </c>
      <c r="J5" s="1" t="n">
        <v>3</v>
      </c>
      <c r="K5" s="1" t="n">
        <v>4</v>
      </c>
      <c r="L5" s="1" t="n">
        <v>3</v>
      </c>
      <c r="M5" s="1" t="n">
        <v>3</v>
      </c>
      <c r="N5" s="1" t="s">
        <v>6032</v>
      </c>
      <c r="O5" s="1" t="s">
        <v>6033</v>
      </c>
      <c r="P5" s="1" t="s">
        <v>6034</v>
      </c>
      <c r="Q5" s="3" t="n">
        <f aca="false">(E5*15+F5*5+G5*15+H5*15+I5*10+J5*15+K5*10+L5*10+M5*5)/5</f>
        <v>65</v>
      </c>
    </row>
    <row r="6" customFormat="false" ht="48" hidden="false" customHeight="true" outlineLevel="0" collapsed="false">
      <c r="A6" s="1" t="s">
        <v>6035</v>
      </c>
      <c r="B6" s="1" t="s">
        <v>41</v>
      </c>
      <c r="C6" s="1" t="s">
        <v>6036</v>
      </c>
      <c r="D6" s="1" t="s">
        <v>6031</v>
      </c>
      <c r="E6" s="1" t="n">
        <v>3</v>
      </c>
      <c r="F6" s="1" t="n">
        <v>3</v>
      </c>
      <c r="G6" s="1" t="n">
        <v>3</v>
      </c>
      <c r="H6" s="1" t="n">
        <v>4</v>
      </c>
      <c r="I6" s="1" t="n">
        <v>3</v>
      </c>
      <c r="J6" s="1" t="n">
        <v>3</v>
      </c>
      <c r="K6" s="1" t="n">
        <v>4</v>
      </c>
      <c r="L6" s="1" t="n">
        <v>4</v>
      </c>
      <c r="M6" s="1" t="n">
        <v>3</v>
      </c>
      <c r="N6" s="1" t="s">
        <v>6037</v>
      </c>
      <c r="O6" s="1" t="s">
        <v>6038</v>
      </c>
      <c r="P6" s="1" t="s">
        <v>6039</v>
      </c>
      <c r="Q6" s="3" t="n">
        <f aca="false">(E6*15+F6*5+G6*15+H6*15+I6*10+J6*15+K6*10+L6*10+M6*5)/5</f>
        <v>67</v>
      </c>
    </row>
    <row r="7" customFormat="false" ht="48" hidden="false" customHeight="true" outlineLevel="0" collapsed="false">
      <c r="A7" s="1" t="s">
        <v>6040</v>
      </c>
      <c r="B7" s="1" t="s">
        <v>45</v>
      </c>
      <c r="C7" s="1" t="s">
        <v>6041</v>
      </c>
      <c r="D7" s="1" t="s">
        <v>6042</v>
      </c>
      <c r="E7" s="1" t="n">
        <v>3</v>
      </c>
      <c r="F7" s="1" t="n">
        <v>3</v>
      </c>
      <c r="G7" s="1" t="n">
        <v>3</v>
      </c>
      <c r="H7" s="1" t="n">
        <v>3</v>
      </c>
      <c r="I7" s="1" t="n">
        <v>2</v>
      </c>
      <c r="J7" s="1" t="n">
        <v>3</v>
      </c>
      <c r="K7" s="1" t="n">
        <v>2</v>
      </c>
      <c r="L7" s="1" t="n">
        <v>2</v>
      </c>
      <c r="M7" s="1" t="n">
        <v>2</v>
      </c>
      <c r="N7" s="1" t="s">
        <v>6043</v>
      </c>
      <c r="O7" s="1" t="s">
        <v>6044</v>
      </c>
      <c r="P7" s="1" t="s">
        <v>6039</v>
      </c>
      <c r="Q7" s="3" t="n">
        <f aca="false">(E7*15+F7*5+G7*15+H7*15+I7*10+J7*15+K7*10+L7*10+M7*5)/5</f>
        <v>53</v>
      </c>
    </row>
    <row r="8" customFormat="false" ht="48" hidden="false" customHeight="true" outlineLevel="0" collapsed="false">
      <c r="A8" s="1" t="s">
        <v>6045</v>
      </c>
      <c r="B8" s="1" t="s">
        <v>41</v>
      </c>
      <c r="C8" s="1" t="s">
        <v>6046</v>
      </c>
      <c r="D8" s="1" t="s">
        <v>6047</v>
      </c>
      <c r="E8" s="1" t="n">
        <v>5</v>
      </c>
      <c r="F8" s="1" t="n">
        <v>2</v>
      </c>
      <c r="G8" s="1" t="n">
        <v>1</v>
      </c>
      <c r="H8" s="1" t="n">
        <v>1</v>
      </c>
      <c r="I8" s="1" t="n">
        <v>1</v>
      </c>
      <c r="J8" s="1" t="n">
        <v>2</v>
      </c>
      <c r="K8" s="1" t="n">
        <v>5</v>
      </c>
      <c r="L8" s="1" t="n">
        <v>3</v>
      </c>
      <c r="M8" s="1" t="n">
        <v>2</v>
      </c>
      <c r="N8" s="1" t="s">
        <v>6048</v>
      </c>
      <c r="O8" s="1" t="s">
        <v>6049</v>
      </c>
      <c r="P8" s="1" t="s">
        <v>6050</v>
      </c>
      <c r="Q8" s="3" t="n">
        <f aca="false">(E8*15+F8*5+G8*15+H8*15+I8*10+J8*15+K8*10+L8*10+M8*5)/5</f>
        <v>49</v>
      </c>
    </row>
    <row r="9" customFormat="false" ht="48" hidden="false" customHeight="true" outlineLevel="0" collapsed="false">
      <c r="A9" s="1" t="s">
        <v>6051</v>
      </c>
      <c r="B9" s="1" t="s">
        <v>43</v>
      </c>
      <c r="C9" s="1" t="s">
        <v>6052</v>
      </c>
      <c r="D9" s="1" t="s">
        <v>6042</v>
      </c>
      <c r="E9" s="1" t="n">
        <v>3</v>
      </c>
      <c r="F9" s="1" t="n">
        <v>3</v>
      </c>
      <c r="G9" s="1" t="n">
        <v>1</v>
      </c>
      <c r="H9" s="1" t="n">
        <v>2</v>
      </c>
      <c r="I9" s="1" t="n">
        <v>2</v>
      </c>
      <c r="J9" s="1" t="n">
        <v>2</v>
      </c>
      <c r="K9" s="1" t="n">
        <v>2</v>
      </c>
      <c r="L9" s="1" t="n">
        <v>3</v>
      </c>
      <c r="M9" s="1" t="n">
        <v>2</v>
      </c>
      <c r="N9" s="1" t="s">
        <v>6053</v>
      </c>
      <c r="O9" s="1" t="s">
        <v>6054</v>
      </c>
      <c r="P9" s="1" t="s">
        <v>6020</v>
      </c>
      <c r="Q9" s="3" t="n">
        <f aca="false">(E9*15+F9*5+G9*15+H9*15+I9*10+J9*15+K9*10+L9*10+M9*5)/5</f>
        <v>43</v>
      </c>
    </row>
    <row r="10" customFormat="false" ht="48" hidden="false" customHeight="true" outlineLevel="0" collapsed="false">
      <c r="A10" s="1" t="s">
        <v>6055</v>
      </c>
      <c r="B10" s="1" t="s">
        <v>41</v>
      </c>
      <c r="C10" s="1" t="s">
        <v>6056</v>
      </c>
      <c r="D10" s="1" t="s">
        <v>6042</v>
      </c>
      <c r="E10" s="1" t="n">
        <v>4</v>
      </c>
      <c r="F10" s="1" t="n">
        <v>3</v>
      </c>
      <c r="G10" s="1" t="n">
        <v>2</v>
      </c>
      <c r="H10" s="1" t="n">
        <v>2</v>
      </c>
      <c r="I10" s="1" t="n">
        <v>2</v>
      </c>
      <c r="J10" s="1" t="n">
        <v>2</v>
      </c>
      <c r="K10" s="1" t="n">
        <v>1</v>
      </c>
      <c r="L10" s="1" t="n">
        <v>1</v>
      </c>
      <c r="M10" s="1" t="n">
        <v>1</v>
      </c>
      <c r="N10" s="1" t="s">
        <v>6057</v>
      </c>
      <c r="O10" s="1" t="s">
        <v>6058</v>
      </c>
      <c r="P10" s="1" t="s">
        <v>6020</v>
      </c>
      <c r="Q10" s="3" t="n">
        <f aca="false">(E10*15+F10*5+G10*15+H10*15+I10*10+J10*15+K10*10+L10*10+M10*5)/5</f>
        <v>42</v>
      </c>
    </row>
    <row r="11" customFormat="false" ht="48" hidden="false" customHeight="true" outlineLevel="0" collapsed="false">
      <c r="A11" s="1" t="s">
        <v>6059</v>
      </c>
      <c r="B11" s="1" t="s">
        <v>45</v>
      </c>
      <c r="C11" s="1" t="s">
        <v>6060</v>
      </c>
      <c r="D11" s="1" t="s">
        <v>6042</v>
      </c>
      <c r="E11" s="1" t="n">
        <v>3</v>
      </c>
      <c r="F11" s="1" t="n">
        <v>2</v>
      </c>
      <c r="G11" s="1" t="n">
        <v>2</v>
      </c>
      <c r="H11" s="1" t="n">
        <v>2</v>
      </c>
      <c r="I11" s="1" t="n">
        <v>2</v>
      </c>
      <c r="J11" s="1" t="n">
        <v>2</v>
      </c>
      <c r="K11" s="1" t="n">
        <v>2</v>
      </c>
      <c r="L11" s="1" t="n">
        <v>2</v>
      </c>
      <c r="M11" s="1" t="n">
        <v>2</v>
      </c>
      <c r="N11" s="1" t="s">
        <v>6061</v>
      </c>
      <c r="O11" s="1" t="s">
        <v>6062</v>
      </c>
      <c r="P11" s="1" t="s">
        <v>6039</v>
      </c>
      <c r="Q11" s="3" t="n">
        <f aca="false">(E11*15+F11*5+G11*15+H11*15+I11*10+J11*15+K11*10+L11*10+M11*5)/5</f>
        <v>43</v>
      </c>
    </row>
  </sheetData>
  <autoFilter ref="A1:Q11"/>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3" min="1" style="1" width="24.71"/>
  </cols>
  <sheetData>
    <row r="1" customFormat="false" ht="36" hidden="false" customHeight="true" outlineLevel="0" collapsed="false">
      <c r="A1" s="2" t="s">
        <v>6063</v>
      </c>
      <c r="B1" s="2" t="s">
        <v>6064</v>
      </c>
      <c r="C1" s="2" t="s">
        <v>6065</v>
      </c>
    </row>
    <row r="2" customFormat="false" ht="48" hidden="false" customHeight="true" outlineLevel="0" collapsed="false">
      <c r="A2" s="1" t="s">
        <v>6003</v>
      </c>
      <c r="B2" s="1" t="n">
        <v>15</v>
      </c>
      <c r="C2" s="1" t="s">
        <v>6066</v>
      </c>
    </row>
    <row r="3" customFormat="false" ht="48" hidden="false" customHeight="true" outlineLevel="0" collapsed="false">
      <c r="A3" s="1" t="s">
        <v>6004</v>
      </c>
      <c r="B3" s="1" t="n">
        <v>5</v>
      </c>
      <c r="C3" s="1" t="s">
        <v>6066</v>
      </c>
    </row>
    <row r="4" customFormat="false" ht="48" hidden="false" customHeight="true" outlineLevel="0" collapsed="false">
      <c r="A4" s="1" t="s">
        <v>6005</v>
      </c>
      <c r="B4" s="1" t="n">
        <v>15</v>
      </c>
      <c r="C4" s="1" t="s">
        <v>6066</v>
      </c>
    </row>
    <row r="5" customFormat="false" ht="48" hidden="false" customHeight="true" outlineLevel="0" collapsed="false">
      <c r="A5" s="1" t="s">
        <v>6006</v>
      </c>
      <c r="B5" s="1" t="n">
        <v>15</v>
      </c>
      <c r="C5" s="1" t="s">
        <v>6066</v>
      </c>
    </row>
    <row r="6" customFormat="false" ht="48" hidden="false" customHeight="true" outlineLevel="0" collapsed="false">
      <c r="A6" s="1" t="s">
        <v>6007</v>
      </c>
      <c r="B6" s="1" t="n">
        <v>10</v>
      </c>
      <c r="C6" s="1" t="s">
        <v>6066</v>
      </c>
    </row>
    <row r="7" customFormat="false" ht="48" hidden="false" customHeight="true" outlineLevel="0" collapsed="false">
      <c r="A7" s="1" t="s">
        <v>6008</v>
      </c>
      <c r="B7" s="1" t="n">
        <v>15</v>
      </c>
      <c r="C7" s="1" t="s">
        <v>6066</v>
      </c>
    </row>
    <row r="8" customFormat="false" ht="48" hidden="false" customHeight="true" outlineLevel="0" collapsed="false">
      <c r="A8" s="1" t="s">
        <v>6009</v>
      </c>
      <c r="B8" s="1" t="n">
        <v>10</v>
      </c>
      <c r="C8" s="1" t="s">
        <v>6066</v>
      </c>
    </row>
    <row r="9" customFormat="false" ht="48" hidden="false" customHeight="true" outlineLevel="0" collapsed="false">
      <c r="A9" s="1" t="s">
        <v>6010</v>
      </c>
      <c r="B9" s="1" t="n">
        <v>10</v>
      </c>
      <c r="C9" s="1" t="s">
        <v>6066</v>
      </c>
    </row>
    <row r="10" customFormat="false" ht="48" hidden="false" customHeight="true" outlineLevel="0" collapsed="false">
      <c r="A10" s="1" t="s">
        <v>6011</v>
      </c>
      <c r="B10" s="1" t="n">
        <v>5</v>
      </c>
      <c r="C10" s="1" t="s">
        <v>6066</v>
      </c>
    </row>
    <row r="11" customFormat="false" ht="48" hidden="false" customHeight="true" outlineLevel="0" collapsed="false">
      <c r="A11" s="1" t="s">
        <v>6013</v>
      </c>
      <c r="B11" s="1" t="s">
        <v>6067</v>
      </c>
      <c r="C11" s="1" t="s">
        <v>6068</v>
      </c>
    </row>
  </sheetData>
  <autoFilter ref="A1:C11"/>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60" min="1" style="1" width="24.71"/>
  </cols>
  <sheetData>
    <row r="1" customFormat="false" ht="36" hidden="false" customHeight="true" outlineLevel="0" collapsed="false">
      <c r="A1" s="2" t="s">
        <v>6069</v>
      </c>
      <c r="B1" s="2" t="s">
        <v>191</v>
      </c>
      <c r="C1" s="2" t="s">
        <v>192</v>
      </c>
      <c r="D1" s="2" t="s">
        <v>6070</v>
      </c>
      <c r="E1" s="2" t="s">
        <v>6071</v>
      </c>
      <c r="F1" s="2" t="s">
        <v>6072</v>
      </c>
      <c r="G1" s="2" t="s">
        <v>6073</v>
      </c>
      <c r="H1" s="2" t="s">
        <v>6074</v>
      </c>
      <c r="I1" s="2" t="s">
        <v>6075</v>
      </c>
      <c r="J1" s="2" t="s">
        <v>6076</v>
      </c>
      <c r="K1" s="2" t="s">
        <v>5773</v>
      </c>
      <c r="L1" s="2" t="s">
        <v>6077</v>
      </c>
      <c r="M1" s="2" t="s">
        <v>6078</v>
      </c>
      <c r="N1" s="2" t="s">
        <v>6079</v>
      </c>
      <c r="O1" s="2" t="s">
        <v>6080</v>
      </c>
      <c r="P1" s="2" t="s">
        <v>6081</v>
      </c>
      <c r="Q1" s="2" t="s">
        <v>6082</v>
      </c>
      <c r="R1" s="2" t="s">
        <v>6083</v>
      </c>
      <c r="S1" s="2" t="s">
        <v>6084</v>
      </c>
      <c r="T1" s="2" t="s">
        <v>6085</v>
      </c>
      <c r="U1" s="2" t="s">
        <v>6086</v>
      </c>
      <c r="V1" s="2" t="s">
        <v>6087</v>
      </c>
      <c r="W1" s="2" t="s">
        <v>6088</v>
      </c>
      <c r="X1" s="2" t="s">
        <v>6089</v>
      </c>
      <c r="Y1" s="2" t="s">
        <v>6090</v>
      </c>
      <c r="Z1" s="2" t="s">
        <v>6091</v>
      </c>
      <c r="AA1" s="2" t="s">
        <v>6092</v>
      </c>
      <c r="AB1" s="2" t="s">
        <v>6093</v>
      </c>
      <c r="AC1" s="2" t="s">
        <v>6094</v>
      </c>
      <c r="AD1" s="2" t="s">
        <v>6095</v>
      </c>
      <c r="AE1" s="2" t="s">
        <v>6096</v>
      </c>
      <c r="AF1" s="2" t="s">
        <v>6097</v>
      </c>
      <c r="AG1" s="2" t="s">
        <v>6098</v>
      </c>
      <c r="AH1" s="2" t="s">
        <v>6099</v>
      </c>
      <c r="AI1" s="2" t="s">
        <v>6100</v>
      </c>
      <c r="AJ1" s="2" t="s">
        <v>6101</v>
      </c>
      <c r="AK1" s="2" t="s">
        <v>6102</v>
      </c>
      <c r="AL1" s="2" t="s">
        <v>6103</v>
      </c>
      <c r="AM1" s="2" t="s">
        <v>6104</v>
      </c>
      <c r="AN1" s="2" t="s">
        <v>6105</v>
      </c>
      <c r="AO1" s="2" t="s">
        <v>6106</v>
      </c>
      <c r="AP1" s="2" t="s">
        <v>6107</v>
      </c>
      <c r="AQ1" s="2" t="s">
        <v>6108</v>
      </c>
      <c r="AR1" s="2" t="s">
        <v>6109</v>
      </c>
      <c r="AS1" s="2" t="s">
        <v>6110</v>
      </c>
      <c r="AT1" s="2" t="s">
        <v>6111</v>
      </c>
      <c r="AU1" s="2" t="s">
        <v>6112</v>
      </c>
      <c r="AV1" s="2" t="s">
        <v>6113</v>
      </c>
      <c r="AW1" s="2" t="s">
        <v>6114</v>
      </c>
      <c r="AX1" s="2" t="s">
        <v>6115</v>
      </c>
      <c r="AY1" s="2" t="s">
        <v>6116</v>
      </c>
      <c r="AZ1" s="2" t="s">
        <v>6117</v>
      </c>
      <c r="BA1" s="2" t="s">
        <v>6118</v>
      </c>
      <c r="BB1" s="2" t="s">
        <v>6119</v>
      </c>
      <c r="BC1" s="2" t="s">
        <v>6120</v>
      </c>
      <c r="BD1" s="2" t="s">
        <v>6121</v>
      </c>
      <c r="BE1" s="2" t="s">
        <v>6122</v>
      </c>
      <c r="BF1" s="2" t="s">
        <v>6123</v>
      </c>
      <c r="BG1" s="2" t="s">
        <v>6124</v>
      </c>
      <c r="BH1" s="2" t="s">
        <v>6125</v>
      </c>
    </row>
    <row r="2" customFormat="false" ht="48" hidden="false" customHeight="true" outlineLevel="0" collapsed="false">
      <c r="A2" s="1" t="s">
        <v>6126</v>
      </c>
      <c r="B2" s="1" t="s">
        <v>41</v>
      </c>
      <c r="C2" s="1" t="s">
        <v>3712</v>
      </c>
      <c r="D2" s="1" t="s">
        <v>6039</v>
      </c>
      <c r="E2" s="1" t="s">
        <v>6127</v>
      </c>
      <c r="F2" s="5" t="n">
        <v>29.99</v>
      </c>
      <c r="G2" s="6" t="n">
        <v>0.05</v>
      </c>
      <c r="H2" s="6" t="n">
        <v>0</v>
      </c>
      <c r="I2" s="6" t="n">
        <v>0.05</v>
      </c>
      <c r="J2" s="5" t="n">
        <v>7</v>
      </c>
      <c r="K2" s="5" t="n">
        <v>0.4</v>
      </c>
      <c r="L2" s="5" t="n">
        <v>1</v>
      </c>
      <c r="M2" s="5" t="n">
        <v>0.08</v>
      </c>
      <c r="N2" s="6" t="n">
        <v>0.2</v>
      </c>
      <c r="O2" s="5" t="n">
        <v>0.25</v>
      </c>
      <c r="P2" s="5" t="n">
        <v>0.4</v>
      </c>
      <c r="Q2" s="6" t="n">
        <v>0.15</v>
      </c>
      <c r="R2" s="5" t="n">
        <v>4</v>
      </c>
      <c r="S2" s="5" t="n">
        <v>0.1</v>
      </c>
      <c r="T2" s="5" t="n">
        <v>1.5</v>
      </c>
      <c r="U2" s="5" t="n">
        <v>0.4</v>
      </c>
      <c r="V2" s="5" t="n">
        <v>0.3</v>
      </c>
      <c r="W2" s="5" t="n">
        <v>0.75</v>
      </c>
      <c r="X2" s="6" t="n">
        <v>0.08</v>
      </c>
      <c r="Y2" s="6" t="n">
        <v>0.6</v>
      </c>
      <c r="Z2" s="5" t="n">
        <v>500</v>
      </c>
      <c r="AA2" s="5" t="n">
        <v>200</v>
      </c>
      <c r="AB2" s="5" t="n">
        <v>1500</v>
      </c>
      <c r="AC2" s="5" t="n">
        <v>2000</v>
      </c>
      <c r="AD2" s="6" t="n">
        <v>0.3</v>
      </c>
      <c r="AE2" s="5" t="n">
        <v>0</v>
      </c>
      <c r="AF2" s="6" t="n">
        <v>0.15</v>
      </c>
      <c r="AG2" s="5" t="n">
        <v>0</v>
      </c>
      <c r="AH2" s="3" t="n">
        <f aca="false">F2*(1-G2)</f>
        <v>28.4905</v>
      </c>
      <c r="AI2" s="3" t="n">
        <f aca="false">AH2/(1+H2)</f>
        <v>28.4905</v>
      </c>
      <c r="AJ2" s="3" t="n">
        <f aca="false">AI2*(1-I2)</f>
        <v>27.065975</v>
      </c>
      <c r="AK2" s="3" t="n">
        <f aca="false">J2+K2</f>
        <v>7.4</v>
      </c>
      <c r="AL2" s="3" t="n">
        <f aca="false">AK2*N2</f>
        <v>1.48</v>
      </c>
      <c r="AM2" s="3" t="n">
        <f aca="false">AK2+L2+M2+AL2+O2+P2</f>
        <v>10.61</v>
      </c>
      <c r="AN2" s="3" t="n">
        <f aca="false">AH2*Q2*(1-I2)+I2*U2</f>
        <v>4.07989625</v>
      </c>
      <c r="AO2" s="3" t="n">
        <f aca="false">AJ2-AM2-AN2-R2-S2-I2*T2-V2+I2*AG2</f>
        <v>7.90107875</v>
      </c>
      <c r="AP2" s="3" t="n">
        <f aca="false">IF(X2&gt;0,W2/X2,1000000000)</f>
        <v>9.375</v>
      </c>
      <c r="AQ2" s="3" t="n">
        <f aca="false">AO2-AP2</f>
        <v>-1.47392125</v>
      </c>
      <c r="AR2" s="3" t="n">
        <f aca="false">AO2-AP2*Y2</f>
        <v>2.27607875</v>
      </c>
      <c r="AS2" s="7" t="n">
        <f aca="false">AR2/AJ2</f>
        <v>0.0840937283803742</v>
      </c>
      <c r="AT2" s="7" t="n">
        <f aca="false">AO2/AH2</f>
        <v>0.277323274424808</v>
      </c>
      <c r="AU2" s="3" t="n">
        <f aca="false">AO2*X2</f>
        <v>0.6320863</v>
      </c>
      <c r="AV2" s="7" t="n">
        <f aca="false">AP2/AH2</f>
        <v>0.329057054105755</v>
      </c>
      <c r="AW2" s="3" t="n">
        <f aca="false">IF(AV2&gt;0,1/AV2,0)</f>
        <v>3.03898666666667</v>
      </c>
      <c r="AX2" s="7" t="n">
        <f aca="false">AV2*Y2</f>
        <v>0.197434232463453</v>
      </c>
      <c r="AY2" s="3" t="n">
        <f aca="false">IF(AR2&gt;0,ROUNDUP(Z2/AR2,0),"No break-even at these inputs")</f>
        <v>220</v>
      </c>
      <c r="AZ2" s="3" t="n">
        <f aca="false">IF(ISNUMBER(AY2),AY2*AH2,"N/A")</f>
        <v>6267.91</v>
      </c>
      <c r="BA2" s="3" t="n">
        <f aca="false">AA2*AM2</f>
        <v>2122</v>
      </c>
      <c r="BB2" s="3" t="n">
        <f aca="false">BA2*AD2</f>
        <v>636.6</v>
      </c>
      <c r="BC2" s="3" t="n">
        <f aca="false">Z2*BH2</f>
        <v>1500</v>
      </c>
      <c r="BD2" s="3" t="n">
        <f aca="false">BA2+BB2+AB2+AC2+BC2+AE2</f>
        <v>7758.6</v>
      </c>
      <c r="BE2" s="3" t="n">
        <f aca="false">BD2*AF2</f>
        <v>1163.79</v>
      </c>
      <c r="BF2" s="3" t="n">
        <f aca="false">BD2+BE2</f>
        <v>8922.39</v>
      </c>
      <c r="BG2" s="1" t="s">
        <v>6128</v>
      </c>
      <c r="BH2" s="5" t="n">
        <v>3</v>
      </c>
    </row>
    <row r="3" customFormat="false" ht="48" hidden="false" customHeight="true" outlineLevel="0" collapsed="false">
      <c r="A3" s="1" t="s">
        <v>6129</v>
      </c>
      <c r="B3" s="1" t="s">
        <v>41</v>
      </c>
      <c r="C3" s="1" t="s">
        <v>3712</v>
      </c>
      <c r="D3" s="1" t="s">
        <v>6050</v>
      </c>
      <c r="E3" s="1" t="s">
        <v>6130</v>
      </c>
      <c r="F3" s="5" t="n">
        <v>69.99</v>
      </c>
      <c r="G3" s="6" t="n">
        <v>0.05</v>
      </c>
      <c r="H3" s="6" t="n">
        <v>0</v>
      </c>
      <c r="I3" s="6" t="n">
        <v>0.07</v>
      </c>
      <c r="J3" s="5" t="n">
        <v>20</v>
      </c>
      <c r="K3" s="5" t="n">
        <v>0.8</v>
      </c>
      <c r="L3" s="5" t="n">
        <v>2</v>
      </c>
      <c r="M3" s="5" t="n">
        <v>0.15</v>
      </c>
      <c r="N3" s="6" t="n">
        <v>0.2</v>
      </c>
      <c r="O3" s="5" t="n">
        <v>0.4</v>
      </c>
      <c r="P3" s="5" t="n">
        <v>0.65</v>
      </c>
      <c r="Q3" s="6" t="n">
        <v>0.15</v>
      </c>
      <c r="R3" s="5" t="n">
        <v>6.5</v>
      </c>
      <c r="S3" s="5" t="n">
        <v>0.25</v>
      </c>
      <c r="T3" s="5" t="n">
        <v>2.5</v>
      </c>
      <c r="U3" s="5" t="n">
        <v>0.4</v>
      </c>
      <c r="V3" s="5" t="n">
        <v>0.3</v>
      </c>
      <c r="W3" s="5" t="n">
        <v>1.2</v>
      </c>
      <c r="X3" s="6" t="n">
        <v>0.09</v>
      </c>
      <c r="Y3" s="6" t="n">
        <v>0.65</v>
      </c>
      <c r="Z3" s="5" t="n">
        <v>1500</v>
      </c>
      <c r="AA3" s="5" t="n">
        <v>800</v>
      </c>
      <c r="AB3" s="5" t="n">
        <v>6000</v>
      </c>
      <c r="AC3" s="5" t="n">
        <v>8000</v>
      </c>
      <c r="AD3" s="6" t="n">
        <v>0.3</v>
      </c>
      <c r="AE3" s="5" t="n">
        <v>0</v>
      </c>
      <c r="AF3" s="6" t="n">
        <v>0.15</v>
      </c>
      <c r="AG3" s="5" t="n">
        <v>0</v>
      </c>
      <c r="AH3" s="3" t="n">
        <f aca="false">F3*(1-G3)</f>
        <v>66.4905</v>
      </c>
      <c r="AI3" s="3" t="n">
        <f aca="false">AH3/(1+H3)</f>
        <v>66.4905</v>
      </c>
      <c r="AJ3" s="3" t="n">
        <f aca="false">AI3*(1-I3)</f>
        <v>61.836165</v>
      </c>
      <c r="AK3" s="3" t="n">
        <f aca="false">J3+K3</f>
        <v>20.8</v>
      </c>
      <c r="AL3" s="3" t="n">
        <f aca="false">AK3*N3</f>
        <v>4.16</v>
      </c>
      <c r="AM3" s="3" t="n">
        <f aca="false">AK3+L3+M3+AL3+O3+P3</f>
        <v>28.16</v>
      </c>
      <c r="AN3" s="3" t="n">
        <f aca="false">AH3*Q3*(1-I3)+I3*U3</f>
        <v>9.30342475</v>
      </c>
      <c r="AO3" s="3" t="n">
        <f aca="false">AJ3-AM3-AN3-R3-S3-I3*T3-V3+I3*AG3</f>
        <v>17.14774025</v>
      </c>
      <c r="AP3" s="3" t="n">
        <f aca="false">IF(X3&gt;0,W3/X3,1000000000)</f>
        <v>13.3333333333333</v>
      </c>
      <c r="AQ3" s="3" t="n">
        <f aca="false">AO3-AP3</f>
        <v>3.81440691666666</v>
      </c>
      <c r="AR3" s="3" t="n">
        <f aca="false">AO3-AP3*Y3</f>
        <v>8.48107358333333</v>
      </c>
      <c r="AS3" s="7" t="n">
        <f aca="false">AR3/AJ3</f>
        <v>0.137153938691595</v>
      </c>
      <c r="AT3" s="7" t="n">
        <f aca="false">AO3/AH3</f>
        <v>0.25789759815312</v>
      </c>
      <c r="AU3" s="3" t="n">
        <f aca="false">AO3*X3</f>
        <v>1.5432966225</v>
      </c>
      <c r="AV3" s="7" t="n">
        <f aca="false">AP3/AH3</f>
        <v>0.200529900261441</v>
      </c>
      <c r="AW3" s="3" t="n">
        <f aca="false">IF(AV3&gt;0,1/AV3,0)</f>
        <v>4.9867875</v>
      </c>
      <c r="AX3" s="7" t="n">
        <f aca="false">AV3*Y3</f>
        <v>0.130344435169937</v>
      </c>
      <c r="AY3" s="3" t="n">
        <f aca="false">IF(AR3&gt;0,ROUNDUP(Z3/AR3,0),"No break-even at these inputs")</f>
        <v>177</v>
      </c>
      <c r="AZ3" s="3" t="n">
        <f aca="false">IF(ISNUMBER(AY3),AY3*AH3,"N/A")</f>
        <v>11768.8185</v>
      </c>
      <c r="BA3" s="3" t="n">
        <f aca="false">AA3*AM3</f>
        <v>22528</v>
      </c>
      <c r="BB3" s="3" t="n">
        <f aca="false">BA3*AD3</f>
        <v>6758.4</v>
      </c>
      <c r="BC3" s="3" t="n">
        <f aca="false">Z3*BH3</f>
        <v>4500</v>
      </c>
      <c r="BD3" s="3" t="n">
        <f aca="false">BA3+BB3+AB3+AC3+BC3+AE3</f>
        <v>47786.4</v>
      </c>
      <c r="BE3" s="3" t="n">
        <f aca="false">BD3*AF3</f>
        <v>7167.96</v>
      </c>
      <c r="BF3" s="3" t="n">
        <f aca="false">BD3+BE3</f>
        <v>54954.36</v>
      </c>
      <c r="BG3" s="1" t="s">
        <v>6128</v>
      </c>
      <c r="BH3" s="5" t="n">
        <v>3</v>
      </c>
    </row>
    <row r="4" customFormat="false" ht="48" hidden="false" customHeight="true" outlineLevel="0" collapsed="false">
      <c r="A4" s="1" t="s">
        <v>6131</v>
      </c>
      <c r="B4" s="1" t="s">
        <v>41</v>
      </c>
      <c r="C4" s="1" t="s">
        <v>3712</v>
      </c>
      <c r="D4" s="1" t="s">
        <v>5950</v>
      </c>
      <c r="E4" s="1" t="s">
        <v>6132</v>
      </c>
      <c r="F4" s="5" t="n">
        <v>79.99</v>
      </c>
      <c r="G4" s="6" t="n">
        <v>0.05</v>
      </c>
      <c r="H4" s="6" t="n">
        <v>0</v>
      </c>
      <c r="I4" s="6" t="n">
        <v>0.1</v>
      </c>
      <c r="J4" s="5" t="n">
        <v>25</v>
      </c>
      <c r="K4" s="5" t="n">
        <v>1.2</v>
      </c>
      <c r="L4" s="5" t="n">
        <v>3</v>
      </c>
      <c r="M4" s="5" t="n">
        <v>0.25</v>
      </c>
      <c r="N4" s="6" t="n">
        <v>0.2</v>
      </c>
      <c r="O4" s="5" t="n">
        <v>0.5</v>
      </c>
      <c r="P4" s="5" t="n">
        <v>0.9</v>
      </c>
      <c r="Q4" s="6" t="n">
        <v>0.15</v>
      </c>
      <c r="R4" s="5" t="n">
        <v>7.5</v>
      </c>
      <c r="S4" s="5" t="n">
        <v>0.45</v>
      </c>
      <c r="T4" s="5" t="n">
        <v>3.5</v>
      </c>
      <c r="U4" s="5" t="n">
        <v>0.4</v>
      </c>
      <c r="V4" s="5" t="n">
        <v>0.3</v>
      </c>
      <c r="W4" s="5" t="n">
        <v>1.8</v>
      </c>
      <c r="X4" s="6" t="n">
        <v>0.06</v>
      </c>
      <c r="Y4" s="6" t="n">
        <v>0.8</v>
      </c>
      <c r="Z4" s="5" t="n">
        <v>4000</v>
      </c>
      <c r="AA4" s="5" t="n">
        <v>2400</v>
      </c>
      <c r="AB4" s="5" t="n">
        <v>20000</v>
      </c>
      <c r="AC4" s="5" t="n">
        <v>25000</v>
      </c>
      <c r="AD4" s="6" t="n">
        <v>0.3</v>
      </c>
      <c r="AE4" s="5" t="n">
        <v>0</v>
      </c>
      <c r="AF4" s="6" t="n">
        <v>0.15</v>
      </c>
      <c r="AG4" s="5" t="n">
        <v>0</v>
      </c>
      <c r="AH4" s="3" t="n">
        <f aca="false">F4*(1-G4)</f>
        <v>75.9905</v>
      </c>
      <c r="AI4" s="3" t="n">
        <f aca="false">AH4/(1+H4)</f>
        <v>75.9905</v>
      </c>
      <c r="AJ4" s="3" t="n">
        <f aca="false">AI4*(1-I4)</f>
        <v>68.39145</v>
      </c>
      <c r="AK4" s="3" t="n">
        <f aca="false">J4+K4</f>
        <v>26.2</v>
      </c>
      <c r="AL4" s="3" t="n">
        <f aca="false">AK4*N4</f>
        <v>5.24</v>
      </c>
      <c r="AM4" s="3" t="n">
        <f aca="false">AK4+L4+M4+AL4+O4+P4</f>
        <v>36.09</v>
      </c>
      <c r="AN4" s="3" t="n">
        <f aca="false">AH4*Q4*(1-I4)+I4*U4</f>
        <v>10.2987175</v>
      </c>
      <c r="AO4" s="3" t="n">
        <f aca="false">AJ4-AM4-AN4-R4-S4-I4*T4-V4+I4*AG4</f>
        <v>13.4027325</v>
      </c>
      <c r="AP4" s="3" t="n">
        <f aca="false">IF(X4&gt;0,W4/X4,1000000000)</f>
        <v>30</v>
      </c>
      <c r="AQ4" s="3" t="n">
        <f aca="false">AO4-AP4</f>
        <v>-16.5972675</v>
      </c>
      <c r="AR4" s="3" t="n">
        <f aca="false">AO4-AP4*Y4</f>
        <v>-10.5972675</v>
      </c>
      <c r="AS4" s="7" t="n">
        <f aca="false">AR4/AJ4</f>
        <v>-0.154950180176031</v>
      </c>
      <c r="AT4" s="7" t="n">
        <f aca="false">AO4/AH4</f>
        <v>0.176373790144821</v>
      </c>
      <c r="AU4" s="3" t="n">
        <f aca="false">AO4*X4</f>
        <v>0.804163950000001</v>
      </c>
      <c r="AV4" s="7" t="n">
        <f aca="false">AP4/AH4</f>
        <v>0.394786190379061</v>
      </c>
      <c r="AW4" s="3" t="n">
        <f aca="false">IF(AV4&gt;0,1/AV4,0)</f>
        <v>2.53301666666667</v>
      </c>
      <c r="AX4" s="7" t="n">
        <f aca="false">AV4*Y4</f>
        <v>0.315828952303249</v>
      </c>
      <c r="AY4" s="3" t="str">
        <f aca="false">IF(AR4&gt;0,ROUNDUP(Z4/AR4,0),"No break-even at these inputs")</f>
        <v>No break-even at these inputs</v>
      </c>
      <c r="AZ4" s="3" t="str">
        <f aca="false">IF(ISNUMBER(AY4),AY4*AH4,"N/A")</f>
        <v>N/A</v>
      </c>
      <c r="BA4" s="3" t="n">
        <f aca="false">AA4*AM4</f>
        <v>86616</v>
      </c>
      <c r="BB4" s="3" t="n">
        <f aca="false">BA4*AD4</f>
        <v>25984.8</v>
      </c>
      <c r="BC4" s="3" t="n">
        <f aca="false">Z4*BH4</f>
        <v>12000</v>
      </c>
      <c r="BD4" s="3" t="n">
        <f aca="false">BA4+BB4+AB4+AC4+BC4+AE4</f>
        <v>169600.8</v>
      </c>
      <c r="BE4" s="3" t="n">
        <f aca="false">BD4*AF4</f>
        <v>25440.12</v>
      </c>
      <c r="BF4" s="3" t="n">
        <f aca="false">BD4+BE4</f>
        <v>195040.92</v>
      </c>
      <c r="BG4" s="1" t="s">
        <v>6128</v>
      </c>
      <c r="BH4" s="5" t="n">
        <v>3</v>
      </c>
    </row>
    <row r="5" customFormat="false" ht="48" hidden="false" customHeight="true" outlineLevel="0" collapsed="false">
      <c r="A5" s="1" t="s">
        <v>6133</v>
      </c>
      <c r="B5" s="1" t="s">
        <v>43</v>
      </c>
      <c r="C5" s="1" t="s">
        <v>212</v>
      </c>
      <c r="D5" s="1" t="s">
        <v>6039</v>
      </c>
      <c r="E5" s="1" t="s">
        <v>6127</v>
      </c>
      <c r="F5" s="5" t="n">
        <v>39.99</v>
      </c>
      <c r="G5" s="6" t="n">
        <v>0.05</v>
      </c>
      <c r="H5" s="6" t="n">
        <v>0</v>
      </c>
      <c r="I5" s="6" t="n">
        <v>0.05</v>
      </c>
      <c r="J5" s="5" t="n">
        <v>10</v>
      </c>
      <c r="K5" s="5" t="n">
        <v>0.4</v>
      </c>
      <c r="L5" s="5" t="n">
        <v>1.5</v>
      </c>
      <c r="M5" s="5" t="n">
        <v>0.08</v>
      </c>
      <c r="N5" s="6" t="n">
        <v>0.17</v>
      </c>
      <c r="O5" s="5" t="n">
        <v>0.25</v>
      </c>
      <c r="P5" s="5" t="n">
        <v>0.4</v>
      </c>
      <c r="Q5" s="6" t="n">
        <v>0.15</v>
      </c>
      <c r="R5" s="5" t="n">
        <v>5</v>
      </c>
      <c r="S5" s="5" t="n">
        <v>0.1</v>
      </c>
      <c r="T5" s="5" t="n">
        <v>1.5</v>
      </c>
      <c r="U5" s="5" t="n">
        <v>0.4</v>
      </c>
      <c r="V5" s="5" t="n">
        <v>0.3</v>
      </c>
      <c r="W5" s="5" t="n">
        <v>0.9</v>
      </c>
      <c r="X5" s="6" t="n">
        <v>0.08</v>
      </c>
      <c r="Y5" s="6" t="n">
        <v>0.6</v>
      </c>
      <c r="Z5" s="5" t="n">
        <v>500</v>
      </c>
      <c r="AA5" s="5" t="n">
        <v>200</v>
      </c>
      <c r="AB5" s="5" t="n">
        <v>1500</v>
      </c>
      <c r="AC5" s="5" t="n">
        <v>2000</v>
      </c>
      <c r="AD5" s="6" t="n">
        <v>0.3</v>
      </c>
      <c r="AE5" s="5" t="n">
        <v>200</v>
      </c>
      <c r="AF5" s="6" t="n">
        <v>0.15</v>
      </c>
      <c r="AG5" s="5" t="n">
        <v>0</v>
      </c>
      <c r="AH5" s="3" t="n">
        <f aca="false">F5*(1-G5)</f>
        <v>37.9905</v>
      </c>
      <c r="AI5" s="3" t="n">
        <f aca="false">AH5/(1+H5)</f>
        <v>37.9905</v>
      </c>
      <c r="AJ5" s="3" t="n">
        <f aca="false">AI5*(1-I5)</f>
        <v>36.090975</v>
      </c>
      <c r="AK5" s="3" t="n">
        <f aca="false">J5+K5</f>
        <v>10.4</v>
      </c>
      <c r="AL5" s="3" t="n">
        <f aca="false">AK5*N5</f>
        <v>1.768</v>
      </c>
      <c r="AM5" s="3" t="n">
        <f aca="false">AK5+L5+M5+AL5+O5+P5</f>
        <v>14.398</v>
      </c>
      <c r="AN5" s="3" t="n">
        <f aca="false">AH5*Q5*(1-I5)+I5*U5</f>
        <v>5.43364625</v>
      </c>
      <c r="AO5" s="3" t="n">
        <f aca="false">AJ5-AM5-AN5-R5-S5-I5*T5-V5+I5*AG5</f>
        <v>10.78432875</v>
      </c>
      <c r="AP5" s="3" t="n">
        <f aca="false">IF(X5&gt;0,W5/X5,1000000000)</f>
        <v>11.25</v>
      </c>
      <c r="AQ5" s="3" t="n">
        <f aca="false">AO5-AP5</f>
        <v>-0.465671250000009</v>
      </c>
      <c r="AR5" s="3" t="n">
        <f aca="false">AO5-AP5*Y5</f>
        <v>4.03432874999999</v>
      </c>
      <c r="AS5" s="7" t="n">
        <f aca="false">AR5/AJ5</f>
        <v>0.111782204553908</v>
      </c>
      <c r="AT5" s="7" t="n">
        <f aca="false">AO5/AH5</f>
        <v>0.283869092273068</v>
      </c>
      <c r="AU5" s="3" t="n">
        <f aca="false">AO5*X5</f>
        <v>0.862746299999999</v>
      </c>
      <c r="AV5" s="7" t="n">
        <f aca="false">AP5/AH5</f>
        <v>0.296126663244759</v>
      </c>
      <c r="AW5" s="3" t="n">
        <f aca="false">IF(AV5&gt;0,1/AV5,0)</f>
        <v>3.37693333333333</v>
      </c>
      <c r="AX5" s="7" t="n">
        <f aca="false">AV5*Y5</f>
        <v>0.177675997946855</v>
      </c>
      <c r="AY5" s="3" t="n">
        <f aca="false">IF(AR5&gt;0,ROUNDUP(Z5/AR5,0),"No break-even at these inputs")</f>
        <v>124</v>
      </c>
      <c r="AZ5" s="3" t="n">
        <f aca="false">IF(ISNUMBER(AY5),AY5*AH5,"N/A")</f>
        <v>4710.822</v>
      </c>
      <c r="BA5" s="3" t="n">
        <f aca="false">AA5*AM5</f>
        <v>2879.6</v>
      </c>
      <c r="BB5" s="3" t="n">
        <f aca="false">BA5*AD5</f>
        <v>863.88</v>
      </c>
      <c r="BC5" s="3" t="n">
        <f aca="false">Z5*BH5</f>
        <v>1500</v>
      </c>
      <c r="BD5" s="3" t="n">
        <f aca="false">BA5+BB5+AB5+AC5+BC5+AE5</f>
        <v>8943.48</v>
      </c>
      <c r="BE5" s="3" t="n">
        <f aca="false">BD5*AF5</f>
        <v>1341.522</v>
      </c>
      <c r="BF5" s="3" t="n">
        <f aca="false">BD5+BE5</f>
        <v>10285.002</v>
      </c>
      <c r="BG5" s="1" t="s">
        <v>6128</v>
      </c>
      <c r="BH5" s="5" t="n">
        <v>3</v>
      </c>
    </row>
    <row r="6" customFormat="false" ht="48" hidden="false" customHeight="true" outlineLevel="0" collapsed="false">
      <c r="A6" s="1" t="s">
        <v>6134</v>
      </c>
      <c r="B6" s="1" t="s">
        <v>43</v>
      </c>
      <c r="C6" s="1" t="s">
        <v>212</v>
      </c>
      <c r="D6" s="1" t="s">
        <v>6050</v>
      </c>
      <c r="E6" s="1" t="s">
        <v>6130</v>
      </c>
      <c r="F6" s="5" t="n">
        <v>89.99</v>
      </c>
      <c r="G6" s="6" t="n">
        <v>0.05</v>
      </c>
      <c r="H6" s="6" t="n">
        <v>0</v>
      </c>
      <c r="I6" s="6" t="n">
        <v>0.07</v>
      </c>
      <c r="J6" s="5" t="n">
        <v>28</v>
      </c>
      <c r="K6" s="5" t="n">
        <v>0.8</v>
      </c>
      <c r="L6" s="5" t="n">
        <v>3</v>
      </c>
      <c r="M6" s="5" t="n">
        <v>0.15</v>
      </c>
      <c r="N6" s="6" t="n">
        <v>0.17</v>
      </c>
      <c r="O6" s="5" t="n">
        <v>0.4</v>
      </c>
      <c r="P6" s="5" t="n">
        <v>0.65</v>
      </c>
      <c r="Q6" s="6" t="n">
        <v>0.15</v>
      </c>
      <c r="R6" s="5" t="n">
        <v>8</v>
      </c>
      <c r="S6" s="5" t="n">
        <v>0.25</v>
      </c>
      <c r="T6" s="5" t="n">
        <v>2.5</v>
      </c>
      <c r="U6" s="5" t="n">
        <v>0.4</v>
      </c>
      <c r="V6" s="5" t="n">
        <v>0.3</v>
      </c>
      <c r="W6" s="5" t="n">
        <v>1.4</v>
      </c>
      <c r="X6" s="6" t="n">
        <v>0.09</v>
      </c>
      <c r="Y6" s="6" t="n">
        <v>0.65</v>
      </c>
      <c r="Z6" s="5" t="n">
        <v>1500</v>
      </c>
      <c r="AA6" s="5" t="n">
        <v>800</v>
      </c>
      <c r="AB6" s="5" t="n">
        <v>6000</v>
      </c>
      <c r="AC6" s="5" t="n">
        <v>8000</v>
      </c>
      <c r="AD6" s="6" t="n">
        <v>0.3</v>
      </c>
      <c r="AE6" s="5" t="n">
        <v>1000</v>
      </c>
      <c r="AF6" s="6" t="n">
        <v>0.15</v>
      </c>
      <c r="AG6" s="5" t="n">
        <v>0</v>
      </c>
      <c r="AH6" s="3" t="n">
        <f aca="false">F6*(1-G6)</f>
        <v>85.4905</v>
      </c>
      <c r="AI6" s="3" t="n">
        <f aca="false">AH6/(1+H6)</f>
        <v>85.4905</v>
      </c>
      <c r="AJ6" s="3" t="n">
        <f aca="false">AI6*(1-I6)</f>
        <v>79.506165</v>
      </c>
      <c r="AK6" s="3" t="n">
        <f aca="false">J6+K6</f>
        <v>28.8</v>
      </c>
      <c r="AL6" s="3" t="n">
        <f aca="false">AK6*N6</f>
        <v>4.896</v>
      </c>
      <c r="AM6" s="3" t="n">
        <f aca="false">AK6+L6+M6+AL6+O6+P6</f>
        <v>37.896</v>
      </c>
      <c r="AN6" s="3" t="n">
        <f aca="false">AH6*Q6*(1-I6)+I6*U6</f>
        <v>11.95392475</v>
      </c>
      <c r="AO6" s="3" t="n">
        <f aca="false">AJ6-AM6-AN6-R6-S6-I6*T6-V6+I6*AG6</f>
        <v>20.93124025</v>
      </c>
      <c r="AP6" s="3" t="n">
        <f aca="false">IF(X6&gt;0,W6/X6,1000000000)</f>
        <v>15.5555555555556</v>
      </c>
      <c r="AQ6" s="3" t="n">
        <f aca="false">AO6-AP6</f>
        <v>5.37568469444444</v>
      </c>
      <c r="AR6" s="3" t="n">
        <f aca="false">AO6-AP6*Y6</f>
        <v>10.8201291388889</v>
      </c>
      <c r="AS6" s="7" t="n">
        <f aca="false">AR6/AJ6</f>
        <v>0.136091699793203</v>
      </c>
      <c r="AT6" s="7" t="n">
        <f aca="false">AO6/AH6</f>
        <v>0.244837031600002</v>
      </c>
      <c r="AU6" s="3" t="n">
        <f aca="false">AO6*X6</f>
        <v>1.8838116225</v>
      </c>
      <c r="AV6" s="7" t="n">
        <f aca="false">AP6/AH6</f>
        <v>0.181956539680497</v>
      </c>
      <c r="AW6" s="3" t="n">
        <f aca="false">IF(AV6&gt;0,1/AV6,0)</f>
        <v>5.49581785714286</v>
      </c>
      <c r="AX6" s="7" t="n">
        <f aca="false">AV6*Y6</f>
        <v>0.118271750792323</v>
      </c>
      <c r="AY6" s="3" t="n">
        <f aca="false">IF(AR6&gt;0,ROUNDUP(Z6/AR6,0),"No break-even at these inputs")</f>
        <v>139</v>
      </c>
      <c r="AZ6" s="3" t="n">
        <f aca="false">IF(ISNUMBER(AY6),AY6*AH6,"N/A")</f>
        <v>11883.1795</v>
      </c>
      <c r="BA6" s="3" t="n">
        <f aca="false">AA6*AM6</f>
        <v>30316.8</v>
      </c>
      <c r="BB6" s="3" t="n">
        <f aca="false">BA6*AD6</f>
        <v>9095.04</v>
      </c>
      <c r="BC6" s="3" t="n">
        <f aca="false">Z6*BH6</f>
        <v>4500</v>
      </c>
      <c r="BD6" s="3" t="n">
        <f aca="false">BA6+BB6+AB6+AC6+BC6+AE6</f>
        <v>58911.84</v>
      </c>
      <c r="BE6" s="3" t="n">
        <f aca="false">BD6*AF6</f>
        <v>8836.776</v>
      </c>
      <c r="BF6" s="3" t="n">
        <f aca="false">BD6+BE6</f>
        <v>67748.616</v>
      </c>
      <c r="BG6" s="1" t="s">
        <v>6128</v>
      </c>
      <c r="BH6" s="5" t="n">
        <v>3</v>
      </c>
    </row>
    <row r="7" customFormat="false" ht="48" hidden="false" customHeight="true" outlineLevel="0" collapsed="false">
      <c r="A7" s="1" t="s">
        <v>6135</v>
      </c>
      <c r="B7" s="1" t="s">
        <v>43</v>
      </c>
      <c r="C7" s="1" t="s">
        <v>212</v>
      </c>
      <c r="D7" s="1" t="s">
        <v>5950</v>
      </c>
      <c r="E7" s="1" t="s">
        <v>6132</v>
      </c>
      <c r="F7" s="5" t="n">
        <v>109.99</v>
      </c>
      <c r="G7" s="6" t="n">
        <v>0.05</v>
      </c>
      <c r="H7" s="6" t="n">
        <v>0</v>
      </c>
      <c r="I7" s="6" t="n">
        <v>0.1</v>
      </c>
      <c r="J7" s="5" t="n">
        <v>36</v>
      </c>
      <c r="K7" s="5" t="n">
        <v>1.2</v>
      </c>
      <c r="L7" s="5" t="n">
        <v>4</v>
      </c>
      <c r="M7" s="5" t="n">
        <v>0.25</v>
      </c>
      <c r="N7" s="6" t="n">
        <v>0.17</v>
      </c>
      <c r="O7" s="5" t="n">
        <v>0.5</v>
      </c>
      <c r="P7" s="5" t="n">
        <v>0.9</v>
      </c>
      <c r="Q7" s="6" t="n">
        <v>0.15</v>
      </c>
      <c r="R7" s="5" t="n">
        <v>9</v>
      </c>
      <c r="S7" s="5" t="n">
        <v>0.45</v>
      </c>
      <c r="T7" s="5" t="n">
        <v>3.5</v>
      </c>
      <c r="U7" s="5" t="n">
        <v>0.4</v>
      </c>
      <c r="V7" s="5" t="n">
        <v>0.3</v>
      </c>
      <c r="W7" s="5" t="n">
        <v>2</v>
      </c>
      <c r="X7" s="6" t="n">
        <v>0.06</v>
      </c>
      <c r="Y7" s="6" t="n">
        <v>0.8</v>
      </c>
      <c r="Z7" s="5" t="n">
        <v>4000</v>
      </c>
      <c r="AA7" s="5" t="n">
        <v>2400</v>
      </c>
      <c r="AB7" s="5" t="n">
        <v>20000</v>
      </c>
      <c r="AC7" s="5" t="n">
        <v>25000</v>
      </c>
      <c r="AD7" s="6" t="n">
        <v>0.3</v>
      </c>
      <c r="AE7" s="5" t="n">
        <v>3500</v>
      </c>
      <c r="AF7" s="6" t="n">
        <v>0.15</v>
      </c>
      <c r="AG7" s="5" t="n">
        <v>0</v>
      </c>
      <c r="AH7" s="3" t="n">
        <f aca="false">F7*(1-G7)</f>
        <v>104.4905</v>
      </c>
      <c r="AI7" s="3" t="n">
        <f aca="false">AH7/(1+H7)</f>
        <v>104.4905</v>
      </c>
      <c r="AJ7" s="3" t="n">
        <f aca="false">AI7*(1-I7)</f>
        <v>94.04145</v>
      </c>
      <c r="AK7" s="3" t="n">
        <f aca="false">J7+K7</f>
        <v>37.2</v>
      </c>
      <c r="AL7" s="3" t="n">
        <f aca="false">AK7*N7</f>
        <v>6.324</v>
      </c>
      <c r="AM7" s="3" t="n">
        <f aca="false">AK7+L7+M7+AL7+O7+P7</f>
        <v>49.174</v>
      </c>
      <c r="AN7" s="3" t="n">
        <f aca="false">AH7*Q7*(1-I7)+I7*U7</f>
        <v>14.1462175</v>
      </c>
      <c r="AO7" s="3" t="n">
        <f aca="false">AJ7-AM7-AN7-R7-S7-I7*T7-V7+I7*AG7</f>
        <v>20.6212325</v>
      </c>
      <c r="AP7" s="3" t="n">
        <f aca="false">IF(X7&gt;0,W7/X7,1000000000)</f>
        <v>33.3333333333333</v>
      </c>
      <c r="AQ7" s="3" t="n">
        <f aca="false">AO7-AP7</f>
        <v>-12.7121008333333</v>
      </c>
      <c r="AR7" s="3" t="n">
        <f aca="false">AO7-AP7*Y7</f>
        <v>-6.04543416666667</v>
      </c>
      <c r="AS7" s="7" t="n">
        <f aca="false">AR7/AJ7</f>
        <v>-0.0642847825790295</v>
      </c>
      <c r="AT7" s="7" t="n">
        <f aca="false">AO7/AH7</f>
        <v>0.197350309358267</v>
      </c>
      <c r="AU7" s="3" t="n">
        <f aca="false">AO7*X7</f>
        <v>1.23727395</v>
      </c>
      <c r="AV7" s="7" t="n">
        <f aca="false">AP7/AH7</f>
        <v>0.319008267099242</v>
      </c>
      <c r="AW7" s="3" t="n">
        <f aca="false">IF(AV7&gt;0,1/AV7,0)</f>
        <v>3.134715</v>
      </c>
      <c r="AX7" s="7" t="n">
        <f aca="false">AV7*Y7</f>
        <v>0.255206613679394</v>
      </c>
      <c r="AY7" s="3" t="str">
        <f aca="false">IF(AR7&gt;0,ROUNDUP(Z7/AR7,0),"No break-even at these inputs")</f>
        <v>No break-even at these inputs</v>
      </c>
      <c r="AZ7" s="3" t="str">
        <f aca="false">IF(ISNUMBER(AY7),AY7*AH7,"N/A")</f>
        <v>N/A</v>
      </c>
      <c r="BA7" s="3" t="n">
        <f aca="false">AA7*AM7</f>
        <v>118017.6</v>
      </c>
      <c r="BB7" s="3" t="n">
        <f aca="false">BA7*AD7</f>
        <v>35405.28</v>
      </c>
      <c r="BC7" s="3" t="n">
        <f aca="false">Z7*BH7</f>
        <v>12000</v>
      </c>
      <c r="BD7" s="3" t="n">
        <f aca="false">BA7+BB7+AB7+AC7+BC7+AE7</f>
        <v>213922.88</v>
      </c>
      <c r="BE7" s="3" t="n">
        <f aca="false">BD7*AF7</f>
        <v>32088.432</v>
      </c>
      <c r="BF7" s="3" t="n">
        <f aca="false">BD7+BE7</f>
        <v>246011.312</v>
      </c>
      <c r="BG7" s="1" t="s">
        <v>6128</v>
      </c>
      <c r="BH7" s="5" t="n">
        <v>3</v>
      </c>
    </row>
    <row r="8" customFormat="false" ht="48" hidden="false" customHeight="true" outlineLevel="0" collapsed="false">
      <c r="A8" s="1" t="s">
        <v>6136</v>
      </c>
      <c r="B8" s="1" t="s">
        <v>45</v>
      </c>
      <c r="C8" s="1" t="s">
        <v>2097</v>
      </c>
      <c r="D8" s="1" t="s">
        <v>6039</v>
      </c>
      <c r="E8" s="1" t="s">
        <v>6127</v>
      </c>
      <c r="F8" s="5" t="n">
        <v>19.99</v>
      </c>
      <c r="G8" s="6" t="n">
        <v>0.05</v>
      </c>
      <c r="H8" s="6" t="n">
        <v>0.2</v>
      </c>
      <c r="I8" s="6" t="n">
        <v>0.05</v>
      </c>
      <c r="J8" s="5" t="n">
        <v>4.5</v>
      </c>
      <c r="K8" s="5" t="n">
        <v>0.4</v>
      </c>
      <c r="L8" s="5" t="n">
        <v>0.8</v>
      </c>
      <c r="M8" s="5" t="n">
        <v>0.08</v>
      </c>
      <c r="N8" s="6" t="n">
        <v>0</v>
      </c>
      <c r="O8" s="5" t="n">
        <v>0.25</v>
      </c>
      <c r="P8" s="5" t="n">
        <v>0.4</v>
      </c>
      <c r="Q8" s="6" t="n">
        <v>0.08</v>
      </c>
      <c r="R8" s="5" t="n">
        <v>2.8</v>
      </c>
      <c r="S8" s="5" t="n">
        <v>0.1</v>
      </c>
      <c r="T8" s="5" t="n">
        <v>1.5</v>
      </c>
      <c r="U8" s="5" t="n">
        <v>0.4</v>
      </c>
      <c r="V8" s="5" t="n">
        <v>0.3</v>
      </c>
      <c r="W8" s="5" t="n">
        <v>0.55</v>
      </c>
      <c r="X8" s="6" t="n">
        <v>0.08</v>
      </c>
      <c r="Y8" s="6" t="n">
        <v>0.6</v>
      </c>
      <c r="Z8" s="5" t="n">
        <v>500</v>
      </c>
      <c r="AA8" s="5" t="n">
        <v>200</v>
      </c>
      <c r="AB8" s="5" t="n">
        <v>1500</v>
      </c>
      <c r="AC8" s="5" t="n">
        <v>2000</v>
      </c>
      <c r="AD8" s="6" t="n">
        <v>0.3</v>
      </c>
      <c r="AE8" s="5" t="n">
        <v>200</v>
      </c>
      <c r="AF8" s="6" t="n">
        <v>0.15</v>
      </c>
      <c r="AG8" s="5" t="n">
        <v>0</v>
      </c>
      <c r="AH8" s="3" t="n">
        <f aca="false">F8*(1-G8)</f>
        <v>18.9905</v>
      </c>
      <c r="AI8" s="3" t="n">
        <f aca="false">AH8/(1+H8)</f>
        <v>15.8254166666667</v>
      </c>
      <c r="AJ8" s="3" t="n">
        <f aca="false">AI8*(1-I8)</f>
        <v>15.0341458333333</v>
      </c>
      <c r="AK8" s="3" t="n">
        <f aca="false">J8+K8</f>
        <v>4.9</v>
      </c>
      <c r="AL8" s="3" t="n">
        <f aca="false">AK8*N8</f>
        <v>0</v>
      </c>
      <c r="AM8" s="3" t="n">
        <f aca="false">AK8+L8+M8+AL8+O8+P8</f>
        <v>6.43</v>
      </c>
      <c r="AN8" s="3" t="n">
        <f aca="false">AH8*Q8*(1-I8)+I8*U8</f>
        <v>1.463278</v>
      </c>
      <c r="AO8" s="3" t="n">
        <f aca="false">AJ8-AM8-AN8-R8-S8-I8*T8-V8+I8*AG8</f>
        <v>3.86586783333333</v>
      </c>
      <c r="AP8" s="3" t="n">
        <f aca="false">IF(X8&gt;0,W8/X8,1000000000)</f>
        <v>6.875</v>
      </c>
      <c r="AQ8" s="3" t="n">
        <f aca="false">AO8-AP8</f>
        <v>-3.00913216666667</v>
      </c>
      <c r="AR8" s="3" t="n">
        <f aca="false">AO8-AP8*Y8</f>
        <v>-0.259132166666669</v>
      </c>
      <c r="AS8" s="7" t="n">
        <f aca="false">AR8/AJ8</f>
        <v>-0.0172362413893929</v>
      </c>
      <c r="AT8" s="7" t="n">
        <f aca="false">AO8/AH8</f>
        <v>0.203568512326339</v>
      </c>
      <c r="AU8" s="3" t="n">
        <f aca="false">AO8*X8</f>
        <v>0.309269426666666</v>
      </c>
      <c r="AV8" s="7" t="n">
        <f aca="false">AP8/AH8</f>
        <v>0.362023116821569</v>
      </c>
      <c r="AW8" s="3" t="n">
        <f aca="false">IF(AV8&gt;0,1/AV8,0)</f>
        <v>2.76225454545455</v>
      </c>
      <c r="AX8" s="7" t="n">
        <f aca="false">AV8*Y8</f>
        <v>0.217213870092941</v>
      </c>
      <c r="AY8" s="3" t="str">
        <f aca="false">IF(AR8&gt;0,ROUNDUP(Z8/AR8,0),"No break-even at these inputs")</f>
        <v>No break-even at these inputs</v>
      </c>
      <c r="AZ8" s="3" t="str">
        <f aca="false">IF(ISNUMBER(AY8),AY8*AH8,"N/A")</f>
        <v>N/A</v>
      </c>
      <c r="BA8" s="3" t="n">
        <f aca="false">AA8*AM8</f>
        <v>1286</v>
      </c>
      <c r="BB8" s="3" t="n">
        <f aca="false">BA8*AD8</f>
        <v>385.8</v>
      </c>
      <c r="BC8" s="3" t="n">
        <f aca="false">Z8*BH8</f>
        <v>1500</v>
      </c>
      <c r="BD8" s="3" t="n">
        <f aca="false">BA8+BB8+AB8+AC8+BC8+AE8</f>
        <v>6871.8</v>
      </c>
      <c r="BE8" s="3" t="n">
        <f aca="false">BD8*AF8</f>
        <v>1030.77</v>
      </c>
      <c r="BF8" s="3" t="n">
        <f aca="false">BD8+BE8</f>
        <v>7902.57</v>
      </c>
      <c r="BG8" s="1" t="s">
        <v>6128</v>
      </c>
      <c r="BH8" s="5" t="n">
        <v>3</v>
      </c>
    </row>
    <row r="9" customFormat="false" ht="48" hidden="false" customHeight="true" outlineLevel="0" collapsed="false">
      <c r="A9" s="1" t="s">
        <v>6137</v>
      </c>
      <c r="B9" s="1" t="s">
        <v>45</v>
      </c>
      <c r="C9" s="1" t="s">
        <v>2097</v>
      </c>
      <c r="D9" s="1" t="s">
        <v>6050</v>
      </c>
      <c r="E9" s="1" t="s">
        <v>6130</v>
      </c>
      <c r="F9" s="5" t="n">
        <v>49.99</v>
      </c>
      <c r="G9" s="6" t="n">
        <v>0.05</v>
      </c>
      <c r="H9" s="6" t="n">
        <v>0.2</v>
      </c>
      <c r="I9" s="6" t="n">
        <v>0.07</v>
      </c>
      <c r="J9" s="5" t="n">
        <v>14</v>
      </c>
      <c r="K9" s="5" t="n">
        <v>0.8</v>
      </c>
      <c r="L9" s="5" t="n">
        <v>1.5</v>
      </c>
      <c r="M9" s="5" t="n">
        <v>0.15</v>
      </c>
      <c r="N9" s="6" t="n">
        <v>0</v>
      </c>
      <c r="O9" s="5" t="n">
        <v>0.4</v>
      </c>
      <c r="P9" s="5" t="n">
        <v>0.65</v>
      </c>
      <c r="Q9" s="6" t="n">
        <v>0.15</v>
      </c>
      <c r="R9" s="5" t="n">
        <v>4</v>
      </c>
      <c r="S9" s="5" t="n">
        <v>0.25</v>
      </c>
      <c r="T9" s="5" t="n">
        <v>2.5</v>
      </c>
      <c r="U9" s="5" t="n">
        <v>0.4</v>
      </c>
      <c r="V9" s="5" t="n">
        <v>0.3</v>
      </c>
      <c r="W9" s="5" t="n">
        <v>0.8</v>
      </c>
      <c r="X9" s="6" t="n">
        <v>0.09</v>
      </c>
      <c r="Y9" s="6" t="n">
        <v>0.65</v>
      </c>
      <c r="Z9" s="5" t="n">
        <v>1500</v>
      </c>
      <c r="AA9" s="5" t="n">
        <v>800</v>
      </c>
      <c r="AB9" s="5" t="n">
        <v>6000</v>
      </c>
      <c r="AC9" s="5" t="n">
        <v>8000</v>
      </c>
      <c r="AD9" s="6" t="n">
        <v>0.3</v>
      </c>
      <c r="AE9" s="5" t="n">
        <v>1000</v>
      </c>
      <c r="AF9" s="6" t="n">
        <v>0.15</v>
      </c>
      <c r="AG9" s="5" t="n">
        <v>0</v>
      </c>
      <c r="AH9" s="3" t="n">
        <f aca="false">F9*(1-G9)</f>
        <v>47.4905</v>
      </c>
      <c r="AI9" s="3" t="n">
        <f aca="false">AH9/(1+H9)</f>
        <v>39.5754166666667</v>
      </c>
      <c r="AJ9" s="3" t="n">
        <f aca="false">AI9*(1-I9)</f>
        <v>36.8051375</v>
      </c>
      <c r="AK9" s="3" t="n">
        <f aca="false">J9+K9</f>
        <v>14.8</v>
      </c>
      <c r="AL9" s="3" t="n">
        <f aca="false">AK9*N9</f>
        <v>0</v>
      </c>
      <c r="AM9" s="3" t="n">
        <f aca="false">AK9+L9+M9+AL9+O9+P9</f>
        <v>17.5</v>
      </c>
      <c r="AN9" s="3" t="n">
        <f aca="false">AH9*Q9*(1-I9)+I9*U9</f>
        <v>6.65292475</v>
      </c>
      <c r="AO9" s="3" t="n">
        <f aca="false">AJ9-AM9-AN9-R9-S9-I9*T9-V9+I9*AG9</f>
        <v>7.92721275000001</v>
      </c>
      <c r="AP9" s="3" t="n">
        <f aca="false">IF(X9&gt;0,W9/X9,1000000000)</f>
        <v>8.88888888888889</v>
      </c>
      <c r="AQ9" s="3" t="n">
        <f aca="false">AO9-AP9</f>
        <v>-0.961676138888884</v>
      </c>
      <c r="AR9" s="3" t="n">
        <f aca="false">AO9-AP9*Y9</f>
        <v>2.14943497222223</v>
      </c>
      <c r="AS9" s="7" t="n">
        <f aca="false">AR9/AJ9</f>
        <v>0.05840040598197</v>
      </c>
      <c r="AT9" s="7" t="n">
        <f aca="false">AO9/AH9</f>
        <v>0.166922073888462</v>
      </c>
      <c r="AU9" s="3" t="n">
        <f aca="false">AO9*X9</f>
        <v>0.7134491475</v>
      </c>
      <c r="AV9" s="7" t="n">
        <f aca="false">AP9/AH9</f>
        <v>0.187171937311439</v>
      </c>
      <c r="AW9" s="3" t="n">
        <f aca="false">IF(AV9&gt;0,1/AV9,0)</f>
        <v>5.34268125</v>
      </c>
      <c r="AX9" s="7" t="n">
        <f aca="false">AV9*Y9</f>
        <v>0.121661759252435</v>
      </c>
      <c r="AY9" s="3" t="n">
        <f aca="false">IF(AR9&gt;0,ROUNDUP(Z9/AR9,0),"No break-even at these inputs")</f>
        <v>698</v>
      </c>
      <c r="AZ9" s="3" t="n">
        <f aca="false">IF(ISNUMBER(AY9),AY9*AH9,"N/A")</f>
        <v>33148.369</v>
      </c>
      <c r="BA9" s="3" t="n">
        <f aca="false">AA9*AM9</f>
        <v>14000</v>
      </c>
      <c r="BB9" s="3" t="n">
        <f aca="false">BA9*AD9</f>
        <v>4200</v>
      </c>
      <c r="BC9" s="3" t="n">
        <f aca="false">Z9*BH9</f>
        <v>4500</v>
      </c>
      <c r="BD9" s="3" t="n">
        <f aca="false">BA9+BB9+AB9+AC9+BC9+AE9</f>
        <v>37700</v>
      </c>
      <c r="BE9" s="3" t="n">
        <f aca="false">BD9*AF9</f>
        <v>5655</v>
      </c>
      <c r="BF9" s="3" t="n">
        <f aca="false">BD9+BE9</f>
        <v>43355</v>
      </c>
      <c r="BG9" s="1" t="s">
        <v>6128</v>
      </c>
      <c r="BH9" s="5" t="n">
        <v>3</v>
      </c>
    </row>
    <row r="10" customFormat="false" ht="48" hidden="false" customHeight="true" outlineLevel="0" collapsed="false">
      <c r="A10" s="1" t="s">
        <v>6138</v>
      </c>
      <c r="B10" s="1" t="s">
        <v>45</v>
      </c>
      <c r="C10" s="1" t="s">
        <v>2097</v>
      </c>
      <c r="D10" s="1" t="s">
        <v>5950</v>
      </c>
      <c r="E10" s="1" t="s">
        <v>6132</v>
      </c>
      <c r="F10" s="5" t="n">
        <v>64.99</v>
      </c>
      <c r="G10" s="6" t="n">
        <v>0.05</v>
      </c>
      <c r="H10" s="6" t="n">
        <v>0.2</v>
      </c>
      <c r="I10" s="6" t="n">
        <v>0.1</v>
      </c>
      <c r="J10" s="5" t="n">
        <v>20</v>
      </c>
      <c r="K10" s="5" t="n">
        <v>1.2</v>
      </c>
      <c r="L10" s="5" t="n">
        <v>2</v>
      </c>
      <c r="M10" s="5" t="n">
        <v>0.25</v>
      </c>
      <c r="N10" s="6" t="n">
        <v>0</v>
      </c>
      <c r="O10" s="5" t="n">
        <v>0.5</v>
      </c>
      <c r="P10" s="5" t="n">
        <v>0.9</v>
      </c>
      <c r="Q10" s="6" t="n">
        <v>0.15</v>
      </c>
      <c r="R10" s="5" t="n">
        <v>5</v>
      </c>
      <c r="S10" s="5" t="n">
        <v>0.45</v>
      </c>
      <c r="T10" s="5" t="n">
        <v>3.5</v>
      </c>
      <c r="U10" s="5" t="n">
        <v>0.4</v>
      </c>
      <c r="V10" s="5" t="n">
        <v>0.3</v>
      </c>
      <c r="W10" s="5" t="n">
        <v>1.2</v>
      </c>
      <c r="X10" s="6" t="n">
        <v>0.06</v>
      </c>
      <c r="Y10" s="6" t="n">
        <v>0.8</v>
      </c>
      <c r="Z10" s="5" t="n">
        <v>4000</v>
      </c>
      <c r="AA10" s="5" t="n">
        <v>2400</v>
      </c>
      <c r="AB10" s="5" t="n">
        <v>20000</v>
      </c>
      <c r="AC10" s="5" t="n">
        <v>25000</v>
      </c>
      <c r="AD10" s="6" t="n">
        <v>0.3</v>
      </c>
      <c r="AE10" s="5" t="n">
        <v>3500</v>
      </c>
      <c r="AF10" s="6" t="n">
        <v>0.15</v>
      </c>
      <c r="AG10" s="5" t="n">
        <v>0</v>
      </c>
      <c r="AH10" s="3" t="n">
        <f aca="false">F10*(1-G10)</f>
        <v>61.7405</v>
      </c>
      <c r="AI10" s="3" t="n">
        <f aca="false">AH10/(1+H10)</f>
        <v>51.4504166666667</v>
      </c>
      <c r="AJ10" s="3" t="n">
        <f aca="false">AI10*(1-I10)</f>
        <v>46.305375</v>
      </c>
      <c r="AK10" s="3" t="n">
        <f aca="false">J10+K10</f>
        <v>21.2</v>
      </c>
      <c r="AL10" s="3" t="n">
        <f aca="false">AK10*N10</f>
        <v>0</v>
      </c>
      <c r="AM10" s="3" t="n">
        <f aca="false">AK10+L10+M10+AL10+O10+P10</f>
        <v>24.85</v>
      </c>
      <c r="AN10" s="3" t="n">
        <f aca="false">AH10*Q10*(1-I10)+I10*U10</f>
        <v>8.3749675</v>
      </c>
      <c r="AO10" s="3" t="n">
        <f aca="false">AJ10-AM10-AN10-R10-S10-I10*T10-V10+I10*AG10</f>
        <v>6.9804075</v>
      </c>
      <c r="AP10" s="3" t="n">
        <f aca="false">IF(X10&gt;0,W10/X10,1000000000)</f>
        <v>20</v>
      </c>
      <c r="AQ10" s="3" t="n">
        <f aca="false">AO10-AP10</f>
        <v>-13.0195925</v>
      </c>
      <c r="AR10" s="3" t="n">
        <f aca="false">AO10-AP10*Y10</f>
        <v>-9.0195925</v>
      </c>
      <c r="AS10" s="7" t="n">
        <f aca="false">AR10/AJ10</f>
        <v>-0.19478500066137</v>
      </c>
      <c r="AT10" s="7" t="n">
        <f aca="false">AO10/AH10</f>
        <v>0.113060430349608</v>
      </c>
      <c r="AU10" s="3" t="n">
        <f aca="false">AO10*X10</f>
        <v>0.41882445</v>
      </c>
      <c r="AV10" s="7" t="n">
        <f aca="false">AP10/AH10</f>
        <v>0.323936476057045</v>
      </c>
      <c r="AW10" s="3" t="n">
        <f aca="false">IF(AV10&gt;0,1/AV10,0)</f>
        <v>3.087025</v>
      </c>
      <c r="AX10" s="7" t="n">
        <f aca="false">AV10*Y10</f>
        <v>0.259149180845636</v>
      </c>
      <c r="AY10" s="3" t="str">
        <f aca="false">IF(AR10&gt;0,ROUNDUP(Z10/AR10,0),"No break-even at these inputs")</f>
        <v>No break-even at these inputs</v>
      </c>
      <c r="AZ10" s="3" t="str">
        <f aca="false">IF(ISNUMBER(AY10),AY10*AH10,"N/A")</f>
        <v>N/A</v>
      </c>
      <c r="BA10" s="3" t="n">
        <f aca="false">AA10*AM10</f>
        <v>59640</v>
      </c>
      <c r="BB10" s="3" t="n">
        <f aca="false">BA10*AD10</f>
        <v>17892</v>
      </c>
      <c r="BC10" s="3" t="n">
        <f aca="false">Z10*BH10</f>
        <v>12000</v>
      </c>
      <c r="BD10" s="3" t="n">
        <f aca="false">BA10+BB10+AB10+AC10+BC10+AE10</f>
        <v>138032</v>
      </c>
      <c r="BE10" s="3" t="n">
        <f aca="false">BD10*AF10</f>
        <v>20704.8</v>
      </c>
      <c r="BF10" s="3" t="n">
        <f aca="false">BD10+BE10</f>
        <v>158736.8</v>
      </c>
      <c r="BG10" s="1" t="s">
        <v>6128</v>
      </c>
      <c r="BH10" s="5" t="n">
        <v>3</v>
      </c>
    </row>
  </sheetData>
  <autoFilter ref="A1:BH10"/>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8" min="1" style="1" width="24.71"/>
  </cols>
  <sheetData>
    <row r="1" customFormat="false" ht="36" hidden="false" customHeight="true" outlineLevel="0" collapsed="false">
      <c r="A1" s="2" t="s">
        <v>6139</v>
      </c>
      <c r="B1" s="2" t="s">
        <v>6140</v>
      </c>
      <c r="C1" s="2" t="s">
        <v>6141</v>
      </c>
      <c r="D1" s="2" t="s">
        <v>6142</v>
      </c>
      <c r="E1" s="2" t="s">
        <v>6143</v>
      </c>
      <c r="F1" s="2" t="s">
        <v>6144</v>
      </c>
      <c r="G1" s="2" t="s">
        <v>6145</v>
      </c>
      <c r="H1" s="2" t="s">
        <v>6146</v>
      </c>
    </row>
    <row r="2" customFormat="false" ht="48" hidden="false" customHeight="true" outlineLevel="0" collapsed="false">
      <c r="A2" s="1" t="s">
        <v>6126</v>
      </c>
      <c r="B2" s="1" t="s">
        <v>3712</v>
      </c>
      <c r="C2" s="1" t="s">
        <v>6072</v>
      </c>
      <c r="D2" s="5" t="n">
        <v>0.9</v>
      </c>
      <c r="E2" s="3" t="n">
        <f aca="false">Economics!AR2</f>
        <v>2.27607875</v>
      </c>
      <c r="F2" s="3" t="n">
        <f aca="false">((((Economics!F2*$D2)*(1-Economics!G2))/(1+Economics!H2))*(1-Economics!I2))-((Economics!J2+Economics!K2)*(1+Economics!N2)+Economics!L2+Economics!M2+Economics!O2+Economics!P2)-(((Economics!F2*$D2)*(1-Economics!G2))*Economics!Q2*(1-Economics!I2)+Economics!I2*Economics!U2)-Economics!R2-Economics!S2-Economics!I2*Economics!T2-Economics!V2-Economics!W2/Economics!X2*Economics!Y2+Economics!I2*Economics!AG2</f>
        <v>-0.0245291250000026</v>
      </c>
      <c r="G2" s="3" t="n">
        <f aca="false">F2-E2</f>
        <v>-2.300607875</v>
      </c>
      <c r="H2" s="1" t="s">
        <v>6147</v>
      </c>
    </row>
    <row r="3" customFormat="false" ht="48" hidden="false" customHeight="true" outlineLevel="0" collapsed="false">
      <c r="A3" s="1" t="s">
        <v>6126</v>
      </c>
      <c r="B3" s="1" t="s">
        <v>3712</v>
      </c>
      <c r="C3" s="1" t="s">
        <v>6072</v>
      </c>
      <c r="D3" s="5" t="n">
        <v>1.1</v>
      </c>
      <c r="E3" s="3" t="n">
        <f aca="false">Economics!AR2</f>
        <v>2.27607875</v>
      </c>
      <c r="F3" s="3" t="n">
        <f aca="false">((((Economics!F2*$D3)*(1-Economics!G2))/(1+Economics!H2))*(1-Economics!I2))-((Economics!J2+Economics!K2)*(1+Economics!N2)+Economics!L2+Economics!M2+Economics!O2+Economics!P2)-(((Economics!F2*$D3)*(1-Economics!G2))*Economics!Q2*(1-Economics!I2)+Economics!I2*Economics!U2)-Economics!R2-Economics!S2-Economics!I2*Economics!T2-Economics!V2-Economics!W2/Economics!X2*Economics!Y2+Economics!I2*Economics!AG2</f>
        <v>4.576686625</v>
      </c>
      <c r="G3" s="3" t="n">
        <f aca="false">F3-E3</f>
        <v>2.300607875</v>
      </c>
      <c r="H3" s="1" t="s">
        <v>6147</v>
      </c>
    </row>
    <row r="4" customFormat="false" ht="48" hidden="false" customHeight="true" outlineLevel="0" collapsed="false">
      <c r="A4" s="1" t="s">
        <v>6126</v>
      </c>
      <c r="B4" s="1" t="s">
        <v>3712</v>
      </c>
      <c r="C4" s="1" t="s">
        <v>6088</v>
      </c>
      <c r="D4" s="5" t="n">
        <v>1.25</v>
      </c>
      <c r="E4" s="3" t="n">
        <f aca="false">Economics!AR2</f>
        <v>2.27607875</v>
      </c>
      <c r="F4" s="3" t="n">
        <f aca="false">(((Economics!F2*(1-Economics!G2))/(1+Economics!H2))*(1-Economics!I2))-((Economics!J2+Economics!K2)*(1+Economics!N2)+Economics!L2+Economics!M2+Economics!O2+Economics!P2)-((Economics!F2*(1-Economics!G2))*Economics!Q2*(1-Economics!I2)+Economics!I2*Economics!U2)-Economics!R2-Economics!S2-Economics!I2*Economics!T2-Economics!V2-(Economics!W2*$D4)/Economics!X2*Economics!Y2+Economics!I2*Economics!AG2</f>
        <v>0.869828749999999</v>
      </c>
      <c r="G4" s="3" t="n">
        <f aca="false">F4-E4</f>
        <v>-1.40625</v>
      </c>
      <c r="H4" s="1" t="s">
        <v>6147</v>
      </c>
    </row>
    <row r="5" customFormat="false" ht="48" hidden="false" customHeight="true" outlineLevel="0" collapsed="false">
      <c r="A5" s="1" t="s">
        <v>6126</v>
      </c>
      <c r="B5" s="1" t="s">
        <v>3712</v>
      </c>
      <c r="C5" s="1" t="s">
        <v>6089</v>
      </c>
      <c r="D5" s="5" t="n">
        <v>0.75</v>
      </c>
      <c r="E5" s="3" t="n">
        <f aca="false">Economics!AR2</f>
        <v>2.27607875</v>
      </c>
      <c r="F5" s="3" t="n">
        <f aca="false">(((Economics!F2*(1-Economics!G2))/(1+Economics!H2))*(1-Economics!I2))-((Economics!J2+Economics!K2)*(1+Economics!N2)+Economics!L2+Economics!M2+Economics!O2+Economics!P2)-((Economics!F2*(1-Economics!G2))*Economics!Q2*(1-Economics!I2)+Economics!I2*Economics!U2)-Economics!R2-Economics!S2-Economics!I2*Economics!T2-Economics!V2-Economics!W2/(Economics!X2*$D5)*Economics!Y2+Economics!I2*Economics!AG2</f>
        <v>0.401078749999999</v>
      </c>
      <c r="G5" s="3" t="n">
        <f aca="false">F5-E5</f>
        <v>-1.875</v>
      </c>
      <c r="H5" s="1" t="s">
        <v>6147</v>
      </c>
    </row>
    <row r="6" customFormat="false" ht="48" hidden="false" customHeight="true" outlineLevel="0" collapsed="false">
      <c r="A6" s="1" t="s">
        <v>6126</v>
      </c>
      <c r="B6" s="1" t="s">
        <v>3712</v>
      </c>
      <c r="C6" s="1" t="s">
        <v>6077</v>
      </c>
      <c r="D6" s="5" t="n">
        <v>1.5</v>
      </c>
      <c r="E6" s="3" t="n">
        <f aca="false">Economics!AR2</f>
        <v>2.27607875</v>
      </c>
      <c r="F6" s="3" t="n">
        <f aca="false">(((Economics!F2*(1-Economics!G2))/(1+Economics!H2))*(1-Economics!I2))-((Economics!J2+Economics!K2)*(1+Economics!N2)+(Economics!L2*$D6)+Economics!M2+Economics!O2+Economics!P2)-((Economics!F2*(1-Economics!G2))*Economics!Q2*(1-Economics!I2)+Economics!I2*Economics!U2)-Economics!R2-Economics!S2-Economics!I2*Economics!T2-Economics!V2-Economics!W2/Economics!X2*Economics!Y2+Economics!I2*Economics!AG2</f>
        <v>1.77607874999999</v>
      </c>
      <c r="G6" s="3" t="n">
        <f aca="false">F6-E6</f>
        <v>-0.500000000000004</v>
      </c>
      <c r="H6" s="1" t="s">
        <v>6147</v>
      </c>
    </row>
    <row r="7" customFormat="false" ht="48" hidden="false" customHeight="true" outlineLevel="0" collapsed="false">
      <c r="A7" s="1" t="s">
        <v>6126</v>
      </c>
      <c r="B7" s="1" t="s">
        <v>3712</v>
      </c>
      <c r="C7" s="1" t="s">
        <v>6075</v>
      </c>
      <c r="D7" s="5" t="n">
        <v>1.5</v>
      </c>
      <c r="E7" s="3" t="n">
        <f aca="false">Economics!AR2</f>
        <v>2.27607875</v>
      </c>
      <c r="F7" s="3" t="n">
        <f aca="false">(((Economics!F2*(1-Economics!G2))/(1+Economics!H2))*(1-(Economics!I2*$D7)))-((Economics!J2+Economics!K2)*(1+Economics!N2)+Economics!L2+Economics!M2+Economics!O2+Economics!P2)-((Economics!F2*(1-Economics!G2))*Economics!Q2*(1-(Economics!I2*$D7))+(Economics!I2*$D7)*Economics!U2)-Economics!R2-Economics!S2-(Economics!I2*$D7)*Economics!T2-Economics!V2-Economics!W2/Economics!X2*Economics!Y2+(Economics!I2*$D7)*Economics!AG2</f>
        <v>1.623155625</v>
      </c>
      <c r="G7" s="3" t="n">
        <f aca="false">F7-E7</f>
        <v>-0.652923124999998</v>
      </c>
      <c r="H7" s="1" t="s">
        <v>6147</v>
      </c>
    </row>
    <row r="8" customFormat="false" ht="48" hidden="false" customHeight="true" outlineLevel="0" collapsed="false">
      <c r="A8" s="1" t="s">
        <v>6126</v>
      </c>
      <c r="B8" s="1" t="s">
        <v>3712</v>
      </c>
      <c r="C8" s="1" t="s">
        <v>6076</v>
      </c>
      <c r="D8" s="5" t="n">
        <v>1.1</v>
      </c>
      <c r="E8" s="3" t="n">
        <f aca="false">Economics!AR2</f>
        <v>2.27607875</v>
      </c>
      <c r="F8" s="3" t="n">
        <f aca="false">(((Economics!F2*(1-Economics!G2))/(1+Economics!H2))*(1-Economics!I2))-(((Economics!J2*$D8)+Economics!K2)*(1+Economics!N2)+Economics!L2+Economics!M2+Economics!O2+Economics!P2)-((Economics!F2*(1-Economics!G2))*Economics!Q2*(1-Economics!I2)+Economics!I2*Economics!U2)-Economics!R2-Economics!S2-Economics!I2*Economics!T2-Economics!V2-Economics!W2/Economics!X2*Economics!Y2+Economics!I2*Economics!AG2</f>
        <v>1.43607874999999</v>
      </c>
      <c r="G8" s="3" t="n">
        <f aca="false">F8-E8</f>
        <v>-0.840000000000004</v>
      </c>
      <c r="H8" s="1" t="s">
        <v>6147</v>
      </c>
    </row>
    <row r="9" customFormat="false" ht="48" hidden="false" customHeight="true" outlineLevel="0" collapsed="false">
      <c r="A9" s="1" t="s">
        <v>6129</v>
      </c>
      <c r="B9" s="1" t="s">
        <v>3712</v>
      </c>
      <c r="C9" s="1" t="s">
        <v>6072</v>
      </c>
      <c r="D9" s="5" t="n">
        <v>0.9</v>
      </c>
      <c r="E9" s="3" t="n">
        <f aca="false">Economics!AR3</f>
        <v>8.48107358333333</v>
      </c>
      <c r="F9" s="3" t="n">
        <f aca="false">((((Economics!F3*$D9)*(1-Economics!G3))/(1+Economics!H3))*(1-Economics!I3))-((Economics!J3+Economics!K3)*(1+Economics!N3)+Economics!L3+Economics!M3+Economics!O3+Economics!P3)-(((Economics!F3*$D9)*(1-Economics!G3))*Economics!Q3*(1-Economics!I3)+Economics!I3*Economics!U3)-Economics!R3-Economics!S3-Economics!I3*Economics!T3-Economics!V3-Economics!W3/Economics!X3*Economics!Y3+Economics!I3*Economics!AG3</f>
        <v>3.22499955833333</v>
      </c>
      <c r="G9" s="3" t="n">
        <f aca="false">F9-E9</f>
        <v>-5.256074025</v>
      </c>
      <c r="H9" s="1" t="s">
        <v>6147</v>
      </c>
    </row>
    <row r="10" customFormat="false" ht="48" hidden="false" customHeight="true" outlineLevel="0" collapsed="false">
      <c r="A10" s="1" t="s">
        <v>6129</v>
      </c>
      <c r="B10" s="1" t="s">
        <v>3712</v>
      </c>
      <c r="C10" s="1" t="s">
        <v>6072</v>
      </c>
      <c r="D10" s="5" t="n">
        <v>1.1</v>
      </c>
      <c r="E10" s="3" t="n">
        <f aca="false">Economics!AR3</f>
        <v>8.48107358333333</v>
      </c>
      <c r="F10" s="3" t="n">
        <f aca="false">((((Economics!F3*$D10)*(1-Economics!G3))/(1+Economics!H3))*(1-Economics!I3))-((Economics!J3+Economics!K3)*(1+Economics!N3)+Economics!L3+Economics!M3+Economics!O3+Economics!P3)-(((Economics!F3*$D10)*(1-Economics!G3))*Economics!Q3*(1-Economics!I3)+Economics!I3*Economics!U3)-Economics!R3-Economics!S3-Economics!I3*Economics!T3-Economics!V3-Economics!W3/Economics!X3*Economics!Y3+Economics!I3*Economics!AG3</f>
        <v>13.7371476083333</v>
      </c>
      <c r="G10" s="3" t="n">
        <f aca="false">F10-E10</f>
        <v>5.256074025</v>
      </c>
      <c r="H10" s="1" t="s">
        <v>6147</v>
      </c>
    </row>
    <row r="11" customFormat="false" ht="48" hidden="false" customHeight="true" outlineLevel="0" collapsed="false">
      <c r="A11" s="1" t="s">
        <v>6129</v>
      </c>
      <c r="B11" s="1" t="s">
        <v>3712</v>
      </c>
      <c r="C11" s="1" t="s">
        <v>6088</v>
      </c>
      <c r="D11" s="5" t="n">
        <v>1.25</v>
      </c>
      <c r="E11" s="3" t="n">
        <f aca="false">Economics!AR3</f>
        <v>8.48107358333333</v>
      </c>
      <c r="F11" s="3" t="n">
        <f aca="false">(((Economics!F3*(1-Economics!G3))/(1+Economics!H3))*(1-Economics!I3))-((Economics!J3+Economics!K3)*(1+Economics!N3)+Economics!L3+Economics!M3+Economics!O3+Economics!P3)-((Economics!F3*(1-Economics!G3))*Economics!Q3*(1-Economics!I3)+Economics!I3*Economics!U3)-Economics!R3-Economics!S3-Economics!I3*Economics!T3-Economics!V3-(Economics!W3*$D11)/Economics!X3*Economics!Y3+Economics!I3*Economics!AG3</f>
        <v>6.31440691666666</v>
      </c>
      <c r="G11" s="3" t="n">
        <f aca="false">F11-E11</f>
        <v>-2.16666666666667</v>
      </c>
      <c r="H11" s="1" t="s">
        <v>6147</v>
      </c>
    </row>
    <row r="12" customFormat="false" ht="48" hidden="false" customHeight="true" outlineLevel="0" collapsed="false">
      <c r="A12" s="1" t="s">
        <v>6129</v>
      </c>
      <c r="B12" s="1" t="s">
        <v>3712</v>
      </c>
      <c r="C12" s="1" t="s">
        <v>6089</v>
      </c>
      <c r="D12" s="5" t="n">
        <v>0.75</v>
      </c>
      <c r="E12" s="3" t="n">
        <f aca="false">Economics!AR3</f>
        <v>8.48107358333333</v>
      </c>
      <c r="F12" s="3" t="n">
        <f aca="false">(((Economics!F3*(1-Economics!G3))/(1+Economics!H3))*(1-Economics!I3))-((Economics!J3+Economics!K3)*(1+Economics!N3)+Economics!L3+Economics!M3+Economics!O3+Economics!P3)-((Economics!F3*(1-Economics!G3))*Economics!Q3*(1-Economics!I3)+Economics!I3*Economics!U3)-Economics!R3-Economics!S3-Economics!I3*Economics!T3-Economics!V3-Economics!W3/(Economics!X3*$D12)*Economics!Y3+Economics!I3*Economics!AG3</f>
        <v>5.59218469444445</v>
      </c>
      <c r="G12" s="3" t="n">
        <f aca="false">F12-E12</f>
        <v>-2.88888888888889</v>
      </c>
      <c r="H12" s="1" t="s">
        <v>6147</v>
      </c>
    </row>
    <row r="13" customFormat="false" ht="48" hidden="false" customHeight="true" outlineLevel="0" collapsed="false">
      <c r="A13" s="1" t="s">
        <v>6129</v>
      </c>
      <c r="B13" s="1" t="s">
        <v>3712</v>
      </c>
      <c r="C13" s="1" t="s">
        <v>6077</v>
      </c>
      <c r="D13" s="5" t="n">
        <v>1.5</v>
      </c>
      <c r="E13" s="3" t="n">
        <f aca="false">Economics!AR3</f>
        <v>8.48107358333333</v>
      </c>
      <c r="F13" s="3" t="n">
        <f aca="false">(((Economics!F3*(1-Economics!G3))/(1+Economics!H3))*(1-Economics!I3))-((Economics!J3+Economics!K3)*(1+Economics!N3)+(Economics!L3*$D13)+Economics!M3+Economics!O3+Economics!P3)-((Economics!F3*(1-Economics!G3))*Economics!Q3*(1-Economics!I3)+Economics!I3*Economics!U3)-Economics!R3-Economics!S3-Economics!I3*Economics!T3-Economics!V3-Economics!W3/Economics!X3*Economics!Y3+Economics!I3*Economics!AG3</f>
        <v>7.48107358333333</v>
      </c>
      <c r="G13" s="3" t="n">
        <f aca="false">F13-E13</f>
        <v>-1</v>
      </c>
      <c r="H13" s="1" t="s">
        <v>6147</v>
      </c>
    </row>
    <row r="14" customFormat="false" ht="48" hidden="false" customHeight="true" outlineLevel="0" collapsed="false">
      <c r="A14" s="1" t="s">
        <v>6129</v>
      </c>
      <c r="B14" s="1" t="s">
        <v>3712</v>
      </c>
      <c r="C14" s="1" t="s">
        <v>6075</v>
      </c>
      <c r="D14" s="5" t="n">
        <v>1.5</v>
      </c>
      <c r="E14" s="3" t="n">
        <f aca="false">Economics!AR3</f>
        <v>8.48107358333333</v>
      </c>
      <c r="F14" s="3" t="n">
        <f aca="false">(((Economics!F3*(1-Economics!G3))/(1+Economics!H3))*(1-(Economics!I3*$D14)))-((Economics!J3+Economics!K3)*(1+Economics!N3)+Economics!L3+Economics!M3+Economics!O3+Economics!P3)-((Economics!F3*(1-Economics!G3))*Economics!Q3*(1-(Economics!I3*$D14))+(Economics!I3*$D14)*Economics!U3)-Economics!R3-Economics!S3-(Economics!I3*$D14)*Economics!T3-Economics!V3-Economics!W3/Economics!X3*Economics!Y3+(Economics!I3*$D14)*Economics!AG3</f>
        <v>6.40148120833334</v>
      </c>
      <c r="G14" s="3" t="n">
        <f aca="false">F14-E14</f>
        <v>-2.07959237499999</v>
      </c>
      <c r="H14" s="1" t="s">
        <v>6147</v>
      </c>
    </row>
    <row r="15" customFormat="false" ht="48" hidden="false" customHeight="true" outlineLevel="0" collapsed="false">
      <c r="A15" s="1" t="s">
        <v>6129</v>
      </c>
      <c r="B15" s="1" t="s">
        <v>3712</v>
      </c>
      <c r="C15" s="1" t="s">
        <v>6076</v>
      </c>
      <c r="D15" s="5" t="n">
        <v>1.1</v>
      </c>
      <c r="E15" s="3" t="n">
        <f aca="false">Economics!AR3</f>
        <v>8.48107358333333</v>
      </c>
      <c r="F15" s="3" t="n">
        <f aca="false">(((Economics!F3*(1-Economics!G3))/(1+Economics!H3))*(1-Economics!I3))-(((Economics!J3*$D15)+Economics!K3)*(1+Economics!N3)+Economics!L3+Economics!M3+Economics!O3+Economics!P3)-((Economics!F3*(1-Economics!G3))*Economics!Q3*(1-Economics!I3)+Economics!I3*Economics!U3)-Economics!R3-Economics!S3-Economics!I3*Economics!T3-Economics!V3-Economics!W3/Economics!X3*Economics!Y3+Economics!I3*Economics!AG3</f>
        <v>6.08107358333333</v>
      </c>
      <c r="G15" s="3" t="n">
        <f aca="false">F15-E15</f>
        <v>-2.4</v>
      </c>
      <c r="H15" s="1" t="s">
        <v>6147</v>
      </c>
    </row>
    <row r="16" customFormat="false" ht="48" hidden="false" customHeight="true" outlineLevel="0" collapsed="false">
      <c r="A16" s="1" t="s">
        <v>6131</v>
      </c>
      <c r="B16" s="1" t="s">
        <v>3712</v>
      </c>
      <c r="C16" s="1" t="s">
        <v>6072</v>
      </c>
      <c r="D16" s="5" t="n">
        <v>0.9</v>
      </c>
      <c r="E16" s="3" t="n">
        <f aca="false">Economics!AR4</f>
        <v>-10.5972675</v>
      </c>
      <c r="F16" s="3" t="n">
        <f aca="false">((((Economics!F4*$D16)*(1-Economics!G4))/(1+Economics!H4))*(1-Economics!I4))-((Economics!J4+Economics!K4)*(1+Economics!N4)+Economics!L4+Economics!M4+Economics!O4+Economics!P4)-(((Economics!F4*$D16)*(1-Economics!G4))*Economics!Q4*(1-Economics!I4)+Economics!I4*Economics!U4)-Economics!R4-Economics!S4-Economics!I4*Economics!T4-Economics!V4-Economics!W4/Economics!X4*Economics!Y4+Economics!I4*Economics!AG4</f>
        <v>-16.41054075</v>
      </c>
      <c r="G16" s="3" t="n">
        <f aca="false">F16-E16</f>
        <v>-5.81327325</v>
      </c>
      <c r="H16" s="1" t="s">
        <v>6147</v>
      </c>
    </row>
    <row r="17" customFormat="false" ht="48" hidden="false" customHeight="true" outlineLevel="0" collapsed="false">
      <c r="A17" s="1" t="s">
        <v>6131</v>
      </c>
      <c r="B17" s="1" t="s">
        <v>3712</v>
      </c>
      <c r="C17" s="1" t="s">
        <v>6072</v>
      </c>
      <c r="D17" s="5" t="n">
        <v>1.1</v>
      </c>
      <c r="E17" s="3" t="n">
        <f aca="false">Economics!AR4</f>
        <v>-10.5972675</v>
      </c>
      <c r="F17" s="3" t="n">
        <f aca="false">((((Economics!F4*$D17)*(1-Economics!G4))/(1+Economics!H4))*(1-Economics!I4))-((Economics!J4+Economics!K4)*(1+Economics!N4)+Economics!L4+Economics!M4+Economics!O4+Economics!P4)-(((Economics!F4*$D17)*(1-Economics!G4))*Economics!Q4*(1-Economics!I4)+Economics!I4*Economics!U4)-Economics!R4-Economics!S4-Economics!I4*Economics!T4-Economics!V4-Economics!W4/Economics!X4*Economics!Y4+Economics!I4*Economics!AG4</f>
        <v>-4.78399425</v>
      </c>
      <c r="G17" s="3" t="n">
        <f aca="false">F17-E17</f>
        <v>5.81327325</v>
      </c>
      <c r="H17" s="1" t="s">
        <v>6147</v>
      </c>
    </row>
    <row r="18" customFormat="false" ht="48" hidden="false" customHeight="true" outlineLevel="0" collapsed="false">
      <c r="A18" s="1" t="s">
        <v>6131</v>
      </c>
      <c r="B18" s="1" t="s">
        <v>3712</v>
      </c>
      <c r="C18" s="1" t="s">
        <v>6088</v>
      </c>
      <c r="D18" s="5" t="n">
        <v>1.25</v>
      </c>
      <c r="E18" s="3" t="n">
        <f aca="false">Economics!AR4</f>
        <v>-10.5972675</v>
      </c>
      <c r="F18" s="3" t="n">
        <f aca="false">(((Economics!F4*(1-Economics!G4))/(1+Economics!H4))*(1-Economics!I4))-((Economics!J4+Economics!K4)*(1+Economics!N4)+Economics!L4+Economics!M4+Economics!O4+Economics!P4)-((Economics!F4*(1-Economics!G4))*Economics!Q4*(1-Economics!I4)+Economics!I4*Economics!U4)-Economics!R4-Economics!S4-Economics!I4*Economics!T4-Economics!V4-(Economics!W4*$D18)/Economics!X4*Economics!Y4+Economics!I4*Economics!AG4</f>
        <v>-16.5972675</v>
      </c>
      <c r="G18" s="3" t="n">
        <f aca="false">F18-E18</f>
        <v>-6</v>
      </c>
      <c r="H18" s="1" t="s">
        <v>6147</v>
      </c>
    </row>
    <row r="19" customFormat="false" ht="48" hidden="false" customHeight="true" outlineLevel="0" collapsed="false">
      <c r="A19" s="1" t="s">
        <v>6131</v>
      </c>
      <c r="B19" s="1" t="s">
        <v>3712</v>
      </c>
      <c r="C19" s="1" t="s">
        <v>6089</v>
      </c>
      <c r="D19" s="5" t="n">
        <v>0.75</v>
      </c>
      <c r="E19" s="3" t="n">
        <f aca="false">Economics!AR4</f>
        <v>-10.5972675</v>
      </c>
      <c r="F19" s="3" t="n">
        <f aca="false">(((Economics!F4*(1-Economics!G4))/(1+Economics!H4))*(1-Economics!I4))-((Economics!J4+Economics!K4)*(1+Economics!N4)+Economics!L4+Economics!M4+Economics!O4+Economics!P4)-((Economics!F4*(1-Economics!G4))*Economics!Q4*(1-Economics!I4)+Economics!I4*Economics!U4)-Economics!R4-Economics!S4-Economics!I4*Economics!T4-Economics!V4-Economics!W4/(Economics!X4*$D19)*Economics!Y4+Economics!I4*Economics!AG4</f>
        <v>-18.5972675</v>
      </c>
      <c r="G19" s="3" t="n">
        <f aca="false">F19-E19</f>
        <v>-8</v>
      </c>
      <c r="H19" s="1" t="s">
        <v>6147</v>
      </c>
    </row>
    <row r="20" customFormat="false" ht="48" hidden="false" customHeight="true" outlineLevel="0" collapsed="false">
      <c r="A20" s="1" t="s">
        <v>6131</v>
      </c>
      <c r="B20" s="1" t="s">
        <v>3712</v>
      </c>
      <c r="C20" s="1" t="s">
        <v>6077</v>
      </c>
      <c r="D20" s="5" t="n">
        <v>1.5</v>
      </c>
      <c r="E20" s="3" t="n">
        <f aca="false">Economics!AR4</f>
        <v>-10.5972675</v>
      </c>
      <c r="F20" s="3" t="n">
        <f aca="false">(((Economics!F4*(1-Economics!G4))/(1+Economics!H4))*(1-Economics!I4))-((Economics!J4+Economics!K4)*(1+Economics!N4)+(Economics!L4*$D20)+Economics!M4+Economics!O4+Economics!P4)-((Economics!F4*(1-Economics!G4))*Economics!Q4*(1-Economics!I4)+Economics!I4*Economics!U4)-Economics!R4-Economics!S4-Economics!I4*Economics!T4-Economics!V4-Economics!W4/Economics!X4*Economics!Y4+Economics!I4*Economics!AG4</f>
        <v>-12.0972675</v>
      </c>
      <c r="G20" s="3" t="n">
        <f aca="false">F20-E20</f>
        <v>-1.5</v>
      </c>
      <c r="H20" s="1" t="s">
        <v>6147</v>
      </c>
    </row>
    <row r="21" customFormat="false" ht="48" hidden="false" customHeight="true" outlineLevel="0" collapsed="false">
      <c r="A21" s="1" t="s">
        <v>6131</v>
      </c>
      <c r="B21" s="1" t="s">
        <v>3712</v>
      </c>
      <c r="C21" s="1" t="s">
        <v>6075</v>
      </c>
      <c r="D21" s="5" t="n">
        <v>1.5</v>
      </c>
      <c r="E21" s="3" t="n">
        <f aca="false">Economics!AR4</f>
        <v>-10.5972675</v>
      </c>
      <c r="F21" s="3" t="n">
        <f aca="false">(((Economics!F4*(1-Economics!G4))/(1+Economics!H4))*(1-(Economics!I4*$D21)))-((Economics!J4+Economics!K4)*(1+Economics!N4)+Economics!L4+Economics!M4+Economics!O4+Economics!P4)-((Economics!F4*(1-Economics!G4))*Economics!Q4*(1-(Economics!I4*$D21))+(Economics!I4*$D21)*Economics!U4)-Economics!R4-Economics!S4-(Economics!I4*$D21)*Economics!T4-Economics!V4-Economics!W4/Economics!X4*Economics!Y4+(Economics!I4*$D21)*Economics!AG4</f>
        <v>-14.02186375</v>
      </c>
      <c r="G21" s="3" t="n">
        <f aca="false">F21-E21</f>
        <v>-3.42459625000002</v>
      </c>
      <c r="H21" s="1" t="s">
        <v>6147</v>
      </c>
    </row>
    <row r="22" customFormat="false" ht="48" hidden="false" customHeight="true" outlineLevel="0" collapsed="false">
      <c r="A22" s="1" t="s">
        <v>6131</v>
      </c>
      <c r="B22" s="1" t="s">
        <v>3712</v>
      </c>
      <c r="C22" s="1" t="s">
        <v>6076</v>
      </c>
      <c r="D22" s="5" t="n">
        <v>1.1</v>
      </c>
      <c r="E22" s="3" t="n">
        <f aca="false">Economics!AR4</f>
        <v>-10.5972675</v>
      </c>
      <c r="F22" s="3" t="n">
        <f aca="false">(((Economics!F4*(1-Economics!G4))/(1+Economics!H4))*(1-Economics!I4))-(((Economics!J4*$D22)+Economics!K4)*(1+Economics!N4)+Economics!L4+Economics!M4+Economics!O4+Economics!P4)-((Economics!F4*(1-Economics!G4))*Economics!Q4*(1-Economics!I4)+Economics!I4*Economics!U4)-Economics!R4-Economics!S4-Economics!I4*Economics!T4-Economics!V4-Economics!W4/Economics!X4*Economics!Y4+Economics!I4*Economics!AG4</f>
        <v>-13.5972675</v>
      </c>
      <c r="G22" s="3" t="n">
        <f aca="false">F22-E22</f>
        <v>-3.00000000000001</v>
      </c>
      <c r="H22" s="1" t="s">
        <v>6147</v>
      </c>
    </row>
    <row r="23" customFormat="false" ht="48" hidden="false" customHeight="true" outlineLevel="0" collapsed="false">
      <c r="A23" s="1" t="s">
        <v>6133</v>
      </c>
      <c r="B23" s="1" t="s">
        <v>212</v>
      </c>
      <c r="C23" s="1" t="s">
        <v>6072</v>
      </c>
      <c r="D23" s="5" t="n">
        <v>0.9</v>
      </c>
      <c r="E23" s="3" t="n">
        <f aca="false">Economics!AR5</f>
        <v>4.03432874999999</v>
      </c>
      <c r="F23" s="3" t="n">
        <f aca="false">((((Economics!F5*$D23)*(1-Economics!G5))/(1+Economics!H5))*(1-Economics!I5))-((Economics!J5+Economics!K5)*(1+Economics!N5)+Economics!L5+Economics!M5+Economics!O5+Economics!P5)-(((Economics!F5*$D23)*(1-Economics!G5))*Economics!Q5*(1-Economics!I5)+Economics!I5*Economics!U5)-Economics!R5-Economics!S5-Economics!I5*Economics!T5-Economics!V5-Economics!W5/Economics!X5*Economics!Y5+Economics!I5*Economics!AG5</f>
        <v>0.966595874999999</v>
      </c>
      <c r="G23" s="3" t="n">
        <f aca="false">F23-E23</f>
        <v>-3.06773287499999</v>
      </c>
      <c r="H23" s="1" t="s">
        <v>6147</v>
      </c>
    </row>
    <row r="24" customFormat="false" ht="48" hidden="false" customHeight="true" outlineLevel="0" collapsed="false">
      <c r="A24" s="1" t="s">
        <v>6133</v>
      </c>
      <c r="B24" s="1" t="s">
        <v>212</v>
      </c>
      <c r="C24" s="1" t="s">
        <v>6072</v>
      </c>
      <c r="D24" s="5" t="n">
        <v>1.1</v>
      </c>
      <c r="E24" s="3" t="n">
        <f aca="false">Economics!AR5</f>
        <v>4.03432874999999</v>
      </c>
      <c r="F24" s="3" t="n">
        <f aca="false">((((Economics!F5*$D24)*(1-Economics!G5))/(1+Economics!H5))*(1-Economics!I5))-((Economics!J5+Economics!K5)*(1+Economics!N5)+Economics!L5+Economics!M5+Economics!O5+Economics!P5)-(((Economics!F5*$D24)*(1-Economics!G5))*Economics!Q5*(1-Economics!I5)+Economics!I5*Economics!U5)-Economics!R5-Economics!S5-Economics!I5*Economics!T5-Economics!V5-Economics!W5/Economics!X5*Economics!Y5+Economics!I5*Economics!AG5</f>
        <v>7.10206162500001</v>
      </c>
      <c r="G24" s="3" t="n">
        <f aca="false">F24-E24</f>
        <v>3.06773287500002</v>
      </c>
      <c r="H24" s="1" t="s">
        <v>6147</v>
      </c>
    </row>
    <row r="25" customFormat="false" ht="48" hidden="false" customHeight="true" outlineLevel="0" collapsed="false">
      <c r="A25" s="1" t="s">
        <v>6133</v>
      </c>
      <c r="B25" s="1" t="s">
        <v>212</v>
      </c>
      <c r="C25" s="1" t="s">
        <v>6088</v>
      </c>
      <c r="D25" s="5" t="n">
        <v>1.25</v>
      </c>
      <c r="E25" s="3" t="n">
        <f aca="false">Economics!AR5</f>
        <v>4.03432874999999</v>
      </c>
      <c r="F25" s="3" t="n">
        <f aca="false">(((Economics!F5*(1-Economics!G5))/(1+Economics!H5))*(1-Economics!I5))-((Economics!J5+Economics!K5)*(1+Economics!N5)+Economics!L5+Economics!M5+Economics!O5+Economics!P5)-((Economics!F5*(1-Economics!G5))*Economics!Q5*(1-Economics!I5)+Economics!I5*Economics!U5)-Economics!R5-Economics!S5-Economics!I5*Economics!T5-Economics!V5-(Economics!W5*$D25)/Economics!X5*Economics!Y5+Economics!I5*Economics!AG5</f>
        <v>2.34682875</v>
      </c>
      <c r="G25" s="3" t="n">
        <f aca="false">F25-E25</f>
        <v>-1.6875</v>
      </c>
      <c r="H25" s="1" t="s">
        <v>6147</v>
      </c>
    </row>
    <row r="26" customFormat="false" ht="48" hidden="false" customHeight="true" outlineLevel="0" collapsed="false">
      <c r="A26" s="1" t="s">
        <v>6133</v>
      </c>
      <c r="B26" s="1" t="s">
        <v>212</v>
      </c>
      <c r="C26" s="1" t="s">
        <v>6089</v>
      </c>
      <c r="D26" s="5" t="n">
        <v>0.75</v>
      </c>
      <c r="E26" s="3" t="n">
        <f aca="false">Economics!AR5</f>
        <v>4.03432874999999</v>
      </c>
      <c r="F26" s="3" t="n">
        <f aca="false">(((Economics!F5*(1-Economics!G5))/(1+Economics!H5))*(1-Economics!I5))-((Economics!J5+Economics!K5)*(1+Economics!N5)+Economics!L5+Economics!M5+Economics!O5+Economics!P5)-((Economics!F5*(1-Economics!G5))*Economics!Q5*(1-Economics!I5)+Economics!I5*Economics!U5)-Economics!R5-Economics!S5-Economics!I5*Economics!T5-Economics!V5-Economics!W5/(Economics!X5*$D26)*Economics!Y5+Economics!I5*Economics!AG5</f>
        <v>1.78432875</v>
      </c>
      <c r="G26" s="3" t="n">
        <f aca="false">F26-E26</f>
        <v>-2.25</v>
      </c>
      <c r="H26" s="1" t="s">
        <v>6147</v>
      </c>
    </row>
    <row r="27" customFormat="false" ht="48" hidden="false" customHeight="true" outlineLevel="0" collapsed="false">
      <c r="A27" s="1" t="s">
        <v>6133</v>
      </c>
      <c r="B27" s="1" t="s">
        <v>212</v>
      </c>
      <c r="C27" s="1" t="s">
        <v>6077</v>
      </c>
      <c r="D27" s="5" t="n">
        <v>1.5</v>
      </c>
      <c r="E27" s="3" t="n">
        <f aca="false">Economics!AR5</f>
        <v>4.03432874999999</v>
      </c>
      <c r="F27" s="3" t="n">
        <f aca="false">(((Economics!F5*(1-Economics!G5))/(1+Economics!H5))*(1-Economics!I5))-((Economics!J5+Economics!K5)*(1+Economics!N5)+(Economics!L5*$D27)+Economics!M5+Economics!O5+Economics!P5)-((Economics!F5*(1-Economics!G5))*Economics!Q5*(1-Economics!I5)+Economics!I5*Economics!U5)-Economics!R5-Economics!S5-Economics!I5*Economics!T5-Economics!V5-Economics!W5/Economics!X5*Economics!Y5+Economics!I5*Economics!AG5</f>
        <v>3.28432875</v>
      </c>
      <c r="G27" s="3" t="n">
        <f aca="false">F27-E27</f>
        <v>-0.749999999999996</v>
      </c>
      <c r="H27" s="1" t="s">
        <v>6147</v>
      </c>
    </row>
    <row r="28" customFormat="false" ht="48" hidden="false" customHeight="true" outlineLevel="0" collapsed="false">
      <c r="A28" s="1" t="s">
        <v>6133</v>
      </c>
      <c r="B28" s="1" t="s">
        <v>212</v>
      </c>
      <c r="C28" s="1" t="s">
        <v>6075</v>
      </c>
      <c r="D28" s="5" t="n">
        <v>1.5</v>
      </c>
      <c r="E28" s="3" t="n">
        <f aca="false">Economics!AR5</f>
        <v>4.03432874999999</v>
      </c>
      <c r="F28" s="3" t="n">
        <f aca="false">(((Economics!F5*(1-Economics!G5))/(1+Economics!H5))*(1-(Economics!I5*$D28)))-((Economics!J5+Economics!K5)*(1+Economics!N5)+Economics!L5+Economics!M5+Economics!O5+Economics!P5)-((Economics!F5*(1-Economics!G5))*Economics!Q5*(1-(Economics!I5*$D28))+(Economics!I5*$D28)*Economics!U5)-Economics!R5-Economics!S5-(Economics!I5*$D28)*Economics!T5-Economics!V5-Economics!W5/Economics!X5*Economics!Y5+(Economics!I5*$D28)*Economics!AG5</f>
        <v>3.179530625</v>
      </c>
      <c r="G28" s="3" t="n">
        <f aca="false">F28-E28</f>
        <v>-0.85479812499999</v>
      </c>
      <c r="H28" s="1" t="s">
        <v>6147</v>
      </c>
    </row>
    <row r="29" customFormat="false" ht="48" hidden="false" customHeight="true" outlineLevel="0" collapsed="false">
      <c r="A29" s="1" t="s">
        <v>6133</v>
      </c>
      <c r="B29" s="1" t="s">
        <v>212</v>
      </c>
      <c r="C29" s="1" t="s">
        <v>6076</v>
      </c>
      <c r="D29" s="5" t="n">
        <v>1.1</v>
      </c>
      <c r="E29" s="3" t="n">
        <f aca="false">Economics!AR5</f>
        <v>4.03432874999999</v>
      </c>
      <c r="F29" s="3" t="n">
        <f aca="false">(((Economics!F5*(1-Economics!G5))/(1+Economics!H5))*(1-Economics!I5))-(((Economics!J5*$D29)+Economics!K5)*(1+Economics!N5)+Economics!L5+Economics!M5+Economics!O5+Economics!P5)-((Economics!F5*(1-Economics!G5))*Economics!Q5*(1-Economics!I5)+Economics!I5*Economics!U5)-Economics!R5-Economics!S5-Economics!I5*Economics!T5-Economics!V5-Economics!W5/Economics!X5*Economics!Y5+Economics!I5*Economics!AG5</f>
        <v>2.86432875</v>
      </c>
      <c r="G29" s="3" t="n">
        <f aca="false">F29-E29</f>
        <v>-1.16999999999999</v>
      </c>
      <c r="H29" s="1" t="s">
        <v>6147</v>
      </c>
    </row>
    <row r="30" customFormat="false" ht="48" hidden="false" customHeight="true" outlineLevel="0" collapsed="false">
      <c r="A30" s="1" t="s">
        <v>6134</v>
      </c>
      <c r="B30" s="1" t="s">
        <v>212</v>
      </c>
      <c r="C30" s="1" t="s">
        <v>6072</v>
      </c>
      <c r="D30" s="5" t="n">
        <v>0.9</v>
      </c>
      <c r="E30" s="3" t="n">
        <f aca="false">Economics!AR6</f>
        <v>10.8201291388889</v>
      </c>
      <c r="F30" s="3" t="n">
        <f aca="false">((((Economics!F6*$D30)*(1-Economics!G6))/(1+Economics!H6))*(1-Economics!I6))-((Economics!J6+Economics!K6)*(1+Economics!N6)+Economics!L6+Economics!M6+Economics!O6+Economics!P6)-(((Economics!F6*$D30)*(1-Economics!G6))*Economics!Q6*(1-Economics!I6)+Economics!I6*Economics!U6)-Economics!R6-Economics!S6-Economics!I6*Economics!T6-Economics!V6-Economics!W6/Economics!X6*Economics!Y6+Economics!I6*Economics!AG6</f>
        <v>4.06210511388888</v>
      </c>
      <c r="G30" s="3" t="n">
        <f aca="false">F30-E30</f>
        <v>-6.758024025</v>
      </c>
      <c r="H30" s="1" t="s">
        <v>6147</v>
      </c>
    </row>
    <row r="31" customFormat="false" ht="48" hidden="false" customHeight="true" outlineLevel="0" collapsed="false">
      <c r="A31" s="1" t="s">
        <v>6134</v>
      </c>
      <c r="B31" s="1" t="s">
        <v>212</v>
      </c>
      <c r="C31" s="1" t="s">
        <v>6072</v>
      </c>
      <c r="D31" s="5" t="n">
        <v>1.1</v>
      </c>
      <c r="E31" s="3" t="n">
        <f aca="false">Economics!AR6</f>
        <v>10.8201291388889</v>
      </c>
      <c r="F31" s="3" t="n">
        <f aca="false">((((Economics!F6*$D31)*(1-Economics!G6))/(1+Economics!H6))*(1-Economics!I6))-((Economics!J6+Economics!K6)*(1+Economics!N6)+Economics!L6+Economics!M6+Economics!O6+Economics!P6)-(((Economics!F6*$D31)*(1-Economics!G6))*Economics!Q6*(1-Economics!I6)+Economics!I6*Economics!U6)-Economics!R6-Economics!S6-Economics!I6*Economics!T6-Economics!V6-Economics!W6/Economics!X6*Economics!Y6+Economics!I6*Economics!AG6</f>
        <v>17.5781531638889</v>
      </c>
      <c r="G31" s="3" t="n">
        <f aca="false">F31-E31</f>
        <v>6.75802402500001</v>
      </c>
      <c r="H31" s="1" t="s">
        <v>6147</v>
      </c>
    </row>
    <row r="32" customFormat="false" ht="48" hidden="false" customHeight="true" outlineLevel="0" collapsed="false">
      <c r="A32" s="1" t="s">
        <v>6134</v>
      </c>
      <c r="B32" s="1" t="s">
        <v>212</v>
      </c>
      <c r="C32" s="1" t="s">
        <v>6088</v>
      </c>
      <c r="D32" s="5" t="n">
        <v>1.25</v>
      </c>
      <c r="E32" s="3" t="n">
        <f aca="false">Economics!AR6</f>
        <v>10.8201291388889</v>
      </c>
      <c r="F32" s="3" t="n">
        <f aca="false">(((Economics!F6*(1-Economics!G6))/(1+Economics!H6))*(1-Economics!I6))-((Economics!J6+Economics!K6)*(1+Economics!N6)+Economics!L6+Economics!M6+Economics!O6+Economics!P6)-((Economics!F6*(1-Economics!G6))*Economics!Q6*(1-Economics!I6)+Economics!I6*Economics!U6)-Economics!R6-Economics!S6-Economics!I6*Economics!T6-Economics!V6-(Economics!W6*$D32)/Economics!X6*Economics!Y6+Economics!I6*Economics!AG6</f>
        <v>8.29235136111111</v>
      </c>
      <c r="G32" s="3" t="n">
        <f aca="false">F32-E32</f>
        <v>-2.52777777777777</v>
      </c>
      <c r="H32" s="1" t="s">
        <v>6147</v>
      </c>
    </row>
    <row r="33" customFormat="false" ht="48" hidden="false" customHeight="true" outlineLevel="0" collapsed="false">
      <c r="A33" s="1" t="s">
        <v>6134</v>
      </c>
      <c r="B33" s="1" t="s">
        <v>212</v>
      </c>
      <c r="C33" s="1" t="s">
        <v>6089</v>
      </c>
      <c r="D33" s="5" t="n">
        <v>0.75</v>
      </c>
      <c r="E33" s="3" t="n">
        <f aca="false">Economics!AR6</f>
        <v>10.8201291388889</v>
      </c>
      <c r="F33" s="3" t="n">
        <f aca="false">(((Economics!F6*(1-Economics!G6))/(1+Economics!H6))*(1-Economics!I6))-((Economics!J6+Economics!K6)*(1+Economics!N6)+Economics!L6+Economics!M6+Economics!O6+Economics!P6)-((Economics!F6*(1-Economics!G6))*Economics!Q6*(1-Economics!I6)+Economics!I6*Economics!U6)-Economics!R6-Economics!S6-Economics!I6*Economics!T6-Economics!V6-Economics!W6/(Economics!X6*$D33)*Economics!Y6+Economics!I6*Economics!AG6</f>
        <v>7.44975876851852</v>
      </c>
      <c r="G33" s="3" t="n">
        <f aca="false">F33-E33</f>
        <v>-3.37037037037036</v>
      </c>
      <c r="H33" s="1" t="s">
        <v>6147</v>
      </c>
    </row>
    <row r="34" customFormat="false" ht="48" hidden="false" customHeight="true" outlineLevel="0" collapsed="false">
      <c r="A34" s="1" t="s">
        <v>6134</v>
      </c>
      <c r="B34" s="1" t="s">
        <v>212</v>
      </c>
      <c r="C34" s="1" t="s">
        <v>6077</v>
      </c>
      <c r="D34" s="5" t="n">
        <v>1.5</v>
      </c>
      <c r="E34" s="3" t="n">
        <f aca="false">Economics!AR6</f>
        <v>10.8201291388889</v>
      </c>
      <c r="F34" s="3" t="n">
        <f aca="false">(((Economics!F6*(1-Economics!G6))/(1+Economics!H6))*(1-Economics!I6))-((Economics!J6+Economics!K6)*(1+Economics!N6)+(Economics!L6*$D34)+Economics!M6+Economics!O6+Economics!P6)-((Economics!F6*(1-Economics!G6))*Economics!Q6*(1-Economics!I6)+Economics!I6*Economics!U6)-Economics!R6-Economics!S6-Economics!I6*Economics!T6-Economics!V6-Economics!W6/Economics!X6*Economics!Y6+Economics!I6*Economics!AG6</f>
        <v>9.32012913888889</v>
      </c>
      <c r="G34" s="3" t="n">
        <f aca="false">F34-E34</f>
        <v>-1.49999999999999</v>
      </c>
      <c r="H34" s="1" t="s">
        <v>6147</v>
      </c>
    </row>
    <row r="35" customFormat="false" ht="48" hidden="false" customHeight="true" outlineLevel="0" collapsed="false">
      <c r="A35" s="1" t="s">
        <v>6134</v>
      </c>
      <c r="B35" s="1" t="s">
        <v>212</v>
      </c>
      <c r="C35" s="1" t="s">
        <v>6075</v>
      </c>
      <c r="D35" s="5" t="n">
        <v>1.5</v>
      </c>
      <c r="E35" s="3" t="n">
        <f aca="false">Economics!AR6</f>
        <v>10.8201291388889</v>
      </c>
      <c r="F35" s="3" t="n">
        <f aca="false">(((Economics!F6*(1-Economics!G6))/(1+Economics!H6))*(1-(Economics!I6*$D35)))-((Economics!J6+Economics!K6)*(1+Economics!N6)+Economics!L6+Economics!M6+Economics!O6+Economics!P6)-((Economics!F6*(1-Economics!G6))*Economics!Q6*(1-(Economics!I6*$D35))+(Economics!I6*$D35)*Economics!U6)-Economics!R6-Economics!S6-(Economics!I6*$D35)*Economics!T6-Economics!V6-Economics!W6/Economics!X6*Economics!Y6+(Economics!I6*$D35)*Economics!AG6</f>
        <v>8.1752867638889</v>
      </c>
      <c r="G35" s="3" t="n">
        <f aca="false">F35-E35</f>
        <v>-2.64484237499999</v>
      </c>
      <c r="H35" s="1" t="s">
        <v>6147</v>
      </c>
    </row>
    <row r="36" customFormat="false" ht="48" hidden="false" customHeight="true" outlineLevel="0" collapsed="false">
      <c r="A36" s="1" t="s">
        <v>6134</v>
      </c>
      <c r="B36" s="1" t="s">
        <v>212</v>
      </c>
      <c r="C36" s="1" t="s">
        <v>6076</v>
      </c>
      <c r="D36" s="5" t="n">
        <v>1.1</v>
      </c>
      <c r="E36" s="3" t="n">
        <f aca="false">Economics!AR6</f>
        <v>10.8201291388889</v>
      </c>
      <c r="F36" s="3" t="n">
        <f aca="false">(((Economics!F6*(1-Economics!G6))/(1+Economics!H6))*(1-Economics!I6))-(((Economics!J6*$D36)+Economics!K6)*(1+Economics!N6)+Economics!L6+Economics!M6+Economics!O6+Economics!P6)-((Economics!F6*(1-Economics!G6))*Economics!Q6*(1-Economics!I6)+Economics!I6*Economics!U6)-Economics!R6-Economics!S6-Economics!I6*Economics!T6-Economics!V6-Economics!W6/Economics!X6*Economics!Y6+Economics!I6*Economics!AG6</f>
        <v>7.54412913888889</v>
      </c>
      <c r="G36" s="3" t="n">
        <f aca="false">F36-E36</f>
        <v>-3.276</v>
      </c>
      <c r="H36" s="1" t="s">
        <v>6147</v>
      </c>
    </row>
    <row r="37" customFormat="false" ht="48" hidden="false" customHeight="true" outlineLevel="0" collapsed="false">
      <c r="A37" s="1" t="s">
        <v>6135</v>
      </c>
      <c r="B37" s="1" t="s">
        <v>212</v>
      </c>
      <c r="C37" s="1" t="s">
        <v>6072</v>
      </c>
      <c r="D37" s="5" t="n">
        <v>0.9</v>
      </c>
      <c r="E37" s="3" t="n">
        <f aca="false">Economics!AR7</f>
        <v>-6.04543416666667</v>
      </c>
      <c r="F37" s="3" t="n">
        <f aca="false">((((Economics!F7*$D37)*(1-Economics!G7))/(1+Economics!H7))*(1-Economics!I7))-((Economics!J7+Economics!K7)*(1+Economics!N7)+Economics!L7+Economics!M7+Economics!O7+Economics!P7)-(((Economics!F7*$D37)*(1-Economics!G7))*Economics!Q7*(1-Economics!I7)+Economics!I7*Economics!U7)-Economics!R7-Economics!S7-Economics!I7*Economics!T7-Economics!V7-Economics!W7/Economics!X7*Economics!Y7+Economics!I7*Economics!AG7</f>
        <v>-14.0389574166667</v>
      </c>
      <c r="G37" s="3" t="n">
        <f aca="false">F37-E37</f>
        <v>-7.99352325</v>
      </c>
      <c r="H37" s="1" t="s">
        <v>6147</v>
      </c>
    </row>
    <row r="38" customFormat="false" ht="48" hidden="false" customHeight="true" outlineLevel="0" collapsed="false">
      <c r="A38" s="1" t="s">
        <v>6135</v>
      </c>
      <c r="B38" s="1" t="s">
        <v>212</v>
      </c>
      <c r="C38" s="1" t="s">
        <v>6072</v>
      </c>
      <c r="D38" s="5" t="n">
        <v>1.1</v>
      </c>
      <c r="E38" s="3" t="n">
        <f aca="false">Economics!AR7</f>
        <v>-6.04543416666667</v>
      </c>
      <c r="F38" s="3" t="n">
        <f aca="false">((((Economics!F7*$D38)*(1-Economics!G7))/(1+Economics!H7))*(1-Economics!I7))-((Economics!J7+Economics!K7)*(1+Economics!N7)+Economics!L7+Economics!M7+Economics!O7+Economics!P7)-(((Economics!F7*$D38)*(1-Economics!G7))*Economics!Q7*(1-Economics!I7)+Economics!I7*Economics!U7)-Economics!R7-Economics!S7-Economics!I7*Economics!T7-Economics!V7-Economics!W7/Economics!X7*Economics!Y7+Economics!I7*Economics!AG7</f>
        <v>1.94808908333332</v>
      </c>
      <c r="G38" s="3" t="n">
        <f aca="false">F38-E38</f>
        <v>7.99352325</v>
      </c>
      <c r="H38" s="1" t="s">
        <v>6147</v>
      </c>
    </row>
    <row r="39" customFormat="false" ht="48" hidden="false" customHeight="true" outlineLevel="0" collapsed="false">
      <c r="A39" s="1" t="s">
        <v>6135</v>
      </c>
      <c r="B39" s="1" t="s">
        <v>212</v>
      </c>
      <c r="C39" s="1" t="s">
        <v>6088</v>
      </c>
      <c r="D39" s="5" t="n">
        <v>1.25</v>
      </c>
      <c r="E39" s="3" t="n">
        <f aca="false">Economics!AR7</f>
        <v>-6.04543416666667</v>
      </c>
      <c r="F39" s="3" t="n">
        <f aca="false">(((Economics!F7*(1-Economics!G7))/(1+Economics!H7))*(1-Economics!I7))-((Economics!J7+Economics!K7)*(1+Economics!N7)+Economics!L7+Economics!M7+Economics!O7+Economics!P7)-((Economics!F7*(1-Economics!G7))*Economics!Q7*(1-Economics!I7)+Economics!I7*Economics!U7)-Economics!R7-Economics!S7-Economics!I7*Economics!T7-Economics!V7-(Economics!W7*$D39)/Economics!X7*Economics!Y7+Economics!I7*Economics!AG7</f>
        <v>-12.7121008333333</v>
      </c>
      <c r="G39" s="3" t="n">
        <f aca="false">F39-E39</f>
        <v>-6.66666666666666</v>
      </c>
      <c r="H39" s="1" t="s">
        <v>6147</v>
      </c>
    </row>
    <row r="40" customFormat="false" ht="48" hidden="false" customHeight="true" outlineLevel="0" collapsed="false">
      <c r="A40" s="1" t="s">
        <v>6135</v>
      </c>
      <c r="B40" s="1" t="s">
        <v>212</v>
      </c>
      <c r="C40" s="1" t="s">
        <v>6089</v>
      </c>
      <c r="D40" s="5" t="n">
        <v>0.75</v>
      </c>
      <c r="E40" s="3" t="n">
        <f aca="false">Economics!AR7</f>
        <v>-6.04543416666667</v>
      </c>
      <c r="F40" s="3" t="n">
        <f aca="false">(((Economics!F7*(1-Economics!G7))/(1+Economics!H7))*(1-Economics!I7))-((Economics!J7+Economics!K7)*(1+Economics!N7)+Economics!L7+Economics!M7+Economics!O7+Economics!P7)-((Economics!F7*(1-Economics!G7))*Economics!Q7*(1-Economics!I7)+Economics!I7*Economics!U7)-Economics!R7-Economics!S7-Economics!I7*Economics!T7-Economics!V7-Economics!W7/(Economics!X7*$D40)*Economics!Y7+Economics!I7*Economics!AG7</f>
        <v>-14.9343230555556</v>
      </c>
      <c r="G40" s="3" t="n">
        <f aca="false">F40-E40</f>
        <v>-8.88888888888889</v>
      </c>
      <c r="H40" s="1" t="s">
        <v>6147</v>
      </c>
    </row>
    <row r="41" customFormat="false" ht="48" hidden="false" customHeight="true" outlineLevel="0" collapsed="false">
      <c r="A41" s="1" t="s">
        <v>6135</v>
      </c>
      <c r="B41" s="1" t="s">
        <v>212</v>
      </c>
      <c r="C41" s="1" t="s">
        <v>6077</v>
      </c>
      <c r="D41" s="5" t="n">
        <v>1.5</v>
      </c>
      <c r="E41" s="3" t="n">
        <f aca="false">Economics!AR7</f>
        <v>-6.04543416666667</v>
      </c>
      <c r="F41" s="3" t="n">
        <f aca="false">(((Economics!F7*(1-Economics!G7))/(1+Economics!H7))*(1-Economics!I7))-((Economics!J7+Economics!K7)*(1+Economics!N7)+(Economics!L7*$D41)+Economics!M7+Economics!O7+Economics!P7)-((Economics!F7*(1-Economics!G7))*Economics!Q7*(1-Economics!I7)+Economics!I7*Economics!U7)-Economics!R7-Economics!S7-Economics!I7*Economics!T7-Economics!V7-Economics!W7/Economics!X7*Economics!Y7+Economics!I7*Economics!AG7</f>
        <v>-8.04543416666667</v>
      </c>
      <c r="G41" s="3" t="n">
        <f aca="false">F41-E41</f>
        <v>-2</v>
      </c>
      <c r="H41" s="1" t="s">
        <v>6147</v>
      </c>
    </row>
    <row r="42" customFormat="false" ht="48" hidden="false" customHeight="true" outlineLevel="0" collapsed="false">
      <c r="A42" s="1" t="s">
        <v>6135</v>
      </c>
      <c r="B42" s="1" t="s">
        <v>212</v>
      </c>
      <c r="C42" s="1" t="s">
        <v>6075</v>
      </c>
      <c r="D42" s="5" t="n">
        <v>1.5</v>
      </c>
      <c r="E42" s="3" t="n">
        <f aca="false">Economics!AR7</f>
        <v>-6.04543416666667</v>
      </c>
      <c r="F42" s="3" t="n">
        <f aca="false">(((Economics!F7*(1-Economics!G7))/(1+Economics!H7))*(1-(Economics!I7*$D42)))-((Economics!J7+Economics!K7)*(1+Economics!N7)+Economics!L7+Economics!M7+Economics!O7+Economics!P7)-((Economics!F7*(1-Economics!G7))*Economics!Q7*(1-(Economics!I7*$D42))+(Economics!I7*$D42)*Economics!U7)-Economics!R7-Economics!S7-(Economics!I7*$D42)*Economics!T7-Economics!V7-Economics!W7/Economics!X7*Economics!Y7+(Economics!I7*$D42)*Economics!AG7</f>
        <v>-10.6812804166667</v>
      </c>
      <c r="G42" s="3" t="n">
        <f aca="false">F42-E42</f>
        <v>-4.63584625</v>
      </c>
      <c r="H42" s="1" t="s">
        <v>6147</v>
      </c>
    </row>
    <row r="43" customFormat="false" ht="48" hidden="false" customHeight="true" outlineLevel="0" collapsed="false">
      <c r="A43" s="1" t="s">
        <v>6135</v>
      </c>
      <c r="B43" s="1" t="s">
        <v>212</v>
      </c>
      <c r="C43" s="1" t="s">
        <v>6076</v>
      </c>
      <c r="D43" s="5" t="n">
        <v>1.1</v>
      </c>
      <c r="E43" s="3" t="n">
        <f aca="false">Economics!AR7</f>
        <v>-6.04543416666667</v>
      </c>
      <c r="F43" s="3" t="n">
        <f aca="false">(((Economics!F7*(1-Economics!G7))/(1+Economics!H7))*(1-Economics!I7))-(((Economics!J7*$D43)+Economics!K7)*(1+Economics!N7)+Economics!L7+Economics!M7+Economics!O7+Economics!P7)-((Economics!F7*(1-Economics!G7))*Economics!Q7*(1-Economics!I7)+Economics!I7*Economics!U7)-Economics!R7-Economics!S7-Economics!I7*Economics!T7-Economics!V7-Economics!W7/Economics!X7*Economics!Y7+Economics!I7*Economics!AG7</f>
        <v>-10.2574341666667</v>
      </c>
      <c r="G43" s="3" t="n">
        <f aca="false">F43-E43</f>
        <v>-4.212</v>
      </c>
      <c r="H43" s="1" t="s">
        <v>6147</v>
      </c>
    </row>
    <row r="44" customFormat="false" ht="48" hidden="false" customHeight="true" outlineLevel="0" collapsed="false">
      <c r="A44" s="1" t="s">
        <v>6136</v>
      </c>
      <c r="B44" s="1" t="s">
        <v>2097</v>
      </c>
      <c r="C44" s="1" t="s">
        <v>6072</v>
      </c>
      <c r="D44" s="5" t="n">
        <v>0.9</v>
      </c>
      <c r="E44" s="3" t="n">
        <f aca="false">Economics!AR8</f>
        <v>-0.259132166666669</v>
      </c>
      <c r="F44" s="3" t="n">
        <f aca="false">((((Economics!F8*$D44)*(1-Economics!G8))/(1+Economics!H8))*(1-Economics!I8))-((Economics!J8+Economics!K8)*(1+Economics!N8)+Economics!L8+Economics!M8+Economics!O8+Economics!P8)-(((Economics!F8*$D44)*(1-Economics!G8))*Economics!Q8*(1-Economics!I8)+Economics!I8*Economics!U8)-Economics!R8-Economics!S8-Economics!I8*Economics!T8-Economics!V8-Economics!W8/Economics!X8*Economics!Y8+Economics!I8*Economics!AG8</f>
        <v>-1.61821895</v>
      </c>
      <c r="G44" s="3" t="n">
        <f aca="false">F44-E44</f>
        <v>-1.35908678333333</v>
      </c>
      <c r="H44" s="1" t="s">
        <v>6147</v>
      </c>
    </row>
    <row r="45" customFormat="false" ht="48" hidden="false" customHeight="true" outlineLevel="0" collapsed="false">
      <c r="A45" s="1" t="s">
        <v>6136</v>
      </c>
      <c r="B45" s="1" t="s">
        <v>2097</v>
      </c>
      <c r="C45" s="1" t="s">
        <v>6072</v>
      </c>
      <c r="D45" s="5" t="n">
        <v>1.1</v>
      </c>
      <c r="E45" s="3" t="n">
        <f aca="false">Economics!AR8</f>
        <v>-0.259132166666669</v>
      </c>
      <c r="F45" s="3" t="n">
        <f aca="false">((((Economics!F8*$D45)*(1-Economics!G8))/(1+Economics!H8))*(1-Economics!I8))-((Economics!J8+Economics!K8)*(1+Economics!N8)+Economics!L8+Economics!M8+Economics!O8+Economics!P8)-(((Economics!F8*$D45)*(1-Economics!G8))*Economics!Q8*(1-Economics!I8)+Economics!I8*Economics!U8)-Economics!R8-Economics!S8-Economics!I8*Economics!T8-Economics!V8-Economics!W8/Economics!X8*Economics!Y8+Economics!I8*Economics!AG8</f>
        <v>1.09995461666667</v>
      </c>
      <c r="G45" s="3" t="n">
        <f aca="false">F45-E45</f>
        <v>1.35908678333333</v>
      </c>
      <c r="H45" s="1" t="s">
        <v>6147</v>
      </c>
    </row>
    <row r="46" customFormat="false" ht="48" hidden="false" customHeight="true" outlineLevel="0" collapsed="false">
      <c r="A46" s="1" t="s">
        <v>6136</v>
      </c>
      <c r="B46" s="1" t="s">
        <v>2097</v>
      </c>
      <c r="C46" s="1" t="s">
        <v>6088</v>
      </c>
      <c r="D46" s="5" t="n">
        <v>1.25</v>
      </c>
      <c r="E46" s="3" t="n">
        <f aca="false">Economics!AR8</f>
        <v>-0.259132166666669</v>
      </c>
      <c r="F46" s="3" t="n">
        <f aca="false">(((Economics!F8*(1-Economics!G8))/(1+Economics!H8))*(1-Economics!I8))-((Economics!J8+Economics!K8)*(1+Economics!N8)+Economics!L8+Economics!M8+Economics!O8+Economics!P8)-((Economics!F8*(1-Economics!G8))*Economics!Q8*(1-Economics!I8)+Economics!I8*Economics!U8)-Economics!R8-Economics!S8-Economics!I8*Economics!T8-Economics!V8-(Economics!W8*$D46)/Economics!X8*Economics!Y8+Economics!I8*Economics!AG8</f>
        <v>-1.29038216666667</v>
      </c>
      <c r="G46" s="3" t="n">
        <f aca="false">F46-E46</f>
        <v>-1.03125</v>
      </c>
      <c r="H46" s="1" t="s">
        <v>6147</v>
      </c>
    </row>
    <row r="47" customFormat="false" ht="48" hidden="false" customHeight="true" outlineLevel="0" collapsed="false">
      <c r="A47" s="1" t="s">
        <v>6136</v>
      </c>
      <c r="B47" s="1" t="s">
        <v>2097</v>
      </c>
      <c r="C47" s="1" t="s">
        <v>6089</v>
      </c>
      <c r="D47" s="5" t="n">
        <v>0.75</v>
      </c>
      <c r="E47" s="3" t="n">
        <f aca="false">Economics!AR8</f>
        <v>-0.259132166666669</v>
      </c>
      <c r="F47" s="3" t="n">
        <f aca="false">(((Economics!F8*(1-Economics!G8))/(1+Economics!H8))*(1-Economics!I8))-((Economics!J8+Economics!K8)*(1+Economics!N8)+Economics!L8+Economics!M8+Economics!O8+Economics!P8)-((Economics!F8*(1-Economics!G8))*Economics!Q8*(1-Economics!I8)+Economics!I8*Economics!U8)-Economics!R8-Economics!S8-Economics!I8*Economics!T8-Economics!V8-Economics!W8/(Economics!X8*$D47)*Economics!Y8+Economics!I8*Economics!AG8</f>
        <v>-1.63413216666667</v>
      </c>
      <c r="G47" s="3" t="n">
        <f aca="false">F47-E47</f>
        <v>-1.375</v>
      </c>
      <c r="H47" s="1" t="s">
        <v>6147</v>
      </c>
    </row>
    <row r="48" customFormat="false" ht="48" hidden="false" customHeight="true" outlineLevel="0" collapsed="false">
      <c r="A48" s="1" t="s">
        <v>6136</v>
      </c>
      <c r="B48" s="1" t="s">
        <v>2097</v>
      </c>
      <c r="C48" s="1" t="s">
        <v>6077</v>
      </c>
      <c r="D48" s="5" t="n">
        <v>1.5</v>
      </c>
      <c r="E48" s="3" t="n">
        <f aca="false">Economics!AR8</f>
        <v>-0.259132166666669</v>
      </c>
      <c r="F48" s="3" t="n">
        <f aca="false">(((Economics!F8*(1-Economics!G8))/(1+Economics!H8))*(1-Economics!I8))-((Economics!J8+Economics!K8)*(1+Economics!N8)+(Economics!L8*$D48)+Economics!M8+Economics!O8+Economics!P8)-((Economics!F8*(1-Economics!G8))*Economics!Q8*(1-Economics!I8)+Economics!I8*Economics!U8)-Economics!R8-Economics!S8-Economics!I8*Economics!T8-Economics!V8-Economics!W8/Economics!X8*Economics!Y8+Economics!I8*Economics!AG8</f>
        <v>-0.659132166666668</v>
      </c>
      <c r="G48" s="3" t="n">
        <f aca="false">F48-E48</f>
        <v>-0.399999999999999</v>
      </c>
      <c r="H48" s="1" t="s">
        <v>6147</v>
      </c>
    </row>
    <row r="49" customFormat="false" ht="48" hidden="false" customHeight="true" outlineLevel="0" collapsed="false">
      <c r="A49" s="1" t="s">
        <v>6136</v>
      </c>
      <c r="B49" s="1" t="s">
        <v>2097</v>
      </c>
      <c r="C49" s="1" t="s">
        <v>6075</v>
      </c>
      <c r="D49" s="5" t="n">
        <v>1.5</v>
      </c>
      <c r="E49" s="3" t="n">
        <f aca="false">Economics!AR8</f>
        <v>-0.259132166666669</v>
      </c>
      <c r="F49" s="3" t="n">
        <f aca="false">(((Economics!F8*(1-Economics!G8))/(1+Economics!H8))*(1-(Economics!I8*$D49)))-((Economics!J8+Economics!K8)*(1+Economics!N8)+Economics!L8+Economics!M8+Economics!O8+Economics!P8)-((Economics!F8*(1-Economics!G8))*Economics!Q8*(1-(Economics!I8*$D49))+(Economics!I8*$D49)*Economics!U8)-Economics!R8-Economics!S8-(Economics!I8*$D49)*Economics!T8-Economics!V8-Economics!W8/Economics!X8*Economics!Y8+(Economics!I8*$D49)*Economics!AG8</f>
        <v>-0.664286583333334</v>
      </c>
      <c r="G49" s="3" t="n">
        <f aca="false">F49-E49</f>
        <v>-0.405154416666665</v>
      </c>
      <c r="H49" s="1" t="s">
        <v>6147</v>
      </c>
    </row>
    <row r="50" customFormat="false" ht="48" hidden="false" customHeight="true" outlineLevel="0" collapsed="false">
      <c r="A50" s="1" t="s">
        <v>6136</v>
      </c>
      <c r="B50" s="1" t="s">
        <v>2097</v>
      </c>
      <c r="C50" s="1" t="s">
        <v>6076</v>
      </c>
      <c r="D50" s="5" t="n">
        <v>1.1</v>
      </c>
      <c r="E50" s="3" t="n">
        <f aca="false">Economics!AR8</f>
        <v>-0.259132166666669</v>
      </c>
      <c r="F50" s="3" t="n">
        <f aca="false">(((Economics!F8*(1-Economics!G8))/(1+Economics!H8))*(1-Economics!I8))-(((Economics!J8*$D50)+Economics!K8)*(1+Economics!N8)+Economics!L8+Economics!M8+Economics!O8+Economics!P8)-((Economics!F8*(1-Economics!G8))*Economics!Q8*(1-Economics!I8)+Economics!I8*Economics!U8)-Economics!R8-Economics!S8-Economics!I8*Economics!T8-Economics!V8-Economics!W8/Economics!X8*Economics!Y8+Economics!I8*Economics!AG8</f>
        <v>-0.709132166666669</v>
      </c>
      <c r="G50" s="3" t="n">
        <f aca="false">F50-E50</f>
        <v>-0.45</v>
      </c>
      <c r="H50" s="1" t="s">
        <v>6147</v>
      </c>
    </row>
    <row r="51" customFormat="false" ht="48" hidden="false" customHeight="true" outlineLevel="0" collapsed="false">
      <c r="A51" s="1" t="s">
        <v>6137</v>
      </c>
      <c r="B51" s="1" t="s">
        <v>2097</v>
      </c>
      <c r="C51" s="1" t="s">
        <v>6072</v>
      </c>
      <c r="D51" s="5" t="n">
        <v>0.9</v>
      </c>
      <c r="E51" s="3" t="n">
        <f aca="false">Economics!AR9</f>
        <v>2.14943497222223</v>
      </c>
      <c r="F51" s="3" t="n">
        <f aca="false">((((Economics!F9*$D51)*(1-Economics!G9))/(1+Economics!H9))*(1-Economics!I9))-((Economics!J9+Economics!K9)*(1+Economics!N9)+Economics!L9+Economics!M9+Economics!O9+Economics!P9)-(((Economics!F9*$D51)*(1-Economics!G9))*Economics!Q9*(1-Economics!I9)+Economics!I9*Economics!U9)-Economics!R9-Economics!S9-Economics!I9*Economics!T9-Economics!V9-Economics!W9/Economics!X9*Economics!Y9+Economics!I9*Economics!AG9</f>
        <v>-0.86858630277777</v>
      </c>
      <c r="G51" s="3" t="n">
        <f aca="false">F51-E51</f>
        <v>-3.018021275</v>
      </c>
      <c r="H51" s="1" t="s">
        <v>6147</v>
      </c>
    </row>
    <row r="52" customFormat="false" ht="48" hidden="false" customHeight="true" outlineLevel="0" collapsed="false">
      <c r="A52" s="1" t="s">
        <v>6137</v>
      </c>
      <c r="B52" s="1" t="s">
        <v>2097</v>
      </c>
      <c r="C52" s="1" t="s">
        <v>6072</v>
      </c>
      <c r="D52" s="5" t="n">
        <v>1.1</v>
      </c>
      <c r="E52" s="3" t="n">
        <f aca="false">Economics!AR9</f>
        <v>2.14943497222223</v>
      </c>
      <c r="F52" s="3" t="n">
        <f aca="false">((((Economics!F9*$D52)*(1-Economics!G9))/(1+Economics!H9))*(1-Economics!I9))-((Economics!J9+Economics!K9)*(1+Economics!N9)+Economics!L9+Economics!M9+Economics!O9+Economics!P9)-(((Economics!F9*$D52)*(1-Economics!G9))*Economics!Q9*(1-Economics!I9)+Economics!I9*Economics!U9)-Economics!R9-Economics!S9-Economics!I9*Economics!T9-Economics!V9-Economics!W9/Economics!X9*Economics!Y9+Economics!I9*Economics!AG9</f>
        <v>5.16745624722222</v>
      </c>
      <c r="G52" s="3" t="n">
        <f aca="false">F52-E52</f>
        <v>3.01802127499999</v>
      </c>
      <c r="H52" s="1" t="s">
        <v>6147</v>
      </c>
    </row>
    <row r="53" customFormat="false" ht="48" hidden="false" customHeight="true" outlineLevel="0" collapsed="false">
      <c r="A53" s="1" t="s">
        <v>6137</v>
      </c>
      <c r="B53" s="1" t="s">
        <v>2097</v>
      </c>
      <c r="C53" s="1" t="s">
        <v>6088</v>
      </c>
      <c r="D53" s="5" t="n">
        <v>1.25</v>
      </c>
      <c r="E53" s="3" t="n">
        <f aca="false">Economics!AR9</f>
        <v>2.14943497222223</v>
      </c>
      <c r="F53" s="3" t="n">
        <f aca="false">(((Economics!F9*(1-Economics!G9))/(1+Economics!H9))*(1-Economics!I9))-((Economics!J9+Economics!K9)*(1+Economics!N9)+Economics!L9+Economics!M9+Economics!O9+Economics!P9)-((Economics!F9*(1-Economics!G9))*Economics!Q9*(1-Economics!I9)+Economics!I9*Economics!U9)-Economics!R9-Economics!S9-Economics!I9*Economics!T9-Economics!V9-(Economics!W9*$D53)/Economics!X9*Economics!Y9+Economics!I9*Economics!AG9</f>
        <v>0.704990527777783</v>
      </c>
      <c r="G53" s="3" t="n">
        <f aca="false">F53-E53</f>
        <v>-1.44444444444444</v>
      </c>
      <c r="H53" s="1" t="s">
        <v>6147</v>
      </c>
    </row>
    <row r="54" customFormat="false" ht="48" hidden="false" customHeight="true" outlineLevel="0" collapsed="false">
      <c r="A54" s="1" t="s">
        <v>6137</v>
      </c>
      <c r="B54" s="1" t="s">
        <v>2097</v>
      </c>
      <c r="C54" s="1" t="s">
        <v>6089</v>
      </c>
      <c r="D54" s="5" t="n">
        <v>0.75</v>
      </c>
      <c r="E54" s="3" t="n">
        <f aca="false">Economics!AR9</f>
        <v>2.14943497222223</v>
      </c>
      <c r="F54" s="3" t="n">
        <f aca="false">(((Economics!F9*(1-Economics!G9))/(1+Economics!H9))*(1-Economics!I9))-((Economics!J9+Economics!K9)*(1+Economics!N9)+Economics!L9+Economics!M9+Economics!O9+Economics!P9)-((Economics!F9*(1-Economics!G9))*Economics!Q9*(1-Economics!I9)+Economics!I9*Economics!U9)-Economics!R9-Economics!S9-Economics!I9*Economics!T9-Economics!V9-Economics!W9/(Economics!X9*$D54)*Economics!Y9+Economics!I9*Economics!AG9</f>
        <v>0.223509046296302</v>
      </c>
      <c r="G54" s="3" t="n">
        <f aca="false">F54-E54</f>
        <v>-1.92592592592592</v>
      </c>
      <c r="H54" s="1" t="s">
        <v>6147</v>
      </c>
    </row>
    <row r="55" customFormat="false" ht="48" hidden="false" customHeight="true" outlineLevel="0" collapsed="false">
      <c r="A55" s="1" t="s">
        <v>6137</v>
      </c>
      <c r="B55" s="1" t="s">
        <v>2097</v>
      </c>
      <c r="C55" s="1" t="s">
        <v>6077</v>
      </c>
      <c r="D55" s="5" t="n">
        <v>1.5</v>
      </c>
      <c r="E55" s="3" t="n">
        <f aca="false">Economics!AR9</f>
        <v>2.14943497222223</v>
      </c>
      <c r="F55" s="3" t="n">
        <f aca="false">(((Economics!F9*(1-Economics!G9))/(1+Economics!H9))*(1-Economics!I9))-((Economics!J9+Economics!K9)*(1+Economics!N9)+(Economics!L9*$D55)+Economics!M9+Economics!O9+Economics!P9)-((Economics!F9*(1-Economics!G9))*Economics!Q9*(1-Economics!I9)+Economics!I9*Economics!U9)-Economics!R9-Economics!S9-Economics!I9*Economics!T9-Economics!V9-Economics!W9/Economics!X9*Economics!Y9+Economics!I9*Economics!AG9</f>
        <v>1.39943497222223</v>
      </c>
      <c r="G55" s="3" t="n">
        <f aca="false">F55-E55</f>
        <v>-0.749999999999999</v>
      </c>
      <c r="H55" s="1" t="s">
        <v>6147</v>
      </c>
    </row>
    <row r="56" customFormat="false" ht="48" hidden="false" customHeight="true" outlineLevel="0" collapsed="false">
      <c r="A56" s="1" t="s">
        <v>6137</v>
      </c>
      <c r="B56" s="1" t="s">
        <v>2097</v>
      </c>
      <c r="C56" s="1" t="s">
        <v>6075</v>
      </c>
      <c r="D56" s="5" t="n">
        <v>1.5</v>
      </c>
      <c r="E56" s="3" t="n">
        <f aca="false">Economics!AR9</f>
        <v>2.14943497222223</v>
      </c>
      <c r="F56" s="3" t="n">
        <f aca="false">(((Economics!F9*(1-Economics!G9))/(1+Economics!H9))*(1-(Economics!I9*$D56)))-((Economics!J9+Economics!K9)*(1+Economics!N9)+Economics!L9+Economics!M9+Economics!O9+Economics!P9)-((Economics!F9*(1-Economics!G9))*Economics!Q9*(1-(Economics!I9*$D56))+(Economics!I9*$D56)*Economics!U9)-Economics!R9-Economics!S9-(Economics!I9*$D56)*Economics!T9-Economics!V9-Economics!W9/Economics!X9*Economics!Y9+(Economics!I9*$D56)*Economics!AG9</f>
        <v>0.912120513888892</v>
      </c>
      <c r="G56" s="3" t="n">
        <f aca="false">F56-E56</f>
        <v>-1.23731445833333</v>
      </c>
      <c r="H56" s="1" t="s">
        <v>6147</v>
      </c>
    </row>
    <row r="57" customFormat="false" ht="48" hidden="false" customHeight="true" outlineLevel="0" collapsed="false">
      <c r="A57" s="1" t="s">
        <v>6137</v>
      </c>
      <c r="B57" s="1" t="s">
        <v>2097</v>
      </c>
      <c r="C57" s="1" t="s">
        <v>6076</v>
      </c>
      <c r="D57" s="5" t="n">
        <v>1.1</v>
      </c>
      <c r="E57" s="3" t="n">
        <f aca="false">Economics!AR9</f>
        <v>2.14943497222223</v>
      </c>
      <c r="F57" s="3" t="n">
        <f aca="false">(((Economics!F9*(1-Economics!G9))/(1+Economics!H9))*(1-Economics!I9))-(((Economics!J9*$D57)+Economics!K9)*(1+Economics!N9)+Economics!L9+Economics!M9+Economics!O9+Economics!P9)-((Economics!F9*(1-Economics!G9))*Economics!Q9*(1-Economics!I9)+Economics!I9*Economics!U9)-Economics!R9-Economics!S9-Economics!I9*Economics!T9-Economics!V9-Economics!W9/Economics!X9*Economics!Y9+Economics!I9*Economics!AG9</f>
        <v>0.749434972222225</v>
      </c>
      <c r="G57" s="3" t="n">
        <f aca="false">F57-E57</f>
        <v>-1.4</v>
      </c>
      <c r="H57" s="1" t="s">
        <v>6147</v>
      </c>
    </row>
    <row r="58" customFormat="false" ht="48" hidden="false" customHeight="true" outlineLevel="0" collapsed="false">
      <c r="A58" s="1" t="s">
        <v>6138</v>
      </c>
      <c r="B58" s="1" t="s">
        <v>2097</v>
      </c>
      <c r="C58" s="1" t="s">
        <v>6072</v>
      </c>
      <c r="D58" s="5" t="n">
        <v>0.9</v>
      </c>
      <c r="E58" s="3" t="n">
        <f aca="false">Economics!AR10</f>
        <v>-9.0195925</v>
      </c>
      <c r="F58" s="3" t="n">
        <f aca="false">((((Economics!F10*$D58)*(1-Economics!G10))/(1+Economics!H10))*(1-Economics!I10))-((Economics!J10+Economics!K10)*(1+Economics!N10)+Economics!L10+Economics!M10+Economics!O10+Economics!P10)-(((Economics!F10*$D58)*(1-Economics!G10))*Economics!Q10*(1-Economics!I10)+Economics!I10*Economics!U10)-Economics!R10-Economics!S10-Economics!I10*Economics!T10-Economics!V10-Economics!W10/Economics!X10*Economics!Y10+Economics!I10*Economics!AG10</f>
        <v>-12.81663325</v>
      </c>
      <c r="G58" s="3" t="n">
        <f aca="false">F58-E58</f>
        <v>-3.79704075</v>
      </c>
      <c r="H58" s="1" t="s">
        <v>6147</v>
      </c>
    </row>
    <row r="59" customFormat="false" ht="48" hidden="false" customHeight="true" outlineLevel="0" collapsed="false">
      <c r="A59" s="1" t="s">
        <v>6138</v>
      </c>
      <c r="B59" s="1" t="s">
        <v>2097</v>
      </c>
      <c r="C59" s="1" t="s">
        <v>6072</v>
      </c>
      <c r="D59" s="5" t="n">
        <v>1.1</v>
      </c>
      <c r="E59" s="3" t="n">
        <f aca="false">Economics!AR10</f>
        <v>-9.0195925</v>
      </c>
      <c r="F59" s="3" t="n">
        <f aca="false">((((Economics!F10*$D59)*(1-Economics!G10))/(1+Economics!H10))*(1-Economics!I10))-((Economics!J10+Economics!K10)*(1+Economics!N10)+Economics!L10+Economics!M10+Economics!O10+Economics!P10)-(((Economics!F10*$D59)*(1-Economics!G10))*Economics!Q10*(1-Economics!I10)+Economics!I10*Economics!U10)-Economics!R10-Economics!S10-Economics!I10*Economics!T10-Economics!V10-Economics!W10/Economics!X10*Economics!Y10+Economics!I10*Economics!AG10</f>
        <v>-5.22255174999999</v>
      </c>
      <c r="G59" s="3" t="n">
        <f aca="false">F59-E59</f>
        <v>3.79704075000001</v>
      </c>
      <c r="H59" s="1" t="s">
        <v>6147</v>
      </c>
    </row>
    <row r="60" customFormat="false" ht="48" hidden="false" customHeight="true" outlineLevel="0" collapsed="false">
      <c r="A60" s="1" t="s">
        <v>6138</v>
      </c>
      <c r="B60" s="1" t="s">
        <v>2097</v>
      </c>
      <c r="C60" s="1" t="s">
        <v>6088</v>
      </c>
      <c r="D60" s="5" t="n">
        <v>1.25</v>
      </c>
      <c r="E60" s="3" t="n">
        <f aca="false">Economics!AR10</f>
        <v>-9.0195925</v>
      </c>
      <c r="F60" s="3" t="n">
        <f aca="false">(((Economics!F10*(1-Economics!G10))/(1+Economics!H10))*(1-Economics!I10))-((Economics!J10+Economics!K10)*(1+Economics!N10)+Economics!L10+Economics!M10+Economics!O10+Economics!P10)-((Economics!F10*(1-Economics!G10))*Economics!Q10*(1-Economics!I10)+Economics!I10*Economics!U10)-Economics!R10-Economics!S10-Economics!I10*Economics!T10-Economics!V10-(Economics!W10*$D60)/Economics!X10*Economics!Y10+Economics!I10*Economics!AG10</f>
        <v>-13.0195925</v>
      </c>
      <c r="G60" s="3" t="n">
        <f aca="false">F60-E60</f>
        <v>-4</v>
      </c>
      <c r="H60" s="1" t="s">
        <v>6147</v>
      </c>
    </row>
    <row r="61" customFormat="false" ht="48" hidden="false" customHeight="true" outlineLevel="0" collapsed="false">
      <c r="A61" s="1" t="s">
        <v>6138</v>
      </c>
      <c r="B61" s="1" t="s">
        <v>2097</v>
      </c>
      <c r="C61" s="1" t="s">
        <v>6089</v>
      </c>
      <c r="D61" s="5" t="n">
        <v>0.75</v>
      </c>
      <c r="E61" s="3" t="n">
        <f aca="false">Economics!AR10</f>
        <v>-9.0195925</v>
      </c>
      <c r="F61" s="3" t="n">
        <f aca="false">(((Economics!F10*(1-Economics!G10))/(1+Economics!H10))*(1-Economics!I10))-((Economics!J10+Economics!K10)*(1+Economics!N10)+Economics!L10+Economics!M10+Economics!O10+Economics!P10)-((Economics!F10*(1-Economics!G10))*Economics!Q10*(1-Economics!I10)+Economics!I10*Economics!U10)-Economics!R10-Economics!S10-Economics!I10*Economics!T10-Economics!V10-Economics!W10/(Economics!X10*$D61)*Economics!Y10+Economics!I10*Economics!AG10</f>
        <v>-14.3529258333333</v>
      </c>
      <c r="G61" s="3" t="n">
        <f aca="false">F61-E61</f>
        <v>-5.33333333333334</v>
      </c>
      <c r="H61" s="1" t="s">
        <v>6147</v>
      </c>
    </row>
    <row r="62" customFormat="false" ht="48" hidden="false" customHeight="true" outlineLevel="0" collapsed="false">
      <c r="A62" s="1" t="s">
        <v>6138</v>
      </c>
      <c r="B62" s="1" t="s">
        <v>2097</v>
      </c>
      <c r="C62" s="1" t="s">
        <v>6077</v>
      </c>
      <c r="D62" s="5" t="n">
        <v>1.5</v>
      </c>
      <c r="E62" s="3" t="n">
        <f aca="false">Economics!AR10</f>
        <v>-9.0195925</v>
      </c>
      <c r="F62" s="3" t="n">
        <f aca="false">(((Economics!F10*(1-Economics!G10))/(1+Economics!H10))*(1-Economics!I10))-((Economics!J10+Economics!K10)*(1+Economics!N10)+(Economics!L10*$D62)+Economics!M10+Economics!O10+Economics!P10)-((Economics!F10*(1-Economics!G10))*Economics!Q10*(1-Economics!I10)+Economics!I10*Economics!U10)-Economics!R10-Economics!S10-Economics!I10*Economics!T10-Economics!V10-Economics!W10/Economics!X10*Economics!Y10+Economics!I10*Economics!AG10</f>
        <v>-10.0195925</v>
      </c>
      <c r="G62" s="3" t="n">
        <f aca="false">F62-E62</f>
        <v>-1</v>
      </c>
      <c r="H62" s="1" t="s">
        <v>6147</v>
      </c>
    </row>
    <row r="63" customFormat="false" ht="48" hidden="false" customHeight="true" outlineLevel="0" collapsed="false">
      <c r="A63" s="1" t="s">
        <v>6138</v>
      </c>
      <c r="B63" s="1" t="s">
        <v>2097</v>
      </c>
      <c r="C63" s="1" t="s">
        <v>6075</v>
      </c>
      <c r="D63" s="5" t="n">
        <v>1.5</v>
      </c>
      <c r="E63" s="3" t="n">
        <f aca="false">Economics!AR10</f>
        <v>-9.0195925</v>
      </c>
      <c r="F63" s="3" t="n">
        <f aca="false">(((Economics!F10*(1-Economics!G10))/(1+Economics!H10))*(1-(Economics!I10*$D63)))-((Economics!J10+Economics!K10)*(1+Economics!N10)+Economics!L10+Economics!M10+Economics!O10+Economics!P10)-((Economics!F10*(1-Economics!G10))*Economics!Q10*(1-(Economics!I10*$D63))+(Economics!I10*$D63)*Economics!U10)-Economics!R10-Economics!S10-(Economics!I10*$D63)*Economics!T10-Economics!V10-Economics!W10/Economics!X10*Economics!Y10+(Economics!I10*$D63)*Economics!AG10</f>
        <v>-11.3240595833333</v>
      </c>
      <c r="G63" s="3" t="n">
        <f aca="false">F63-E63</f>
        <v>-2.30446708333334</v>
      </c>
      <c r="H63" s="1" t="s">
        <v>6147</v>
      </c>
    </row>
    <row r="64" customFormat="false" ht="48" hidden="false" customHeight="true" outlineLevel="0" collapsed="false">
      <c r="A64" s="1" t="s">
        <v>6138</v>
      </c>
      <c r="B64" s="1" t="s">
        <v>2097</v>
      </c>
      <c r="C64" s="1" t="s">
        <v>6076</v>
      </c>
      <c r="D64" s="5" t="n">
        <v>1.1</v>
      </c>
      <c r="E64" s="3" t="n">
        <f aca="false">Economics!AR10</f>
        <v>-9.0195925</v>
      </c>
      <c r="F64" s="3" t="n">
        <f aca="false">(((Economics!F10*(1-Economics!G10))/(1+Economics!H10))*(1-Economics!I10))-(((Economics!J10*$D64)+Economics!K10)*(1+Economics!N10)+Economics!L10+Economics!M10+Economics!O10+Economics!P10)-((Economics!F10*(1-Economics!G10))*Economics!Q10*(1-Economics!I10)+Economics!I10*Economics!U10)-Economics!R10-Economics!S10-Economics!I10*Economics!T10-Economics!V10-Economics!W10/Economics!X10*Economics!Y10+Economics!I10*Economics!AG10</f>
        <v>-11.0195925</v>
      </c>
      <c r="G64" s="3" t="n">
        <f aca="false">F64-E64</f>
        <v>-2</v>
      </c>
      <c r="H64" s="1" t="s">
        <v>6147</v>
      </c>
    </row>
  </sheetData>
  <autoFilter ref="A1:H64"/>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4" min="1" style="1" width="24.71"/>
  </cols>
  <sheetData>
    <row r="1" customFormat="false" ht="36" hidden="false" customHeight="true" outlineLevel="0" collapsed="false">
      <c r="A1" s="2" t="s">
        <v>6148</v>
      </c>
      <c r="B1" s="2" t="s">
        <v>6149</v>
      </c>
      <c r="C1" s="2" t="s">
        <v>5383</v>
      </c>
      <c r="D1" s="2" t="s">
        <v>6150</v>
      </c>
    </row>
    <row r="2" customFormat="false" ht="48" hidden="false" customHeight="true" outlineLevel="0" collapsed="false">
      <c r="A2" s="1" t="s">
        <v>6151</v>
      </c>
      <c r="B2" s="1" t="s">
        <v>6152</v>
      </c>
      <c r="C2" s="1" t="s">
        <v>6153</v>
      </c>
      <c r="D2" s="1" t="s">
        <v>6154</v>
      </c>
    </row>
    <row r="3" customFormat="false" ht="48" hidden="false" customHeight="true" outlineLevel="0" collapsed="false">
      <c r="A3" s="1" t="s">
        <v>6155</v>
      </c>
      <c r="B3" s="1" t="s">
        <v>6156</v>
      </c>
      <c r="C3" s="1" t="s">
        <v>6157</v>
      </c>
      <c r="D3" s="1" t="s">
        <v>6158</v>
      </c>
    </row>
    <row r="4" customFormat="false" ht="48" hidden="false" customHeight="true" outlineLevel="0" collapsed="false">
      <c r="A4" s="1" t="s">
        <v>6159</v>
      </c>
      <c r="B4" s="1" t="s">
        <v>6160</v>
      </c>
      <c r="C4" s="1" t="s">
        <v>6161</v>
      </c>
      <c r="D4" s="1" t="s">
        <v>6162</v>
      </c>
    </row>
    <row r="5" customFormat="false" ht="48" hidden="false" customHeight="true" outlineLevel="0" collapsed="false">
      <c r="A5" s="1" t="s">
        <v>6163</v>
      </c>
      <c r="B5" s="1" t="s">
        <v>6164</v>
      </c>
      <c r="C5" s="1" t="s">
        <v>6165</v>
      </c>
      <c r="D5" s="1" t="s">
        <v>6166</v>
      </c>
    </row>
    <row r="6" customFormat="false" ht="48" hidden="false" customHeight="true" outlineLevel="0" collapsed="false">
      <c r="A6" s="1" t="s">
        <v>6167</v>
      </c>
      <c r="B6" s="1" t="s">
        <v>6168</v>
      </c>
      <c r="C6" s="1" t="s">
        <v>6169</v>
      </c>
      <c r="D6" s="1" t="s">
        <v>6170</v>
      </c>
    </row>
    <row r="7" customFormat="false" ht="48" hidden="false" customHeight="true" outlineLevel="0" collapsed="false">
      <c r="A7" s="1" t="s">
        <v>6171</v>
      </c>
      <c r="B7" s="1" t="s">
        <v>6172</v>
      </c>
      <c r="C7" s="1" t="s">
        <v>6173</v>
      </c>
      <c r="D7" s="1" t="s">
        <v>6174</v>
      </c>
    </row>
    <row r="8" customFormat="false" ht="48" hidden="false" customHeight="true" outlineLevel="0" collapsed="false">
      <c r="A8" s="1" t="s">
        <v>6175</v>
      </c>
      <c r="B8" s="1" t="s">
        <v>6176</v>
      </c>
      <c r="C8" s="1" t="s">
        <v>6177</v>
      </c>
      <c r="D8" s="1" t="s">
        <v>6178</v>
      </c>
    </row>
    <row r="9" customFormat="false" ht="48" hidden="false" customHeight="true" outlineLevel="0" collapsed="false">
      <c r="A9" s="1" t="s">
        <v>6179</v>
      </c>
      <c r="B9" s="1" t="s">
        <v>6180</v>
      </c>
      <c r="C9" s="1" t="s">
        <v>6181</v>
      </c>
      <c r="D9" s="1" t="s">
        <v>6182</v>
      </c>
    </row>
    <row r="10" customFormat="false" ht="48" hidden="false" customHeight="true" outlineLevel="0" collapsed="false">
      <c r="A10" s="1" t="s">
        <v>6183</v>
      </c>
      <c r="B10" s="1" t="s">
        <v>6184</v>
      </c>
      <c r="C10" s="1" t="s">
        <v>6185</v>
      </c>
      <c r="D10" s="1" t="s">
        <v>6186</v>
      </c>
    </row>
    <row r="11" customFormat="false" ht="48" hidden="false" customHeight="true" outlineLevel="0" collapsed="false">
      <c r="A11" s="1" t="s">
        <v>6187</v>
      </c>
      <c r="B11" s="1" t="s">
        <v>6188</v>
      </c>
      <c r="C11" s="1" t="s">
        <v>6189</v>
      </c>
      <c r="D11" s="1" t="s">
        <v>6190</v>
      </c>
    </row>
    <row r="12" customFormat="false" ht="48" hidden="false" customHeight="true" outlineLevel="0" collapsed="false">
      <c r="A12" s="1" t="s">
        <v>6191</v>
      </c>
      <c r="B12" s="1" t="s">
        <v>6192</v>
      </c>
      <c r="C12" s="1" t="s">
        <v>6193</v>
      </c>
      <c r="D12" s="1" t="s">
        <v>6194</v>
      </c>
    </row>
  </sheetData>
  <autoFilter ref="A1:D12"/>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4" min="1" style="1" width="24.71"/>
  </cols>
  <sheetData>
    <row r="1" customFormat="false" ht="36" hidden="false" customHeight="true" outlineLevel="0" collapsed="false">
      <c r="A1" s="2" t="s">
        <v>6195</v>
      </c>
      <c r="B1" s="2" t="s">
        <v>2</v>
      </c>
      <c r="C1" s="2" t="s">
        <v>6196</v>
      </c>
      <c r="D1" s="2" t="s">
        <v>6197</v>
      </c>
    </row>
    <row r="2" customFormat="false" ht="48" hidden="false" customHeight="true" outlineLevel="0" collapsed="false">
      <c r="A2" s="1" t="s">
        <v>6198</v>
      </c>
      <c r="B2" s="1" t="s">
        <v>6199</v>
      </c>
      <c r="C2" s="1" t="s">
        <v>6200</v>
      </c>
      <c r="D2" s="1" t="s">
        <v>6201</v>
      </c>
    </row>
    <row r="3" customFormat="false" ht="48" hidden="false" customHeight="true" outlineLevel="0" collapsed="false">
      <c r="A3" s="1" t="s">
        <v>6202</v>
      </c>
      <c r="B3" s="1" t="s">
        <v>6203</v>
      </c>
      <c r="C3" s="1" t="s">
        <v>6204</v>
      </c>
      <c r="D3" s="1" t="s">
        <v>6205</v>
      </c>
    </row>
    <row r="4" customFormat="false" ht="48" hidden="false" customHeight="true" outlineLevel="0" collapsed="false">
      <c r="A4" s="1" t="s">
        <v>6206</v>
      </c>
      <c r="B4" s="1" t="s">
        <v>6207</v>
      </c>
      <c r="C4" s="1" t="s">
        <v>6208</v>
      </c>
      <c r="D4" s="1" t="s">
        <v>6209</v>
      </c>
    </row>
    <row r="5" customFormat="false" ht="48" hidden="false" customHeight="true" outlineLevel="0" collapsed="false">
      <c r="A5" s="1" t="s">
        <v>6210</v>
      </c>
      <c r="B5" s="1" t="s">
        <v>6211</v>
      </c>
      <c r="C5" s="1" t="s">
        <v>6212</v>
      </c>
      <c r="D5" s="1" t="s">
        <v>6213</v>
      </c>
    </row>
    <row r="6" customFormat="false" ht="48" hidden="false" customHeight="true" outlineLevel="0" collapsed="false">
      <c r="A6" s="1" t="s">
        <v>6214</v>
      </c>
      <c r="B6" s="1" t="s">
        <v>6203</v>
      </c>
      <c r="C6" s="1" t="s">
        <v>6215</v>
      </c>
      <c r="D6" s="1" t="s">
        <v>6216</v>
      </c>
    </row>
    <row r="7" customFormat="false" ht="48" hidden="false" customHeight="true" outlineLevel="0" collapsed="false">
      <c r="A7" s="1" t="s">
        <v>6217</v>
      </c>
      <c r="B7" s="1" t="s">
        <v>6218</v>
      </c>
      <c r="C7" s="1" t="s">
        <v>6219</v>
      </c>
      <c r="D7" s="1" t="s">
        <v>6220</v>
      </c>
    </row>
    <row r="8" customFormat="false" ht="48" hidden="false" customHeight="true" outlineLevel="0" collapsed="false">
      <c r="A8" s="1" t="s">
        <v>6221</v>
      </c>
      <c r="B8" s="1" t="s">
        <v>6207</v>
      </c>
      <c r="C8" s="1" t="s">
        <v>6222</v>
      </c>
      <c r="D8" s="1" t="s">
        <v>6223</v>
      </c>
    </row>
    <row r="9" customFormat="false" ht="48" hidden="false" customHeight="true" outlineLevel="0" collapsed="false">
      <c r="A9" s="1" t="s">
        <v>6224</v>
      </c>
      <c r="B9" s="1" t="s">
        <v>6218</v>
      </c>
      <c r="C9" s="1" t="s">
        <v>6225</v>
      </c>
      <c r="D9" s="1" t="s">
        <v>6226</v>
      </c>
    </row>
  </sheetData>
  <autoFilter ref="A1:D9"/>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48" customHeight="true" zeroHeight="false" outlineLevelRow="0" outlineLevelCol="0"/>
  <cols>
    <col collapsed="false" customWidth="true" hidden="false" outlineLevel="0" max="9" min="1" style="1" width="24.71"/>
  </cols>
  <sheetData>
    <row r="1" customFormat="false" ht="36" hidden="false" customHeight="true" outlineLevel="0" collapsed="false">
      <c r="A1" s="2" t="s">
        <v>6000</v>
      </c>
      <c r="B1" s="2" t="s">
        <v>5382</v>
      </c>
      <c r="C1" s="2" t="s">
        <v>6227</v>
      </c>
      <c r="D1" s="2" t="s">
        <v>2</v>
      </c>
      <c r="E1" s="2" t="s">
        <v>6228</v>
      </c>
      <c r="F1" s="2" t="s">
        <v>6229</v>
      </c>
      <c r="G1" s="2" t="s">
        <v>6230</v>
      </c>
      <c r="H1" s="2" t="s">
        <v>6231</v>
      </c>
      <c r="I1" s="2" t="s">
        <v>6232</v>
      </c>
    </row>
    <row r="2" customFormat="false" ht="48" hidden="false" customHeight="true" outlineLevel="0" collapsed="false">
      <c r="A2" s="1" t="s">
        <v>6233</v>
      </c>
      <c r="B2" s="1" t="s">
        <v>6234</v>
      </c>
      <c r="C2" s="1" t="s">
        <v>6234</v>
      </c>
      <c r="D2" s="1" t="n">
        <v>200</v>
      </c>
      <c r="E2" s="1" t="s">
        <v>222</v>
      </c>
      <c r="F2" s="1" t="s">
        <v>6235</v>
      </c>
      <c r="G2" s="1" t="s">
        <v>6236</v>
      </c>
      <c r="H2" s="1" t="s">
        <v>6237</v>
      </c>
      <c r="I2" s="1" t="s">
        <v>6238</v>
      </c>
    </row>
    <row r="3" customFormat="false" ht="48" hidden="false" customHeight="true" outlineLevel="0" collapsed="false">
      <c r="A3" s="1" t="s">
        <v>6239</v>
      </c>
      <c r="B3" s="1" t="s">
        <v>6240</v>
      </c>
      <c r="C3" s="1" t="s">
        <v>6240</v>
      </c>
      <c r="D3" s="1" t="n">
        <v>200</v>
      </c>
      <c r="E3" s="1" t="s">
        <v>222</v>
      </c>
      <c r="F3" s="1" t="s">
        <v>6235</v>
      </c>
      <c r="G3" s="1" t="s">
        <v>6236</v>
      </c>
      <c r="H3" s="1" t="s">
        <v>6241</v>
      </c>
      <c r="I3" s="1" t="s">
        <v>6242</v>
      </c>
    </row>
    <row r="4" customFormat="false" ht="48" hidden="false" customHeight="true" outlineLevel="0" collapsed="false">
      <c r="A4" s="1" t="s">
        <v>6243</v>
      </c>
      <c r="B4" s="1" t="s">
        <v>6244</v>
      </c>
      <c r="C4" s="1" t="s">
        <v>6244</v>
      </c>
      <c r="D4" s="1" t="n">
        <v>200</v>
      </c>
      <c r="E4" s="1" t="s">
        <v>222</v>
      </c>
      <c r="F4" s="1" t="s">
        <v>6235</v>
      </c>
      <c r="G4" s="1" t="s">
        <v>6236</v>
      </c>
      <c r="H4" s="1" t="s">
        <v>6245</v>
      </c>
      <c r="I4" s="1" t="s">
        <v>6246</v>
      </c>
    </row>
    <row r="5" customFormat="false" ht="48" hidden="false" customHeight="true" outlineLevel="0" collapsed="false">
      <c r="A5" s="1" t="s">
        <v>6247</v>
      </c>
      <c r="B5" s="1" t="s">
        <v>6248</v>
      </c>
      <c r="C5" s="1" t="s">
        <v>6249</v>
      </c>
      <c r="D5" s="1" t="n">
        <v>200</v>
      </c>
      <c r="E5" s="1" t="s">
        <v>222</v>
      </c>
      <c r="F5" s="1" t="s">
        <v>6250</v>
      </c>
      <c r="G5" s="1" t="s">
        <v>6236</v>
      </c>
      <c r="H5" s="1" t="s">
        <v>6251</v>
      </c>
      <c r="I5" s="1" t="s">
        <v>6252</v>
      </c>
    </row>
    <row r="6" customFormat="false" ht="48" hidden="false" customHeight="true" outlineLevel="0" collapsed="false">
      <c r="A6" s="1" t="s">
        <v>6253</v>
      </c>
      <c r="B6" s="1" t="s">
        <v>6254</v>
      </c>
      <c r="C6" s="1" t="s">
        <v>6249</v>
      </c>
      <c r="D6" s="1" t="n">
        <v>200</v>
      </c>
      <c r="E6" s="1" t="s">
        <v>222</v>
      </c>
      <c r="F6" s="1" t="s">
        <v>6250</v>
      </c>
      <c r="G6" s="1" t="s">
        <v>6236</v>
      </c>
      <c r="H6" s="1" t="s">
        <v>6255</v>
      </c>
      <c r="I6" s="1" t="s">
        <v>6256</v>
      </c>
    </row>
    <row r="7" customFormat="false" ht="48" hidden="false" customHeight="true" outlineLevel="0" collapsed="false">
      <c r="A7" s="1" t="s">
        <v>6257</v>
      </c>
      <c r="B7" s="1" t="s">
        <v>6258</v>
      </c>
      <c r="C7" s="1" t="s">
        <v>6249</v>
      </c>
      <c r="D7" s="1" t="n">
        <v>200</v>
      </c>
      <c r="E7" s="1" t="s">
        <v>222</v>
      </c>
      <c r="F7" s="1" t="s">
        <v>6250</v>
      </c>
      <c r="G7" s="1" t="s">
        <v>6236</v>
      </c>
      <c r="H7" s="1" t="s">
        <v>6259</v>
      </c>
      <c r="I7" s="1" t="s">
        <v>6260</v>
      </c>
    </row>
    <row r="8" customFormat="false" ht="48" hidden="false" customHeight="true" outlineLevel="0" collapsed="false">
      <c r="A8" s="1" t="s">
        <v>6261</v>
      </c>
      <c r="B8" s="1" t="s">
        <v>6262</v>
      </c>
      <c r="C8" s="1" t="s">
        <v>6262</v>
      </c>
      <c r="D8" s="1" t="n">
        <v>200</v>
      </c>
      <c r="E8" s="1" t="s">
        <v>222</v>
      </c>
      <c r="F8" s="1" t="s">
        <v>6235</v>
      </c>
      <c r="G8" s="1" t="s">
        <v>6263</v>
      </c>
      <c r="H8" s="1" t="s">
        <v>6264</v>
      </c>
      <c r="I8" s="1" t="s">
        <v>6265</v>
      </c>
    </row>
    <row r="9" customFormat="false" ht="48" hidden="false" customHeight="true" outlineLevel="0" collapsed="false">
      <c r="A9" s="1" t="s">
        <v>6266</v>
      </c>
      <c r="B9" s="1" t="s">
        <v>6267</v>
      </c>
      <c r="C9" s="1" t="s">
        <v>6267</v>
      </c>
      <c r="D9" s="1" t="n">
        <v>200</v>
      </c>
      <c r="E9" s="1" t="s">
        <v>222</v>
      </c>
      <c r="F9" s="1" t="s">
        <v>6235</v>
      </c>
      <c r="G9" s="1" t="s">
        <v>6263</v>
      </c>
      <c r="H9" s="1" t="s">
        <v>6268</v>
      </c>
      <c r="I9" s="1" t="s">
        <v>6269</v>
      </c>
    </row>
    <row r="10" customFormat="false" ht="48" hidden="false" customHeight="true" outlineLevel="0" collapsed="false">
      <c r="A10" s="1" t="s">
        <v>6270</v>
      </c>
      <c r="B10" s="1" t="s">
        <v>6271</v>
      </c>
      <c r="D10" s="1" t="s">
        <v>6272</v>
      </c>
      <c r="E10" s="1" t="s">
        <v>222</v>
      </c>
      <c r="F10" s="1" t="s">
        <v>6250</v>
      </c>
      <c r="G10" s="1" t="s">
        <v>6263</v>
      </c>
    </row>
    <row r="11" customFormat="false" ht="48" hidden="false" customHeight="true" outlineLevel="0" collapsed="false">
      <c r="A11" s="1" t="s">
        <v>6273</v>
      </c>
      <c r="B11" s="1" t="s">
        <v>6274</v>
      </c>
      <c r="C11" s="1" t="s">
        <v>6274</v>
      </c>
      <c r="D11" s="1" t="n">
        <v>200</v>
      </c>
      <c r="E11" s="1" t="s">
        <v>222</v>
      </c>
      <c r="F11" s="1" t="s">
        <v>6235</v>
      </c>
      <c r="G11" s="1" t="s">
        <v>6263</v>
      </c>
      <c r="H11" s="1" t="s">
        <v>6275</v>
      </c>
      <c r="I11" s="1" t="s">
        <v>6276</v>
      </c>
    </row>
    <row r="12" customFormat="false" ht="48" hidden="false" customHeight="true" outlineLevel="0" collapsed="false">
      <c r="A12" s="1" t="s">
        <v>6277</v>
      </c>
      <c r="B12" s="1" t="s">
        <v>6278</v>
      </c>
      <c r="C12" s="1" t="s">
        <v>6278</v>
      </c>
      <c r="D12" s="1" t="n">
        <v>200</v>
      </c>
      <c r="E12" s="1" t="s">
        <v>222</v>
      </c>
      <c r="F12" s="1" t="s">
        <v>6235</v>
      </c>
      <c r="G12" s="1" t="s">
        <v>6263</v>
      </c>
      <c r="H12" s="1" t="s">
        <v>6279</v>
      </c>
      <c r="I12" s="1" t="s">
        <v>6280</v>
      </c>
    </row>
    <row r="13" customFormat="false" ht="48" hidden="false" customHeight="true" outlineLevel="0" collapsed="false">
      <c r="A13" s="1" t="s">
        <v>6281</v>
      </c>
      <c r="B13" s="1" t="s">
        <v>6282</v>
      </c>
      <c r="D13" s="1" t="s">
        <v>6272</v>
      </c>
      <c r="E13" s="1" t="s">
        <v>222</v>
      </c>
      <c r="F13" s="1" t="s">
        <v>6250</v>
      </c>
      <c r="G13" s="1" t="s">
        <v>6283</v>
      </c>
    </row>
    <row r="14" customFormat="false" ht="48" hidden="false" customHeight="true" outlineLevel="0" collapsed="false">
      <c r="A14" s="1" t="s">
        <v>6284</v>
      </c>
      <c r="B14" s="1" t="s">
        <v>6285</v>
      </c>
      <c r="D14" s="1" t="s">
        <v>6272</v>
      </c>
      <c r="E14" s="1" t="s">
        <v>222</v>
      </c>
      <c r="F14" s="1" t="s">
        <v>6250</v>
      </c>
      <c r="G14" s="1" t="s">
        <v>6283</v>
      </c>
    </row>
    <row r="15" customFormat="false" ht="48" hidden="false" customHeight="true" outlineLevel="0" collapsed="false">
      <c r="A15" s="1" t="s">
        <v>6286</v>
      </c>
      <c r="B15" s="1" t="s">
        <v>6287</v>
      </c>
      <c r="D15" s="1" t="s">
        <v>6272</v>
      </c>
      <c r="E15" s="1" t="s">
        <v>222</v>
      </c>
      <c r="F15" s="1" t="s">
        <v>6250</v>
      </c>
      <c r="G15" s="1" t="s">
        <v>6283</v>
      </c>
    </row>
    <row r="16" customFormat="false" ht="48" hidden="false" customHeight="true" outlineLevel="0" collapsed="false">
      <c r="A16" s="1" t="s">
        <v>6288</v>
      </c>
      <c r="B16" s="1" t="s">
        <v>6289</v>
      </c>
      <c r="D16" s="1" t="s">
        <v>6272</v>
      </c>
      <c r="E16" s="1" t="s">
        <v>222</v>
      </c>
      <c r="F16" s="1" t="s">
        <v>6250</v>
      </c>
      <c r="G16" s="1" t="s">
        <v>6263</v>
      </c>
    </row>
    <row r="17" customFormat="false" ht="48" hidden="false" customHeight="true" outlineLevel="0" collapsed="false">
      <c r="A17" s="1" t="s">
        <v>6290</v>
      </c>
      <c r="B17" s="1" t="s">
        <v>6291</v>
      </c>
      <c r="C17" s="1" t="s">
        <v>6291</v>
      </c>
      <c r="D17" s="1" t="n">
        <v>200</v>
      </c>
      <c r="E17" s="1" t="s">
        <v>222</v>
      </c>
      <c r="F17" s="1" t="s">
        <v>6235</v>
      </c>
      <c r="G17" s="1" t="s">
        <v>6263</v>
      </c>
      <c r="H17" s="1" t="s">
        <v>6292</v>
      </c>
      <c r="I17" s="1" t="s">
        <v>6293</v>
      </c>
    </row>
    <row r="18" customFormat="false" ht="48" hidden="false" customHeight="true" outlineLevel="0" collapsed="false">
      <c r="A18" s="1" t="s">
        <v>6294</v>
      </c>
      <c r="B18" s="1" t="s">
        <v>6295</v>
      </c>
      <c r="D18" s="1" t="s">
        <v>6272</v>
      </c>
      <c r="E18" s="1" t="s">
        <v>222</v>
      </c>
      <c r="F18" s="1" t="s">
        <v>6250</v>
      </c>
      <c r="G18" s="1" t="s">
        <v>6263</v>
      </c>
    </row>
    <row r="19" customFormat="false" ht="48" hidden="false" customHeight="true" outlineLevel="0" collapsed="false">
      <c r="A19" s="1" t="s">
        <v>6296</v>
      </c>
      <c r="B19" s="1" t="s">
        <v>6297</v>
      </c>
      <c r="C19" s="1" t="s">
        <v>6297</v>
      </c>
      <c r="D19" s="1" t="n">
        <v>200</v>
      </c>
      <c r="E19" s="1" t="s">
        <v>222</v>
      </c>
      <c r="F19" s="1" t="s">
        <v>6235</v>
      </c>
      <c r="G19" s="1" t="s">
        <v>6263</v>
      </c>
      <c r="H19" s="1" t="s">
        <v>6298</v>
      </c>
      <c r="I19" s="1" t="s">
        <v>6299</v>
      </c>
    </row>
    <row r="20" customFormat="false" ht="48" hidden="false" customHeight="true" outlineLevel="0" collapsed="false">
      <c r="A20" s="1" t="s">
        <v>6300</v>
      </c>
      <c r="B20" s="1" t="s">
        <v>6301</v>
      </c>
      <c r="C20" s="1" t="s">
        <v>6301</v>
      </c>
      <c r="D20" s="1" t="n">
        <v>200</v>
      </c>
      <c r="E20" s="1" t="s">
        <v>222</v>
      </c>
      <c r="F20" s="1" t="s">
        <v>6235</v>
      </c>
      <c r="G20" s="1" t="s">
        <v>6263</v>
      </c>
      <c r="H20" s="1" t="s">
        <v>6302</v>
      </c>
      <c r="I20" s="1" t="s">
        <v>6303</v>
      </c>
    </row>
    <row r="21" customFormat="false" ht="48" hidden="false" customHeight="true" outlineLevel="0" collapsed="false">
      <c r="A21" s="1" t="s">
        <v>6304</v>
      </c>
      <c r="B21" s="1" t="s">
        <v>6305</v>
      </c>
      <c r="C21" s="1" t="s">
        <v>6306</v>
      </c>
      <c r="D21" s="1" t="n">
        <v>200</v>
      </c>
      <c r="E21" s="1" t="s">
        <v>222</v>
      </c>
      <c r="F21" s="1" t="s">
        <v>6250</v>
      </c>
      <c r="G21" s="1" t="s">
        <v>6263</v>
      </c>
      <c r="H21" s="1" t="s">
        <v>6307</v>
      </c>
      <c r="I21" s="1" t="s">
        <v>6308</v>
      </c>
    </row>
    <row r="22" customFormat="false" ht="48" hidden="false" customHeight="true" outlineLevel="0" collapsed="false">
      <c r="A22" s="1" t="s">
        <v>6153</v>
      </c>
      <c r="B22" s="1" t="s">
        <v>6309</v>
      </c>
      <c r="C22" s="1" t="s">
        <v>6309</v>
      </c>
      <c r="D22" s="1" t="n">
        <v>200</v>
      </c>
      <c r="E22" s="1" t="s">
        <v>222</v>
      </c>
      <c r="F22" s="1" t="s">
        <v>6235</v>
      </c>
      <c r="G22" s="1" t="s">
        <v>6263</v>
      </c>
      <c r="H22" s="1" t="s">
        <v>6310</v>
      </c>
      <c r="I22" s="1" t="s">
        <v>6311</v>
      </c>
    </row>
    <row r="23" customFormat="false" ht="48" hidden="false" customHeight="true" outlineLevel="0" collapsed="false">
      <c r="A23" s="1" t="s">
        <v>6312</v>
      </c>
      <c r="B23" s="1" t="s">
        <v>6313</v>
      </c>
      <c r="C23" s="1" t="s">
        <v>6313</v>
      </c>
      <c r="D23" s="1" t="n">
        <v>200</v>
      </c>
      <c r="E23" s="1" t="s">
        <v>222</v>
      </c>
      <c r="F23" s="1" t="s">
        <v>6235</v>
      </c>
      <c r="G23" s="1" t="s">
        <v>6283</v>
      </c>
      <c r="H23" s="1" t="s">
        <v>6314</v>
      </c>
      <c r="I23" s="1" t="s">
        <v>6315</v>
      </c>
    </row>
    <row r="24" customFormat="false" ht="48" hidden="false" customHeight="true" outlineLevel="0" collapsed="false">
      <c r="A24" s="1" t="s">
        <v>6316</v>
      </c>
      <c r="B24" s="1" t="s">
        <v>6317</v>
      </c>
      <c r="C24" s="1" t="s">
        <v>6317</v>
      </c>
      <c r="D24" s="1" t="n">
        <v>200</v>
      </c>
      <c r="E24" s="1" t="s">
        <v>222</v>
      </c>
      <c r="F24" s="1" t="s">
        <v>6235</v>
      </c>
      <c r="G24" s="1" t="s">
        <v>6283</v>
      </c>
      <c r="H24" s="1" t="s">
        <v>6318</v>
      </c>
      <c r="I24" s="1" t="s">
        <v>6319</v>
      </c>
    </row>
    <row r="25" customFormat="false" ht="48" hidden="false" customHeight="true" outlineLevel="0" collapsed="false">
      <c r="A25" s="1" t="s">
        <v>6320</v>
      </c>
      <c r="B25" s="1" t="s">
        <v>6321</v>
      </c>
      <c r="D25" s="1" t="s">
        <v>6272</v>
      </c>
      <c r="E25" s="1" t="s">
        <v>222</v>
      </c>
      <c r="F25" s="1" t="s">
        <v>6250</v>
      </c>
      <c r="G25" s="1" t="s">
        <v>6283</v>
      </c>
    </row>
    <row r="26" customFormat="false" ht="48" hidden="false" customHeight="true" outlineLevel="0" collapsed="false">
      <c r="A26" s="1" t="s">
        <v>6322</v>
      </c>
      <c r="B26" s="1" t="s">
        <v>6323</v>
      </c>
      <c r="D26" s="1" t="s">
        <v>6272</v>
      </c>
      <c r="E26" s="1" t="s">
        <v>222</v>
      </c>
      <c r="F26" s="1" t="s">
        <v>6250</v>
      </c>
      <c r="G26" s="1" t="s">
        <v>6283</v>
      </c>
    </row>
    <row r="27" customFormat="false" ht="48" hidden="false" customHeight="true" outlineLevel="0" collapsed="false">
      <c r="A27" s="1" t="s">
        <v>6324</v>
      </c>
      <c r="B27" s="1" t="s">
        <v>6325</v>
      </c>
      <c r="C27" s="1" t="s">
        <v>6325</v>
      </c>
      <c r="D27" s="1" t="n">
        <v>200</v>
      </c>
      <c r="E27" s="1" t="s">
        <v>222</v>
      </c>
      <c r="F27" s="1" t="s">
        <v>6235</v>
      </c>
      <c r="G27" s="1" t="s">
        <v>6283</v>
      </c>
      <c r="H27" s="1" t="s">
        <v>6326</v>
      </c>
      <c r="I27" s="1" t="s">
        <v>6327</v>
      </c>
    </row>
    <row r="28" customFormat="false" ht="48" hidden="false" customHeight="true" outlineLevel="0" collapsed="false">
      <c r="A28" s="1" t="s">
        <v>6328</v>
      </c>
      <c r="B28" s="1" t="s">
        <v>6329</v>
      </c>
      <c r="C28" s="1" t="s">
        <v>6329</v>
      </c>
      <c r="D28" s="1" t="n">
        <v>200</v>
      </c>
      <c r="E28" s="1" t="s">
        <v>222</v>
      </c>
      <c r="F28" s="1" t="s">
        <v>6235</v>
      </c>
      <c r="G28" s="1" t="s">
        <v>6283</v>
      </c>
      <c r="H28" s="1" t="s">
        <v>6330</v>
      </c>
      <c r="I28" s="1" t="s">
        <v>6331</v>
      </c>
    </row>
    <row r="29" customFormat="false" ht="48" hidden="false" customHeight="true" outlineLevel="0" collapsed="false">
      <c r="A29" s="1" t="s">
        <v>6332</v>
      </c>
      <c r="B29" s="1" t="s">
        <v>6333</v>
      </c>
      <c r="D29" s="1" t="s">
        <v>6272</v>
      </c>
      <c r="E29" s="1" t="s">
        <v>222</v>
      </c>
      <c r="F29" s="1" t="s">
        <v>6250</v>
      </c>
      <c r="G29" s="1" t="s">
        <v>6283</v>
      </c>
    </row>
    <row r="30" customFormat="false" ht="48" hidden="false" customHeight="true" outlineLevel="0" collapsed="false">
      <c r="A30" s="1" t="s">
        <v>6334</v>
      </c>
      <c r="B30" s="1" t="s">
        <v>6271</v>
      </c>
      <c r="D30" s="1" t="s">
        <v>6272</v>
      </c>
      <c r="E30" s="1" t="s">
        <v>222</v>
      </c>
      <c r="F30" s="1" t="s">
        <v>6250</v>
      </c>
      <c r="G30" s="1" t="s">
        <v>6263</v>
      </c>
    </row>
    <row r="31" customFormat="false" ht="48" hidden="false" customHeight="true" outlineLevel="0" collapsed="false">
      <c r="A31" s="1" t="s">
        <v>6335</v>
      </c>
      <c r="B31" s="1" t="s">
        <v>6336</v>
      </c>
      <c r="D31" s="1" t="s">
        <v>6272</v>
      </c>
      <c r="E31" s="1" t="s">
        <v>222</v>
      </c>
      <c r="F31" s="1" t="s">
        <v>6250</v>
      </c>
      <c r="G31" s="1" t="s">
        <v>6263</v>
      </c>
    </row>
    <row r="32" customFormat="false" ht="48" hidden="false" customHeight="true" outlineLevel="0" collapsed="false">
      <c r="A32" s="1" t="s">
        <v>6337</v>
      </c>
      <c r="B32" s="1" t="s">
        <v>6338</v>
      </c>
      <c r="C32" s="1" t="s">
        <v>6278</v>
      </c>
      <c r="D32" s="1" t="n">
        <v>200</v>
      </c>
      <c r="E32" s="1" t="s">
        <v>222</v>
      </c>
      <c r="F32" s="1" t="s">
        <v>6250</v>
      </c>
      <c r="G32" s="1" t="s">
        <v>6263</v>
      </c>
      <c r="H32" s="1" t="s">
        <v>6339</v>
      </c>
      <c r="I32" s="1" t="s">
        <v>6340</v>
      </c>
    </row>
    <row r="33" customFormat="false" ht="48" hidden="false" customHeight="true" outlineLevel="0" collapsed="false">
      <c r="A33" s="1" t="s">
        <v>6341</v>
      </c>
      <c r="B33" s="1" t="s">
        <v>6342</v>
      </c>
      <c r="D33" s="1" t="s">
        <v>6272</v>
      </c>
      <c r="E33" s="1" t="s">
        <v>222</v>
      </c>
      <c r="F33" s="1" t="s">
        <v>6250</v>
      </c>
      <c r="G33" s="1" t="s">
        <v>6263</v>
      </c>
    </row>
    <row r="34" customFormat="false" ht="48" hidden="false" customHeight="true" outlineLevel="0" collapsed="false">
      <c r="A34" s="1" t="s">
        <v>6343</v>
      </c>
      <c r="B34" s="1" t="s">
        <v>6344</v>
      </c>
      <c r="C34" s="1" t="s">
        <v>6344</v>
      </c>
      <c r="D34" s="1" t="n">
        <v>200</v>
      </c>
      <c r="E34" s="1" t="s">
        <v>222</v>
      </c>
      <c r="F34" s="1" t="s">
        <v>6235</v>
      </c>
      <c r="G34" s="1" t="s">
        <v>6236</v>
      </c>
      <c r="H34" s="1" t="s">
        <v>6345</v>
      </c>
      <c r="I34" s="1" t="s">
        <v>6346</v>
      </c>
    </row>
    <row r="35" customFormat="false" ht="48" hidden="false" customHeight="true" outlineLevel="0" collapsed="false">
      <c r="A35" s="1" t="s">
        <v>6347</v>
      </c>
      <c r="B35" s="1" t="s">
        <v>6348</v>
      </c>
      <c r="C35" s="1" t="s">
        <v>6348</v>
      </c>
      <c r="D35" s="1" t="n">
        <v>200</v>
      </c>
      <c r="E35" s="1" t="s">
        <v>222</v>
      </c>
      <c r="F35" s="1" t="s">
        <v>6235</v>
      </c>
      <c r="G35" s="1" t="s">
        <v>6236</v>
      </c>
      <c r="H35" s="1" t="s">
        <v>6349</v>
      </c>
      <c r="I35" s="1" t="s">
        <v>6350</v>
      </c>
    </row>
    <row r="36" customFormat="false" ht="48" hidden="false" customHeight="true" outlineLevel="0" collapsed="false">
      <c r="A36" s="1" t="s">
        <v>6351</v>
      </c>
      <c r="B36" s="1" t="s">
        <v>6352</v>
      </c>
      <c r="C36" s="1" t="s">
        <v>6352</v>
      </c>
      <c r="D36" s="1" t="n">
        <v>200</v>
      </c>
      <c r="E36" s="1" t="s">
        <v>222</v>
      </c>
      <c r="F36" s="1" t="s">
        <v>6235</v>
      </c>
      <c r="G36" s="1" t="s">
        <v>6236</v>
      </c>
      <c r="H36" s="1" t="s">
        <v>6353</v>
      </c>
      <c r="I36" s="1" t="s">
        <v>6354</v>
      </c>
    </row>
    <row r="37" customFormat="false" ht="48" hidden="false" customHeight="true" outlineLevel="0" collapsed="false">
      <c r="A37" s="1" t="s">
        <v>6355</v>
      </c>
      <c r="B37" s="1" t="s">
        <v>6356</v>
      </c>
      <c r="C37" s="1" t="s">
        <v>6357</v>
      </c>
      <c r="D37" s="1" t="n">
        <v>200</v>
      </c>
      <c r="E37" s="1" t="s">
        <v>222</v>
      </c>
      <c r="F37" s="1" t="s">
        <v>6250</v>
      </c>
      <c r="G37" s="1" t="s">
        <v>6283</v>
      </c>
      <c r="H37" s="1" t="s">
        <v>6358</v>
      </c>
      <c r="I37" s="1" t="s">
        <v>6359</v>
      </c>
    </row>
    <row r="38" customFormat="false" ht="48" hidden="false" customHeight="true" outlineLevel="0" collapsed="false">
      <c r="A38" s="1" t="s">
        <v>6360</v>
      </c>
      <c r="B38" s="1" t="s">
        <v>6361</v>
      </c>
      <c r="D38" s="1" t="s">
        <v>6272</v>
      </c>
      <c r="E38" s="1" t="s">
        <v>222</v>
      </c>
      <c r="F38" s="1" t="s">
        <v>6250</v>
      </c>
      <c r="G38" s="1" t="s">
        <v>6283</v>
      </c>
    </row>
    <row r="39" customFormat="false" ht="48" hidden="false" customHeight="true" outlineLevel="0" collapsed="false">
      <c r="A39" s="1" t="s">
        <v>6362</v>
      </c>
      <c r="B39" s="1" t="s">
        <v>6363</v>
      </c>
      <c r="D39" s="1" t="s">
        <v>6272</v>
      </c>
      <c r="E39" s="1" t="s">
        <v>222</v>
      </c>
      <c r="F39" s="1" t="s">
        <v>6250</v>
      </c>
      <c r="G39" s="1" t="s">
        <v>6283</v>
      </c>
    </row>
    <row r="40" customFormat="false" ht="48" hidden="false" customHeight="true" outlineLevel="0" collapsed="false">
      <c r="A40" s="1" t="s">
        <v>6364</v>
      </c>
      <c r="B40" s="1" t="s">
        <v>6365</v>
      </c>
      <c r="D40" s="1" t="s">
        <v>6272</v>
      </c>
      <c r="E40" s="1" t="s">
        <v>222</v>
      </c>
      <c r="F40" s="1" t="s">
        <v>6250</v>
      </c>
      <c r="G40" s="1" t="s">
        <v>6263</v>
      </c>
    </row>
    <row r="41" customFormat="false" ht="48" hidden="false" customHeight="true" outlineLevel="0" collapsed="false">
      <c r="A41" s="1" t="s">
        <v>6169</v>
      </c>
      <c r="B41" s="1" t="s">
        <v>6366</v>
      </c>
      <c r="C41" s="1" t="s">
        <v>6366</v>
      </c>
      <c r="D41" s="1" t="n">
        <v>200</v>
      </c>
      <c r="E41" s="1" t="s">
        <v>222</v>
      </c>
      <c r="F41" s="1" t="s">
        <v>6235</v>
      </c>
      <c r="G41" s="1" t="s">
        <v>6263</v>
      </c>
      <c r="H41" s="1" t="s">
        <v>6367</v>
      </c>
      <c r="I41" s="1" t="s">
        <v>6368</v>
      </c>
    </row>
    <row r="42" customFormat="false" ht="48" hidden="false" customHeight="true" outlineLevel="0" collapsed="false">
      <c r="A42" s="1" t="s">
        <v>6369</v>
      </c>
      <c r="B42" s="1" t="s">
        <v>6370</v>
      </c>
      <c r="C42" s="1" t="s">
        <v>6370</v>
      </c>
      <c r="D42" s="1" t="n">
        <v>200</v>
      </c>
      <c r="E42" s="1" t="s">
        <v>222</v>
      </c>
      <c r="F42" s="1" t="s">
        <v>6235</v>
      </c>
      <c r="G42" s="1" t="s">
        <v>6263</v>
      </c>
      <c r="H42" s="1" t="s">
        <v>6371</v>
      </c>
      <c r="I42" s="1" t="s">
        <v>6372</v>
      </c>
    </row>
    <row r="43" customFormat="false" ht="48" hidden="false" customHeight="true" outlineLevel="0" collapsed="false">
      <c r="A43" s="1" t="s">
        <v>6373</v>
      </c>
      <c r="B43" s="1" t="s">
        <v>6374</v>
      </c>
      <c r="D43" s="1" t="s">
        <v>6272</v>
      </c>
      <c r="E43" s="1" t="s">
        <v>222</v>
      </c>
      <c r="F43" s="1" t="s">
        <v>6250</v>
      </c>
      <c r="G43" s="1" t="s">
        <v>6263</v>
      </c>
    </row>
    <row r="44" customFormat="false" ht="48" hidden="false" customHeight="true" outlineLevel="0" collapsed="false">
      <c r="A44" s="1" t="s">
        <v>6375</v>
      </c>
      <c r="B44" s="1" t="s">
        <v>6376</v>
      </c>
      <c r="C44" s="1" t="s">
        <v>6377</v>
      </c>
      <c r="D44" s="1" t="n">
        <v>200</v>
      </c>
      <c r="E44" s="1" t="s">
        <v>222</v>
      </c>
      <c r="F44" s="1" t="s">
        <v>6250</v>
      </c>
      <c r="G44" s="1" t="s">
        <v>6283</v>
      </c>
      <c r="H44" s="1" t="s">
        <v>6378</v>
      </c>
      <c r="I44" s="1" t="s">
        <v>6379</v>
      </c>
    </row>
    <row r="45" customFormat="false" ht="48" hidden="false" customHeight="true" outlineLevel="0" collapsed="false">
      <c r="A45" s="1" t="s">
        <v>6380</v>
      </c>
      <c r="B45" s="1" t="s">
        <v>6381</v>
      </c>
      <c r="C45" s="1" t="s">
        <v>6382</v>
      </c>
      <c r="D45" s="1" t="n">
        <v>200</v>
      </c>
      <c r="E45" s="1" t="s">
        <v>222</v>
      </c>
      <c r="F45" s="1" t="s">
        <v>6250</v>
      </c>
      <c r="G45" s="1" t="s">
        <v>6283</v>
      </c>
      <c r="H45" s="1" t="s">
        <v>6383</v>
      </c>
      <c r="I45" s="1" t="s">
        <v>6384</v>
      </c>
    </row>
    <row r="46" customFormat="false" ht="48" hidden="false" customHeight="true" outlineLevel="0" collapsed="false">
      <c r="A46" s="1" t="s">
        <v>6385</v>
      </c>
      <c r="B46" s="1" t="s">
        <v>6386</v>
      </c>
      <c r="D46" s="1" t="s">
        <v>6272</v>
      </c>
      <c r="E46" s="1" t="s">
        <v>222</v>
      </c>
      <c r="F46" s="1" t="s">
        <v>6250</v>
      </c>
      <c r="G46" s="1" t="s">
        <v>6283</v>
      </c>
    </row>
    <row r="47" customFormat="false" ht="48" hidden="false" customHeight="true" outlineLevel="0" collapsed="false">
      <c r="A47" s="1" t="s">
        <v>6387</v>
      </c>
      <c r="B47" s="1" t="s">
        <v>6388</v>
      </c>
      <c r="C47" s="1" t="s">
        <v>6388</v>
      </c>
      <c r="D47" s="1" t="n">
        <v>200</v>
      </c>
      <c r="E47" s="1" t="s">
        <v>222</v>
      </c>
      <c r="F47" s="1" t="s">
        <v>6235</v>
      </c>
      <c r="G47" s="1" t="s">
        <v>6283</v>
      </c>
      <c r="H47" s="1" t="s">
        <v>6389</v>
      </c>
      <c r="I47" s="1" t="s">
        <v>6390</v>
      </c>
    </row>
    <row r="48" customFormat="false" ht="48" hidden="false" customHeight="true" outlineLevel="0" collapsed="false">
      <c r="A48" s="1" t="s">
        <v>6391</v>
      </c>
      <c r="B48" s="1" t="s">
        <v>6392</v>
      </c>
      <c r="C48" s="1" t="s">
        <v>6392</v>
      </c>
      <c r="D48" s="1" t="n">
        <v>200</v>
      </c>
      <c r="E48" s="1" t="s">
        <v>222</v>
      </c>
      <c r="F48" s="1" t="s">
        <v>6235</v>
      </c>
      <c r="G48" s="1" t="s">
        <v>6263</v>
      </c>
      <c r="H48" s="1" t="s">
        <v>6393</v>
      </c>
      <c r="I48" s="1" t="s">
        <v>6394</v>
      </c>
    </row>
    <row r="49" customFormat="false" ht="48" hidden="false" customHeight="true" outlineLevel="0" collapsed="false">
      <c r="A49" s="1" t="s">
        <v>6395</v>
      </c>
      <c r="B49" s="1" t="s">
        <v>6396</v>
      </c>
      <c r="C49" s="1" t="s">
        <v>6396</v>
      </c>
      <c r="D49" s="1" t="n">
        <v>200</v>
      </c>
      <c r="E49" s="1" t="s">
        <v>222</v>
      </c>
      <c r="F49" s="1" t="s">
        <v>6235</v>
      </c>
      <c r="G49" s="1" t="s">
        <v>6263</v>
      </c>
      <c r="H49" s="1" t="s">
        <v>6397</v>
      </c>
      <c r="I49" s="1" t="s">
        <v>6398</v>
      </c>
    </row>
    <row r="50" customFormat="false" ht="48" hidden="false" customHeight="true" outlineLevel="0" collapsed="false">
      <c r="A50" s="1" t="s">
        <v>6399</v>
      </c>
      <c r="B50" s="1" t="s">
        <v>6400</v>
      </c>
      <c r="C50" s="1" t="s">
        <v>6400</v>
      </c>
      <c r="D50" s="1" t="n">
        <v>200</v>
      </c>
      <c r="E50" s="1" t="s">
        <v>222</v>
      </c>
      <c r="F50" s="1" t="s">
        <v>6235</v>
      </c>
      <c r="G50" s="1" t="s">
        <v>6263</v>
      </c>
      <c r="H50" s="1" t="s">
        <v>6401</v>
      </c>
      <c r="I50" s="1" t="s">
        <v>6402</v>
      </c>
    </row>
    <row r="51" customFormat="false" ht="48" hidden="false" customHeight="true" outlineLevel="0" collapsed="false">
      <c r="A51" s="1" t="s">
        <v>6403</v>
      </c>
      <c r="B51" s="1" t="s">
        <v>6404</v>
      </c>
      <c r="C51" s="1" t="s">
        <v>6404</v>
      </c>
      <c r="D51" s="1" t="n">
        <v>200</v>
      </c>
      <c r="E51" s="1" t="s">
        <v>222</v>
      </c>
      <c r="F51" s="1" t="s">
        <v>6235</v>
      </c>
      <c r="G51" s="1" t="s">
        <v>6263</v>
      </c>
      <c r="H51" s="1" t="s">
        <v>6405</v>
      </c>
      <c r="I51" s="1" t="s">
        <v>6406</v>
      </c>
    </row>
    <row r="52" customFormat="false" ht="48" hidden="false" customHeight="true" outlineLevel="0" collapsed="false">
      <c r="A52" s="1" t="s">
        <v>6407</v>
      </c>
      <c r="B52" s="1" t="s">
        <v>6408</v>
      </c>
      <c r="C52" s="1" t="s">
        <v>6408</v>
      </c>
      <c r="D52" s="1" t="n">
        <v>200</v>
      </c>
      <c r="E52" s="1" t="s">
        <v>222</v>
      </c>
      <c r="F52" s="1" t="s">
        <v>6235</v>
      </c>
      <c r="G52" s="1" t="s">
        <v>6263</v>
      </c>
      <c r="H52" s="1" t="s">
        <v>6409</v>
      </c>
      <c r="I52" s="1" t="s">
        <v>6410</v>
      </c>
    </row>
    <row r="53" customFormat="false" ht="48" hidden="false" customHeight="true" outlineLevel="0" collapsed="false">
      <c r="A53" s="1" t="s">
        <v>6411</v>
      </c>
      <c r="B53" s="1" t="s">
        <v>6412</v>
      </c>
      <c r="C53" s="1" t="s">
        <v>6412</v>
      </c>
      <c r="D53" s="1" t="n">
        <v>200</v>
      </c>
      <c r="E53" s="1" t="s">
        <v>222</v>
      </c>
      <c r="F53" s="1" t="s">
        <v>6235</v>
      </c>
      <c r="G53" s="1" t="s">
        <v>6263</v>
      </c>
      <c r="H53" s="1" t="s">
        <v>6413</v>
      </c>
      <c r="I53" s="1" t="s">
        <v>6414</v>
      </c>
    </row>
    <row r="54" customFormat="false" ht="48" hidden="false" customHeight="true" outlineLevel="0" collapsed="false">
      <c r="A54" s="1" t="s">
        <v>6415</v>
      </c>
      <c r="B54" s="1" t="s">
        <v>6416</v>
      </c>
      <c r="C54" s="1" t="s">
        <v>6416</v>
      </c>
      <c r="D54" s="1" t="n">
        <v>200</v>
      </c>
      <c r="E54" s="1" t="s">
        <v>222</v>
      </c>
      <c r="F54" s="1" t="s">
        <v>6235</v>
      </c>
      <c r="G54" s="1" t="s">
        <v>6263</v>
      </c>
      <c r="H54" s="1" t="s">
        <v>6417</v>
      </c>
      <c r="I54" s="1" t="s">
        <v>6418</v>
      </c>
    </row>
    <row r="55" customFormat="false" ht="48" hidden="false" customHeight="true" outlineLevel="0" collapsed="false">
      <c r="A55" s="1" t="s">
        <v>3411</v>
      </c>
      <c r="B55" s="1" t="s">
        <v>6419</v>
      </c>
      <c r="C55" s="1" t="s">
        <v>6419</v>
      </c>
      <c r="D55" s="1" t="s">
        <v>6420</v>
      </c>
      <c r="E55" s="1" t="s">
        <v>222</v>
      </c>
      <c r="F55" s="1" t="s">
        <v>6421</v>
      </c>
      <c r="G55" s="1" t="s">
        <v>6422</v>
      </c>
      <c r="I55" s="1" t="s">
        <v>1751</v>
      </c>
    </row>
    <row r="56" customFormat="false" ht="48" hidden="false" customHeight="true" outlineLevel="0" collapsed="false">
      <c r="A56" s="1" t="s">
        <v>1591</v>
      </c>
      <c r="B56" s="1" t="s">
        <v>6423</v>
      </c>
      <c r="C56" s="1" t="s">
        <v>6423</v>
      </c>
      <c r="D56" s="1" t="s">
        <v>6420</v>
      </c>
      <c r="E56" s="1" t="s">
        <v>222</v>
      </c>
      <c r="F56" s="1" t="s">
        <v>6421</v>
      </c>
      <c r="G56" s="1" t="s">
        <v>6422</v>
      </c>
      <c r="I56" s="1" t="s">
        <v>1586</v>
      </c>
    </row>
    <row r="57" customFormat="false" ht="48" hidden="false" customHeight="true" outlineLevel="0" collapsed="false">
      <c r="A57" s="1" t="s">
        <v>2407</v>
      </c>
      <c r="B57" s="1" t="s">
        <v>6424</v>
      </c>
      <c r="C57" s="1" t="s">
        <v>6424</v>
      </c>
      <c r="D57" s="1" t="s">
        <v>6420</v>
      </c>
      <c r="E57" s="1" t="s">
        <v>222</v>
      </c>
      <c r="F57" s="1" t="s">
        <v>6421</v>
      </c>
      <c r="G57" s="1" t="s">
        <v>6422</v>
      </c>
      <c r="I57" s="1" t="s">
        <v>580</v>
      </c>
    </row>
    <row r="58" customFormat="false" ht="48" hidden="false" customHeight="true" outlineLevel="0" collapsed="false">
      <c r="A58" s="1" t="s">
        <v>3859</v>
      </c>
      <c r="B58" s="1" t="s">
        <v>6425</v>
      </c>
      <c r="C58" s="1" t="s">
        <v>6425</v>
      </c>
      <c r="D58" s="1" t="s">
        <v>6420</v>
      </c>
      <c r="E58" s="1" t="s">
        <v>222</v>
      </c>
      <c r="F58" s="1" t="s">
        <v>6421</v>
      </c>
      <c r="G58" s="1" t="s">
        <v>6422</v>
      </c>
      <c r="I58" s="1" t="s">
        <v>399</v>
      </c>
    </row>
    <row r="59" customFormat="false" ht="48" hidden="false" customHeight="true" outlineLevel="0" collapsed="false">
      <c r="A59" s="1" t="s">
        <v>5389</v>
      </c>
      <c r="B59" s="1" t="s">
        <v>586</v>
      </c>
      <c r="C59" s="1" t="s">
        <v>586</v>
      </c>
      <c r="D59" s="1" t="s">
        <v>6420</v>
      </c>
      <c r="E59" s="1" t="s">
        <v>222</v>
      </c>
      <c r="F59" s="1" t="s">
        <v>6421</v>
      </c>
      <c r="G59" s="1" t="s">
        <v>6422</v>
      </c>
      <c r="I59" s="1" t="s">
        <v>84</v>
      </c>
    </row>
    <row r="60" customFormat="false" ht="48" hidden="false" customHeight="true" outlineLevel="0" collapsed="false">
      <c r="A60" s="1" t="s">
        <v>6426</v>
      </c>
      <c r="B60" s="1" t="s">
        <v>6313</v>
      </c>
      <c r="C60" s="1" t="s">
        <v>6313</v>
      </c>
      <c r="D60" s="1" t="s">
        <v>6420</v>
      </c>
      <c r="E60" s="1" t="s">
        <v>222</v>
      </c>
      <c r="F60" s="1" t="s">
        <v>6421</v>
      </c>
      <c r="G60" s="1" t="s">
        <v>6422</v>
      </c>
    </row>
    <row r="61" customFormat="false" ht="48" hidden="false" customHeight="true" outlineLevel="0" collapsed="false">
      <c r="A61" s="1" t="s">
        <v>3139</v>
      </c>
      <c r="B61" s="1" t="s">
        <v>6427</v>
      </c>
      <c r="C61" s="1" t="s">
        <v>6427</v>
      </c>
      <c r="D61" s="1" t="s">
        <v>6420</v>
      </c>
      <c r="E61" s="1" t="s">
        <v>222</v>
      </c>
      <c r="F61" s="1" t="s">
        <v>6421</v>
      </c>
      <c r="G61" s="1" t="s">
        <v>6422</v>
      </c>
      <c r="I61" s="1" t="s">
        <v>1425</v>
      </c>
    </row>
    <row r="62" customFormat="false" ht="48" hidden="false" customHeight="true" outlineLevel="0" collapsed="false">
      <c r="A62" s="1" t="s">
        <v>2993</v>
      </c>
      <c r="B62" s="1" t="s">
        <v>6428</v>
      </c>
      <c r="C62" s="1" t="s">
        <v>6428</v>
      </c>
      <c r="D62" s="1" t="s">
        <v>6420</v>
      </c>
      <c r="E62" s="1" t="s">
        <v>222</v>
      </c>
      <c r="F62" s="1" t="s">
        <v>6421</v>
      </c>
      <c r="G62" s="1" t="s">
        <v>6422</v>
      </c>
      <c r="I62" s="1" t="s">
        <v>1259</v>
      </c>
    </row>
    <row r="63" customFormat="false" ht="48" hidden="false" customHeight="true" outlineLevel="0" collapsed="false">
      <c r="A63" s="1" t="s">
        <v>5393</v>
      </c>
      <c r="B63" s="1" t="s">
        <v>3543</v>
      </c>
      <c r="C63" s="1" t="s">
        <v>3543</v>
      </c>
      <c r="D63" s="1" t="s">
        <v>6420</v>
      </c>
      <c r="E63" s="1" t="s">
        <v>222</v>
      </c>
      <c r="F63" s="1" t="s">
        <v>6421</v>
      </c>
      <c r="G63" s="1" t="s">
        <v>6422</v>
      </c>
      <c r="I63" s="1" t="s">
        <v>120</v>
      </c>
    </row>
    <row r="64" customFormat="false" ht="48" hidden="false" customHeight="true" outlineLevel="0" collapsed="false">
      <c r="A64" s="1" t="s">
        <v>2571</v>
      </c>
      <c r="B64" s="1" t="s">
        <v>6429</v>
      </c>
      <c r="C64" s="1" t="s">
        <v>6429</v>
      </c>
      <c r="D64" s="1" t="s">
        <v>6420</v>
      </c>
      <c r="E64" s="1" t="s">
        <v>222</v>
      </c>
      <c r="F64" s="1" t="s">
        <v>6421</v>
      </c>
      <c r="G64" s="1" t="s">
        <v>6422</v>
      </c>
      <c r="I64" s="1" t="s">
        <v>762</v>
      </c>
    </row>
    <row r="65" customFormat="false" ht="48" hidden="false" customHeight="true" outlineLevel="0" collapsed="false">
      <c r="A65" s="1" t="s">
        <v>6430</v>
      </c>
      <c r="B65" s="1" t="s">
        <v>6282</v>
      </c>
      <c r="C65" s="1" t="s">
        <v>6282</v>
      </c>
      <c r="D65" s="1" t="s">
        <v>6420</v>
      </c>
      <c r="E65" s="1" t="s">
        <v>222</v>
      </c>
      <c r="F65" s="1" t="s">
        <v>6421</v>
      </c>
      <c r="G65" s="1" t="s">
        <v>6422</v>
      </c>
    </row>
    <row r="66" customFormat="false" ht="48" hidden="false" customHeight="true" outlineLevel="0" collapsed="false">
      <c r="A66" s="1" t="s">
        <v>937</v>
      </c>
      <c r="B66" s="1" t="s">
        <v>6431</v>
      </c>
      <c r="C66" s="1" t="s">
        <v>6431</v>
      </c>
      <c r="D66" s="1" t="s">
        <v>6420</v>
      </c>
      <c r="E66" s="1" t="s">
        <v>222</v>
      </c>
      <c r="F66" s="1" t="s">
        <v>6421</v>
      </c>
      <c r="G66" s="1" t="s">
        <v>6422</v>
      </c>
      <c r="I66" s="1" t="s">
        <v>932</v>
      </c>
    </row>
    <row r="67" customFormat="false" ht="48" hidden="false" customHeight="true" outlineLevel="0" collapsed="false">
      <c r="A67" s="1" t="s">
        <v>5396</v>
      </c>
      <c r="B67" s="1" t="s">
        <v>3140</v>
      </c>
      <c r="C67" s="1" t="s">
        <v>3140</v>
      </c>
      <c r="D67" s="1" t="s">
        <v>6420</v>
      </c>
      <c r="E67" s="1" t="s">
        <v>222</v>
      </c>
      <c r="F67" s="1" t="s">
        <v>6421</v>
      </c>
      <c r="G67" s="1" t="s">
        <v>6422</v>
      </c>
      <c r="I67" s="1" t="s">
        <v>111</v>
      </c>
    </row>
    <row r="68" customFormat="false" ht="48" hidden="false" customHeight="true" outlineLevel="0" collapsed="false">
      <c r="A68" s="1" t="s">
        <v>5399</v>
      </c>
      <c r="B68" s="1" t="s">
        <v>2101</v>
      </c>
      <c r="C68" s="1" t="s">
        <v>2101</v>
      </c>
      <c r="D68" s="1" t="s">
        <v>6420</v>
      </c>
      <c r="E68" s="1" t="s">
        <v>222</v>
      </c>
      <c r="F68" s="1" t="s">
        <v>6421</v>
      </c>
      <c r="G68" s="1" t="s">
        <v>6422</v>
      </c>
      <c r="I68" s="1" t="s">
        <v>213</v>
      </c>
    </row>
    <row r="69" customFormat="false" ht="48" hidden="false" customHeight="true" outlineLevel="0" collapsed="false">
      <c r="A69" s="1" t="s">
        <v>6432</v>
      </c>
      <c r="B69" s="1" t="s">
        <v>6433</v>
      </c>
      <c r="C69" s="1" t="s">
        <v>6434</v>
      </c>
      <c r="D69" s="1" t="s">
        <v>6420</v>
      </c>
      <c r="E69" s="1" t="s">
        <v>222</v>
      </c>
      <c r="F69" s="1" t="s">
        <v>6421</v>
      </c>
      <c r="G69" s="1" t="s">
        <v>6422</v>
      </c>
    </row>
    <row r="70" customFormat="false" ht="48" hidden="false" customHeight="true" outlineLevel="0" collapsed="false">
      <c r="A70" s="1" t="s">
        <v>6435</v>
      </c>
      <c r="B70" s="1" t="s">
        <v>6436</v>
      </c>
      <c r="C70" s="1" t="s">
        <v>6436</v>
      </c>
      <c r="D70" s="1" t="s">
        <v>6420</v>
      </c>
      <c r="E70" s="1" t="s">
        <v>222</v>
      </c>
      <c r="F70" s="1" t="s">
        <v>6421</v>
      </c>
      <c r="G70" s="1" t="s">
        <v>6422</v>
      </c>
    </row>
    <row r="71" customFormat="false" ht="48" hidden="false" customHeight="true" outlineLevel="0" collapsed="false">
      <c r="A71" s="1" t="s">
        <v>2100</v>
      </c>
      <c r="B71" s="1" t="s">
        <v>6437</v>
      </c>
      <c r="C71" s="1" t="s">
        <v>6437</v>
      </c>
      <c r="D71" s="1" t="s">
        <v>6420</v>
      </c>
      <c r="E71" s="1" t="s">
        <v>222</v>
      </c>
      <c r="F71" s="1" t="s">
        <v>6421</v>
      </c>
      <c r="G71" s="1" t="s">
        <v>6422</v>
      </c>
      <c r="I71" s="1" t="s">
        <v>214</v>
      </c>
    </row>
    <row r="72" customFormat="false" ht="48" hidden="false" customHeight="true" outlineLevel="0" collapsed="false">
      <c r="A72" s="1" t="s">
        <v>2716</v>
      </c>
      <c r="B72" s="1" t="s">
        <v>6438</v>
      </c>
      <c r="C72" s="1" t="s">
        <v>6438</v>
      </c>
      <c r="D72" s="1" t="s">
        <v>6420</v>
      </c>
      <c r="E72" s="1" t="s">
        <v>222</v>
      </c>
      <c r="F72" s="1" t="s">
        <v>6421</v>
      </c>
      <c r="G72" s="1" t="s">
        <v>6422</v>
      </c>
      <c r="I72" s="1" t="s">
        <v>932</v>
      </c>
    </row>
    <row r="73" customFormat="false" ht="48" hidden="false" customHeight="true" outlineLevel="0" collapsed="false">
      <c r="A73" s="1" t="s">
        <v>5401</v>
      </c>
      <c r="B73" s="1" t="s">
        <v>2745</v>
      </c>
      <c r="C73" s="1" t="s">
        <v>2745</v>
      </c>
      <c r="D73" s="1" t="s">
        <v>6420</v>
      </c>
      <c r="E73" s="1" t="s">
        <v>222</v>
      </c>
      <c r="F73" s="1" t="s">
        <v>6421</v>
      </c>
      <c r="G73" s="1" t="s">
        <v>6422</v>
      </c>
      <c r="I73" s="1" t="s">
        <v>57</v>
      </c>
    </row>
    <row r="74" customFormat="false" ht="48" hidden="false" customHeight="true" outlineLevel="0" collapsed="false">
      <c r="A74" s="1" t="s">
        <v>5403</v>
      </c>
      <c r="B74" s="1" t="s">
        <v>2408</v>
      </c>
      <c r="C74" s="1" t="s">
        <v>2408</v>
      </c>
      <c r="D74" s="1" t="s">
        <v>6420</v>
      </c>
      <c r="E74" s="1" t="s">
        <v>222</v>
      </c>
      <c r="F74" s="1" t="s">
        <v>6421</v>
      </c>
      <c r="G74" s="1" t="s">
        <v>6422</v>
      </c>
      <c r="I74" s="1" t="s">
        <v>84</v>
      </c>
    </row>
    <row r="75" customFormat="false" ht="48" hidden="false" customHeight="true" outlineLevel="0" collapsed="false">
      <c r="A75" s="1" t="s">
        <v>1263</v>
      </c>
      <c r="B75" s="1" t="s">
        <v>6439</v>
      </c>
      <c r="C75" s="1" t="s">
        <v>6439</v>
      </c>
      <c r="D75" s="1" t="s">
        <v>6420</v>
      </c>
      <c r="E75" s="1" t="s">
        <v>222</v>
      </c>
      <c r="F75" s="1" t="s">
        <v>6421</v>
      </c>
      <c r="G75" s="1" t="s">
        <v>6422</v>
      </c>
      <c r="I75" s="1" t="s">
        <v>1259</v>
      </c>
    </row>
    <row r="76" customFormat="false" ht="48" hidden="false" customHeight="true" outlineLevel="0" collapsed="false">
      <c r="A76" s="1" t="s">
        <v>404</v>
      </c>
      <c r="B76" s="1" t="s">
        <v>6440</v>
      </c>
      <c r="C76" s="1" t="s">
        <v>6440</v>
      </c>
      <c r="D76" s="1" t="s">
        <v>6420</v>
      </c>
      <c r="E76" s="1" t="s">
        <v>222</v>
      </c>
      <c r="F76" s="1" t="s">
        <v>6421</v>
      </c>
      <c r="G76" s="1" t="s">
        <v>6422</v>
      </c>
      <c r="I76" s="1" t="s">
        <v>399</v>
      </c>
    </row>
    <row r="77" customFormat="false" ht="48" hidden="false" customHeight="true" outlineLevel="0" collapsed="false">
      <c r="A77" s="1" t="s">
        <v>3288</v>
      </c>
      <c r="B77" s="1" t="s">
        <v>6441</v>
      </c>
      <c r="C77" s="1" t="s">
        <v>6441</v>
      </c>
      <c r="D77" s="1" t="s">
        <v>6420</v>
      </c>
      <c r="E77" s="1" t="s">
        <v>222</v>
      </c>
      <c r="F77" s="1" t="s">
        <v>6421</v>
      </c>
      <c r="G77" s="1" t="s">
        <v>6422</v>
      </c>
      <c r="I77" s="1" t="s">
        <v>1586</v>
      </c>
    </row>
    <row r="78" customFormat="false" ht="48" hidden="false" customHeight="true" outlineLevel="0" collapsed="false">
      <c r="A78" s="1" t="s">
        <v>6442</v>
      </c>
      <c r="B78" s="1" t="s">
        <v>6443</v>
      </c>
      <c r="C78" s="1" t="s">
        <v>6444</v>
      </c>
      <c r="D78" s="1" t="s">
        <v>6420</v>
      </c>
      <c r="E78" s="1" t="s">
        <v>222</v>
      </c>
      <c r="F78" s="1" t="s">
        <v>6421</v>
      </c>
      <c r="G78" s="1" t="s">
        <v>6422</v>
      </c>
    </row>
    <row r="79" customFormat="false" ht="48" hidden="false" customHeight="true" outlineLevel="0" collapsed="false">
      <c r="A79" s="1" t="s">
        <v>6445</v>
      </c>
      <c r="B79" s="1" t="s">
        <v>5059</v>
      </c>
      <c r="C79" s="1" t="s">
        <v>6446</v>
      </c>
      <c r="D79" s="1" t="s">
        <v>6420</v>
      </c>
      <c r="E79" s="1" t="s">
        <v>222</v>
      </c>
      <c r="F79" s="1" t="s">
        <v>6421</v>
      </c>
      <c r="G79" s="1" t="s">
        <v>6422</v>
      </c>
    </row>
    <row r="80" customFormat="false" ht="48" hidden="false" customHeight="true" outlineLevel="0" collapsed="false">
      <c r="A80" s="1" t="s">
        <v>585</v>
      </c>
      <c r="B80" s="1" t="s">
        <v>6447</v>
      </c>
      <c r="C80" s="1" t="s">
        <v>6447</v>
      </c>
      <c r="D80" s="1" t="s">
        <v>6420</v>
      </c>
      <c r="E80" s="1" t="s">
        <v>222</v>
      </c>
      <c r="F80" s="1" t="s">
        <v>6421</v>
      </c>
      <c r="G80" s="1" t="s">
        <v>6422</v>
      </c>
      <c r="I80" s="1" t="s">
        <v>580</v>
      </c>
    </row>
    <row r="81" customFormat="false" ht="48" hidden="false" customHeight="true" outlineLevel="0" collapsed="false">
      <c r="A81" s="1" t="s">
        <v>3525</v>
      </c>
      <c r="B81" s="1" t="s">
        <v>6448</v>
      </c>
      <c r="C81" s="1" t="s">
        <v>6448</v>
      </c>
      <c r="D81" s="1" t="s">
        <v>6420</v>
      </c>
      <c r="E81" s="1" t="s">
        <v>222</v>
      </c>
      <c r="F81" s="1" t="s">
        <v>6421</v>
      </c>
      <c r="G81" s="1" t="s">
        <v>6422</v>
      </c>
      <c r="I81" s="1" t="s">
        <v>1933</v>
      </c>
    </row>
    <row r="82" customFormat="false" ht="48" hidden="false" customHeight="true" outlineLevel="0" collapsed="false">
      <c r="A82" s="1" t="s">
        <v>2857</v>
      </c>
      <c r="B82" s="1" t="s">
        <v>6449</v>
      </c>
      <c r="C82" s="1" t="s">
        <v>6449</v>
      </c>
      <c r="D82" s="1" t="s">
        <v>6420</v>
      </c>
      <c r="E82" s="1" t="s">
        <v>222</v>
      </c>
      <c r="F82" s="1" t="s">
        <v>6421</v>
      </c>
      <c r="G82" s="1" t="s">
        <v>6422</v>
      </c>
      <c r="I82" s="1" t="s">
        <v>1101</v>
      </c>
    </row>
    <row r="83" customFormat="false" ht="48" hidden="false" customHeight="true" outlineLevel="0" collapsed="false">
      <c r="A83" s="1" t="s">
        <v>5175</v>
      </c>
      <c r="B83" s="1" t="s">
        <v>6450</v>
      </c>
      <c r="C83" s="1" t="s">
        <v>6450</v>
      </c>
      <c r="D83" s="1" t="s">
        <v>6420</v>
      </c>
      <c r="E83" s="1" t="s">
        <v>222</v>
      </c>
      <c r="F83" s="1" t="s">
        <v>6421</v>
      </c>
      <c r="G83" s="1" t="s">
        <v>6422</v>
      </c>
      <c r="I83" s="1" t="s">
        <v>1933</v>
      </c>
    </row>
    <row r="84" customFormat="false" ht="48" hidden="false" customHeight="true" outlineLevel="0" collapsed="false">
      <c r="A84" s="1" t="s">
        <v>6451</v>
      </c>
      <c r="B84" s="1" t="s">
        <v>6452</v>
      </c>
      <c r="C84" s="1" t="s">
        <v>6452</v>
      </c>
      <c r="D84" s="1" t="s">
        <v>6420</v>
      </c>
      <c r="E84" s="1" t="s">
        <v>222</v>
      </c>
      <c r="F84" s="1" t="s">
        <v>6421</v>
      </c>
      <c r="G84" s="1" t="s">
        <v>6422</v>
      </c>
    </row>
    <row r="85" customFormat="false" ht="48" hidden="false" customHeight="true" outlineLevel="0" collapsed="false">
      <c r="A85" s="1" t="s">
        <v>4289</v>
      </c>
      <c r="B85" s="1" t="s">
        <v>6453</v>
      </c>
      <c r="C85" s="1" t="s">
        <v>6453</v>
      </c>
      <c r="D85" s="1" t="s">
        <v>6420</v>
      </c>
      <c r="E85" s="1" t="s">
        <v>222</v>
      </c>
      <c r="F85" s="1" t="s">
        <v>6421</v>
      </c>
      <c r="G85" s="1" t="s">
        <v>6422</v>
      </c>
      <c r="I85" s="1" t="s">
        <v>932</v>
      </c>
    </row>
    <row r="86" customFormat="false" ht="48" hidden="false" customHeight="true" outlineLevel="0" collapsed="false">
      <c r="A86" s="1" t="s">
        <v>5406</v>
      </c>
      <c r="B86" s="1" t="s">
        <v>4731</v>
      </c>
      <c r="C86" s="1" t="s">
        <v>4731</v>
      </c>
      <c r="D86" s="1" t="s">
        <v>6420</v>
      </c>
      <c r="E86" s="1" t="s">
        <v>222</v>
      </c>
      <c r="F86" s="1" t="s">
        <v>6421</v>
      </c>
      <c r="G86" s="1" t="s">
        <v>6422</v>
      </c>
      <c r="I86" s="1" t="s">
        <v>111</v>
      </c>
    </row>
    <row r="87" customFormat="false" ht="48" hidden="false" customHeight="true" outlineLevel="0" collapsed="false">
      <c r="A87" s="1" t="s">
        <v>4434</v>
      </c>
      <c r="B87" s="1" t="s">
        <v>6454</v>
      </c>
      <c r="C87" s="1" t="s">
        <v>6454</v>
      </c>
      <c r="D87" s="1" t="s">
        <v>6420</v>
      </c>
      <c r="E87" s="1" t="s">
        <v>222</v>
      </c>
      <c r="F87" s="1" t="s">
        <v>6421</v>
      </c>
      <c r="G87" s="1" t="s">
        <v>6422</v>
      </c>
      <c r="I87" s="1" t="s">
        <v>1101</v>
      </c>
    </row>
    <row r="88" customFormat="false" ht="48" hidden="false" customHeight="true" outlineLevel="0" collapsed="false">
      <c r="A88" s="1" t="s">
        <v>220</v>
      </c>
      <c r="B88" s="1" t="s">
        <v>6455</v>
      </c>
      <c r="C88" s="1" t="s">
        <v>6455</v>
      </c>
      <c r="D88" s="1" t="s">
        <v>6420</v>
      </c>
      <c r="E88" s="1" t="s">
        <v>222</v>
      </c>
      <c r="F88" s="1" t="s">
        <v>6421</v>
      </c>
      <c r="G88" s="1" t="s">
        <v>6422</v>
      </c>
      <c r="I88" s="1" t="s">
        <v>214</v>
      </c>
    </row>
    <row r="89" customFormat="false" ht="48" hidden="false" customHeight="true" outlineLevel="0" collapsed="false">
      <c r="A89" s="1" t="s">
        <v>5408</v>
      </c>
      <c r="B89" s="1" t="s">
        <v>4305</v>
      </c>
      <c r="C89" s="1" t="s">
        <v>4305</v>
      </c>
      <c r="D89" s="1" t="s">
        <v>6420</v>
      </c>
      <c r="E89" s="1" t="s">
        <v>222</v>
      </c>
      <c r="F89" s="1" t="s">
        <v>6421</v>
      </c>
      <c r="G89" s="1" t="s">
        <v>6422</v>
      </c>
      <c r="I89" s="1" t="s">
        <v>57</v>
      </c>
    </row>
    <row r="90" customFormat="false" ht="48" hidden="false" customHeight="true" outlineLevel="0" collapsed="false">
      <c r="A90" s="1" t="s">
        <v>6456</v>
      </c>
      <c r="B90" s="1" t="s">
        <v>4736</v>
      </c>
      <c r="C90" s="1" t="s">
        <v>6457</v>
      </c>
      <c r="D90" s="1" t="s">
        <v>6420</v>
      </c>
      <c r="E90" s="1" t="s">
        <v>222</v>
      </c>
      <c r="F90" s="1" t="s">
        <v>6421</v>
      </c>
      <c r="G90" s="1" t="s">
        <v>6422</v>
      </c>
    </row>
    <row r="91" customFormat="false" ht="48" hidden="false" customHeight="true" outlineLevel="0" collapsed="false">
      <c r="A91" s="1" t="s">
        <v>4884</v>
      </c>
      <c r="B91" s="1" t="s">
        <v>6458</v>
      </c>
      <c r="C91" s="1" t="s">
        <v>6458</v>
      </c>
      <c r="D91" s="1" t="s">
        <v>6420</v>
      </c>
      <c r="E91" s="1" t="s">
        <v>222</v>
      </c>
      <c r="F91" s="1" t="s">
        <v>6421</v>
      </c>
      <c r="G91" s="1" t="s">
        <v>6422</v>
      </c>
      <c r="I91" s="1" t="s">
        <v>1586</v>
      </c>
    </row>
    <row r="92" customFormat="false" ht="48" hidden="false" customHeight="true" outlineLevel="0" collapsed="false">
      <c r="A92" s="1" t="s">
        <v>3715</v>
      </c>
      <c r="B92" s="1" t="s">
        <v>6459</v>
      </c>
      <c r="C92" s="1" t="s">
        <v>6459</v>
      </c>
      <c r="D92" s="1" t="s">
        <v>6420</v>
      </c>
      <c r="E92" s="1" t="s">
        <v>222</v>
      </c>
      <c r="F92" s="1" t="s">
        <v>6421</v>
      </c>
      <c r="G92" s="1" t="s">
        <v>6422</v>
      </c>
      <c r="I92" s="1" t="s">
        <v>214</v>
      </c>
    </row>
    <row r="93" customFormat="false" ht="48" hidden="false" customHeight="true" outlineLevel="0" collapsed="false">
      <c r="A93" s="1" t="s">
        <v>5411</v>
      </c>
      <c r="B93" s="1" t="s">
        <v>1756</v>
      </c>
      <c r="C93" s="1" t="s">
        <v>1756</v>
      </c>
      <c r="D93" s="1" t="s">
        <v>6420</v>
      </c>
      <c r="E93" s="1" t="s">
        <v>222</v>
      </c>
      <c r="F93" s="1" t="s">
        <v>6421</v>
      </c>
      <c r="G93" s="1" t="s">
        <v>6422</v>
      </c>
      <c r="I93" s="1" t="s">
        <v>57</v>
      </c>
    </row>
    <row r="94" customFormat="false" ht="48" hidden="false" customHeight="true" outlineLevel="0" collapsed="false">
      <c r="A94" s="1" t="s">
        <v>1937</v>
      </c>
      <c r="B94" s="1" t="s">
        <v>6460</v>
      </c>
      <c r="C94" s="1" t="s">
        <v>6460</v>
      </c>
      <c r="D94" s="1" t="s">
        <v>6420</v>
      </c>
      <c r="E94" s="1" t="s">
        <v>222</v>
      </c>
      <c r="F94" s="1" t="s">
        <v>6421</v>
      </c>
      <c r="G94" s="1" t="s">
        <v>6422</v>
      </c>
      <c r="I94" s="1" t="s">
        <v>1933</v>
      </c>
    </row>
    <row r="95" customFormat="false" ht="48" hidden="false" customHeight="true" outlineLevel="0" collapsed="false">
      <c r="A95" s="1" t="s">
        <v>2249</v>
      </c>
      <c r="B95" s="1" t="s">
        <v>6461</v>
      </c>
      <c r="C95" s="1" t="s">
        <v>6461</v>
      </c>
      <c r="D95" s="1" t="s">
        <v>6420</v>
      </c>
      <c r="E95" s="1" t="s">
        <v>222</v>
      </c>
      <c r="F95" s="1" t="s">
        <v>6421</v>
      </c>
      <c r="G95" s="1" t="s">
        <v>6422</v>
      </c>
      <c r="I95" s="1" t="s">
        <v>399</v>
      </c>
    </row>
    <row r="96" customFormat="false" ht="48" hidden="false" customHeight="true" outlineLevel="0" collapsed="false">
      <c r="A96" s="1" t="s">
        <v>6462</v>
      </c>
      <c r="B96" s="1" t="s">
        <v>6323</v>
      </c>
      <c r="C96" s="1" t="s">
        <v>6323</v>
      </c>
      <c r="D96" s="1" t="s">
        <v>6420</v>
      </c>
      <c r="E96" s="1" t="s">
        <v>222</v>
      </c>
      <c r="F96" s="1" t="s">
        <v>6421</v>
      </c>
      <c r="G96" s="1" t="s">
        <v>6422</v>
      </c>
    </row>
    <row r="97" customFormat="false" ht="48" hidden="false" customHeight="true" outlineLevel="0" collapsed="false">
      <c r="A97" s="1" t="s">
        <v>4730</v>
      </c>
      <c r="B97" s="1" t="s">
        <v>6463</v>
      </c>
      <c r="C97" s="1" t="s">
        <v>6463</v>
      </c>
      <c r="D97" s="1" t="s">
        <v>6420</v>
      </c>
      <c r="E97" s="1" t="s">
        <v>222</v>
      </c>
      <c r="F97" s="1" t="s">
        <v>6421</v>
      </c>
      <c r="G97" s="1" t="s">
        <v>6422</v>
      </c>
      <c r="I97" s="1" t="s">
        <v>1425</v>
      </c>
    </row>
    <row r="98" customFormat="false" ht="48" hidden="false" customHeight="true" outlineLevel="0" collapsed="false">
      <c r="A98" s="1" t="s">
        <v>5415</v>
      </c>
      <c r="B98" s="1" t="s">
        <v>4005</v>
      </c>
      <c r="C98" s="1" t="s">
        <v>4005</v>
      </c>
      <c r="D98" s="1" t="s">
        <v>6420</v>
      </c>
      <c r="E98" s="1" t="s">
        <v>222</v>
      </c>
      <c r="F98" s="1" t="s">
        <v>6421</v>
      </c>
      <c r="G98" s="1" t="s">
        <v>6422</v>
      </c>
      <c r="I98" s="1" t="s">
        <v>84</v>
      </c>
    </row>
    <row r="99" customFormat="false" ht="48" hidden="false" customHeight="true" outlineLevel="0" collapsed="false">
      <c r="A99" s="1" t="s">
        <v>6464</v>
      </c>
      <c r="B99" s="1" t="s">
        <v>6278</v>
      </c>
      <c r="C99" s="1" t="s">
        <v>6278</v>
      </c>
      <c r="D99" s="1" t="s">
        <v>6420</v>
      </c>
      <c r="E99" s="1" t="s">
        <v>222</v>
      </c>
      <c r="F99" s="1" t="s">
        <v>6421</v>
      </c>
      <c r="G99" s="1" t="s">
        <v>6422</v>
      </c>
    </row>
    <row r="100" customFormat="false" ht="48" hidden="false" customHeight="true" outlineLevel="0" collapsed="false">
      <c r="A100" s="1" t="s">
        <v>4553</v>
      </c>
      <c r="B100" s="1" t="s">
        <v>6465</v>
      </c>
      <c r="C100" s="1" t="s">
        <v>6465</v>
      </c>
      <c r="D100" s="1" t="s">
        <v>6420</v>
      </c>
      <c r="E100" s="1" t="s">
        <v>222</v>
      </c>
      <c r="F100" s="1" t="s">
        <v>6421</v>
      </c>
      <c r="G100" s="1" t="s">
        <v>6422</v>
      </c>
      <c r="I100" s="1" t="s">
        <v>1259</v>
      </c>
    </row>
    <row r="101" customFormat="false" ht="48" hidden="false" customHeight="true" outlineLevel="0" collapsed="false">
      <c r="A101" s="1" t="s">
        <v>1430</v>
      </c>
      <c r="B101" s="1" t="s">
        <v>6466</v>
      </c>
      <c r="C101" s="1" t="s">
        <v>6466</v>
      </c>
      <c r="D101" s="1" t="s">
        <v>6420</v>
      </c>
      <c r="E101" s="1" t="s">
        <v>222</v>
      </c>
      <c r="F101" s="1" t="s">
        <v>6421</v>
      </c>
      <c r="G101" s="1" t="s">
        <v>6422</v>
      </c>
      <c r="I101" s="1" t="s">
        <v>1425</v>
      </c>
    </row>
    <row r="102" customFormat="false" ht="48" hidden="false" customHeight="true" outlineLevel="0" collapsed="false">
      <c r="A102" s="1" t="s">
        <v>5418</v>
      </c>
      <c r="B102" s="1" t="s">
        <v>3716</v>
      </c>
      <c r="C102" s="1" t="s">
        <v>3716</v>
      </c>
      <c r="D102" s="1" t="s">
        <v>6420</v>
      </c>
      <c r="E102" s="1" t="s">
        <v>222</v>
      </c>
      <c r="F102" s="1" t="s">
        <v>6421</v>
      </c>
      <c r="G102" s="1" t="s">
        <v>6422</v>
      </c>
      <c r="I102" s="1" t="s">
        <v>213</v>
      </c>
    </row>
    <row r="103" customFormat="false" ht="48" hidden="false" customHeight="true" outlineLevel="0" collapsed="false">
      <c r="A103" s="1" t="s">
        <v>1755</v>
      </c>
      <c r="B103" s="1" t="s">
        <v>6467</v>
      </c>
      <c r="C103" s="1" t="s">
        <v>6467</v>
      </c>
      <c r="D103" s="1" t="s">
        <v>6420</v>
      </c>
      <c r="E103" s="1" t="s">
        <v>222</v>
      </c>
      <c r="F103" s="1" t="s">
        <v>6421</v>
      </c>
      <c r="G103" s="1" t="s">
        <v>6422</v>
      </c>
      <c r="I103" s="1" t="s">
        <v>1751</v>
      </c>
    </row>
    <row r="104" customFormat="false" ht="48" hidden="false" customHeight="true" outlineLevel="0" collapsed="false">
      <c r="A104" s="1" t="s">
        <v>5421</v>
      </c>
      <c r="B104" s="1" t="s">
        <v>1938</v>
      </c>
      <c r="C104" s="1" t="s">
        <v>1938</v>
      </c>
      <c r="D104" s="1" t="s">
        <v>6420</v>
      </c>
      <c r="E104" s="1" t="s">
        <v>222</v>
      </c>
      <c r="F104" s="1" t="s">
        <v>6421</v>
      </c>
      <c r="G104" s="1" t="s">
        <v>6422</v>
      </c>
      <c r="I104" s="1" t="s">
        <v>120</v>
      </c>
    </row>
    <row r="105" customFormat="false" ht="48" hidden="false" customHeight="true" outlineLevel="0" collapsed="false">
      <c r="A105" s="1" t="s">
        <v>1105</v>
      </c>
      <c r="B105" s="1" t="s">
        <v>6468</v>
      </c>
      <c r="C105" s="1" t="s">
        <v>6468</v>
      </c>
      <c r="D105" s="1" t="s">
        <v>6420</v>
      </c>
      <c r="E105" s="1" t="s">
        <v>222</v>
      </c>
      <c r="F105" s="1" t="s">
        <v>6421</v>
      </c>
      <c r="G105" s="1" t="s">
        <v>6422</v>
      </c>
      <c r="I105" s="1" t="s">
        <v>1101</v>
      </c>
    </row>
    <row r="106" customFormat="false" ht="48" hidden="false" customHeight="true" outlineLevel="0" collapsed="false">
      <c r="A106" s="1" t="s">
        <v>6469</v>
      </c>
      <c r="B106" s="1" t="s">
        <v>6285</v>
      </c>
      <c r="C106" s="1" t="s">
        <v>6285</v>
      </c>
      <c r="D106" s="1" t="s">
        <v>6420</v>
      </c>
      <c r="E106" s="1" t="s">
        <v>222</v>
      </c>
      <c r="F106" s="1" t="s">
        <v>6421</v>
      </c>
      <c r="G106" s="1" t="s">
        <v>6422</v>
      </c>
    </row>
    <row r="107" customFormat="false" ht="48" hidden="false" customHeight="true" outlineLevel="0" collapsed="false">
      <c r="A107" s="1" t="s">
        <v>6470</v>
      </c>
      <c r="B107" s="1" t="s">
        <v>3773</v>
      </c>
      <c r="C107" s="1" t="s">
        <v>3773</v>
      </c>
      <c r="D107" s="1" t="s">
        <v>6420</v>
      </c>
      <c r="E107" s="1" t="s">
        <v>222</v>
      </c>
      <c r="F107" s="1" t="s">
        <v>6421</v>
      </c>
      <c r="G107" s="1" t="s">
        <v>6422</v>
      </c>
    </row>
    <row r="108" customFormat="false" ht="48" hidden="false" customHeight="true" outlineLevel="0" collapsed="false">
      <c r="A108" s="1" t="s">
        <v>4142</v>
      </c>
      <c r="B108" s="1" t="s">
        <v>6471</v>
      </c>
      <c r="C108" s="1" t="s">
        <v>6471</v>
      </c>
      <c r="D108" s="1" t="s">
        <v>6420</v>
      </c>
      <c r="E108" s="1" t="s">
        <v>222</v>
      </c>
      <c r="F108" s="1" t="s">
        <v>6421</v>
      </c>
      <c r="G108" s="1" t="s">
        <v>6422</v>
      </c>
      <c r="I108" s="1" t="s">
        <v>762</v>
      </c>
    </row>
    <row r="109" customFormat="false" ht="48" hidden="false" customHeight="true" outlineLevel="0" collapsed="false">
      <c r="A109" s="1" t="s">
        <v>4004</v>
      </c>
      <c r="B109" s="1" t="s">
        <v>6472</v>
      </c>
      <c r="C109" s="1" t="s">
        <v>6472</v>
      </c>
      <c r="D109" s="1" t="s">
        <v>6420</v>
      </c>
      <c r="E109" s="1" t="s">
        <v>222</v>
      </c>
      <c r="F109" s="1" t="s">
        <v>6421</v>
      </c>
      <c r="G109" s="1" t="s">
        <v>6422</v>
      </c>
      <c r="I109" s="1" t="s">
        <v>580</v>
      </c>
    </row>
    <row r="110" customFormat="false" ht="48" hidden="false" customHeight="true" outlineLevel="0" collapsed="false">
      <c r="A110" s="1" t="s">
        <v>6473</v>
      </c>
      <c r="B110" s="1" t="s">
        <v>6363</v>
      </c>
      <c r="C110" s="1" t="s">
        <v>6363</v>
      </c>
      <c r="D110" s="1" t="s">
        <v>6420</v>
      </c>
      <c r="E110" s="1" t="s">
        <v>222</v>
      </c>
      <c r="F110" s="1" t="s">
        <v>6421</v>
      </c>
      <c r="G110" s="1" t="s">
        <v>6422</v>
      </c>
    </row>
    <row r="111" customFormat="false" ht="48" hidden="false" customHeight="true" outlineLevel="0" collapsed="false">
      <c r="A111" s="1" t="s">
        <v>5425</v>
      </c>
      <c r="B111" s="1" t="s">
        <v>5176</v>
      </c>
      <c r="C111" s="1" t="s">
        <v>5176</v>
      </c>
      <c r="D111" s="1" t="s">
        <v>6420</v>
      </c>
      <c r="E111" s="1" t="s">
        <v>222</v>
      </c>
      <c r="F111" s="1" t="s">
        <v>6421</v>
      </c>
      <c r="G111" s="1" t="s">
        <v>6422</v>
      </c>
      <c r="I111" s="1" t="s">
        <v>120</v>
      </c>
    </row>
    <row r="112" customFormat="false" ht="48" hidden="false" customHeight="true" outlineLevel="0" collapsed="false">
      <c r="A112" s="1" t="s">
        <v>6474</v>
      </c>
      <c r="B112" s="1" t="s">
        <v>6287</v>
      </c>
      <c r="C112" s="1" t="s">
        <v>6287</v>
      </c>
      <c r="D112" s="1" t="s">
        <v>6420</v>
      </c>
      <c r="E112" s="1" t="s">
        <v>222</v>
      </c>
      <c r="F112" s="1" t="s">
        <v>6421</v>
      </c>
      <c r="G112" s="1" t="s">
        <v>6422</v>
      </c>
    </row>
    <row r="113" customFormat="false" ht="48" hidden="false" customHeight="true" outlineLevel="0" collapsed="false">
      <c r="A113" s="1" t="s">
        <v>767</v>
      </c>
      <c r="B113" s="1" t="s">
        <v>6475</v>
      </c>
      <c r="C113" s="1" t="s">
        <v>6475</v>
      </c>
      <c r="D113" s="1" t="s">
        <v>6420</v>
      </c>
      <c r="E113" s="1" t="s">
        <v>222</v>
      </c>
      <c r="F113" s="1" t="s">
        <v>6421</v>
      </c>
      <c r="G113" s="1" t="s">
        <v>6422</v>
      </c>
      <c r="I113" s="1" t="s">
        <v>762</v>
      </c>
    </row>
    <row r="114" customFormat="false" ht="48" hidden="false" customHeight="true" outlineLevel="0" collapsed="false">
      <c r="A114" s="1" t="s">
        <v>5427</v>
      </c>
      <c r="B114" s="1" t="s">
        <v>1431</v>
      </c>
      <c r="C114" s="1" t="s">
        <v>1431</v>
      </c>
      <c r="D114" s="1" t="s">
        <v>6420</v>
      </c>
      <c r="E114" s="1" t="s">
        <v>222</v>
      </c>
      <c r="F114" s="1" t="s">
        <v>6421</v>
      </c>
      <c r="G114" s="1" t="s">
        <v>6422</v>
      </c>
      <c r="I114" s="1" t="s">
        <v>111</v>
      </c>
    </row>
    <row r="115" customFormat="false" ht="48" hidden="false" customHeight="true" outlineLevel="0" collapsed="false">
      <c r="A115" s="1" t="s">
        <v>5431</v>
      </c>
      <c r="B115" s="1" t="s">
        <v>221</v>
      </c>
      <c r="C115" s="1" t="s">
        <v>221</v>
      </c>
      <c r="D115" s="1" t="s">
        <v>6420</v>
      </c>
      <c r="E115" s="1" t="s">
        <v>222</v>
      </c>
      <c r="F115" s="1" t="s">
        <v>6421</v>
      </c>
      <c r="G115" s="1" t="s">
        <v>6422</v>
      </c>
      <c r="I115" s="1" t="s">
        <v>213</v>
      </c>
    </row>
    <row r="116" customFormat="false" ht="48" hidden="false" customHeight="true" outlineLevel="0" collapsed="false">
      <c r="A116" s="1" t="s">
        <v>5053</v>
      </c>
      <c r="B116" s="1" t="s">
        <v>6476</v>
      </c>
      <c r="C116" s="1" t="s">
        <v>6476</v>
      </c>
      <c r="D116" s="1" t="s">
        <v>6420</v>
      </c>
      <c r="E116" s="1" t="s">
        <v>222</v>
      </c>
      <c r="F116" s="1" t="s">
        <v>6421</v>
      </c>
      <c r="G116" s="1" t="s">
        <v>6422</v>
      </c>
      <c r="I116" s="1" t="s">
        <v>1751</v>
      </c>
    </row>
    <row r="117" customFormat="false" ht="48" hidden="false" customHeight="true" outlineLevel="0" collapsed="false">
      <c r="A117" s="1" t="s">
        <v>6477</v>
      </c>
      <c r="B117" s="1" t="s">
        <v>6478</v>
      </c>
      <c r="D117" s="1" t="s">
        <v>6479</v>
      </c>
      <c r="E117" s="1" t="s">
        <v>222</v>
      </c>
      <c r="F117" s="1" t="s">
        <v>6480</v>
      </c>
      <c r="G117" s="1" t="s">
        <v>6481</v>
      </c>
      <c r="I117" s="1" t="s">
        <v>6482</v>
      </c>
    </row>
  </sheetData>
  <autoFilter ref="A1:I117"/>
  <hyperlinks>
    <hyperlink ref="B2" r:id="rId1" display="https://www.grandviewresearch.com/horizon/outlook/home-bedding-market/united-states"/>
    <hyperlink ref="C2" r:id="rId2" display="https://www.grandviewresearch.com/horizon/outlook/home-bedding-market/united-states"/>
    <hyperlink ref="B3" r:id="rId3" display="https://www.grandviewresearch.com/horizon/outlook/home-bedding-market/canada"/>
    <hyperlink ref="C3" r:id="rId4" display="https://www.grandviewresearch.com/horizon/outlook/home-bedding-market/canada"/>
    <hyperlink ref="B4" r:id="rId5" display="https://www.grandviewresearch.com/horizon/outlook/home-bedding-market/uk"/>
    <hyperlink ref="C4" r:id="rId6" display="https://www.grandviewresearch.com/horizon/outlook/home-bedding-market/uk"/>
    <hyperlink ref="B5" r:id="rId7" display="https://www.grandviewresearch.com/horizon/outlook/bed-linen-market/united-states"/>
    <hyperlink ref="C5" r:id="rId8" display="https://www.grandviewresearch.com/horizon"/>
    <hyperlink ref="B6" r:id="rId9" display="https://www.grandviewresearch.com/horizon/outlook/bed-linen-market/canada"/>
    <hyperlink ref="C6" r:id="rId10" display="https://www.grandviewresearch.com/horizon"/>
    <hyperlink ref="B7" r:id="rId11" display="https://www.grandviewresearch.com/horizon/outlook/bed-linen-market/uk"/>
    <hyperlink ref="C7" r:id="rId12" display="https://www.grandviewresearch.com/horizon"/>
    <hyperlink ref="B8" r:id="rId13" display="https://www.ftc.gov/business-guidance/resources/threading-your-way-through-labeling-requirements-under-textile-wool-acts"/>
    <hyperlink ref="C8" r:id="rId14" display="https://www.ftc.gov/business-guidance/resources/threading-your-way-through-labeling-requirements-under-textile-wool-acts"/>
    <hyperlink ref="B9" r:id="rId15" display="https://www.ftc.gov/bamboo-textiles"/>
    <hyperlink ref="C9" r:id="rId16" display="https://www.ftc.gov/bamboo-textiles"/>
    <hyperlink ref="B10" r:id="rId17" display="https://competition-bureau.canada.ca/labelling/textile-labelling/guide-textile-labelling-and-advertising-regulations"/>
    <hyperlink ref="B11" r:id="rId18" display="https://www.gov.uk/guidance/textile-labelling"/>
    <hyperlink ref="C11" r:id="rId19" display="https://www.gov.uk/guidance/textile-labelling"/>
    <hyperlink ref="B12" r:id="rId20" display="https://www.gov.uk/government/collections/trading-with-developing-nations"/>
    <hyperlink ref="C12" r:id="rId21" display="https://www.gov.uk/government/collections/trading-with-developing-nations"/>
    <hyperlink ref="B13" r:id="rId22" display="https://sell.amazon.com/pricing"/>
    <hyperlink ref="B14" r:id="rId23" display="https://sell.amazon.ca/pricing"/>
    <hyperlink ref="B15" r:id="rId24" display="https://sell.amazon.co.uk/pricing"/>
    <hyperlink ref="B16" r:id="rId25" display="https://www.gov.uk/guidance/claiming-preference-under-the-developing-countries-trading-scheme"/>
    <hyperlink ref="B17" r:id="rId26" display="https://www.cbsa-asfc.gc.ca/import/guide-eng.html"/>
    <hyperlink ref="C17" r:id="rId27" display="https://www.cbsa-asfc.gc.ca/import/guide-eng.html"/>
    <hyperlink ref="B18" r:id="rId28" display="https://www.cbp.gov/trade/basic-import-export/importing-into-united-states"/>
    <hyperlink ref="B19" r:id="rId29" display="https://www.gov.uk/vat-rates"/>
    <hyperlink ref="C19" r:id="rId30" display="https://www.gov.uk/vat-rates"/>
    <hyperlink ref="B20" r:id="rId31" display="https://www.gov.uk/import-goods-into-uk"/>
    <hyperlink ref="C20" r:id="rId32" display="https://www.gov.uk/import-goods-into-uk"/>
    <hyperlink ref="B21" r:id="rId33" display="https://www.cpsc.gov/Business--Manufacturing/Business-Education/Business-Guidance/Mattresses"/>
    <hyperlink ref="C21" r:id="rId34" display="https://www.cpsc.gov/FAQ/Mattresses-Mattress-Pads-Mattress-Sets"/>
    <hyperlink ref="B22" r:id="rId35" display="https://www.psw.gov.pk/single-declaration-export"/>
    <hyperlink ref="C22" r:id="rId36" display="https://www.psw.gov.pk/single-declaration-export"/>
    <hyperlink ref="B23" r:id="rId37" display="https://www.brooklinen.com/products/classic-core-sheet-set"/>
    <hyperlink ref="C23" r:id="rId38" display="https://www.brooklinen.com/products/classic-core-sheet-set"/>
    <hyperlink ref="B24" r:id="rId39" display="https://www.thecompanystore.com/comforters"/>
    <hyperlink ref="C24" r:id="rId40" display="https://www.thecompanystore.com/comforters"/>
    <hyperlink ref="B25" r:id="rId41" display="https://www.dunelm.com/category/home-and-furniture/bedding/duvet-covers"/>
    <hyperlink ref="B26" r:id="rId42" display="https://www.silkandsnow.com/en-ca/sheets/"/>
    <hyperlink ref="B27" r:id="rId43" display="https://www.amazon.com/s?k=cotton+sheet+set"/>
    <hyperlink ref="C27" r:id="rId44" display="https://www.amazon.com/s?k=cotton+sheet+set"/>
    <hyperlink ref="B28" r:id="rId45" display="https://www.amazon.ca/s?k=cotton+sheet+set"/>
    <hyperlink ref="C28" r:id="rId46" display="https://www.amazon.ca/s?k=cotton+sheet+set"/>
    <hyperlink ref="B29" r:id="rId47" display="https://www.amazon.co.uk/s?k=cotton+duvet+cover+set"/>
    <hyperlink ref="B30" r:id="rId48" display="https://competition-bureau.canada.ca/labelling/textile-labelling/guide-textile-labelling-and-advertising-regulations"/>
    <hyperlink ref="B31" r:id="rId49" display="https://competition-bureau.canada.ca/en/labelling/textile-labelling/guide-textile-labelling-and-advertising-regulations"/>
    <hyperlink ref="B32" r:id="rId50" display="https://www.gov.uk/guidance/trading-with-developing-nations"/>
    <hyperlink ref="C32" r:id="rId51" display="https://www.gov.uk/government/collections/trading-with-developing-nations"/>
    <hyperlink ref="B33" r:id="rId52" display="https://www.gov.uk/guidance/developing-countries-trading-scheme-dcts-rules-of-origin"/>
    <hyperlink ref="B34" r:id="rId53" display="https://www.mordorintelligence.com/industry-reports/united-states-home-textile-market"/>
    <hyperlink ref="C34" r:id="rId54" display="https://www.mordorintelligence.com/industry-reports/united-states-home-textile-market"/>
    <hyperlink ref="B35" r:id="rId55" display="https://www.mordorintelligence.com/industry-reports/united-kingdom-home-textile-market"/>
    <hyperlink ref="C35" r:id="rId56" display="https://www.mordorintelligence.com/industry-reports/united-kingdom-home-textile-market"/>
    <hyperlink ref="B36" r:id="rId57" display="https://www.mordorintelligence.com/industry-reports/canada-home-textile-market"/>
    <hyperlink ref="C36" r:id="rId58" display="https://www.mordorintelligence.com/industry-reports/canada-home-textile-market"/>
    <hyperlink ref="B37" r:id="rId59" display="https://corporate.dunelm.com/investors/reports-and-presentations/"/>
    <hyperlink ref="C37" r:id="rId60" display="https://corporate.dunelm.com/investors/results-reports-and-presentations/"/>
    <hyperlink ref="B38" r:id="rId61" display="https://www.brooklinen.com/products/classic-percale-core-sheet-set"/>
    <hyperlink ref="B39" r:id="rId62" display="https://www.quince.com/home/cotton-percale-sheet-set"/>
    <hyperlink ref="B40" r:id="rId63" display="https://ised-isde.canada.ca/site/competition-bureau-canada/en/labelling/textile-labelling/guide-textile-labelling-and-advertising-regulations"/>
    <hyperlink ref="B41" r:id="rId64" display="https://laws-lois.justice.gc.ca/eng/regulations/C.R.C.,_c._1551/FullText.html"/>
    <hyperlink ref="C41" r:id="rId65" display="https://laws-lois.justice.gc.ca/eng/regulations/C.R.C.,_c._1551/FullText.html"/>
    <hyperlink ref="B42" r:id="rId66" display="https://www.gov.uk/government/publications/developing-countries-trading-scheme-dcts-new-policy-report"/>
    <hyperlink ref="C42" r:id="rId67" display="https://www.gov.uk/government/publications/developing-countries-trading-scheme-dcts-new-policy-report"/>
    <hyperlink ref="B43" r:id="rId68" display="https://www.gov.uk/guidance/rules-of-origin-for-goods-imported-and-exported-between-the-uk-and-developing-countries"/>
    <hyperlink ref="B44" r:id="rId69" display="https://www.gulahmed.com/"/>
    <hyperlink ref="C44" r:id="rId70" display="https://gulahmed.com/"/>
    <hyperlink ref="B45" r:id="rId71" display="https://www.nishatmillsltd.com/"/>
    <hyperlink ref="C45" r:id="rId72" display="https://nishatmillsltd.com/"/>
    <hyperlink ref="B46" r:id="rId73" display="https://www.standardtextile.com/"/>
    <hyperlink ref="B47" r:id="rId74" display="https://www.welspunliving.com/"/>
    <hyperlink ref="C47" r:id="rId75" display="https://www.welspunliving.com/"/>
    <hyperlink ref="B48" r:id="rId76" display="https://www.gov.uk/guidance/preference-tiers-under-the-developing-countries-trading-scheme"/>
    <hyperlink ref="C48" r:id="rId77" display="https://www.gov.uk/guidance/preference-tiers-under-the-developing-countries-trading-scheme"/>
    <hyperlink ref="B49" r:id="rId78" display="https://www.gov.uk/guidance/how-to-claim-preferences-under-the-developing-countries-trading-scheme-dcts"/>
    <hyperlink ref="C49" r:id="rId79" display="https://www.gov.uk/guidance/how-to-claim-preferences-under-the-developing-countries-trading-scheme-dcts"/>
    <hyperlink ref="B50" r:id="rId80" display="https://www.gov.uk/government/publications/rules-of-origin-changes-under-the-developing-countries-trading-scheme-are-now-in-effect"/>
    <hyperlink ref="C50" r:id="rId81" display="https://www.gov.uk/government/publications/rules-of-origin-changes-under-the-developing-countries-trading-scheme-are-now-in-effect"/>
    <hyperlink ref="B51" r:id="rId82" display="https://www.gov.uk/guidance/understanding-rules-of-origin-under-the-developing-countries-trading-scheme"/>
    <hyperlink ref="C51" r:id="rId83" display="https://www.gov.uk/guidance/understanding-rules-of-origin-under-the-developing-countries-trading-scheme"/>
    <hyperlink ref="B52" r:id="rId84" display="https://www.cbsa-asfc.gc.ca/trade-commerce/tariff-tarif/2026/html/00/ch63-eng.html"/>
    <hyperlink ref="C52" r:id="rId85" display="https://www.cbsa-asfc.gc.ca/trade-commerce/tariff-tarif/2026/html/00/ch63-eng.html"/>
    <hyperlink ref="B53" r:id="rId86" display="https://hts.usitc.gov/"/>
    <hyperlink ref="C53" r:id="rId87" display="https://hts.usitc.gov/"/>
    <hyperlink ref="B54" r:id="rId88" display="https://www.cbp.gov/trade/forced-labor/UFLPA"/>
    <hyperlink ref="C54" r:id="rId89" display="https://www.cbp.gov/trade/forced-labor/UFLPA"/>
    <hyperlink ref="B55" r:id="rId90" display="https://www.amazon.co.uk/s?k=cotton%20sheet%20set"/>
    <hyperlink ref="C55" r:id="rId91" display="https://www.amazon.co.uk/s?k=cotton%20sheet%20set"/>
    <hyperlink ref="B56" r:id="rId92" display="https://www.amazon.ca/s?k=cotton%20quilt"/>
    <hyperlink ref="C56" r:id="rId93" display="https://www.amazon.ca/s?k=cotton%20quilt"/>
    <hyperlink ref="B57" r:id="rId94" display="https://www.amazon.co.uk/s?k=cotton%20duvet%20cover%20set"/>
    <hyperlink ref="C57" r:id="rId95" display="https://www.amazon.co.uk/s?k=cotton%20duvet%20cover%20set"/>
    <hyperlink ref="B58" r:id="rId96" display="https://www.amazon.com/s?k=comforter%20set"/>
    <hyperlink ref="C58" r:id="rId97" display="https://www.amazon.com/s?k=comforter%20set"/>
    <hyperlink ref="B59" r:id="rId98" display="https://www.amazon.ca/dp/B0C699R8B6"/>
    <hyperlink ref="C59" r:id="rId99" display="https://www.amazon.ca/dp/B0C699R8B6"/>
    <hyperlink ref="B60" r:id="rId100" display="https://www.brooklinen.com/products/classic-core-sheet-set"/>
    <hyperlink ref="C60" r:id="rId101" display="https://www.brooklinen.com/products/classic-core-sheet-set"/>
    <hyperlink ref="B61" r:id="rId102" display="https://www.amazon.co.uk/s?k=waterproof%20mattress%20protector"/>
    <hyperlink ref="C61" r:id="rId103" display="https://www.amazon.co.uk/s?k=waterproof%20mattress%20protector"/>
    <hyperlink ref="B62" r:id="rId104" display="https://www.amazon.co.uk/s?k=cotton%20pillowcases"/>
    <hyperlink ref="C62" r:id="rId105" display="https://www.amazon.co.uk/s?k=cotton%20pillowcases"/>
    <hyperlink ref="B63" r:id="rId106" display="https://www.amazon.co.uk/dp/B072M5ZT78"/>
    <hyperlink ref="C63" r:id="rId107" display="https://www.amazon.co.uk/dp/B072M5ZT78"/>
    <hyperlink ref="B64" r:id="rId108" display="https://www.amazon.co.uk/s?k=deep%20pocket%20fitted%20sheet"/>
    <hyperlink ref="C64" r:id="rId109" display="https://www.amazon.co.uk/s?k=deep%20pocket%20fitted%20sheet"/>
    <hyperlink ref="B65" r:id="rId110" display="https://sell.amazon.com/pricing"/>
    <hyperlink ref="C65" r:id="rId111" display="https://sell.amazon.com/pricing"/>
    <hyperlink ref="B66" r:id="rId112" display="https://www.amazon.ca/s?k=linen%20sheet%20set"/>
    <hyperlink ref="C66" r:id="rId113" display="https://www.amazon.ca/s?k=linen%20sheet%20set"/>
    <hyperlink ref="B67" r:id="rId114" display="https://www.amazon.co.uk/dp/B08FRKXJ9R"/>
    <hyperlink ref="C67" r:id="rId115" display="https://www.amazon.co.uk/dp/B08FRKXJ9R"/>
    <hyperlink ref="B68" r:id="rId116" display="https://www.amazon.co.uk/dp/B0DN1DDRHR"/>
    <hyperlink ref="C68" r:id="rId117" display="https://www.amazon.co.uk/dp/B0DN1DDRHR"/>
    <hyperlink ref="B69" r:id="rId118" display="https://www.ikea.com/ca/en/cat/sheets-10681/"/>
    <hyperlink ref="C69" r:id="rId119" display="https://www.ikea.com/ca/en/cat/bed-sheets-10681/"/>
    <hyperlink ref="B70" r:id="rId120" display="https://www.gov.uk/guidance/overseas-businesses-and-vat"/>
    <hyperlink ref="C70" r:id="rId121" display="https://www.gov.uk/guidance/overseas-businesses-and-vat"/>
    <hyperlink ref="B71" r:id="rId122" display="https://www.amazon.co.uk/s?k=bamboo%20viscose%20sheet%20set"/>
    <hyperlink ref="C71" r:id="rId123" display="https://www.amazon.co.uk/s?k=bamboo%20viscose%20sheet%20set"/>
    <hyperlink ref="B72" r:id="rId124" display="https://www.amazon.co.uk/s?k=linen%20sheet%20set"/>
    <hyperlink ref="C72" r:id="rId125" display="https://www.amazon.co.uk/s?k=linen%20sheet%20set"/>
    <hyperlink ref="B73" r:id="rId126" display="https://www.amazon.co.uk/dp/B0CGJGRFW9"/>
    <hyperlink ref="C73" r:id="rId127" display="https://www.amazon.co.uk/dp/B0CGJGRFW9"/>
    <hyperlink ref="B74" r:id="rId128" display="https://www.amazon.co.uk/dp/B00J4RM850"/>
    <hyperlink ref="C74" r:id="rId129" display="https://www.amazon.co.uk/dp/B00J4RM850"/>
    <hyperlink ref="B75" r:id="rId130" display="https://www.amazon.ca/s?k=cotton%20pillowcases"/>
    <hyperlink ref="C75" r:id="rId131" display="https://www.amazon.ca/s?k=cotton%20pillowcases"/>
    <hyperlink ref="B76" r:id="rId132" display="https://www.amazon.ca/s?k=comforter%20set"/>
    <hyperlink ref="C76" r:id="rId133" display="https://www.amazon.ca/s?k=comforter%20set"/>
    <hyperlink ref="B77" r:id="rId134" display="https://www.amazon.co.uk/s?k=cotton%20quilt"/>
    <hyperlink ref="C77" r:id="rId135" display="https://www.amazon.co.uk/s?k=cotton%20quilt"/>
    <hyperlink ref="B78" r:id="rId136" display="https://www.ikea.com/gb/en/cat/duvet-cover-sets-10680/"/>
    <hyperlink ref="C78" r:id="rId137" display="https://www.ikea.com/gb/en/cat/duvet-cover-10680/"/>
    <hyperlink ref="B79" r:id="rId138" display="https://www.amazon.com/dp/B06XS1P6NG"/>
    <hyperlink ref="C79" r:id="rId139" display="https://www.amazon.com/checkpoint/continue?token=v1.rOYd66wt_qgdbbhQfnC-yK3lSqVN0bMICOcj7byrPhvW96lQ8ts7TkBndNMFhXSa0Dc0alvzFAsiCYATKVjZfKgk0YQm7zxacYwJ3tAkgMzXG86Aqqmq-_BKDN7NY7CGDH9nNiyH7_5K3qgehEEWQGF5lifPuSZ-tpsHpe_PYQePbfGt1NIuUost0PQGm1NgC0aCXyubggql8rGtoQBo48ZK5r0s1X35zOoZDQYhD24lg1ISwzd9URkgqjUUcYzQJvg"/>
    <hyperlink ref="B80" r:id="rId140" display="https://www.amazon.ca/s?k=cotton%20duvet%20cover%20set"/>
    <hyperlink ref="C80" r:id="rId141" display="https://www.amazon.ca/s?k=cotton%20duvet%20cover%20set"/>
    <hyperlink ref="B81" r:id="rId142" display="https://www.amazon.co.uk/s?k=mattress%20topper"/>
    <hyperlink ref="C81" r:id="rId143" display="https://www.amazon.co.uk/s?k=mattress%20topper"/>
    <hyperlink ref="B82" r:id="rId144" display="https://www.amazon.co.uk/s?k=lyocell%20sheet%20set"/>
    <hyperlink ref="C82" r:id="rId145" display="https://www.amazon.co.uk/s?k=lyocell%20sheet%20set"/>
    <hyperlink ref="B83" r:id="rId146" display="https://www.amazon.com/s?k=mattress%20topper"/>
    <hyperlink ref="C83" r:id="rId147" display="https://www.amazon.com/s?k=mattress%20topper"/>
    <hyperlink ref="B84" r:id="rId148" display="https://www.amazon.co.uk/?currency=GBP"/>
    <hyperlink ref="C84" r:id="rId149" display="https://www.amazon.co.uk/?currency=GBP"/>
    <hyperlink ref="B85" r:id="rId150" display="https://www.amazon.com/s?k=linen%20sheet%20set"/>
    <hyperlink ref="C85" r:id="rId151" display="https://www.amazon.com/s?k=linen%20sheet%20set"/>
    <hyperlink ref="B86" r:id="rId152" display="https://www.amazon.com/dp/B07HC2WHS1"/>
    <hyperlink ref="C86" r:id="rId153" display="https://www.amazon.com/dp/B07HC2WHS1"/>
    <hyperlink ref="B87" r:id="rId154" display="https://www.amazon.com/s?k=lyocell%20sheet%20set"/>
    <hyperlink ref="C87" r:id="rId155" display="https://www.amazon.com/s?k=lyocell%20sheet%20set"/>
    <hyperlink ref="B88" r:id="rId156" display="https://www.amazon.ca/s?k=bamboo%20viscose%20sheet%20set"/>
    <hyperlink ref="C88" r:id="rId157" display="https://www.amazon.ca/s?k=bamboo%20viscose%20sheet%20set"/>
    <hyperlink ref="B89" r:id="rId158" display="https://www.amazon.com/dp/B07RY59C3W"/>
    <hyperlink ref="C89" r:id="rId159" display="https://www.amazon.com/dp/B07RY59C3W"/>
    <hyperlink ref="B90" r:id="rId160" display="https://www.amazon.com/dp/B003PWNH4Q"/>
    <hyperlink ref="C90" r:id="rId161" display="https://www.amazon.com/checkpoint/continue?token=v1.g-m3QJlFa1bAtD6jE9_lDfvWiHAkvyhhuyNY5l_M_LRMHPVA0csWBSxmaEtmTz8DhbRCmW7kf_DhFWpUxcVXvS2FkZj2zP3ZhxTlwq8GWlWRthiLAT6zRkMHtKQ_OCAjzVf_DSi4pETbhdS_amGkun_GCVSAmeD3KvzAfYvuUO-6yXiMMjbKRRE-v9V6KiHMeJAPA8um8pNGEnOtDc-0dYw88pxdVG5K99neuEFvVLCqG_COKij6go-bBXCeDUfHLzOEd9A"/>
    <hyperlink ref="B91" r:id="rId162" display="https://www.amazon.com/s?k=cotton%20quilt"/>
    <hyperlink ref="C91" r:id="rId163" display="https://www.amazon.com/s?k=cotton%20quilt"/>
    <hyperlink ref="B92" r:id="rId164" display="https://www.amazon.com/s?k=bamboo%20viscose%20sheet%20set"/>
    <hyperlink ref="C92" r:id="rId165" display="https://www.amazon.com/s?k=bamboo%20viscose%20sheet%20set"/>
    <hyperlink ref="B93" r:id="rId166" display="https://www.amazon.ca/dp/B0DST3PF14"/>
    <hyperlink ref="C93" r:id="rId167" display="https://www.amazon.ca/dp/B0DST3PF14"/>
    <hyperlink ref="B94" r:id="rId168" display="https://www.amazon.ca/s?k=mattress%20topper"/>
    <hyperlink ref="C94" r:id="rId169" display="https://www.amazon.ca/s?k=mattress%20topper"/>
    <hyperlink ref="B95" r:id="rId170" display="https://www.amazon.co.uk/s?k=comforter%20set"/>
    <hyperlink ref="C95" r:id="rId171" display="https://www.amazon.co.uk/s?k=comforter%20set"/>
    <hyperlink ref="B96" r:id="rId172" display="https://www.silkandsnow.com/en-ca/sheets/"/>
    <hyperlink ref="C96" r:id="rId173" display="https://www.silkandsnow.com/en-ca/sheets/"/>
    <hyperlink ref="B97" r:id="rId174" display="https://www.amazon.com/s?k=waterproof%20mattress%20protector"/>
    <hyperlink ref="C97" r:id="rId175" display="https://www.amazon.com/s?k=waterproof%20mattress%20protector"/>
    <hyperlink ref="B98" r:id="rId176" display="https://www.amazon.com/dp/B0BP6DZ862"/>
    <hyperlink ref="C98" r:id="rId177" display="https://www.amazon.com/dp/B0BP6DZ862"/>
    <hyperlink ref="B99" r:id="rId178" display="https://www.gov.uk/government/collections/trading-with-developing-nations"/>
    <hyperlink ref="C99" r:id="rId179" display="https://www.gov.uk/government/collections/trading-with-developing-nations"/>
    <hyperlink ref="B100" r:id="rId180" display="https://www.amazon.com/s?k=cotton%20pillowcases"/>
    <hyperlink ref="C100" r:id="rId181" display="https://www.amazon.com/s?k=cotton%20pillowcases"/>
    <hyperlink ref="B101" r:id="rId182" display="https://www.amazon.ca/s?k=waterproof%20mattress%20protector"/>
    <hyperlink ref="C101" r:id="rId183" display="https://www.amazon.ca/s?k=waterproof%20mattress%20protector"/>
    <hyperlink ref="B102" r:id="rId184" display="https://www.amazon.com/dp/B0F29F1JM5"/>
    <hyperlink ref="C102" r:id="rId185" display="https://www.amazon.com/dp/B0F29F1JM5"/>
    <hyperlink ref="B103" r:id="rId186" display="https://www.amazon.ca/s?k=cotton%20sheet%20set"/>
    <hyperlink ref="C103" r:id="rId187" display="https://www.amazon.ca/s?k=cotton%20sheet%20set"/>
    <hyperlink ref="B104" r:id="rId188" display="https://www.amazon.ca/dp/B07D5DN269"/>
    <hyperlink ref="C104" r:id="rId189" display="https://www.amazon.ca/dp/B07D5DN269"/>
    <hyperlink ref="B105" r:id="rId190" display="https://www.amazon.ca/s?k=lyocell%20sheet%20set"/>
    <hyperlink ref="C105" r:id="rId191" display="https://www.amazon.ca/s?k=lyocell%20sheet%20set"/>
    <hyperlink ref="B106" r:id="rId192" display="https://sell.amazon.ca/pricing"/>
    <hyperlink ref="C106" r:id="rId193" display="https://sell.amazon.ca/pricing"/>
    <hyperlink ref="B107" r:id="rId194" display="https://www.amazon.com/dp/B01M16WBW1"/>
    <hyperlink ref="C107" r:id="rId195" display="https://www.amazon.com/dp/B01M16WBW1"/>
    <hyperlink ref="B108" r:id="rId196" display="https://www.amazon.com/s?k=deep%20pocket%20fitted%20sheet"/>
    <hyperlink ref="C108" r:id="rId197" display="https://www.amazon.com/s?k=deep%20pocket%20fitted%20sheet"/>
    <hyperlink ref="B109" r:id="rId198" display="https://www.amazon.com/s?k=cotton%20duvet%20cover%20set"/>
    <hyperlink ref="C109" r:id="rId199" display="https://www.amazon.com/s?k=cotton%20duvet%20cover%20set"/>
    <hyperlink ref="B110" r:id="rId200" display="https://www.quince.com/home/cotton-percale-sheet-set"/>
    <hyperlink ref="C110" r:id="rId201" display="https://www.quince.com/home/cotton-percale-sheet-set"/>
    <hyperlink ref="B111" r:id="rId202" display="https://www.amazon.com/dp/B073ZY6XH3"/>
    <hyperlink ref="C111" r:id="rId203" display="https://www.amazon.com/dp/B073ZY6XH3"/>
    <hyperlink ref="B112" r:id="rId204" display="https://sell.amazon.co.uk/pricing"/>
    <hyperlink ref="C112" r:id="rId205" display="https://sell.amazon.co.uk/pricing"/>
    <hyperlink ref="B113" r:id="rId206" display="https://www.amazon.ca/s?k=deep%20pocket%20fitted%20sheet"/>
    <hyperlink ref="C113" r:id="rId207" display="https://www.amazon.ca/s?k=deep%20pocket%20fitted%20sheet"/>
    <hyperlink ref="B114" r:id="rId208" display="https://www.amazon.ca/dp/B01E02DU0U"/>
    <hyperlink ref="C114" r:id="rId209" display="https://www.amazon.ca/dp/B01E02DU0U"/>
    <hyperlink ref="B115" r:id="rId210" display="https://www.amazon.ca/dp/B0H9QD7RD5"/>
    <hyperlink ref="C115" r:id="rId211" display="https://www.amazon.ca/dp/B0H9QD7RD5"/>
    <hyperlink ref="B116" r:id="rId212" display="https://www.amazon.com/s?k=cotton%20sheet%20set"/>
    <hyperlink ref="C116" r:id="rId213" display="https://www.amazon.com/s?k=cotton%20sheet%20set"/>
    <hyperlink ref="B117" r:id="rId214" display="https://corporate.dunelm.com/media/a1nhsx1c/dunelm-annual-report-2026.pdf"/>
  </hyperlink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1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5" min="1" style="0" width="12.71"/>
  </cols>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LibreOffice/26.8.1.1$MacOSX_AARCH64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2026-10-26T17:25:59Z</dcterms:created>
  <dc:creator/>
  <dc:description>Research 2026-10-26; evidence-limited feasibility screen, not investment approval.</dc:description>
  <dc:language>en-US</dc:language>
  <cp:lastModifiedBy/>
  <dcterms:modified xsi:type="dcterms:W3CDTF">2026-10-26T17:25:59Z</dcterms:modified>
  <cp:revision>0</cp:revision>
  <dc:subject/>
  <dc:title>Independent Bedding Market Intelligence</dc:title>
</cp:coreProperties>
</file>

<file path=docProps/custom.xml><?xml version="1.0" encoding="utf-8"?>
<Properties xmlns="http://schemas.openxmlformats.org/officeDocument/2006/custom-properties" xmlns:vt="http://schemas.openxmlformats.org/officeDocument/2006/docPropsVTypes"/>
</file>