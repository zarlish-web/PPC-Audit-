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ampaign details" sheetId="2" state="visible" r:id="rId4"/>
    <sheet name="SKUs by campaign" sheetId="3" state="visible" r:id="rId5"/>
  </sheets>
  <definedNames>
    <definedName function="false" hidden="true" localSheetId="2" name="_xlnm._FilterDatabase" vbProcedure="false">'SKUs by campaign'!$A$1:$N$101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<sst xmlns="http://schemas.openxmlformats.org/spreadsheetml/2006/main" count="1108" uniqueCount="342">
  <si>
    <t xml:space="preserve">Prime Big Deal Days: LTSF clearance campaigns</t>
  </si>
  <si>
    <t xml:space="preserve">Why: these SKUs are in a PD deal AND hold stock aged 181+ days that pays Amazon's aged-inventory (LTSF) surcharge. The next charge is assessed on 15 Oct 2026, so units sold during PD (6–7 Oct) are not charged.</t>
  </si>
  <si>
    <t xml:space="preserve">What: for each product in each market we add two PD-only campaigns that advertise just these aged deal SKUs. One is auto, built by bulk upload. One is manual broad on Amazon-suggested keywords, built in the console.</t>
  </si>
  <si>
    <t xml:space="preserve">When: start 6 Oct 2026, end 7 Oct 2026 (PD days only). The end date is set on each campaign, so they stop on their own. Existing campaigns are unchanged.</t>
  </si>
  <si>
    <t xml:space="preserve">Budget: each campaign's daily budget is about 2x the product's current daily ad spend on these SKUs, with a minimum of $25 (US) or C$20 (CA).</t>
  </si>
  <si>
    <t xml:space="preserve">Sources: aged units and the 15-Oct estimate come from the LTSF engine (Amazon age snapshot 3 Oct). Spend and billed LTSF come from Sellerboard (6 Sep–5 Oct). Deals come from the PD allocation planner. CA figures are in CAD; Sellerboard USD is converted at 1.38.</t>
  </si>
  <si>
    <t xml:space="preserve">Market</t>
  </si>
  <si>
    <t xml:space="preserve">Product</t>
  </si>
  <si>
    <t xml:space="preserve">Aged deal SKUs</t>
  </si>
  <si>
    <t xml:space="preserve">Aged units 181+</t>
  </si>
  <si>
    <t xml:space="preserve">Units 271d+</t>
  </si>
  <si>
    <t xml:space="preserve">Est. 15-Oct LTSF charge</t>
  </si>
  <si>
    <t xml:space="preserve">LTSF billed last 30d</t>
  </si>
  <si>
    <t xml:space="preserve">Ad spend last 30d (these SKUs)</t>
  </si>
  <si>
    <t xml:space="preserve">PD committed units</t>
  </si>
  <si>
    <t xml:space="preserve">PD daily budget: Auto</t>
  </si>
  <si>
    <t xml:space="preserve">PD daily budget: Broad</t>
  </si>
  <si>
    <t xml:space="preserve">PD daily budget: total</t>
  </si>
  <si>
    <t xml:space="preserve">Currency</t>
  </si>
  <si>
    <t xml:space="preserve">US</t>
  </si>
  <si>
    <t xml:space="preserve">Bamboo Sheets 4 Piece</t>
  </si>
  <si>
    <t xml:space="preserve">USD</t>
  </si>
  <si>
    <t xml:space="preserve">Bamboo Sheets 6 Piece</t>
  </si>
  <si>
    <t xml:space="preserve">Satin Sheets 4 Piece</t>
  </si>
  <si>
    <t xml:space="preserve">Silk Pillowcase</t>
  </si>
  <si>
    <t xml:space="preserve">CA</t>
  </si>
  <si>
    <t xml:space="preserve">CAD</t>
  </si>
  <si>
    <t xml:space="preserve">Satin Sheets 6 Piece</t>
  </si>
  <si>
    <t xml:space="preserve">Total US (USD)</t>
  </si>
  <si>
    <t xml:space="preserve">Total CA (CAD)</t>
  </si>
  <si>
    <t xml:space="preserve">Over the two PD days, the most the new campaigns can spend is 2x the total daily budget.</t>
  </si>
  <si>
    <t xml:space="preserve">#</t>
  </si>
  <si>
    <t xml:space="preserve">Campaign type</t>
  </si>
  <si>
    <t xml:space="preserve">Campaign name</t>
  </si>
  <si>
    <t xml:space="preserve">How it is built</t>
  </si>
  <si>
    <t xml:space="preserve">Targeting</t>
  </si>
  <si>
    <t xml:space="preserve">Keywords</t>
  </si>
  <si>
    <t xml:space="preserve">Bids</t>
  </si>
  <si>
    <t xml:space="preserve">Daily budget</t>
  </si>
  <si>
    <t xml:space="preserve">Bidding strategy</t>
  </si>
  <si>
    <t xml:space="preserve">Start date</t>
  </si>
  <si>
    <t xml:space="preserve">End date</t>
  </si>
  <si>
    <t xml:space="preserve">Portfolio</t>
  </si>
  <si>
    <t xml:space="preserve">No. of SKUs</t>
  </si>
  <si>
    <t xml:space="preserve">Advertised SKUs (product ads)</t>
  </si>
  <si>
    <t xml:space="preserve">Auto</t>
  </si>
  <si>
    <t xml:space="preserve">DBS4-SP-AUTO-(PD-LTSF)-Aged Deal SKUs</t>
  </si>
  <si>
    <t xml:space="preserve">Bulk upload (PD_LTSF_Auto_Bulk_US.xlsx)</t>
  </si>
  <si>
    <t xml:space="preserve">Auto: close-match, loose-match, substitutes, complements</t>
  </si>
  <si>
    <t xml:space="preserve">n/a (auto)</t>
  </si>
  <si>
    <t xml:space="preserve">close 1.42 / loose 1.28 / subs 1.14 / comp 0.85</t>
  </si>
  <si>
    <t xml:space="preserve">Dynamic bids - down only</t>
  </si>
  <si>
    <t xml:space="preserve">2026-10-06</t>
  </si>
  <si>
    <t xml:space="preserve">2026-10-07</t>
  </si>
  <si>
    <t xml:space="preserve">None (assign in console if needed)</t>
  </si>
  <si>
    <t xml:space="preserve">BAMBOO-FULL-LIGHTOLIVE, BAMBOO-FULL-PURPLE, BAMBOO-TWIN-BURGUNDY-NEW, BAMBOO-CALIFKING-LIGHT PINK, BAMBOO-FULL-SAGE GREEN, BAMBOO-FULL-OLIVE, BAMBOO-TWIN-CREME, BAMBOO-TWIN-MIDGREY, BAMBOO-QUEEN-OLIVE, BAMBOO-KING-LIGHTBLUE, BAMBOO-KING-OLIVE, BAMBOO-TWIN-LIGHTBLUE, BAMBOO-TWIN-LIGHTOLIVE, BAMBOO-TWIN-LIGHTGREY, BAMBOO-TWIN-OLIVE</t>
  </si>
  <si>
    <t xml:space="preserve">Manual - Broad</t>
  </si>
  <si>
    <t xml:space="preserve">DBS4-SP-BROAD-(PD-LTSF)-Amazon Suggested</t>
  </si>
  <si>
    <t xml:space="preserve">Console (manual)</t>
  </si>
  <si>
    <t xml:space="preserve">Manual keyword targeting, Broad match</t>
  </si>
  <si>
    <t xml:space="preserve">Amazon suggested keywords (selected in console)</t>
  </si>
  <si>
    <t xml:space="preserve">Amazon suggested bid, capped at 3.21 (product's 30-day avg CPC)</t>
  </si>
  <si>
    <t xml:space="preserve">DBS6-SP-AUTO-(PD-LTSF)-Aged Deal SKUs</t>
  </si>
  <si>
    <t xml:space="preserve">close 1.47 / loose 1.32 / subs 1.18 / comp 0.88</t>
  </si>
  <si>
    <t xml:space="preserve">BAMBOO-FULL-OLIVE-6PCS, BAMBOO-FULL-CREME-6PCS, BAMBOO-QUEEN-OLIVE-6PCS, BAMBOO-QUEEN-LIGHTOLIVE-6PCS, BAMBOO-QUEEN-LIGHTGREY-6PCS, BAMBOO-FULL-LIGHTOLIVE-6PCS, BAMBOO-FULL-SAGE GREEN-6PCS, BAMBOO-KING-PURPLE-6PCS, BAMBOO-KING-LIGHT PINK-6PCS, BAMBOO-QUEEN-SAGE GREEN-6PCS, BAMBOO-TWIN-LIGHTOLIVE-6PCS, BAMBOO-FULL-PURPLE-6PCS, BAMBOO-TWIN-MIDGREY-6PCS, BAMBOO-TWIN-SAGE GREEN-6PCS, BAMBOO-TWIN-OLIVE-6PCS, BAMBOO-TWIN-NAVYBLUE-6PCS</t>
  </si>
  <si>
    <t xml:space="preserve">DBS6-SP-BROAD-(PD-LTSF)-Amazon Suggested</t>
  </si>
  <si>
    <t xml:space="preserve">Amazon suggested bid, capped at 3.06 (product's 30-day avg CPC)</t>
  </si>
  <si>
    <t xml:space="preserve">DSS4-SP-AUTO-(PD-LTSF)-Aged Deal SKUs</t>
  </si>
  <si>
    <t xml:space="preserve">close 0.72 / loose 0.65 / subs 0.58 / comp 0.43</t>
  </si>
  <si>
    <t xml:space="preserve">SATIN-QUEEN-GREY, SATIN-SEA-TEAL-TWIN, SATIN-4PC-FULL-DARK GREEN, SATIN-4PCS-FULL-ROSEWOOD, SATIN-TAUPE-FULL, SATIN-STRIPE-FULL-GOLD, SATIN-3PC-TWIN-DARK GREEN, SATIN-IVORY-FULL, SATIN-TWIN-GREY, SATIN-4PC-KING-GREY, SATIN-3PC-TWIN-BURNT ORANGE, SATIN-STRIPE-FULL-PURPLE, SATIN-FULL-GREY, SATIN-STRIPE-TWIN-BLACK, SATIN-CHAMPAGNE-TWIN, SATIN-STRIPE-TWIN-RED, SATIN-IVORY-TWIN, SATIN-4PC-TWIN-DARK GREEN, SATIN-4PC-TWIN-BURNT ORANGE, SATIN-3PC-TWIN-SAGE GREEN, SATIN-STONEGREY-TWIN, SATIN-RED-TWIN, SATIN-STRIPE-TWIN-PURPLE, SATIN-STRIPE-TWIN-BLUE, SATIN-STRIPE-TWIN-WHITE, SATIN-4PC-TWIN-BLUSH PINK, SATIN-CHAMPAGNE-FULL, SATIN-STONEGREY-FULL, SATIN-3PC-TWIN-NAVY BLUE, SATIN-TWIN-BLUE, SATIN-4PC-TWIN-LAVENDER, SATIN-STRIPE-FULL-GRAY, SATIN-STRIPE-TWIN-PINK, SATIN-GOLD-TWIN</t>
  </si>
  <si>
    <t xml:space="preserve">DSS4-SP-BROAD-(PD-LTSF)-Amazon Suggested</t>
  </si>
  <si>
    <t xml:space="preserve">Amazon suggested bid, capped at 1.65 (product's 30-day avg CPC)</t>
  </si>
  <si>
    <t xml:space="preserve">D-SPC-SP-AUTO-(PD-LTSF)-Aged Deal SKUs</t>
  </si>
  <si>
    <t xml:space="preserve">close 0.75 / loose 0.68 / subs 0.60 / comp 0.45</t>
  </si>
  <si>
    <t xml:space="preserve">SILK-PILLOWCASE-STANDARD-IVORY-1PCS, SILK-PILLOWCASE-KING-SILVER GREY-1PCS, SILK-PILLOWCASE-STANDARD-SILVERGREY-1PC, SILK-PILLOWCASE-QUEEN-CHAMPAGNE-1PCS, SILK-PILLOWCASE-STANDARD-WHITE-1PCS, SILK-PILLOWCASE-QUEEN-SILVER GREY-1PCS, SILK-PILLOWCASE-QUEEN-IVORY-1PCS, SILK-PILLOWCASE-QUEEN-WHITE-1PCS, SILK-PILLOWCASE-QUEEN-CORAL-1PCS, SILK-PILLOWCASE-QUEEN-GREY-1PCS, SILK-PILLOWCASE-STANDARD-GREY-1PCS</t>
  </si>
  <si>
    <t xml:space="preserve">D-SPC-SP-BROAD-(PD-LTSF)-Amazon Suggested</t>
  </si>
  <si>
    <t xml:space="preserve">Amazon suggested bid, capped at 1.32 (product's 30-day avg CPC)</t>
  </si>
  <si>
    <t xml:space="preserve">DBS4-CA-SP-AUTO-(PD-LTSF)-Aged Deal SKUs</t>
  </si>
  <si>
    <t xml:space="preserve">Bulk upload (PD_LTSF_Auto_Bulk_CA.xlsx)</t>
  </si>
  <si>
    <t xml:space="preserve">close 2.02 / loose 1.82 / subs 1.62 / comp 1.21</t>
  </si>
  <si>
    <t xml:space="preserve">BAMBOO-QUEEN-OLIVE, BAMBOO-CALIFKING-LIGHTGREY, BAMBOO-CALIFKING-MIDGREY, BAMBOO-CALIFKING-CREME, BAMBOO-QUEEN-LIGHTGREY, BAMBOO-FULL-OLIVE, BAMBOO-KING-LIGHTBLUE</t>
  </si>
  <si>
    <t xml:space="preserve">DBS4-CA-SP-BROAD-(PD-LTSF)-Amazon Suggested</t>
  </si>
  <si>
    <t xml:space="preserve">Amazon suggested bid, capped at 1.78 (product's 30-day avg CPC)</t>
  </si>
  <si>
    <t xml:space="preserve">DBS6-CA-SP-AUTO-(PD-LTSF)-Aged Deal SKUs</t>
  </si>
  <si>
    <t xml:space="preserve">BAMBOO-CALIFKING-NAVYBLUE-6PCS, BAMBOO-QUEEN-LIGHTOLIVE-6PCS, BAMBOO-CALIFKING-LIGHTBLUE-6PCS, BAMBOO-KING-LIGHTBLUE-6PCS, BAMBOO-CALIFKING-GREY-6PCS</t>
  </si>
  <si>
    <t xml:space="preserve">DBS6-CA-SP-BROAD-(PD-LTSF)-Amazon Suggested</t>
  </si>
  <si>
    <t xml:space="preserve">Amazon suggested bid, capped at 2.50 (product's 30-day avg CPC)</t>
  </si>
  <si>
    <t xml:space="preserve">DSS4-CA-SP-AUTO-(PD-LTSF)-Aged Deal SKUs</t>
  </si>
  <si>
    <t xml:space="preserve">close 1.17 / loose 1.05 / subs 0.94 / comp 0.70</t>
  </si>
  <si>
    <t xml:space="preserve">SATIN-4PC-KING-GREY, SATIN-STRIPE-FULL-WHITE</t>
  </si>
  <si>
    <t xml:space="preserve">DSS4-CA-SP-BROAD-(PD-LTSF)-Amazon Suggested</t>
  </si>
  <si>
    <t xml:space="preserve">Amazon suggested bid, capped at 1.23 (product's 30-day avg CPC)</t>
  </si>
  <si>
    <t xml:space="preserve">DSS6-CA-SP-AUTO-(PD-LTSF)-Aged Deal SKUs</t>
  </si>
  <si>
    <t xml:space="preserve">close 1.20 / loose 1.08 / subs 0.96 / comp 0.72</t>
  </si>
  <si>
    <t xml:space="preserve">SATIN-GOLD-KING-6PCS, SATIN-STRIPE-FULL-BLACK--6-PCS, SATIN-STRIPE-QUEEN-PINK--6-PCS, SATIN-STRIPE-TWIN-BLACK--6-PCS, SATIN-STONEGREY-QUEEN-6PCS, SATIN-GOLD-QUEEN-6PCS, SATIN-KING-PINK-6PCS, SATIN-6PC-FULL-NAVY BLUE, SATIN-6PC-QUEEN-BLUSH PINK, SATIN-6PC-FULL-LAVENDER</t>
  </si>
  <si>
    <t xml:space="preserve">DSS6-CA-SP-BROAD-(PD-LTSF)-Amazon Suggested</t>
  </si>
  <si>
    <t xml:space="preserve">Amazon suggested bid, capped at 1.29 (product's 30-day avg CPC)</t>
  </si>
  <si>
    <t xml:space="preserve">Auto campaign</t>
  </si>
  <si>
    <t xml:space="preserve">Broad campaign</t>
  </si>
  <si>
    <t xml:space="preserve">SKU</t>
  </si>
  <si>
    <t xml:space="preserve">ASIN</t>
  </si>
  <si>
    <t xml:space="preserve">PD deals</t>
  </si>
  <si>
    <t xml:space="preserve">Lowest deal price</t>
  </si>
  <si>
    <t xml:space="preserve">Ad spend last 30d</t>
  </si>
  <si>
    <t xml:space="preserve">BAMBOO-FULL-LIGHTOLIVE</t>
  </si>
  <si>
    <t xml:space="preserve">B0BZPZPGDC</t>
  </si>
  <si>
    <t xml:space="preserve">PED US: include 10u @ 51.99</t>
  </si>
  <si>
    <t xml:space="preserve">BAMBOO-FULL-PURPLE</t>
  </si>
  <si>
    <t xml:space="preserve">B0BZPY4PXY</t>
  </si>
  <si>
    <t xml:space="preserve">BAMBOO-TWIN-BURGUNDY-NEW</t>
  </si>
  <si>
    <t xml:space="preserve">B0CRHX3LKM</t>
  </si>
  <si>
    <t xml:space="preserve">PED US: include 10u @ 43.99</t>
  </si>
  <si>
    <t xml:space="preserve">BAMBOO-CALIFKING-LIGHT PINK</t>
  </si>
  <si>
    <t xml:space="preserve">B0CLKD23ZH</t>
  </si>
  <si>
    <t xml:space="preserve">PED US: include 10u @ 63.99</t>
  </si>
  <si>
    <t xml:space="preserve">BAMBOO-FULL-SAGE GREEN</t>
  </si>
  <si>
    <t xml:space="preserve">B0CLKFLJMZ</t>
  </si>
  <si>
    <t xml:space="preserve">BAMBOO-FULL-OLIVE</t>
  </si>
  <si>
    <t xml:space="preserve">B08KQJTP39</t>
  </si>
  <si>
    <t xml:space="preserve">PED US: include 16u @ 51.34</t>
  </si>
  <si>
    <t xml:space="preserve">BAMBOO-TWIN-CREME</t>
  </si>
  <si>
    <t xml:space="preserve">B08KQKS54Q</t>
  </si>
  <si>
    <t xml:space="preserve">BAMBOO-TWIN-MIDGREY</t>
  </si>
  <si>
    <t xml:space="preserve">B0BZQ21K22</t>
  </si>
  <si>
    <t xml:space="preserve">BAMBOO-QUEEN-OLIVE</t>
  </si>
  <si>
    <t xml:space="preserve">B08KQJRSW6</t>
  </si>
  <si>
    <t xml:space="preserve">PED US: include 36u @ 59.99</t>
  </si>
  <si>
    <t xml:space="preserve">BAMBOO-KING-LIGHTBLUE</t>
  </si>
  <si>
    <t xml:space="preserve">B08KQL6HKG</t>
  </si>
  <si>
    <t xml:space="preserve">PED US: include 36u @ 63.99</t>
  </si>
  <si>
    <t xml:space="preserve">BAMBOO-KING-OLIVE</t>
  </si>
  <si>
    <t xml:space="preserve">B08KQLK2HK</t>
  </si>
  <si>
    <t xml:space="preserve">PED US: include 30u @ 63.19</t>
  </si>
  <si>
    <t xml:space="preserve">BAMBOO-TWIN-LIGHTBLUE</t>
  </si>
  <si>
    <t xml:space="preserve">B08KQJGSW2</t>
  </si>
  <si>
    <t xml:space="preserve">BAMBOO-TWIN-LIGHTOLIVE</t>
  </si>
  <si>
    <t xml:space="preserve">B0BZQ3XM7P</t>
  </si>
  <si>
    <t xml:space="preserve">BAMBOO-TWIN-LIGHTGREY</t>
  </si>
  <si>
    <t xml:space="preserve">B08KQK8Z1J</t>
  </si>
  <si>
    <t xml:space="preserve">BAMBOO-TWIN-OLIVE</t>
  </si>
  <si>
    <t xml:space="preserve">B08KQKKVSX</t>
  </si>
  <si>
    <t xml:space="preserve">BAMBOO-FULL-OLIVE-6PCS</t>
  </si>
  <si>
    <t xml:space="preserve">B0CQ33ZGQ4</t>
  </si>
  <si>
    <t xml:space="preserve">PED US: include 10u @ 55.99</t>
  </si>
  <si>
    <t xml:space="preserve">BAMBOO-FULL-CREME-6PCS</t>
  </si>
  <si>
    <t xml:space="preserve">B0CQ2ZVD96</t>
  </si>
  <si>
    <t xml:space="preserve">PED US: include 19u @ 52.49</t>
  </si>
  <si>
    <t xml:space="preserve">BAMBOO-QUEEN-OLIVE-6PCS</t>
  </si>
  <si>
    <t xml:space="preserve">B0CQ32B24Y</t>
  </si>
  <si>
    <t xml:space="preserve">PED US: include 48u @ 59.99</t>
  </si>
  <si>
    <t xml:space="preserve">BAMBOO-QUEEN-LIGHTOLIVE-6PCS</t>
  </si>
  <si>
    <t xml:space="preserve">B0CQ312HKC</t>
  </si>
  <si>
    <t xml:space="preserve">PED US: include 10u @ 63.19</t>
  </si>
  <si>
    <t xml:space="preserve">BAMBOO-QUEEN-LIGHTGREY-6PCS</t>
  </si>
  <si>
    <t xml:space="preserve">B0CQ33K3TL</t>
  </si>
  <si>
    <t xml:space="preserve">PED US: include 31u @ 59.99</t>
  </si>
  <si>
    <t xml:space="preserve">BAMBOO-FULL-LIGHTOLIVE-6PCS</t>
  </si>
  <si>
    <t xml:space="preserve">B0CQ2YBSK2</t>
  </si>
  <si>
    <t xml:space="preserve">BAMBOO-FULL-SAGE GREEN-6PCS</t>
  </si>
  <si>
    <t xml:space="preserve">B0CQ322XC6</t>
  </si>
  <si>
    <t xml:space="preserve">PED US: include 10u @ 59.99</t>
  </si>
  <si>
    <t xml:space="preserve">BAMBOO-KING-PURPLE-6PCS</t>
  </si>
  <si>
    <t xml:space="preserve">B0CQ328N9Z</t>
  </si>
  <si>
    <t xml:space="preserve">PED US: include 23u @ 67.99</t>
  </si>
  <si>
    <t xml:space="preserve">BAMBOO-KING-LIGHT PINK-6PCS</t>
  </si>
  <si>
    <t xml:space="preserve">B0CQ3437ZF</t>
  </si>
  <si>
    <t xml:space="preserve">PED US: include 15u @ 67.99</t>
  </si>
  <si>
    <t xml:space="preserve">BAMBOO-QUEEN-SAGE GREEN-6PCS</t>
  </si>
  <si>
    <t xml:space="preserve">B0CQ3CDRTN</t>
  </si>
  <si>
    <t xml:space="preserve">PED US: include 21u @ 59.99</t>
  </si>
  <si>
    <t xml:space="preserve">BAMBOO-TWIN-LIGHTOLIVE-6PCS</t>
  </si>
  <si>
    <t xml:space="preserve">B0CQ2YWCB3</t>
  </si>
  <si>
    <t xml:space="preserve">PED US: include 10u @ 47.99</t>
  </si>
  <si>
    <t xml:space="preserve">BAMBOO-FULL-PURPLE-6PCS</t>
  </si>
  <si>
    <t xml:space="preserve">B0CQ31X3X5</t>
  </si>
  <si>
    <t xml:space="preserve">BAMBOO-TWIN-MIDGREY-6PCS</t>
  </si>
  <si>
    <t xml:space="preserve">B0CQ31XF3H</t>
  </si>
  <si>
    <t xml:space="preserve">PED US: include 10u @ 44.39</t>
  </si>
  <si>
    <t xml:space="preserve">BAMBOO-TWIN-SAGE GREEN-6PCS</t>
  </si>
  <si>
    <t xml:space="preserve">B0CQ2YZ364</t>
  </si>
  <si>
    <t xml:space="preserve">BAMBOO-TWIN-OLIVE-6PCS</t>
  </si>
  <si>
    <t xml:space="preserve">B0CQ2ZVMJJ</t>
  </si>
  <si>
    <t xml:space="preserve">BAMBOO-TWIN-NAVYBLUE-6PCS</t>
  </si>
  <si>
    <t xml:space="preserve">B0CQ31N5Q5</t>
  </si>
  <si>
    <t xml:space="preserve">SATIN-QUEEN-GREY</t>
  </si>
  <si>
    <t xml:space="preserve">B0839LQK8K</t>
  </si>
  <si>
    <t xml:space="preserve">PED US: include 18u @ 23.96; S4 LD US: include 23u @ 23.96</t>
  </si>
  <si>
    <t xml:space="preserve">SATIN-SEA-TEAL-TWIN</t>
  </si>
  <si>
    <t xml:space="preserve">B0BG21MMW9</t>
  </si>
  <si>
    <t xml:space="preserve">PED US: leave out; S4 LD US: include 10u @ 19.91</t>
  </si>
  <si>
    <t xml:space="preserve">SATIN-4PC-FULL-DARK GREEN</t>
  </si>
  <si>
    <t xml:space="preserve">B0CQRX2Z2G</t>
  </si>
  <si>
    <t xml:space="preserve">PED US: include 10u @ 23.96; S4 LD US: include 10u @ 23.96</t>
  </si>
  <si>
    <t xml:space="preserve">SATIN-4PCS-FULL-ROSEWOOD</t>
  </si>
  <si>
    <t xml:space="preserve">B0DBQVFTZS</t>
  </si>
  <si>
    <t xml:space="preserve">PED US: leave out; S4 LD US: include 10u @ 23.96</t>
  </si>
  <si>
    <t xml:space="preserve">SATIN-TAUPE-FULL</t>
  </si>
  <si>
    <t xml:space="preserve">B0BZPV4LYC</t>
  </si>
  <si>
    <t xml:space="preserve">PED US: include 10u @ 21.86; S4 LD US: leave out</t>
  </si>
  <si>
    <t xml:space="preserve">SATIN-STRIPE-FULL-GOLD</t>
  </si>
  <si>
    <t xml:space="preserve">B09G6LCV5J</t>
  </si>
  <si>
    <t xml:space="preserve">SATIN-3PC-TWIN-DARK GREEN</t>
  </si>
  <si>
    <t xml:space="preserve">B0CQRY5N4Q</t>
  </si>
  <si>
    <t xml:space="preserve">PED US: include 10u @ 22.36; S4 LD US: include 10u @ 22.36</t>
  </si>
  <si>
    <t xml:space="preserve">SATIN-IVORY-FULL</t>
  </si>
  <si>
    <t xml:space="preserve">B0BG22CYFP</t>
  </si>
  <si>
    <t xml:space="preserve">SATIN-TWIN-GREY</t>
  </si>
  <si>
    <t xml:space="preserve">B0839M8LP5</t>
  </si>
  <si>
    <t xml:space="preserve">PED US: include 10u @ 19.84; S4 LD US: include 10u @ 19.91</t>
  </si>
  <si>
    <t xml:space="preserve">SATIN-4PC-KING-GREY</t>
  </si>
  <si>
    <t xml:space="preserve">B0CV4D38W9</t>
  </si>
  <si>
    <t xml:space="preserve">PED US: include 17u @ 27.16; S4 LD US: include 22u @ 27.16</t>
  </si>
  <si>
    <t xml:space="preserve">SATIN-3PC-TWIN-BURNT ORANGE</t>
  </si>
  <si>
    <t xml:space="preserve">B0CQRXC2YT</t>
  </si>
  <si>
    <t xml:space="preserve">SATIN-STRIPE-FULL-PURPLE</t>
  </si>
  <si>
    <t xml:space="preserve">B09G6K4PXD</t>
  </si>
  <si>
    <t xml:space="preserve">SATIN-FULL-GREY</t>
  </si>
  <si>
    <t xml:space="preserve">B0839LMS13</t>
  </si>
  <si>
    <t xml:space="preserve">SATIN-STRIPE-TWIN-BLACK</t>
  </si>
  <si>
    <t xml:space="preserve">B09G6H23C3</t>
  </si>
  <si>
    <t xml:space="preserve">PED US: leave out; S4 LD US: include 10u @ 22.36</t>
  </si>
  <si>
    <t xml:space="preserve">SATIN-CHAMPAGNE-TWIN</t>
  </si>
  <si>
    <t xml:space="preserve">B0BZPVY39R</t>
  </si>
  <si>
    <t xml:space="preserve">SATIN-STRIPE-TWIN-RED</t>
  </si>
  <si>
    <t xml:space="preserve">B09G6M7WJ3</t>
  </si>
  <si>
    <t xml:space="preserve">SATIN-IVORY-TWIN</t>
  </si>
  <si>
    <t xml:space="preserve">B0BG25XZHJ</t>
  </si>
  <si>
    <t xml:space="preserve">SATIN-4PC-TWIN-DARK GREEN</t>
  </si>
  <si>
    <t xml:space="preserve">B0D9QRPTXQ</t>
  </si>
  <si>
    <t xml:space="preserve">SATIN-4PC-TWIN-BURNT ORANGE</t>
  </si>
  <si>
    <t xml:space="preserve">B0D9QSQ8W7</t>
  </si>
  <si>
    <t xml:space="preserve">SATIN-3PC-TWIN-SAGE GREEN</t>
  </si>
  <si>
    <t xml:space="preserve">B0CQRYL8Z4</t>
  </si>
  <si>
    <t xml:space="preserve">PED US: include 10u @ 21.8; S4 LD US: include 10u @ 20.76</t>
  </si>
  <si>
    <t xml:space="preserve">SATIN-STONEGREY-TWIN</t>
  </si>
  <si>
    <t xml:space="preserve">B0BG21NBG9</t>
  </si>
  <si>
    <t xml:space="preserve">SATIN-RED-TWIN</t>
  </si>
  <si>
    <t xml:space="preserve">B08KR7V6TL</t>
  </si>
  <si>
    <t xml:space="preserve">SATIN-STRIPE-TWIN-PURPLE</t>
  </si>
  <si>
    <t xml:space="preserve">B09G6JWVWD</t>
  </si>
  <si>
    <t xml:space="preserve">SATIN-STRIPE-TWIN-BLUE</t>
  </si>
  <si>
    <t xml:space="preserve">B09G6L5Z5K</t>
  </si>
  <si>
    <t xml:space="preserve">PED US: leave out; S4 LD US: include 10u @ 21.36</t>
  </si>
  <si>
    <t xml:space="preserve">SATIN-STRIPE-TWIN-WHITE</t>
  </si>
  <si>
    <t xml:space="preserve">B09G6JK5ZL</t>
  </si>
  <si>
    <t xml:space="preserve">SATIN-4PC-TWIN-BLUSH PINK</t>
  </si>
  <si>
    <t xml:space="preserve">B0D9QQ99HB</t>
  </si>
  <si>
    <t xml:space="preserve">PED US: include 10u @ 29.56; S4 LD US: include 10u @ 22.36</t>
  </si>
  <si>
    <t xml:space="preserve">SATIN-CHAMPAGNE-FULL</t>
  </si>
  <si>
    <t xml:space="preserve">B0BZPYNXPB</t>
  </si>
  <si>
    <t xml:space="preserve">SATIN-STONEGREY-FULL</t>
  </si>
  <si>
    <t xml:space="preserve">B0BG23H2QY</t>
  </si>
  <si>
    <t xml:space="preserve">SATIN-3PC-TWIN-NAVY BLUE</t>
  </si>
  <si>
    <t xml:space="preserve">B0CQRZ6KRR</t>
  </si>
  <si>
    <t xml:space="preserve">SATIN-TWIN-BLUE</t>
  </si>
  <si>
    <t xml:space="preserve">B0839KG4VY</t>
  </si>
  <si>
    <t xml:space="preserve">SATIN-4PC-TWIN-LAVENDER</t>
  </si>
  <si>
    <t xml:space="preserve">B0D9QTXKQ8</t>
  </si>
  <si>
    <t xml:space="preserve">SATIN-STRIPE-FULL-GRAY</t>
  </si>
  <si>
    <t xml:space="preserve">B09G6J1HVY</t>
  </si>
  <si>
    <t xml:space="preserve">SATIN-STRIPE-TWIN-PINK</t>
  </si>
  <si>
    <t xml:space="preserve">B09G6KRX7T</t>
  </si>
  <si>
    <t xml:space="preserve">SATIN-GOLD-TWIN</t>
  </si>
  <si>
    <t xml:space="preserve">B08KR9THFG</t>
  </si>
  <si>
    <t xml:space="preserve">SILK-PILLOWCASE-STANDARD-IVORY-1PCS</t>
  </si>
  <si>
    <t xml:space="preserve">B0DBR99M41</t>
  </si>
  <si>
    <t xml:space="preserve">LD Silk Pillow case: include 10u @ 35.96</t>
  </si>
  <si>
    <t xml:space="preserve">SILK-PILLOWCASE-KING-SILVER GREY-1PCS</t>
  </si>
  <si>
    <t xml:space="preserve">B0DBRL13MZ</t>
  </si>
  <si>
    <t xml:space="preserve">LD Silk Pillow case: include 10u @ 43.96</t>
  </si>
  <si>
    <t xml:space="preserve">SILK-PILLOWCASE-STANDARD-SILVERGREY-1PC</t>
  </si>
  <si>
    <t xml:space="preserve">B0DBR9B5ZX</t>
  </si>
  <si>
    <t xml:space="preserve">SILK-PILLOWCASE-QUEEN-CHAMPAGNE-1PCS</t>
  </si>
  <si>
    <t xml:space="preserve">B0DBR61W7F</t>
  </si>
  <si>
    <t xml:space="preserve">LD Silk Pillow case: include 10u @ 39.96</t>
  </si>
  <si>
    <t xml:space="preserve">SILK-PILLOWCASE-STANDARD-WHITE-1PCS</t>
  </si>
  <si>
    <t xml:space="preserve">B0DBR5SY67</t>
  </si>
  <si>
    <t xml:space="preserve">SILK-PILLOWCASE-QUEEN-SILVER GREY-1PCS</t>
  </si>
  <si>
    <t xml:space="preserve">B0DBRB2B8J</t>
  </si>
  <si>
    <t xml:space="preserve">SILK-PILLOWCASE-QUEEN-IVORY-1PCS</t>
  </si>
  <si>
    <t xml:space="preserve">B0DBR9GXG4</t>
  </si>
  <si>
    <t xml:space="preserve">SILK-PILLOWCASE-QUEEN-WHITE-1PCS</t>
  </si>
  <si>
    <t xml:space="preserve">B0DBRBSH2R</t>
  </si>
  <si>
    <t xml:space="preserve">SILK-PILLOWCASE-QUEEN-CORAL-1PCS</t>
  </si>
  <si>
    <t xml:space="preserve">B0DBR771WD</t>
  </si>
  <si>
    <t xml:space="preserve">SILK-PILLOWCASE-QUEEN-GREY-1PCS</t>
  </si>
  <si>
    <t xml:space="preserve">B0DBR9LLGV</t>
  </si>
  <si>
    <t xml:space="preserve">SILK-PILLOWCASE-STANDARD-GREY-1PCS</t>
  </si>
  <si>
    <t xml:space="preserve">B0DBR948NX</t>
  </si>
  <si>
    <t xml:space="preserve">PED CA: include 5u @ 79.99; B4 CA LD: include 5u @ 84.78</t>
  </si>
  <si>
    <t xml:space="preserve">BAMBOO-CALIFKING-LIGHTGREY</t>
  </si>
  <si>
    <t xml:space="preserve">B08KQLFRVR</t>
  </si>
  <si>
    <t xml:space="preserve">PED CA: include 5u @ 79.99; B4 CA LD: include 5u @ 80.74</t>
  </si>
  <si>
    <t xml:space="preserve">BAMBOO-CALIFKING-MIDGREY</t>
  </si>
  <si>
    <t xml:space="preserve">B0BZPY841G</t>
  </si>
  <si>
    <t xml:space="preserve">PED CA: include 5u @ 79.99; B4 CA LD: include 5u @ 81.99</t>
  </si>
  <si>
    <t xml:space="preserve">BAMBOO-CALIFKING-CREME</t>
  </si>
  <si>
    <t xml:space="preserve">B08KQLQ7RG</t>
  </si>
  <si>
    <t xml:space="preserve">BAMBOO-QUEEN-LIGHTGREY</t>
  </si>
  <si>
    <t xml:space="preserve">B08KQJDSVC</t>
  </si>
  <si>
    <t xml:space="preserve">PED CA: leave out; B4 CA LD: include 5u @ 80.75</t>
  </si>
  <si>
    <t xml:space="preserve">PED CA: leave out; B4 CA LD: include 5u @ 68.63</t>
  </si>
  <si>
    <t xml:space="preserve">PED CA: include 5u @ 79.99; B4 CA LD: include 6u @ 80.74</t>
  </si>
  <si>
    <t xml:space="preserve">BAMBOO-CALIFKING-NAVYBLUE-6PCS</t>
  </si>
  <si>
    <t xml:space="preserve">B0CQ311QX3</t>
  </si>
  <si>
    <t xml:space="preserve">B6 CA BD: include 5u @ 87.99</t>
  </si>
  <si>
    <t xml:space="preserve">B6 CA BD: include 5u @ 84.99</t>
  </si>
  <si>
    <t xml:space="preserve">BAMBOO-CALIFKING-LIGHTBLUE-6PCS</t>
  </si>
  <si>
    <t xml:space="preserve">B0CQ31L3V7</t>
  </si>
  <si>
    <t xml:space="preserve">BAMBOO-KING-LIGHTBLUE-6PCS</t>
  </si>
  <si>
    <t xml:space="preserve">B0CQ31X65Y</t>
  </si>
  <si>
    <t xml:space="preserve">B6 CA BD: include 7u @ 84.99</t>
  </si>
  <si>
    <t xml:space="preserve">BAMBOO-CALIFKING-GREY-6PCS</t>
  </si>
  <si>
    <t xml:space="preserve">B0CQ33T9BL</t>
  </si>
  <si>
    <t xml:space="preserve">S4 CA BD: include 5u @ 42.79</t>
  </si>
  <si>
    <t xml:space="preserve">SATIN-STRIPE-FULL-WHITE</t>
  </si>
  <si>
    <t xml:space="preserve">B09G6KKB4S</t>
  </si>
  <si>
    <t xml:space="preserve">S4 CA BD: include 5u @ 39.59</t>
  </si>
  <si>
    <t xml:space="preserve">SATIN-GOLD-KING-6PCS</t>
  </si>
  <si>
    <t xml:space="preserve">B0C7FMYDFC</t>
  </si>
  <si>
    <t xml:space="preserve">S6 CA BD: include 5u @ 42.74</t>
  </si>
  <si>
    <t xml:space="preserve">SATIN-STRIPE-FULL-BLACK--6-PCS</t>
  </si>
  <si>
    <t xml:space="preserve">B0C7KB53RJ</t>
  </si>
  <si>
    <t xml:space="preserve">SATIN-STRIPE-QUEEN-PINK--6-PCS</t>
  </si>
  <si>
    <t xml:space="preserve">B0C7KD9LMR</t>
  </si>
  <si>
    <t xml:space="preserve">S6 CA BD: include 5u @ 42.23</t>
  </si>
  <si>
    <t xml:space="preserve">SATIN-STRIPE-TWIN-BLACK--6-PCS</t>
  </si>
  <si>
    <t xml:space="preserve">B0C7K6WTJ1</t>
  </si>
  <si>
    <t xml:space="preserve">S6 CA BD: include 5u @ 34.19</t>
  </si>
  <si>
    <t xml:space="preserve">SATIN-STONEGREY-QUEEN-6PCS</t>
  </si>
  <si>
    <t xml:space="preserve">B0C7FTB8MQ</t>
  </si>
  <si>
    <t xml:space="preserve">S6 CA BD: include 5u @ 38.75</t>
  </si>
  <si>
    <t xml:space="preserve">SATIN-GOLD-QUEEN-6PCS</t>
  </si>
  <si>
    <t xml:space="preserve">B0C7FPM5CR</t>
  </si>
  <si>
    <t xml:space="preserve">SATIN-KING-PINK-6PCS</t>
  </si>
  <si>
    <t xml:space="preserve">B0C7FMDPBF</t>
  </si>
  <si>
    <t xml:space="preserve">SATIN-6PC-FULL-NAVY BLUE</t>
  </si>
  <si>
    <t xml:space="preserve">B0D9QRCV3S</t>
  </si>
  <si>
    <t xml:space="preserve">SATIN-6PC-QUEEN-BLUSH PINK</t>
  </si>
  <si>
    <t xml:space="preserve">B0D9QR66X1</t>
  </si>
  <si>
    <t xml:space="preserve">SATIN-6PC-FULL-LAVENDER</t>
  </si>
  <si>
    <t xml:space="preserve">B0D9QR6YSH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</si>
</sst>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2" min="10" style="0" width="11"/>
    <col collapsed="false" customWidth="true" hidden="false" outlineLevel="0" max="13" min="13" style="0" width="9"/>
  </cols>
  <sheetData>
    <row r="1" customFormat="false" ht="18.55" hidden="false" customHeight="false" outlineLevel="0" collapsed="false">
      <c r="A1" s="1" t="s">
        <v>0</v>
      </c>
    </row>
    <row r="3" customFormat="false" ht="33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4" customFormat="false" ht="33.75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2"/>
    </row>
    <row r="5" customFormat="false" ht="33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</row>
    <row r="6" customFormat="false" ht="33.75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  <c r="I6" s="2"/>
    </row>
    <row r="7" customFormat="false" ht="33.7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</row>
    <row r="9" customFormat="false" ht="45.75" hidden="false" customHeight="true" outlineLevel="0" collapsed="false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</row>
    <row r="10" customFormat="false" ht="15" hidden="false" customHeight="false" outlineLevel="0" collapsed="false">
      <c r="A10" s="4" t="s">
        <v>19</v>
      </c>
      <c r="B10" s="4" t="s">
        <v>20</v>
      </c>
      <c r="C10" s="4" t="n">
        <v>15</v>
      </c>
      <c r="D10" s="5" t="n">
        <v>878</v>
      </c>
      <c r="E10" s="5" t="n">
        <v>533</v>
      </c>
      <c r="F10" s="6" t="n">
        <v>899.59</v>
      </c>
      <c r="G10" s="6" t="n">
        <v>977.46</v>
      </c>
      <c r="H10" s="6" t="n">
        <v>6938.54</v>
      </c>
      <c r="I10" s="5" t="n">
        <v>228</v>
      </c>
      <c r="J10" s="5" t="n">
        <v>463</v>
      </c>
      <c r="K10" s="5" t="n">
        <v>463</v>
      </c>
      <c r="L10" s="5" t="n">
        <f aca="false">J10+K10</f>
        <v>926</v>
      </c>
      <c r="M10" s="4" t="s">
        <v>21</v>
      </c>
    </row>
    <row r="11" customFormat="false" ht="15" hidden="false" customHeight="false" outlineLevel="0" collapsed="false">
      <c r="A11" s="4" t="s">
        <v>19</v>
      </c>
      <c r="B11" s="4" t="s">
        <v>22</v>
      </c>
      <c r="C11" s="4" t="n">
        <v>16</v>
      </c>
      <c r="D11" s="5" t="n">
        <v>1534</v>
      </c>
      <c r="E11" s="5" t="n">
        <v>1218</v>
      </c>
      <c r="F11" s="6" t="n">
        <v>2383.94</v>
      </c>
      <c r="G11" s="6" t="n">
        <v>1679.43</v>
      </c>
      <c r="H11" s="6" t="n">
        <v>3335.98</v>
      </c>
      <c r="I11" s="5" t="n">
        <v>257</v>
      </c>
      <c r="J11" s="5" t="n">
        <v>222</v>
      </c>
      <c r="K11" s="5" t="n">
        <v>222</v>
      </c>
      <c r="L11" s="5" t="n">
        <f aca="false">J11+K11</f>
        <v>444</v>
      </c>
      <c r="M11" s="4" t="s">
        <v>21</v>
      </c>
    </row>
    <row r="12" customFormat="false" ht="15" hidden="false" customHeight="false" outlineLevel="0" collapsed="false">
      <c r="A12" s="4" t="s">
        <v>19</v>
      </c>
      <c r="B12" s="4" t="s">
        <v>23</v>
      </c>
      <c r="C12" s="4" t="n">
        <v>34</v>
      </c>
      <c r="D12" s="5" t="n">
        <v>2339</v>
      </c>
      <c r="E12" s="5" t="n">
        <v>606</v>
      </c>
      <c r="F12" s="6" t="n">
        <v>1224.5</v>
      </c>
      <c r="G12" s="6" t="n">
        <v>1034.12</v>
      </c>
      <c r="H12" s="6" t="n">
        <v>5244.58</v>
      </c>
      <c r="I12" s="5" t="n">
        <v>590</v>
      </c>
      <c r="J12" s="5" t="n">
        <v>350</v>
      </c>
      <c r="K12" s="5" t="n">
        <v>350</v>
      </c>
      <c r="L12" s="5" t="n">
        <f aca="false">J12+K12</f>
        <v>700</v>
      </c>
      <c r="M12" s="4" t="s">
        <v>21</v>
      </c>
    </row>
    <row r="13" customFormat="false" ht="15" hidden="false" customHeight="false" outlineLevel="0" collapsed="false">
      <c r="A13" s="4" t="s">
        <v>19</v>
      </c>
      <c r="B13" s="4" t="s">
        <v>24</v>
      </c>
      <c r="C13" s="4" t="n">
        <v>11</v>
      </c>
      <c r="D13" s="5" t="n">
        <v>1929</v>
      </c>
      <c r="E13" s="5" t="n">
        <v>1752</v>
      </c>
      <c r="F13" s="6" t="n">
        <v>406.93</v>
      </c>
      <c r="G13" s="6" t="n">
        <v>268.36</v>
      </c>
      <c r="H13" s="6" t="n">
        <v>643.67</v>
      </c>
      <c r="I13" s="5" t="n">
        <v>110</v>
      </c>
      <c r="J13" s="5" t="n">
        <v>43</v>
      </c>
      <c r="K13" s="5" t="n">
        <v>43</v>
      </c>
      <c r="L13" s="5" t="n">
        <f aca="false">J13+K13</f>
        <v>86</v>
      </c>
      <c r="M13" s="4" t="s">
        <v>21</v>
      </c>
    </row>
    <row r="14" customFormat="false" ht="15" hidden="false" customHeight="false" outlineLevel="0" collapsed="false">
      <c r="A14" s="4" t="s">
        <v>25</v>
      </c>
      <c r="B14" s="4" t="s">
        <v>20</v>
      </c>
      <c r="C14" s="4" t="n">
        <v>7</v>
      </c>
      <c r="D14" s="5" t="n">
        <v>91</v>
      </c>
      <c r="E14" s="5" t="n">
        <v>78</v>
      </c>
      <c r="F14" s="6" t="n">
        <v>192.21</v>
      </c>
      <c r="G14" s="6" t="n">
        <v>128.05</v>
      </c>
      <c r="H14" s="6" t="n">
        <v>1449.66</v>
      </c>
      <c r="I14" s="5" t="n">
        <v>61</v>
      </c>
      <c r="J14" s="5" t="n">
        <v>97</v>
      </c>
      <c r="K14" s="5" t="n">
        <v>97</v>
      </c>
      <c r="L14" s="5" t="n">
        <f aca="false">J14+K14</f>
        <v>194</v>
      </c>
      <c r="M14" s="4" t="s">
        <v>26</v>
      </c>
    </row>
    <row r="15" customFormat="false" ht="15" hidden="false" customHeight="false" outlineLevel="0" collapsed="false">
      <c r="A15" s="4" t="s">
        <v>25</v>
      </c>
      <c r="B15" s="4" t="s">
        <v>22</v>
      </c>
      <c r="C15" s="4" t="n">
        <v>5</v>
      </c>
      <c r="D15" s="5" t="n">
        <v>32</v>
      </c>
      <c r="E15" s="5" t="n">
        <v>25</v>
      </c>
      <c r="F15" s="6" t="n">
        <v>55.39</v>
      </c>
      <c r="G15" s="6" t="n">
        <v>73.42</v>
      </c>
      <c r="H15" s="6" t="n">
        <v>6.6</v>
      </c>
      <c r="I15" s="5" t="n">
        <v>27</v>
      </c>
      <c r="J15" s="5" t="n">
        <v>20</v>
      </c>
      <c r="K15" s="5" t="n">
        <v>20</v>
      </c>
      <c r="L15" s="5" t="n">
        <f aca="false">J15+K15</f>
        <v>40</v>
      </c>
      <c r="M15" s="4" t="s">
        <v>26</v>
      </c>
    </row>
    <row r="16" customFormat="false" ht="15" hidden="false" customHeight="false" outlineLevel="0" collapsed="false">
      <c r="A16" s="4" t="s">
        <v>25</v>
      </c>
      <c r="B16" s="4" t="s">
        <v>23</v>
      </c>
      <c r="C16" s="4" t="n">
        <v>2</v>
      </c>
      <c r="D16" s="5" t="n">
        <v>4</v>
      </c>
      <c r="E16" s="5" t="n">
        <v>0</v>
      </c>
      <c r="F16" s="6" t="n">
        <v>0.7</v>
      </c>
      <c r="G16" s="6" t="n">
        <v>0</v>
      </c>
      <c r="H16" s="6" t="n">
        <v>141.79</v>
      </c>
      <c r="I16" s="5" t="n">
        <v>10</v>
      </c>
      <c r="J16" s="5" t="n">
        <v>20</v>
      </c>
      <c r="K16" s="5" t="n">
        <v>20</v>
      </c>
      <c r="L16" s="5" t="n">
        <f aca="false">J16+K16</f>
        <v>40</v>
      </c>
      <c r="M16" s="4" t="s">
        <v>26</v>
      </c>
    </row>
    <row r="17" customFormat="false" ht="15" hidden="false" customHeight="false" outlineLevel="0" collapsed="false">
      <c r="A17" s="4" t="s">
        <v>25</v>
      </c>
      <c r="B17" s="4" t="s">
        <v>27</v>
      </c>
      <c r="C17" s="4" t="n">
        <v>10</v>
      </c>
      <c r="D17" s="5" t="n">
        <v>149</v>
      </c>
      <c r="E17" s="5" t="n">
        <v>102</v>
      </c>
      <c r="F17" s="6" t="n">
        <v>123.19</v>
      </c>
      <c r="G17" s="6" t="n">
        <v>105.18</v>
      </c>
      <c r="H17" s="6" t="n">
        <v>394.82</v>
      </c>
      <c r="I17" s="5" t="n">
        <v>50</v>
      </c>
      <c r="J17" s="5" t="n">
        <v>26</v>
      </c>
      <c r="K17" s="5" t="n">
        <v>26</v>
      </c>
      <c r="L17" s="5" t="n">
        <f aca="false">J17+K17</f>
        <v>52</v>
      </c>
      <c r="M17" s="4" t="s">
        <v>26</v>
      </c>
    </row>
    <row r="18" customFormat="false" ht="15" hidden="false" customHeight="false" outlineLevel="0" collapsed="false">
      <c r="A18" s="7" t="s">
        <v>19</v>
      </c>
      <c r="B18" s="7" t="s">
        <v>28</v>
      </c>
      <c r="C18" s="8" t="n">
        <f aca="false">SUMIFS(C10:C17,$A$10:$A$17,"US")</f>
        <v>76</v>
      </c>
      <c r="D18" s="8" t="n">
        <f aca="false">SUMIFS(D10:D17,$A$10:$A$17,"US")</f>
        <v>6680</v>
      </c>
      <c r="E18" s="8" t="n">
        <f aca="false">SUMIFS(E10:E17,$A$10:$A$17,"US")</f>
        <v>4109</v>
      </c>
      <c r="F18" s="9" t="n">
        <f aca="false">SUMIFS(F10:F17,$A$10:$A$17,"US")</f>
        <v>4914.96</v>
      </c>
      <c r="G18" s="9" t="n">
        <f aca="false">SUMIFS(G10:G17,$A$10:$A$17,"US")</f>
        <v>3959.37</v>
      </c>
      <c r="H18" s="9" t="n">
        <f aca="false">SUMIFS(H10:H17,$A$10:$A$17,"US")</f>
        <v>16162.77</v>
      </c>
      <c r="I18" s="8" t="n">
        <f aca="false">SUMIFS(I10:I17,$A$10:$A$17,"US")</f>
        <v>1185</v>
      </c>
      <c r="J18" s="8" t="n">
        <f aca="false">SUMIFS(J10:J17,$A$10:$A$17,"US")</f>
        <v>1078</v>
      </c>
      <c r="K18" s="8" t="n">
        <f aca="false">SUMIFS(K10:K17,$A$10:$A$17,"US")</f>
        <v>1078</v>
      </c>
      <c r="L18" s="8" t="n">
        <f aca="false">SUMIFS(L10:L17,$A$10:$A$17,"US")</f>
        <v>2156</v>
      </c>
      <c r="M18" s="7" t="s">
        <v>21</v>
      </c>
    </row>
    <row r="19" customFormat="false" ht="15" hidden="false" customHeight="false" outlineLevel="0" collapsed="false">
      <c r="A19" s="7" t="s">
        <v>25</v>
      </c>
      <c r="B19" s="7" t="s">
        <v>29</v>
      </c>
      <c r="C19" s="8" t="n">
        <f aca="false">SUMIFS(C10:C17,$A$10:$A$17,"CA")</f>
        <v>24</v>
      </c>
      <c r="D19" s="8" t="n">
        <f aca="false">SUMIFS(D10:D17,$A$10:$A$17,"CA")</f>
        <v>276</v>
      </c>
      <c r="E19" s="8" t="n">
        <f aca="false">SUMIFS(E10:E17,$A$10:$A$17,"CA")</f>
        <v>205</v>
      </c>
      <c r="F19" s="9" t="n">
        <f aca="false">SUMIFS(F10:F17,$A$10:$A$17,"CA")</f>
        <v>371.49</v>
      </c>
      <c r="G19" s="9" t="n">
        <f aca="false">SUMIFS(G10:G17,$A$10:$A$17,"CA")</f>
        <v>306.65</v>
      </c>
      <c r="H19" s="9" t="n">
        <f aca="false">SUMIFS(H10:H17,$A$10:$A$17,"CA")</f>
        <v>1992.87</v>
      </c>
      <c r="I19" s="8" t="n">
        <f aca="false">SUMIFS(I10:I17,$A$10:$A$17,"CA")</f>
        <v>148</v>
      </c>
      <c r="J19" s="8" t="n">
        <f aca="false">SUMIFS(J10:J17,$A$10:$A$17,"CA")</f>
        <v>163</v>
      </c>
      <c r="K19" s="8" t="n">
        <f aca="false">SUMIFS(K10:K17,$A$10:$A$17,"CA")</f>
        <v>163</v>
      </c>
      <c r="L19" s="8" t="n">
        <f aca="false">SUMIFS(L10:L17,$A$10:$A$17,"CA")</f>
        <v>326</v>
      </c>
      <c r="M19" s="7" t="s">
        <v>26</v>
      </c>
    </row>
    <row r="21" customFormat="false" ht="15" hidden="false" customHeight="false" outlineLevel="0" collapsed="false">
      <c r="A21" s="10" t="s">
        <v>30</v>
      </c>
    </row>
  </sheetData>
  <mergeCells count="5">
    <mergeCell ref="A3:I3"/>
    <mergeCell ref="A4:I4"/>
    <mergeCell ref="A5:I5"/>
    <mergeCell ref="A6:I6"/>
    <mergeCell ref="A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8" min="7" style="0" width="22"/>
    <col collapsed="false" customWidth="true" hidden="false" outlineLevel="0" max="9" min="9" style="0" width="30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4" min="13" style="0" width="10"/>
    <col collapsed="false" customWidth="true" hidden="false" outlineLevel="0" max="15" min="15" style="0" width="16"/>
    <col collapsed="false" customWidth="true" hidden="false" outlineLevel="0" max="16" min="16" style="0" width="7"/>
    <col collapsed="false" customWidth="true" hidden="false" outlineLevel="0" max="17" min="17" style="0" width="60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10"/>
  </cols>
  <sheetData>
    <row r="1" customFormat="false" ht="45.75" hidden="false" customHeight="true" outlineLevel="0" collapsed="false">
      <c r="A1" s="3" t="s">
        <v>31</v>
      </c>
      <c r="B1" s="3" t="s">
        <v>6</v>
      </c>
      <c r="C1" s="3" t="s">
        <v>7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18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9</v>
      </c>
      <c r="S1" s="3" t="s">
        <v>11</v>
      </c>
      <c r="T1" s="3" t="s">
        <v>14</v>
      </c>
    </row>
    <row r="2" customFormat="false" ht="79.85" hidden="false" customHeight="false" outlineLevel="0" collapsed="false">
      <c r="A2" s="11" t="n">
        <v>1</v>
      </c>
      <c r="B2" s="11" t="s">
        <v>19</v>
      </c>
      <c r="C2" s="11" t="s">
        <v>20</v>
      </c>
      <c r="D2" s="11" t="s">
        <v>45</v>
      </c>
      <c r="E2" s="11" t="s">
        <v>46</v>
      </c>
      <c r="F2" s="11" t="s">
        <v>47</v>
      </c>
      <c r="G2" s="11" t="s">
        <v>48</v>
      </c>
      <c r="H2" s="11" t="s">
        <v>49</v>
      </c>
      <c r="I2" s="11" t="s">
        <v>50</v>
      </c>
      <c r="J2" s="11" t="n">
        <v>463</v>
      </c>
      <c r="K2" s="11" t="s">
        <v>21</v>
      </c>
      <c r="L2" s="11" t="s">
        <v>51</v>
      </c>
      <c r="M2" s="11" t="s">
        <v>52</v>
      </c>
      <c r="N2" s="11" t="s">
        <v>53</v>
      </c>
      <c r="O2" s="11" t="s">
        <v>54</v>
      </c>
      <c r="P2" s="11" t="n">
        <v>15</v>
      </c>
      <c r="Q2" s="11" t="s">
        <v>55</v>
      </c>
      <c r="R2" s="11" t="n">
        <v>878</v>
      </c>
      <c r="S2" s="12" t="n">
        <v>899.59</v>
      </c>
      <c r="T2" s="11" t="n">
        <v>228</v>
      </c>
    </row>
    <row r="3" customFormat="false" ht="79.85" hidden="false" customHeight="false" outlineLevel="0" collapsed="false">
      <c r="A3" s="13" t="n">
        <v>2</v>
      </c>
      <c r="B3" s="13" t="s">
        <v>19</v>
      </c>
      <c r="C3" s="13" t="s">
        <v>20</v>
      </c>
      <c r="D3" s="13" t="s">
        <v>56</v>
      </c>
      <c r="E3" s="13" t="s">
        <v>57</v>
      </c>
      <c r="F3" s="13" t="s">
        <v>58</v>
      </c>
      <c r="G3" s="13" t="s">
        <v>59</v>
      </c>
      <c r="H3" s="13" t="s">
        <v>60</v>
      </c>
      <c r="I3" s="13" t="s">
        <v>61</v>
      </c>
      <c r="J3" s="13" t="n">
        <v>463</v>
      </c>
      <c r="K3" s="13" t="s">
        <v>21</v>
      </c>
      <c r="L3" s="13" t="s">
        <v>51</v>
      </c>
      <c r="M3" s="13" t="s">
        <v>52</v>
      </c>
      <c r="N3" s="13" t="s">
        <v>53</v>
      </c>
      <c r="O3" s="13" t="s">
        <v>54</v>
      </c>
      <c r="P3" s="13" t="n">
        <v>15</v>
      </c>
      <c r="Q3" s="13" t="s">
        <v>55</v>
      </c>
      <c r="R3" s="13" t="n">
        <v>878</v>
      </c>
      <c r="S3" s="14" t="n">
        <v>899.59</v>
      </c>
      <c r="T3" s="13" t="n">
        <v>228</v>
      </c>
    </row>
    <row r="4" customFormat="false" ht="102.2" hidden="false" customHeight="false" outlineLevel="0" collapsed="false">
      <c r="A4" s="11" t="n">
        <v>3</v>
      </c>
      <c r="B4" s="11" t="s">
        <v>19</v>
      </c>
      <c r="C4" s="11" t="s">
        <v>22</v>
      </c>
      <c r="D4" s="11" t="s">
        <v>45</v>
      </c>
      <c r="E4" s="11" t="s">
        <v>62</v>
      </c>
      <c r="F4" s="11" t="s">
        <v>47</v>
      </c>
      <c r="G4" s="11" t="s">
        <v>48</v>
      </c>
      <c r="H4" s="11" t="s">
        <v>49</v>
      </c>
      <c r="I4" s="11" t="s">
        <v>63</v>
      </c>
      <c r="J4" s="11" t="n">
        <v>222</v>
      </c>
      <c r="K4" s="11" t="s">
        <v>21</v>
      </c>
      <c r="L4" s="11" t="s">
        <v>51</v>
      </c>
      <c r="M4" s="11" t="s">
        <v>52</v>
      </c>
      <c r="N4" s="11" t="s">
        <v>53</v>
      </c>
      <c r="O4" s="11" t="s">
        <v>54</v>
      </c>
      <c r="P4" s="11" t="n">
        <v>16</v>
      </c>
      <c r="Q4" s="11" t="s">
        <v>64</v>
      </c>
      <c r="R4" s="11" t="n">
        <v>1534</v>
      </c>
      <c r="S4" s="12" t="n">
        <v>2383.94</v>
      </c>
      <c r="T4" s="11" t="n">
        <v>257</v>
      </c>
    </row>
    <row r="5" customFormat="false" ht="102.2" hidden="false" customHeight="false" outlineLevel="0" collapsed="false">
      <c r="A5" s="13" t="n">
        <v>4</v>
      </c>
      <c r="B5" s="13" t="s">
        <v>19</v>
      </c>
      <c r="C5" s="13" t="s">
        <v>22</v>
      </c>
      <c r="D5" s="13" t="s">
        <v>56</v>
      </c>
      <c r="E5" s="13" t="s">
        <v>65</v>
      </c>
      <c r="F5" s="13" t="s">
        <v>58</v>
      </c>
      <c r="G5" s="13" t="s">
        <v>59</v>
      </c>
      <c r="H5" s="13" t="s">
        <v>60</v>
      </c>
      <c r="I5" s="13" t="s">
        <v>66</v>
      </c>
      <c r="J5" s="13" t="n">
        <v>222</v>
      </c>
      <c r="K5" s="13" t="s">
        <v>21</v>
      </c>
      <c r="L5" s="13" t="s">
        <v>51</v>
      </c>
      <c r="M5" s="13" t="s">
        <v>52</v>
      </c>
      <c r="N5" s="13" t="s">
        <v>53</v>
      </c>
      <c r="O5" s="13" t="s">
        <v>54</v>
      </c>
      <c r="P5" s="13" t="n">
        <v>16</v>
      </c>
      <c r="Q5" s="13" t="s">
        <v>64</v>
      </c>
      <c r="R5" s="13" t="n">
        <v>1534</v>
      </c>
      <c r="S5" s="14" t="n">
        <v>2383.94</v>
      </c>
      <c r="T5" s="13" t="n">
        <v>257</v>
      </c>
    </row>
    <row r="6" customFormat="false" ht="169.4" hidden="false" customHeight="false" outlineLevel="0" collapsed="false">
      <c r="A6" s="11" t="n">
        <v>5</v>
      </c>
      <c r="B6" s="11" t="s">
        <v>19</v>
      </c>
      <c r="C6" s="11" t="s">
        <v>23</v>
      </c>
      <c r="D6" s="11" t="s">
        <v>45</v>
      </c>
      <c r="E6" s="11" t="s">
        <v>67</v>
      </c>
      <c r="F6" s="11" t="s">
        <v>47</v>
      </c>
      <c r="G6" s="11" t="s">
        <v>48</v>
      </c>
      <c r="H6" s="11" t="s">
        <v>49</v>
      </c>
      <c r="I6" s="11" t="s">
        <v>68</v>
      </c>
      <c r="J6" s="11" t="n">
        <v>350</v>
      </c>
      <c r="K6" s="11" t="s">
        <v>21</v>
      </c>
      <c r="L6" s="11" t="s">
        <v>51</v>
      </c>
      <c r="M6" s="11" t="s">
        <v>52</v>
      </c>
      <c r="N6" s="11" t="s">
        <v>53</v>
      </c>
      <c r="O6" s="11" t="s">
        <v>54</v>
      </c>
      <c r="P6" s="11" t="n">
        <v>34</v>
      </c>
      <c r="Q6" s="11" t="s">
        <v>69</v>
      </c>
      <c r="R6" s="11" t="n">
        <v>2339</v>
      </c>
      <c r="S6" s="12" t="n">
        <v>1224.5</v>
      </c>
      <c r="T6" s="11" t="n">
        <v>590</v>
      </c>
    </row>
    <row r="7" customFormat="false" ht="169.4" hidden="false" customHeight="false" outlineLevel="0" collapsed="false">
      <c r="A7" s="13" t="n">
        <v>6</v>
      </c>
      <c r="B7" s="13" t="s">
        <v>19</v>
      </c>
      <c r="C7" s="13" t="s">
        <v>23</v>
      </c>
      <c r="D7" s="13" t="s">
        <v>56</v>
      </c>
      <c r="E7" s="13" t="s">
        <v>70</v>
      </c>
      <c r="F7" s="13" t="s">
        <v>58</v>
      </c>
      <c r="G7" s="13" t="s">
        <v>59</v>
      </c>
      <c r="H7" s="13" t="s">
        <v>60</v>
      </c>
      <c r="I7" s="13" t="s">
        <v>71</v>
      </c>
      <c r="J7" s="13" t="n">
        <v>350</v>
      </c>
      <c r="K7" s="13" t="s">
        <v>21</v>
      </c>
      <c r="L7" s="13" t="s">
        <v>51</v>
      </c>
      <c r="M7" s="13" t="s">
        <v>52</v>
      </c>
      <c r="N7" s="13" t="s">
        <v>53</v>
      </c>
      <c r="O7" s="13" t="s">
        <v>54</v>
      </c>
      <c r="P7" s="13" t="n">
        <v>34</v>
      </c>
      <c r="Q7" s="13" t="s">
        <v>69</v>
      </c>
      <c r="R7" s="13" t="n">
        <v>2339</v>
      </c>
      <c r="S7" s="14" t="n">
        <v>1224.5</v>
      </c>
      <c r="T7" s="13" t="n">
        <v>590</v>
      </c>
    </row>
    <row r="8" customFormat="false" ht="91" hidden="false" customHeight="false" outlineLevel="0" collapsed="false">
      <c r="A8" s="11" t="n">
        <v>7</v>
      </c>
      <c r="B8" s="11" t="s">
        <v>19</v>
      </c>
      <c r="C8" s="11" t="s">
        <v>24</v>
      </c>
      <c r="D8" s="11" t="s">
        <v>45</v>
      </c>
      <c r="E8" s="11" t="s">
        <v>72</v>
      </c>
      <c r="F8" s="11" t="s">
        <v>47</v>
      </c>
      <c r="G8" s="11" t="s">
        <v>48</v>
      </c>
      <c r="H8" s="11" t="s">
        <v>49</v>
      </c>
      <c r="I8" s="11" t="s">
        <v>73</v>
      </c>
      <c r="J8" s="11" t="n">
        <v>43</v>
      </c>
      <c r="K8" s="11" t="s">
        <v>21</v>
      </c>
      <c r="L8" s="11" t="s">
        <v>51</v>
      </c>
      <c r="M8" s="11" t="s">
        <v>52</v>
      </c>
      <c r="N8" s="11" t="s">
        <v>53</v>
      </c>
      <c r="O8" s="11" t="s">
        <v>54</v>
      </c>
      <c r="P8" s="11" t="n">
        <v>11</v>
      </c>
      <c r="Q8" s="11" t="s">
        <v>74</v>
      </c>
      <c r="R8" s="11" t="n">
        <v>1929</v>
      </c>
      <c r="S8" s="12" t="n">
        <v>406.93</v>
      </c>
      <c r="T8" s="11" t="n">
        <v>110</v>
      </c>
    </row>
    <row r="9" customFormat="false" ht="91" hidden="false" customHeight="false" outlineLevel="0" collapsed="false">
      <c r="A9" s="13" t="n">
        <v>8</v>
      </c>
      <c r="B9" s="13" t="s">
        <v>19</v>
      </c>
      <c r="C9" s="13" t="s">
        <v>24</v>
      </c>
      <c r="D9" s="13" t="s">
        <v>56</v>
      </c>
      <c r="E9" s="13" t="s">
        <v>75</v>
      </c>
      <c r="F9" s="13" t="s">
        <v>58</v>
      </c>
      <c r="G9" s="13" t="s">
        <v>59</v>
      </c>
      <c r="H9" s="13" t="s">
        <v>60</v>
      </c>
      <c r="I9" s="13" t="s">
        <v>76</v>
      </c>
      <c r="J9" s="13" t="n">
        <v>43</v>
      </c>
      <c r="K9" s="13" t="s">
        <v>21</v>
      </c>
      <c r="L9" s="13" t="s">
        <v>51</v>
      </c>
      <c r="M9" s="13" t="s">
        <v>52</v>
      </c>
      <c r="N9" s="13" t="s">
        <v>53</v>
      </c>
      <c r="O9" s="13" t="s">
        <v>54</v>
      </c>
      <c r="P9" s="13" t="n">
        <v>11</v>
      </c>
      <c r="Q9" s="13" t="s">
        <v>74</v>
      </c>
      <c r="R9" s="13" t="n">
        <v>1929</v>
      </c>
      <c r="S9" s="14" t="n">
        <v>406.93</v>
      </c>
      <c r="T9" s="13" t="n">
        <v>110</v>
      </c>
    </row>
    <row r="10" customFormat="false" ht="46.25" hidden="false" customHeight="false" outlineLevel="0" collapsed="false">
      <c r="A10" s="11" t="n">
        <v>9</v>
      </c>
      <c r="B10" s="11" t="s">
        <v>25</v>
      </c>
      <c r="C10" s="11" t="s">
        <v>20</v>
      </c>
      <c r="D10" s="11" t="s">
        <v>45</v>
      </c>
      <c r="E10" s="11" t="s">
        <v>77</v>
      </c>
      <c r="F10" s="11" t="s">
        <v>78</v>
      </c>
      <c r="G10" s="11" t="s">
        <v>48</v>
      </c>
      <c r="H10" s="11" t="s">
        <v>49</v>
      </c>
      <c r="I10" s="11" t="s">
        <v>79</v>
      </c>
      <c r="J10" s="11" t="n">
        <v>97</v>
      </c>
      <c r="K10" s="11" t="s">
        <v>26</v>
      </c>
      <c r="L10" s="11" t="s">
        <v>51</v>
      </c>
      <c r="M10" s="11" t="s">
        <v>52</v>
      </c>
      <c r="N10" s="11" t="s">
        <v>53</v>
      </c>
      <c r="O10" s="11" t="s">
        <v>54</v>
      </c>
      <c r="P10" s="11" t="n">
        <v>7</v>
      </c>
      <c r="Q10" s="11" t="s">
        <v>80</v>
      </c>
      <c r="R10" s="11" t="n">
        <v>91</v>
      </c>
      <c r="S10" s="12" t="n">
        <v>192.21</v>
      </c>
      <c r="T10" s="11" t="n">
        <v>61</v>
      </c>
    </row>
    <row r="11" customFormat="false" ht="46.25" hidden="false" customHeight="false" outlineLevel="0" collapsed="false">
      <c r="A11" s="13" t="n">
        <v>10</v>
      </c>
      <c r="B11" s="13" t="s">
        <v>25</v>
      </c>
      <c r="C11" s="13" t="s">
        <v>20</v>
      </c>
      <c r="D11" s="13" t="s">
        <v>56</v>
      </c>
      <c r="E11" s="13" t="s">
        <v>81</v>
      </c>
      <c r="F11" s="13" t="s">
        <v>58</v>
      </c>
      <c r="G11" s="13" t="s">
        <v>59</v>
      </c>
      <c r="H11" s="13" t="s">
        <v>60</v>
      </c>
      <c r="I11" s="13" t="s">
        <v>82</v>
      </c>
      <c r="J11" s="13" t="n">
        <v>97</v>
      </c>
      <c r="K11" s="13" t="s">
        <v>26</v>
      </c>
      <c r="L11" s="13" t="s">
        <v>51</v>
      </c>
      <c r="M11" s="13" t="s">
        <v>52</v>
      </c>
      <c r="N11" s="13" t="s">
        <v>53</v>
      </c>
      <c r="O11" s="13" t="s">
        <v>54</v>
      </c>
      <c r="P11" s="13" t="n">
        <v>7</v>
      </c>
      <c r="Q11" s="13" t="s">
        <v>80</v>
      </c>
      <c r="R11" s="13" t="n">
        <v>91</v>
      </c>
      <c r="S11" s="14" t="n">
        <v>192.21</v>
      </c>
      <c r="T11" s="13" t="n">
        <v>61</v>
      </c>
    </row>
    <row r="12" customFormat="false" ht="35.05" hidden="false" customHeight="false" outlineLevel="0" collapsed="false">
      <c r="A12" s="11" t="n">
        <v>11</v>
      </c>
      <c r="B12" s="11" t="s">
        <v>25</v>
      </c>
      <c r="C12" s="11" t="s">
        <v>22</v>
      </c>
      <c r="D12" s="11" t="s">
        <v>45</v>
      </c>
      <c r="E12" s="11" t="s">
        <v>83</v>
      </c>
      <c r="F12" s="11" t="s">
        <v>78</v>
      </c>
      <c r="G12" s="11" t="s">
        <v>48</v>
      </c>
      <c r="H12" s="11" t="s">
        <v>49</v>
      </c>
      <c r="I12" s="11" t="s">
        <v>79</v>
      </c>
      <c r="J12" s="11" t="n">
        <v>20</v>
      </c>
      <c r="K12" s="11" t="s">
        <v>26</v>
      </c>
      <c r="L12" s="11" t="s">
        <v>51</v>
      </c>
      <c r="M12" s="11" t="s">
        <v>52</v>
      </c>
      <c r="N12" s="11" t="s">
        <v>53</v>
      </c>
      <c r="O12" s="11" t="s">
        <v>54</v>
      </c>
      <c r="P12" s="11" t="n">
        <v>5</v>
      </c>
      <c r="Q12" s="11" t="s">
        <v>84</v>
      </c>
      <c r="R12" s="11" t="n">
        <v>32</v>
      </c>
      <c r="S12" s="12" t="n">
        <v>55.39</v>
      </c>
      <c r="T12" s="11" t="n">
        <v>27</v>
      </c>
    </row>
    <row r="13" customFormat="false" ht="35.05" hidden="false" customHeight="false" outlineLevel="0" collapsed="false">
      <c r="A13" s="13" t="n">
        <v>12</v>
      </c>
      <c r="B13" s="13" t="s">
        <v>25</v>
      </c>
      <c r="C13" s="13" t="s">
        <v>22</v>
      </c>
      <c r="D13" s="13" t="s">
        <v>56</v>
      </c>
      <c r="E13" s="13" t="s">
        <v>85</v>
      </c>
      <c r="F13" s="13" t="s">
        <v>58</v>
      </c>
      <c r="G13" s="13" t="s">
        <v>59</v>
      </c>
      <c r="H13" s="13" t="s">
        <v>60</v>
      </c>
      <c r="I13" s="13" t="s">
        <v>86</v>
      </c>
      <c r="J13" s="13" t="n">
        <v>20</v>
      </c>
      <c r="K13" s="13" t="s">
        <v>26</v>
      </c>
      <c r="L13" s="13" t="s">
        <v>51</v>
      </c>
      <c r="M13" s="13" t="s">
        <v>52</v>
      </c>
      <c r="N13" s="13" t="s">
        <v>53</v>
      </c>
      <c r="O13" s="13" t="s">
        <v>54</v>
      </c>
      <c r="P13" s="13" t="n">
        <v>5</v>
      </c>
      <c r="Q13" s="13" t="s">
        <v>84</v>
      </c>
      <c r="R13" s="13" t="n">
        <v>32</v>
      </c>
      <c r="S13" s="14" t="n">
        <v>55.39</v>
      </c>
      <c r="T13" s="13" t="n">
        <v>27</v>
      </c>
    </row>
    <row r="14" customFormat="false" ht="35.05" hidden="false" customHeight="false" outlineLevel="0" collapsed="false">
      <c r="A14" s="11" t="n">
        <v>13</v>
      </c>
      <c r="B14" s="11" t="s">
        <v>25</v>
      </c>
      <c r="C14" s="11" t="s">
        <v>23</v>
      </c>
      <c r="D14" s="11" t="s">
        <v>45</v>
      </c>
      <c r="E14" s="11" t="s">
        <v>87</v>
      </c>
      <c r="F14" s="11" t="s">
        <v>78</v>
      </c>
      <c r="G14" s="11" t="s">
        <v>48</v>
      </c>
      <c r="H14" s="11" t="s">
        <v>49</v>
      </c>
      <c r="I14" s="11" t="s">
        <v>88</v>
      </c>
      <c r="J14" s="11" t="n">
        <v>20</v>
      </c>
      <c r="K14" s="11" t="s">
        <v>26</v>
      </c>
      <c r="L14" s="11" t="s">
        <v>51</v>
      </c>
      <c r="M14" s="11" t="s">
        <v>52</v>
      </c>
      <c r="N14" s="11" t="s">
        <v>53</v>
      </c>
      <c r="O14" s="11" t="s">
        <v>54</v>
      </c>
      <c r="P14" s="11" t="n">
        <v>2</v>
      </c>
      <c r="Q14" s="11" t="s">
        <v>89</v>
      </c>
      <c r="R14" s="11" t="n">
        <v>4</v>
      </c>
      <c r="S14" s="12" t="n">
        <v>0.7</v>
      </c>
      <c r="T14" s="11" t="n">
        <v>10</v>
      </c>
    </row>
    <row r="15" customFormat="false" ht="35.05" hidden="false" customHeight="false" outlineLevel="0" collapsed="false">
      <c r="A15" s="13" t="n">
        <v>14</v>
      </c>
      <c r="B15" s="13" t="s">
        <v>25</v>
      </c>
      <c r="C15" s="13" t="s">
        <v>23</v>
      </c>
      <c r="D15" s="13" t="s">
        <v>56</v>
      </c>
      <c r="E15" s="13" t="s">
        <v>90</v>
      </c>
      <c r="F15" s="13" t="s">
        <v>58</v>
      </c>
      <c r="G15" s="13" t="s">
        <v>59</v>
      </c>
      <c r="H15" s="13" t="s">
        <v>60</v>
      </c>
      <c r="I15" s="13" t="s">
        <v>91</v>
      </c>
      <c r="J15" s="13" t="n">
        <v>20</v>
      </c>
      <c r="K15" s="13" t="s">
        <v>26</v>
      </c>
      <c r="L15" s="13" t="s">
        <v>51</v>
      </c>
      <c r="M15" s="13" t="s">
        <v>52</v>
      </c>
      <c r="N15" s="13" t="s">
        <v>53</v>
      </c>
      <c r="O15" s="13" t="s">
        <v>54</v>
      </c>
      <c r="P15" s="13" t="n">
        <v>2</v>
      </c>
      <c r="Q15" s="13" t="s">
        <v>89</v>
      </c>
      <c r="R15" s="13" t="n">
        <v>4</v>
      </c>
      <c r="S15" s="14" t="n">
        <v>0.7</v>
      </c>
      <c r="T15" s="13" t="n">
        <v>10</v>
      </c>
    </row>
    <row r="16" customFormat="false" ht="57.45" hidden="false" customHeight="false" outlineLevel="0" collapsed="false">
      <c r="A16" s="11" t="n">
        <v>15</v>
      </c>
      <c r="B16" s="11" t="s">
        <v>25</v>
      </c>
      <c r="C16" s="11" t="s">
        <v>27</v>
      </c>
      <c r="D16" s="11" t="s">
        <v>45</v>
      </c>
      <c r="E16" s="11" t="s">
        <v>92</v>
      </c>
      <c r="F16" s="11" t="s">
        <v>78</v>
      </c>
      <c r="G16" s="11" t="s">
        <v>48</v>
      </c>
      <c r="H16" s="11" t="s">
        <v>49</v>
      </c>
      <c r="I16" s="11" t="s">
        <v>93</v>
      </c>
      <c r="J16" s="11" t="n">
        <v>26</v>
      </c>
      <c r="K16" s="11" t="s">
        <v>26</v>
      </c>
      <c r="L16" s="11" t="s">
        <v>51</v>
      </c>
      <c r="M16" s="11" t="s">
        <v>52</v>
      </c>
      <c r="N16" s="11" t="s">
        <v>53</v>
      </c>
      <c r="O16" s="11" t="s">
        <v>54</v>
      </c>
      <c r="P16" s="11" t="n">
        <v>10</v>
      </c>
      <c r="Q16" s="11" t="s">
        <v>94</v>
      </c>
      <c r="R16" s="11" t="n">
        <v>149</v>
      </c>
      <c r="S16" s="12" t="n">
        <v>123.19</v>
      </c>
      <c r="T16" s="11" t="n">
        <v>50</v>
      </c>
    </row>
    <row r="17" customFormat="false" ht="57.45" hidden="false" customHeight="false" outlineLevel="0" collapsed="false">
      <c r="A17" s="13" t="n">
        <v>16</v>
      </c>
      <c r="B17" s="13" t="s">
        <v>25</v>
      </c>
      <c r="C17" s="13" t="s">
        <v>27</v>
      </c>
      <c r="D17" s="13" t="s">
        <v>56</v>
      </c>
      <c r="E17" s="13" t="s">
        <v>95</v>
      </c>
      <c r="F17" s="13" t="s">
        <v>58</v>
      </c>
      <c r="G17" s="13" t="s">
        <v>59</v>
      </c>
      <c r="H17" s="13" t="s">
        <v>60</v>
      </c>
      <c r="I17" s="13" t="s">
        <v>96</v>
      </c>
      <c r="J17" s="13" t="n">
        <v>26</v>
      </c>
      <c r="K17" s="13" t="s">
        <v>26</v>
      </c>
      <c r="L17" s="13" t="s">
        <v>51</v>
      </c>
      <c r="M17" s="13" t="s">
        <v>52</v>
      </c>
      <c r="N17" s="13" t="s">
        <v>53</v>
      </c>
      <c r="O17" s="13" t="s">
        <v>54</v>
      </c>
      <c r="P17" s="13" t="n">
        <v>10</v>
      </c>
      <c r="Q17" s="13" t="s">
        <v>94</v>
      </c>
      <c r="R17" s="13" t="n">
        <v>149</v>
      </c>
      <c r="S17" s="14" t="n">
        <v>123.19</v>
      </c>
      <c r="T17" s="13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11" min="9" style="0" width="9"/>
    <col collapsed="false" customWidth="true" hidden="false" outlineLevel="0" max="13" min="12" style="0" width="11"/>
    <col collapsed="false" customWidth="true" hidden="false" outlineLevel="0" max="14" min="14" style="0" width="8"/>
  </cols>
  <sheetData>
    <row r="1" customFormat="false" ht="45.75" hidden="false" customHeight="true" outlineLevel="0" collapsed="false">
      <c r="A1" s="3" t="s">
        <v>6</v>
      </c>
      <c r="B1" s="3" t="s">
        <v>7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14</v>
      </c>
      <c r="I1" s="3" t="s">
        <v>102</v>
      </c>
      <c r="J1" s="3" t="s">
        <v>9</v>
      </c>
      <c r="K1" s="3" t="s">
        <v>10</v>
      </c>
      <c r="L1" s="3" t="s">
        <v>11</v>
      </c>
      <c r="M1" s="3" t="s">
        <v>103</v>
      </c>
      <c r="N1" s="3" t="s">
        <v>18</v>
      </c>
    </row>
    <row r="2" customFormat="false" ht="15" hidden="false" customHeight="false" outlineLevel="0" collapsed="false">
      <c r="A2" s="4" t="s">
        <v>19</v>
      </c>
      <c r="B2" s="4" t="s">
        <v>20</v>
      </c>
      <c r="C2" s="4" t="s">
        <v>46</v>
      </c>
      <c r="D2" s="4" t="s">
        <v>57</v>
      </c>
      <c r="E2" s="4" t="s">
        <v>104</v>
      </c>
      <c r="F2" s="4" t="s">
        <v>105</v>
      </c>
      <c r="G2" s="4" t="s">
        <v>106</v>
      </c>
      <c r="H2" s="4" t="n">
        <v>10</v>
      </c>
      <c r="I2" s="6" t="n">
        <v>51.99</v>
      </c>
      <c r="J2" s="4" t="n">
        <v>105</v>
      </c>
      <c r="K2" s="4" t="n">
        <v>103</v>
      </c>
      <c r="L2" s="6" t="n">
        <v>165.64</v>
      </c>
      <c r="M2" s="6" t="n">
        <v>542.5</v>
      </c>
      <c r="N2" s="4" t="s">
        <v>21</v>
      </c>
    </row>
    <row r="3" customFormat="false" ht="15" hidden="false" customHeight="false" outlineLevel="0" collapsed="false">
      <c r="A3" s="4" t="s">
        <v>19</v>
      </c>
      <c r="B3" s="4" t="s">
        <v>20</v>
      </c>
      <c r="C3" s="4" t="s">
        <v>46</v>
      </c>
      <c r="D3" s="4" t="s">
        <v>57</v>
      </c>
      <c r="E3" s="4" t="s">
        <v>107</v>
      </c>
      <c r="F3" s="4" t="s">
        <v>108</v>
      </c>
      <c r="G3" s="4" t="s">
        <v>106</v>
      </c>
      <c r="H3" s="4" t="n">
        <v>10</v>
      </c>
      <c r="I3" s="6" t="n">
        <v>51.99</v>
      </c>
      <c r="J3" s="4" t="n">
        <v>74</v>
      </c>
      <c r="K3" s="4" t="n">
        <v>74</v>
      </c>
      <c r="L3" s="6" t="n">
        <v>122.28</v>
      </c>
      <c r="M3" s="6" t="n">
        <v>1029.62</v>
      </c>
      <c r="N3" s="4" t="s">
        <v>21</v>
      </c>
    </row>
    <row r="4" customFormat="false" ht="15" hidden="false" customHeight="false" outlineLevel="0" collapsed="false">
      <c r="A4" s="4" t="s">
        <v>19</v>
      </c>
      <c r="B4" s="4" t="s">
        <v>20</v>
      </c>
      <c r="C4" s="4" t="s">
        <v>46</v>
      </c>
      <c r="D4" s="4" t="s">
        <v>57</v>
      </c>
      <c r="E4" s="4" t="s">
        <v>109</v>
      </c>
      <c r="F4" s="4" t="s">
        <v>110</v>
      </c>
      <c r="G4" s="4" t="s">
        <v>111</v>
      </c>
      <c r="H4" s="4" t="n">
        <v>10</v>
      </c>
      <c r="I4" s="6" t="n">
        <v>43.99</v>
      </c>
      <c r="J4" s="4" t="n">
        <v>122</v>
      </c>
      <c r="K4" s="4" t="n">
        <v>61</v>
      </c>
      <c r="L4" s="6" t="n">
        <v>110.33</v>
      </c>
      <c r="M4" s="6" t="n">
        <v>796.93</v>
      </c>
      <c r="N4" s="4" t="s">
        <v>21</v>
      </c>
    </row>
    <row r="5" customFormat="false" ht="15" hidden="false" customHeight="false" outlineLevel="0" collapsed="false">
      <c r="A5" s="4" t="s">
        <v>19</v>
      </c>
      <c r="B5" s="4" t="s">
        <v>20</v>
      </c>
      <c r="C5" s="4" t="s">
        <v>46</v>
      </c>
      <c r="D5" s="4" t="s">
        <v>57</v>
      </c>
      <c r="E5" s="4" t="s">
        <v>112</v>
      </c>
      <c r="F5" s="4" t="s">
        <v>113</v>
      </c>
      <c r="G5" s="4" t="s">
        <v>114</v>
      </c>
      <c r="H5" s="4" t="n">
        <v>10</v>
      </c>
      <c r="I5" s="6" t="n">
        <v>63.99</v>
      </c>
      <c r="J5" s="4" t="n">
        <v>58</v>
      </c>
      <c r="K5" s="4" t="n">
        <v>58</v>
      </c>
      <c r="L5" s="6" t="n">
        <v>90.78</v>
      </c>
      <c r="M5" s="6" t="n">
        <v>250.68</v>
      </c>
      <c r="N5" s="4" t="s">
        <v>21</v>
      </c>
    </row>
    <row r="6" customFormat="false" ht="15" hidden="false" customHeight="false" outlineLevel="0" collapsed="false">
      <c r="A6" s="4" t="s">
        <v>19</v>
      </c>
      <c r="B6" s="4" t="s">
        <v>20</v>
      </c>
      <c r="C6" s="4" t="s">
        <v>46</v>
      </c>
      <c r="D6" s="4" t="s">
        <v>57</v>
      </c>
      <c r="E6" s="4" t="s">
        <v>115</v>
      </c>
      <c r="F6" s="4" t="s">
        <v>116</v>
      </c>
      <c r="G6" s="4" t="s">
        <v>106</v>
      </c>
      <c r="H6" s="4" t="n">
        <v>10</v>
      </c>
      <c r="I6" s="6" t="n">
        <v>51.99</v>
      </c>
      <c r="J6" s="4" t="n">
        <v>60</v>
      </c>
      <c r="K6" s="4" t="n">
        <v>57</v>
      </c>
      <c r="L6" s="6" t="n">
        <v>85.58</v>
      </c>
      <c r="M6" s="6" t="n">
        <v>104.11</v>
      </c>
      <c r="N6" s="4" t="s">
        <v>21</v>
      </c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46</v>
      </c>
      <c r="D7" s="4" t="s">
        <v>57</v>
      </c>
      <c r="E7" s="4" t="s">
        <v>117</v>
      </c>
      <c r="F7" s="4" t="s">
        <v>118</v>
      </c>
      <c r="G7" s="4" t="s">
        <v>119</v>
      </c>
      <c r="H7" s="4" t="n">
        <v>16</v>
      </c>
      <c r="I7" s="6" t="n">
        <v>51.34</v>
      </c>
      <c r="J7" s="4" t="n">
        <v>57</v>
      </c>
      <c r="K7" s="4" t="n">
        <v>27</v>
      </c>
      <c r="L7" s="6" t="n">
        <v>53.32</v>
      </c>
      <c r="M7" s="6" t="n">
        <v>1591.62</v>
      </c>
      <c r="N7" s="4" t="s">
        <v>21</v>
      </c>
    </row>
    <row r="8" customFormat="false" ht="15" hidden="false" customHeight="false" outlineLevel="0" collapsed="false">
      <c r="A8" s="4" t="s">
        <v>19</v>
      </c>
      <c r="B8" s="4" t="s">
        <v>20</v>
      </c>
      <c r="C8" s="4" t="s">
        <v>46</v>
      </c>
      <c r="D8" s="4" t="s">
        <v>57</v>
      </c>
      <c r="E8" s="4" t="s">
        <v>120</v>
      </c>
      <c r="F8" s="4" t="s">
        <v>121</v>
      </c>
      <c r="G8" s="4" t="s">
        <v>111</v>
      </c>
      <c r="H8" s="4" t="n">
        <v>10</v>
      </c>
      <c r="I8" s="6" t="n">
        <v>43.99</v>
      </c>
      <c r="J8" s="4" t="n">
        <v>42</v>
      </c>
      <c r="K8" s="4" t="n">
        <v>42</v>
      </c>
      <c r="L8" s="6" t="n">
        <v>50.27</v>
      </c>
      <c r="M8" s="6" t="n">
        <v>64.47</v>
      </c>
      <c r="N8" s="4" t="s">
        <v>21</v>
      </c>
    </row>
    <row r="9" customFormat="false" ht="15" hidden="false" customHeight="false" outlineLevel="0" collapsed="false">
      <c r="A9" s="4" t="s">
        <v>19</v>
      </c>
      <c r="B9" s="4" t="s">
        <v>20</v>
      </c>
      <c r="C9" s="4" t="s">
        <v>46</v>
      </c>
      <c r="D9" s="4" t="s">
        <v>57</v>
      </c>
      <c r="E9" s="4" t="s">
        <v>122</v>
      </c>
      <c r="F9" s="4" t="s">
        <v>123</v>
      </c>
      <c r="G9" s="4" t="s">
        <v>111</v>
      </c>
      <c r="H9" s="4" t="n">
        <v>10</v>
      </c>
      <c r="I9" s="6" t="n">
        <v>43.99</v>
      </c>
      <c r="J9" s="4" t="n">
        <v>43</v>
      </c>
      <c r="K9" s="4" t="n">
        <v>41</v>
      </c>
      <c r="L9" s="6" t="n">
        <v>48.84</v>
      </c>
      <c r="M9" s="6" t="n">
        <v>202.71</v>
      </c>
      <c r="N9" s="4" t="s">
        <v>21</v>
      </c>
    </row>
    <row r="10" customFormat="false" ht="15" hidden="false" customHeight="false" outlineLevel="0" collapsed="false">
      <c r="A10" s="4" t="s">
        <v>19</v>
      </c>
      <c r="B10" s="4" t="s">
        <v>20</v>
      </c>
      <c r="C10" s="4" t="s">
        <v>46</v>
      </c>
      <c r="D10" s="4" t="s">
        <v>57</v>
      </c>
      <c r="E10" s="4" t="s">
        <v>124</v>
      </c>
      <c r="F10" s="4" t="s">
        <v>125</v>
      </c>
      <c r="G10" s="4" t="s">
        <v>126</v>
      </c>
      <c r="H10" s="4" t="n">
        <v>36</v>
      </c>
      <c r="I10" s="6" t="n">
        <v>59.99</v>
      </c>
      <c r="J10" s="4" t="n">
        <v>32</v>
      </c>
      <c r="K10" s="4" t="n">
        <v>27</v>
      </c>
      <c r="L10" s="6" t="n">
        <v>42.27</v>
      </c>
      <c r="M10" s="6" t="n">
        <v>1003.62</v>
      </c>
      <c r="N10" s="4" t="s">
        <v>21</v>
      </c>
    </row>
    <row r="11" customFormat="false" ht="15" hidden="false" customHeight="false" outlineLevel="0" collapsed="false">
      <c r="A11" s="4" t="s">
        <v>19</v>
      </c>
      <c r="B11" s="4" t="s">
        <v>20</v>
      </c>
      <c r="C11" s="4" t="s">
        <v>46</v>
      </c>
      <c r="D11" s="4" t="s">
        <v>57</v>
      </c>
      <c r="E11" s="4" t="s">
        <v>127</v>
      </c>
      <c r="F11" s="4" t="s">
        <v>128</v>
      </c>
      <c r="G11" s="4" t="s">
        <v>129</v>
      </c>
      <c r="H11" s="4" t="n">
        <v>36</v>
      </c>
      <c r="I11" s="6" t="n">
        <v>63.99</v>
      </c>
      <c r="J11" s="4" t="n">
        <v>82</v>
      </c>
      <c r="K11" s="4" t="n">
        <v>0</v>
      </c>
      <c r="L11" s="6" t="n">
        <v>31.51</v>
      </c>
      <c r="M11" s="6" t="n">
        <v>397.4</v>
      </c>
      <c r="N11" s="4" t="s">
        <v>21</v>
      </c>
    </row>
    <row r="12" customFormat="false" ht="15" hidden="false" customHeight="false" outlineLevel="0" collapsed="false">
      <c r="A12" s="4" t="s">
        <v>19</v>
      </c>
      <c r="B12" s="4" t="s">
        <v>20</v>
      </c>
      <c r="C12" s="4" t="s">
        <v>46</v>
      </c>
      <c r="D12" s="4" t="s">
        <v>57</v>
      </c>
      <c r="E12" s="4" t="s">
        <v>130</v>
      </c>
      <c r="F12" s="4" t="s">
        <v>131</v>
      </c>
      <c r="G12" s="4" t="s">
        <v>132</v>
      </c>
      <c r="H12" s="4" t="n">
        <v>30</v>
      </c>
      <c r="I12" s="6" t="n">
        <v>63.19</v>
      </c>
      <c r="J12" s="4" t="n">
        <v>72</v>
      </c>
      <c r="K12" s="4" t="n">
        <v>0</v>
      </c>
      <c r="L12" s="6" t="n">
        <v>27.61</v>
      </c>
      <c r="M12" s="6" t="n">
        <v>381.84</v>
      </c>
      <c r="N12" s="4" t="s">
        <v>21</v>
      </c>
    </row>
    <row r="13" customFormat="false" ht="15" hidden="false" customHeight="false" outlineLevel="0" collapsed="false">
      <c r="A13" s="4" t="s">
        <v>19</v>
      </c>
      <c r="B13" s="4" t="s">
        <v>20</v>
      </c>
      <c r="C13" s="4" t="s">
        <v>46</v>
      </c>
      <c r="D13" s="4" t="s">
        <v>57</v>
      </c>
      <c r="E13" s="4" t="s">
        <v>133</v>
      </c>
      <c r="F13" s="4" t="s">
        <v>134</v>
      </c>
      <c r="G13" s="4" t="s">
        <v>111</v>
      </c>
      <c r="H13" s="4" t="n">
        <v>10</v>
      </c>
      <c r="I13" s="6" t="n">
        <v>43.99</v>
      </c>
      <c r="J13" s="4" t="n">
        <v>30</v>
      </c>
      <c r="K13" s="4" t="n">
        <v>28</v>
      </c>
      <c r="L13" s="6" t="n">
        <v>27.27</v>
      </c>
      <c r="M13" s="6" t="n">
        <v>171.03</v>
      </c>
      <c r="N13" s="4" t="s">
        <v>21</v>
      </c>
    </row>
    <row r="14" customFormat="false" ht="15" hidden="false" customHeight="false" outlineLevel="0" collapsed="false">
      <c r="A14" s="4" t="s">
        <v>19</v>
      </c>
      <c r="B14" s="4" t="s">
        <v>20</v>
      </c>
      <c r="C14" s="4" t="s">
        <v>46</v>
      </c>
      <c r="D14" s="4" t="s">
        <v>57</v>
      </c>
      <c r="E14" s="4" t="s">
        <v>135</v>
      </c>
      <c r="F14" s="4" t="s">
        <v>136</v>
      </c>
      <c r="G14" s="4" t="s">
        <v>111</v>
      </c>
      <c r="H14" s="4" t="n">
        <v>10</v>
      </c>
      <c r="I14" s="6" t="n">
        <v>43.99</v>
      </c>
      <c r="J14" s="4" t="n">
        <v>13</v>
      </c>
      <c r="K14" s="4" t="n">
        <v>13</v>
      </c>
      <c r="L14" s="6" t="n">
        <v>20.2</v>
      </c>
      <c r="M14" s="6" t="n">
        <v>56.3</v>
      </c>
      <c r="N14" s="4" t="s">
        <v>21</v>
      </c>
    </row>
    <row r="15" customFormat="false" ht="15" hidden="false" customHeight="false" outlineLevel="0" collapsed="false">
      <c r="A15" s="4" t="s">
        <v>19</v>
      </c>
      <c r="B15" s="4" t="s">
        <v>20</v>
      </c>
      <c r="C15" s="4" t="s">
        <v>46</v>
      </c>
      <c r="D15" s="4" t="s">
        <v>57</v>
      </c>
      <c r="E15" s="4" t="s">
        <v>137</v>
      </c>
      <c r="F15" s="4" t="s">
        <v>138</v>
      </c>
      <c r="G15" s="4" t="s">
        <v>111</v>
      </c>
      <c r="H15" s="4" t="n">
        <v>10</v>
      </c>
      <c r="I15" s="6" t="n">
        <v>43.99</v>
      </c>
      <c r="J15" s="4" t="n">
        <v>40</v>
      </c>
      <c r="K15" s="4" t="n">
        <v>2</v>
      </c>
      <c r="L15" s="6" t="n">
        <v>12.29</v>
      </c>
      <c r="M15" s="6" t="n">
        <v>125.95</v>
      </c>
      <c r="N15" s="4" t="s">
        <v>21</v>
      </c>
    </row>
    <row r="16" customFormat="false" ht="15" hidden="false" customHeight="false" outlineLevel="0" collapsed="false">
      <c r="A16" s="4" t="s">
        <v>19</v>
      </c>
      <c r="B16" s="4" t="s">
        <v>20</v>
      </c>
      <c r="C16" s="4" t="s">
        <v>46</v>
      </c>
      <c r="D16" s="4" t="s">
        <v>57</v>
      </c>
      <c r="E16" s="4" t="s">
        <v>139</v>
      </c>
      <c r="F16" s="4" t="s">
        <v>140</v>
      </c>
      <c r="G16" s="4" t="s">
        <v>111</v>
      </c>
      <c r="H16" s="4" t="n">
        <v>10</v>
      </c>
      <c r="I16" s="6" t="n">
        <v>43.99</v>
      </c>
      <c r="J16" s="4" t="n">
        <v>48</v>
      </c>
      <c r="K16" s="4" t="n">
        <v>0</v>
      </c>
      <c r="L16" s="6" t="n">
        <v>11.4</v>
      </c>
      <c r="M16" s="6" t="n">
        <v>219.76</v>
      </c>
      <c r="N16" s="4" t="s">
        <v>21</v>
      </c>
    </row>
    <row r="17" customFormat="false" ht="15" hidden="false" customHeight="false" outlineLevel="0" collapsed="false">
      <c r="A17" s="4" t="s">
        <v>19</v>
      </c>
      <c r="B17" s="4" t="s">
        <v>22</v>
      </c>
      <c r="C17" s="4" t="s">
        <v>62</v>
      </c>
      <c r="D17" s="4" t="s">
        <v>65</v>
      </c>
      <c r="E17" s="4" t="s">
        <v>141</v>
      </c>
      <c r="F17" s="4" t="s">
        <v>142</v>
      </c>
      <c r="G17" s="4" t="s">
        <v>143</v>
      </c>
      <c r="H17" s="4" t="n">
        <v>10</v>
      </c>
      <c r="I17" s="6" t="n">
        <v>55.99</v>
      </c>
      <c r="J17" s="4" t="n">
        <v>255</v>
      </c>
      <c r="K17" s="4" t="n">
        <v>249</v>
      </c>
      <c r="L17" s="6" t="n">
        <v>570.4</v>
      </c>
      <c r="M17" s="6" t="n">
        <v>8.09</v>
      </c>
      <c r="N17" s="4" t="s">
        <v>21</v>
      </c>
    </row>
    <row r="18" customFormat="false" ht="15" hidden="false" customHeight="false" outlineLevel="0" collapsed="false">
      <c r="A18" s="4" t="s">
        <v>19</v>
      </c>
      <c r="B18" s="4" t="s">
        <v>22</v>
      </c>
      <c r="C18" s="4" t="s">
        <v>62</v>
      </c>
      <c r="D18" s="4" t="s">
        <v>65</v>
      </c>
      <c r="E18" s="4" t="s">
        <v>144</v>
      </c>
      <c r="F18" s="4" t="s">
        <v>145</v>
      </c>
      <c r="G18" s="4" t="s">
        <v>146</v>
      </c>
      <c r="H18" s="4" t="n">
        <v>19</v>
      </c>
      <c r="I18" s="6" t="n">
        <v>52.49</v>
      </c>
      <c r="J18" s="4" t="n">
        <v>246</v>
      </c>
      <c r="K18" s="4" t="n">
        <v>239</v>
      </c>
      <c r="L18" s="6" t="n">
        <v>438.87</v>
      </c>
      <c r="M18" s="6" t="n">
        <v>0</v>
      </c>
      <c r="N18" s="4" t="s">
        <v>21</v>
      </c>
    </row>
    <row r="19" customFormat="false" ht="15" hidden="false" customHeight="false" outlineLevel="0" collapsed="false">
      <c r="A19" s="4" t="s">
        <v>19</v>
      </c>
      <c r="B19" s="4" t="s">
        <v>22</v>
      </c>
      <c r="C19" s="4" t="s">
        <v>62</v>
      </c>
      <c r="D19" s="4" t="s">
        <v>65</v>
      </c>
      <c r="E19" s="4" t="s">
        <v>147</v>
      </c>
      <c r="F19" s="4" t="s">
        <v>148</v>
      </c>
      <c r="G19" s="4" t="s">
        <v>149</v>
      </c>
      <c r="H19" s="4" t="n">
        <v>48</v>
      </c>
      <c r="I19" s="6" t="n">
        <v>59.99</v>
      </c>
      <c r="J19" s="4" t="n">
        <v>263</v>
      </c>
      <c r="K19" s="4" t="n">
        <v>257</v>
      </c>
      <c r="L19" s="6" t="n">
        <v>434.94</v>
      </c>
      <c r="M19" s="6" t="n">
        <v>2958.25</v>
      </c>
      <c r="N19" s="4" t="s">
        <v>21</v>
      </c>
    </row>
    <row r="20" customFormat="false" ht="15" hidden="false" customHeight="false" outlineLevel="0" collapsed="false">
      <c r="A20" s="4" t="s">
        <v>19</v>
      </c>
      <c r="B20" s="4" t="s">
        <v>22</v>
      </c>
      <c r="C20" s="4" t="s">
        <v>62</v>
      </c>
      <c r="D20" s="4" t="s">
        <v>65</v>
      </c>
      <c r="E20" s="4" t="s">
        <v>150</v>
      </c>
      <c r="F20" s="4" t="s">
        <v>151</v>
      </c>
      <c r="G20" s="4" t="s">
        <v>152</v>
      </c>
      <c r="H20" s="4" t="n">
        <v>10</v>
      </c>
      <c r="I20" s="6" t="n">
        <v>63.19</v>
      </c>
      <c r="J20" s="4" t="n">
        <v>125</v>
      </c>
      <c r="K20" s="4" t="n">
        <v>122</v>
      </c>
      <c r="L20" s="6" t="n">
        <v>266.46</v>
      </c>
      <c r="M20" s="6" t="n">
        <v>16.82</v>
      </c>
      <c r="N20" s="4" t="s">
        <v>21</v>
      </c>
    </row>
    <row r="21" customFormat="false" ht="15" hidden="false" customHeight="false" outlineLevel="0" collapsed="false">
      <c r="A21" s="4" t="s">
        <v>19</v>
      </c>
      <c r="B21" s="4" t="s">
        <v>22</v>
      </c>
      <c r="C21" s="4" t="s">
        <v>62</v>
      </c>
      <c r="D21" s="4" t="s">
        <v>65</v>
      </c>
      <c r="E21" s="4" t="s">
        <v>153</v>
      </c>
      <c r="F21" s="4" t="s">
        <v>154</v>
      </c>
      <c r="G21" s="4" t="s">
        <v>155</v>
      </c>
      <c r="H21" s="4" t="n">
        <v>31</v>
      </c>
      <c r="I21" s="6" t="n">
        <v>59.99</v>
      </c>
      <c r="J21" s="4" t="n">
        <v>190</v>
      </c>
      <c r="K21" s="4" t="n">
        <v>107</v>
      </c>
      <c r="L21" s="6" t="n">
        <v>204.45</v>
      </c>
      <c r="M21" s="6" t="n">
        <v>12.69</v>
      </c>
      <c r="N21" s="4" t="s">
        <v>21</v>
      </c>
    </row>
    <row r="22" customFormat="false" ht="15" hidden="false" customHeight="false" outlineLevel="0" collapsed="false">
      <c r="A22" s="4" t="s">
        <v>19</v>
      </c>
      <c r="B22" s="4" t="s">
        <v>22</v>
      </c>
      <c r="C22" s="4" t="s">
        <v>62</v>
      </c>
      <c r="D22" s="4" t="s">
        <v>65</v>
      </c>
      <c r="E22" s="4" t="s">
        <v>156</v>
      </c>
      <c r="F22" s="4" t="s">
        <v>157</v>
      </c>
      <c r="G22" s="4" t="s">
        <v>143</v>
      </c>
      <c r="H22" s="4" t="n">
        <v>10</v>
      </c>
      <c r="I22" s="6" t="n">
        <v>55.99</v>
      </c>
      <c r="J22" s="4" t="n">
        <v>74</v>
      </c>
      <c r="K22" s="4" t="n">
        <v>68</v>
      </c>
      <c r="L22" s="6" t="n">
        <v>122.53</v>
      </c>
      <c r="M22" s="6" t="n">
        <v>0</v>
      </c>
      <c r="N22" s="4" t="s">
        <v>21</v>
      </c>
    </row>
    <row r="23" customFormat="false" ht="15" hidden="false" customHeight="false" outlineLevel="0" collapsed="false">
      <c r="A23" s="4" t="s">
        <v>19</v>
      </c>
      <c r="B23" s="4" t="s">
        <v>22</v>
      </c>
      <c r="C23" s="4" t="s">
        <v>62</v>
      </c>
      <c r="D23" s="4" t="s">
        <v>65</v>
      </c>
      <c r="E23" s="4" t="s">
        <v>158</v>
      </c>
      <c r="F23" s="4" t="s">
        <v>159</v>
      </c>
      <c r="G23" s="4" t="s">
        <v>160</v>
      </c>
      <c r="H23" s="4" t="n">
        <v>10</v>
      </c>
      <c r="I23" s="6" t="n">
        <v>59.99</v>
      </c>
      <c r="J23" s="4" t="n">
        <v>64</v>
      </c>
      <c r="K23" s="4" t="n">
        <v>57</v>
      </c>
      <c r="L23" s="6" t="n">
        <v>76.33</v>
      </c>
      <c r="M23" s="6" t="n">
        <v>2.25</v>
      </c>
      <c r="N23" s="4" t="s">
        <v>21</v>
      </c>
    </row>
    <row r="24" customFormat="false" ht="15" hidden="false" customHeight="false" outlineLevel="0" collapsed="false">
      <c r="A24" s="4" t="s">
        <v>19</v>
      </c>
      <c r="B24" s="4" t="s">
        <v>22</v>
      </c>
      <c r="C24" s="4" t="s">
        <v>62</v>
      </c>
      <c r="D24" s="4" t="s">
        <v>65</v>
      </c>
      <c r="E24" s="4" t="s">
        <v>161</v>
      </c>
      <c r="F24" s="4" t="s">
        <v>162</v>
      </c>
      <c r="G24" s="4" t="s">
        <v>163</v>
      </c>
      <c r="H24" s="4" t="n">
        <v>23</v>
      </c>
      <c r="I24" s="6" t="n">
        <v>67.99</v>
      </c>
      <c r="J24" s="4" t="n">
        <v>37</v>
      </c>
      <c r="K24" s="4" t="n">
        <v>32</v>
      </c>
      <c r="L24" s="6" t="n">
        <v>68.46</v>
      </c>
      <c r="M24" s="6" t="n">
        <v>145.08</v>
      </c>
      <c r="N24" s="4" t="s">
        <v>21</v>
      </c>
    </row>
    <row r="25" customFormat="false" ht="15" hidden="false" customHeight="false" outlineLevel="0" collapsed="false">
      <c r="A25" s="4" t="s">
        <v>19</v>
      </c>
      <c r="B25" s="4" t="s">
        <v>22</v>
      </c>
      <c r="C25" s="4" t="s">
        <v>62</v>
      </c>
      <c r="D25" s="4" t="s">
        <v>65</v>
      </c>
      <c r="E25" s="4" t="s">
        <v>164</v>
      </c>
      <c r="F25" s="4" t="s">
        <v>165</v>
      </c>
      <c r="G25" s="4" t="s">
        <v>166</v>
      </c>
      <c r="H25" s="4" t="n">
        <v>15</v>
      </c>
      <c r="I25" s="6" t="n">
        <v>67.99</v>
      </c>
      <c r="J25" s="4" t="n">
        <v>130</v>
      </c>
      <c r="K25" s="4" t="n">
        <v>0</v>
      </c>
      <c r="L25" s="6" t="n">
        <v>62.92</v>
      </c>
      <c r="M25" s="6" t="n">
        <v>63.1</v>
      </c>
      <c r="N25" s="4" t="s">
        <v>21</v>
      </c>
    </row>
    <row r="26" customFormat="false" ht="15" hidden="false" customHeight="false" outlineLevel="0" collapsed="false">
      <c r="A26" s="4" t="s">
        <v>19</v>
      </c>
      <c r="B26" s="4" t="s">
        <v>22</v>
      </c>
      <c r="C26" s="4" t="s">
        <v>62</v>
      </c>
      <c r="D26" s="4" t="s">
        <v>65</v>
      </c>
      <c r="E26" s="4" t="s">
        <v>167</v>
      </c>
      <c r="F26" s="4" t="s">
        <v>168</v>
      </c>
      <c r="G26" s="4" t="s">
        <v>169</v>
      </c>
      <c r="H26" s="4" t="n">
        <v>21</v>
      </c>
      <c r="I26" s="6" t="n">
        <v>59.99</v>
      </c>
      <c r="J26" s="4" t="n">
        <v>43</v>
      </c>
      <c r="K26" s="4" t="n">
        <v>24</v>
      </c>
      <c r="L26" s="6" t="n">
        <v>41.59</v>
      </c>
      <c r="M26" s="6" t="n">
        <v>0</v>
      </c>
      <c r="N26" s="4" t="s">
        <v>21</v>
      </c>
    </row>
    <row r="27" customFormat="false" ht="15" hidden="false" customHeight="false" outlineLevel="0" collapsed="false">
      <c r="A27" s="4" t="s">
        <v>19</v>
      </c>
      <c r="B27" s="4" t="s">
        <v>22</v>
      </c>
      <c r="C27" s="4" t="s">
        <v>62</v>
      </c>
      <c r="D27" s="4" t="s">
        <v>65</v>
      </c>
      <c r="E27" s="4" t="s">
        <v>170</v>
      </c>
      <c r="F27" s="4" t="s">
        <v>171</v>
      </c>
      <c r="G27" s="4" t="s">
        <v>172</v>
      </c>
      <c r="H27" s="4" t="n">
        <v>10</v>
      </c>
      <c r="I27" s="6" t="n">
        <v>47.99</v>
      </c>
      <c r="J27" s="4" t="n">
        <v>31</v>
      </c>
      <c r="K27" s="4" t="n">
        <v>30</v>
      </c>
      <c r="L27" s="6" t="n">
        <v>38.1</v>
      </c>
      <c r="M27" s="6" t="n">
        <v>0</v>
      </c>
      <c r="N27" s="4" t="s">
        <v>21</v>
      </c>
    </row>
    <row r="28" customFormat="false" ht="15" hidden="false" customHeight="false" outlineLevel="0" collapsed="false">
      <c r="A28" s="4" t="s">
        <v>19</v>
      </c>
      <c r="B28" s="4" t="s">
        <v>22</v>
      </c>
      <c r="C28" s="4" t="s">
        <v>62</v>
      </c>
      <c r="D28" s="4" t="s">
        <v>65</v>
      </c>
      <c r="E28" s="4" t="s">
        <v>173</v>
      </c>
      <c r="F28" s="4" t="s">
        <v>174</v>
      </c>
      <c r="G28" s="4" t="s">
        <v>143</v>
      </c>
      <c r="H28" s="4" t="n">
        <v>10</v>
      </c>
      <c r="I28" s="6" t="n">
        <v>55.99</v>
      </c>
      <c r="J28" s="4" t="n">
        <v>21</v>
      </c>
      <c r="K28" s="4" t="n">
        <v>14</v>
      </c>
      <c r="L28" s="6" t="n">
        <v>30.09</v>
      </c>
      <c r="M28" s="6" t="n">
        <v>3.25</v>
      </c>
      <c r="N28" s="4" t="s">
        <v>21</v>
      </c>
    </row>
    <row r="29" customFormat="false" ht="15" hidden="false" customHeight="false" outlineLevel="0" collapsed="false">
      <c r="A29" s="4" t="s">
        <v>19</v>
      </c>
      <c r="B29" s="4" t="s">
        <v>22</v>
      </c>
      <c r="C29" s="4" t="s">
        <v>62</v>
      </c>
      <c r="D29" s="4" t="s">
        <v>65</v>
      </c>
      <c r="E29" s="4" t="s">
        <v>175</v>
      </c>
      <c r="F29" s="4" t="s">
        <v>176</v>
      </c>
      <c r="G29" s="4" t="s">
        <v>177</v>
      </c>
      <c r="H29" s="4" t="n">
        <v>10</v>
      </c>
      <c r="I29" s="6" t="n">
        <v>44.39</v>
      </c>
      <c r="J29" s="4" t="n">
        <v>15</v>
      </c>
      <c r="K29" s="4" t="n">
        <v>14</v>
      </c>
      <c r="L29" s="6" t="n">
        <v>14.16</v>
      </c>
      <c r="M29" s="6" t="n">
        <v>0</v>
      </c>
      <c r="N29" s="4" t="s">
        <v>21</v>
      </c>
    </row>
    <row r="30" customFormat="false" ht="15" hidden="false" customHeight="false" outlineLevel="0" collapsed="false">
      <c r="A30" s="4" t="s">
        <v>19</v>
      </c>
      <c r="B30" s="4" t="s">
        <v>22</v>
      </c>
      <c r="C30" s="4" t="s">
        <v>62</v>
      </c>
      <c r="D30" s="4" t="s">
        <v>65</v>
      </c>
      <c r="E30" s="4" t="s">
        <v>178</v>
      </c>
      <c r="F30" s="4" t="s">
        <v>179</v>
      </c>
      <c r="G30" s="4" t="s">
        <v>172</v>
      </c>
      <c r="H30" s="4" t="n">
        <v>10</v>
      </c>
      <c r="I30" s="6" t="n">
        <v>47.99</v>
      </c>
      <c r="J30" s="4" t="n">
        <v>34</v>
      </c>
      <c r="K30" s="4" t="n">
        <v>0</v>
      </c>
      <c r="L30" s="6" t="n">
        <v>8.67</v>
      </c>
      <c r="M30" s="6" t="n">
        <v>125.55</v>
      </c>
      <c r="N30" s="4" t="s">
        <v>21</v>
      </c>
    </row>
    <row r="31" customFormat="false" ht="15" hidden="false" customHeight="false" outlineLevel="0" collapsed="false">
      <c r="A31" s="4" t="s">
        <v>19</v>
      </c>
      <c r="B31" s="4" t="s">
        <v>22</v>
      </c>
      <c r="C31" s="4" t="s">
        <v>62</v>
      </c>
      <c r="D31" s="4" t="s">
        <v>65</v>
      </c>
      <c r="E31" s="4" t="s">
        <v>180</v>
      </c>
      <c r="F31" s="4" t="s">
        <v>181</v>
      </c>
      <c r="G31" s="4" t="s">
        <v>172</v>
      </c>
      <c r="H31" s="4" t="n">
        <v>10</v>
      </c>
      <c r="I31" s="6" t="n">
        <v>47.99</v>
      </c>
      <c r="J31" s="4" t="n">
        <v>5</v>
      </c>
      <c r="K31" s="4" t="n">
        <v>5</v>
      </c>
      <c r="L31" s="6" t="n">
        <v>5.65</v>
      </c>
      <c r="M31" s="6" t="n">
        <v>0.9</v>
      </c>
      <c r="N31" s="4" t="s">
        <v>21</v>
      </c>
    </row>
    <row r="32" customFormat="false" ht="15" hidden="false" customHeight="false" outlineLevel="0" collapsed="false">
      <c r="A32" s="4" t="s">
        <v>19</v>
      </c>
      <c r="B32" s="4" t="s">
        <v>22</v>
      </c>
      <c r="C32" s="4" t="s">
        <v>62</v>
      </c>
      <c r="D32" s="4" t="s">
        <v>65</v>
      </c>
      <c r="E32" s="4" t="s">
        <v>182</v>
      </c>
      <c r="F32" s="4" t="s">
        <v>183</v>
      </c>
      <c r="G32" s="4" t="s">
        <v>172</v>
      </c>
      <c r="H32" s="4" t="n">
        <v>10</v>
      </c>
      <c r="I32" s="6" t="n">
        <v>47.99</v>
      </c>
      <c r="J32" s="4" t="n">
        <v>1</v>
      </c>
      <c r="K32" s="4" t="n">
        <v>0</v>
      </c>
      <c r="L32" s="6" t="n">
        <v>0.32</v>
      </c>
      <c r="M32" s="6" t="n">
        <v>0</v>
      </c>
      <c r="N32" s="4" t="s">
        <v>21</v>
      </c>
    </row>
    <row r="33" customFormat="false" ht="15" hidden="false" customHeight="false" outlineLevel="0" collapsed="false">
      <c r="A33" s="4" t="s">
        <v>19</v>
      </c>
      <c r="B33" s="4" t="s">
        <v>23</v>
      </c>
      <c r="C33" s="4" t="s">
        <v>67</v>
      </c>
      <c r="D33" s="4" t="s">
        <v>70</v>
      </c>
      <c r="E33" s="4" t="s">
        <v>184</v>
      </c>
      <c r="F33" s="4" t="s">
        <v>185</v>
      </c>
      <c r="G33" s="4" t="s">
        <v>186</v>
      </c>
      <c r="H33" s="4" t="n">
        <v>41</v>
      </c>
      <c r="I33" s="6" t="n">
        <v>23.96</v>
      </c>
      <c r="J33" s="4" t="n">
        <v>1100</v>
      </c>
      <c r="K33" s="4" t="n">
        <v>0</v>
      </c>
      <c r="L33" s="6" t="n">
        <v>372.27</v>
      </c>
      <c r="M33" s="6" t="n">
        <v>1702.77</v>
      </c>
      <c r="N33" s="4" t="s">
        <v>21</v>
      </c>
    </row>
    <row r="34" customFormat="false" ht="15" hidden="false" customHeight="false" outlineLevel="0" collapsed="false">
      <c r="A34" s="4" t="s">
        <v>19</v>
      </c>
      <c r="B34" s="4" t="s">
        <v>23</v>
      </c>
      <c r="C34" s="4" t="s">
        <v>67</v>
      </c>
      <c r="D34" s="4" t="s">
        <v>70</v>
      </c>
      <c r="E34" s="4" t="s">
        <v>187</v>
      </c>
      <c r="F34" s="4" t="s">
        <v>188</v>
      </c>
      <c r="G34" s="4" t="s">
        <v>189</v>
      </c>
      <c r="H34" s="4" t="n">
        <v>10</v>
      </c>
      <c r="I34" s="6" t="n">
        <v>19.91</v>
      </c>
      <c r="J34" s="4" t="n">
        <v>75</v>
      </c>
      <c r="K34" s="4" t="n">
        <v>73</v>
      </c>
      <c r="L34" s="6" t="n">
        <v>99.12</v>
      </c>
      <c r="M34" s="6" t="n">
        <v>6.41</v>
      </c>
      <c r="N34" s="4" t="s">
        <v>21</v>
      </c>
    </row>
    <row r="35" customFormat="false" ht="15" hidden="false" customHeight="false" outlineLevel="0" collapsed="false">
      <c r="A35" s="4" t="s">
        <v>19</v>
      </c>
      <c r="B35" s="4" t="s">
        <v>23</v>
      </c>
      <c r="C35" s="4" t="s">
        <v>67</v>
      </c>
      <c r="D35" s="4" t="s">
        <v>70</v>
      </c>
      <c r="E35" s="4" t="s">
        <v>190</v>
      </c>
      <c r="F35" s="4" t="s">
        <v>191</v>
      </c>
      <c r="G35" s="4" t="s">
        <v>192</v>
      </c>
      <c r="H35" s="4" t="n">
        <v>20</v>
      </c>
      <c r="I35" s="6" t="n">
        <v>23.96</v>
      </c>
      <c r="J35" s="4" t="n">
        <v>84</v>
      </c>
      <c r="K35" s="4" t="n">
        <v>53</v>
      </c>
      <c r="L35" s="6" t="n">
        <v>83.48</v>
      </c>
      <c r="M35" s="6" t="n">
        <v>5.7</v>
      </c>
      <c r="N35" s="4" t="s">
        <v>21</v>
      </c>
    </row>
    <row r="36" customFormat="false" ht="15" hidden="false" customHeight="false" outlineLevel="0" collapsed="false">
      <c r="A36" s="4" t="s">
        <v>19</v>
      </c>
      <c r="B36" s="4" t="s">
        <v>23</v>
      </c>
      <c r="C36" s="4" t="s">
        <v>67</v>
      </c>
      <c r="D36" s="4" t="s">
        <v>70</v>
      </c>
      <c r="E36" s="4" t="s">
        <v>193</v>
      </c>
      <c r="F36" s="4" t="s">
        <v>194</v>
      </c>
      <c r="G36" s="4" t="s">
        <v>195</v>
      </c>
      <c r="H36" s="4" t="n">
        <v>10</v>
      </c>
      <c r="I36" s="6" t="n">
        <v>23.96</v>
      </c>
      <c r="J36" s="4" t="n">
        <v>48</v>
      </c>
      <c r="K36" s="4" t="n">
        <v>47</v>
      </c>
      <c r="L36" s="6" t="n">
        <v>70.79</v>
      </c>
      <c r="M36" s="6" t="n">
        <v>197.46</v>
      </c>
      <c r="N36" s="4" t="s">
        <v>21</v>
      </c>
    </row>
    <row r="37" customFormat="false" ht="15" hidden="false" customHeight="false" outlineLevel="0" collapsed="false">
      <c r="A37" s="4" t="s">
        <v>19</v>
      </c>
      <c r="B37" s="4" t="s">
        <v>23</v>
      </c>
      <c r="C37" s="4" t="s">
        <v>67</v>
      </c>
      <c r="D37" s="4" t="s">
        <v>70</v>
      </c>
      <c r="E37" s="4" t="s">
        <v>196</v>
      </c>
      <c r="F37" s="4" t="s">
        <v>197</v>
      </c>
      <c r="G37" s="4" t="s">
        <v>198</v>
      </c>
      <c r="H37" s="4" t="n">
        <v>10</v>
      </c>
      <c r="I37" s="6" t="n">
        <v>21.86</v>
      </c>
      <c r="J37" s="4" t="n">
        <v>53</v>
      </c>
      <c r="K37" s="4" t="n">
        <v>53</v>
      </c>
      <c r="L37" s="6" t="n">
        <v>61.22</v>
      </c>
      <c r="M37" s="6" t="n">
        <v>0.6</v>
      </c>
      <c r="N37" s="4" t="s">
        <v>21</v>
      </c>
    </row>
    <row r="38" customFormat="false" ht="15" hidden="false" customHeight="false" outlineLevel="0" collapsed="false">
      <c r="A38" s="4" t="s">
        <v>19</v>
      </c>
      <c r="B38" s="4" t="s">
        <v>23</v>
      </c>
      <c r="C38" s="4" t="s">
        <v>67</v>
      </c>
      <c r="D38" s="4" t="s">
        <v>70</v>
      </c>
      <c r="E38" s="4" t="s">
        <v>199</v>
      </c>
      <c r="F38" s="4" t="s">
        <v>200</v>
      </c>
      <c r="G38" s="4" t="s">
        <v>192</v>
      </c>
      <c r="H38" s="4" t="n">
        <v>20</v>
      </c>
      <c r="I38" s="6" t="n">
        <v>23.96</v>
      </c>
      <c r="J38" s="4" t="n">
        <v>36</v>
      </c>
      <c r="K38" s="4" t="n">
        <v>36</v>
      </c>
      <c r="L38" s="6" t="n">
        <v>43.83</v>
      </c>
      <c r="M38" s="6" t="n">
        <v>61.52</v>
      </c>
      <c r="N38" s="4" t="s">
        <v>21</v>
      </c>
    </row>
    <row r="39" customFormat="false" ht="15" hidden="false" customHeight="false" outlineLevel="0" collapsed="false">
      <c r="A39" s="4" t="s">
        <v>19</v>
      </c>
      <c r="B39" s="4" t="s">
        <v>23</v>
      </c>
      <c r="C39" s="4" t="s">
        <v>67</v>
      </c>
      <c r="D39" s="4" t="s">
        <v>70</v>
      </c>
      <c r="E39" s="4" t="s">
        <v>201</v>
      </c>
      <c r="F39" s="4" t="s">
        <v>202</v>
      </c>
      <c r="G39" s="4" t="s">
        <v>203</v>
      </c>
      <c r="H39" s="4" t="n">
        <v>20</v>
      </c>
      <c r="I39" s="6" t="n">
        <v>22.36</v>
      </c>
      <c r="J39" s="4" t="n">
        <v>35</v>
      </c>
      <c r="K39" s="4" t="n">
        <v>34</v>
      </c>
      <c r="L39" s="6" t="n">
        <v>41.81</v>
      </c>
      <c r="M39" s="6" t="n">
        <v>4.4</v>
      </c>
      <c r="N39" s="4" t="s">
        <v>21</v>
      </c>
    </row>
    <row r="40" customFormat="false" ht="15" hidden="false" customHeight="false" outlineLevel="0" collapsed="false">
      <c r="A40" s="4" t="s">
        <v>19</v>
      </c>
      <c r="B40" s="4" t="s">
        <v>23</v>
      </c>
      <c r="C40" s="4" t="s">
        <v>67</v>
      </c>
      <c r="D40" s="4" t="s">
        <v>70</v>
      </c>
      <c r="E40" s="4" t="s">
        <v>204</v>
      </c>
      <c r="F40" s="4" t="s">
        <v>205</v>
      </c>
      <c r="G40" s="4" t="s">
        <v>192</v>
      </c>
      <c r="H40" s="4" t="n">
        <v>20</v>
      </c>
      <c r="I40" s="6" t="n">
        <v>23.96</v>
      </c>
      <c r="J40" s="4" t="n">
        <v>83</v>
      </c>
      <c r="K40" s="4" t="n">
        <v>21</v>
      </c>
      <c r="L40" s="6" t="n">
        <v>38.33</v>
      </c>
      <c r="M40" s="6" t="n">
        <v>0.5</v>
      </c>
      <c r="N40" s="4" t="s">
        <v>21</v>
      </c>
    </row>
    <row r="41" customFormat="false" ht="15" hidden="false" customHeight="false" outlineLevel="0" collapsed="false">
      <c r="A41" s="4" t="s">
        <v>19</v>
      </c>
      <c r="B41" s="4" t="s">
        <v>23</v>
      </c>
      <c r="C41" s="4" t="s">
        <v>67</v>
      </c>
      <c r="D41" s="4" t="s">
        <v>70</v>
      </c>
      <c r="E41" s="4" t="s">
        <v>206</v>
      </c>
      <c r="F41" s="4" t="s">
        <v>207</v>
      </c>
      <c r="G41" s="4" t="s">
        <v>208</v>
      </c>
      <c r="H41" s="4" t="n">
        <v>20</v>
      </c>
      <c r="I41" s="6" t="n">
        <v>19.84</v>
      </c>
      <c r="J41" s="4" t="n">
        <v>40</v>
      </c>
      <c r="K41" s="4" t="n">
        <v>35</v>
      </c>
      <c r="L41" s="6" t="n">
        <v>35.96</v>
      </c>
      <c r="M41" s="6" t="n">
        <v>39.41</v>
      </c>
      <c r="N41" s="4" t="s">
        <v>21</v>
      </c>
    </row>
    <row r="42" customFormat="false" ht="15" hidden="false" customHeight="false" outlineLevel="0" collapsed="false">
      <c r="A42" s="4" t="s">
        <v>19</v>
      </c>
      <c r="B42" s="4" t="s">
        <v>23</v>
      </c>
      <c r="C42" s="4" t="s">
        <v>67</v>
      </c>
      <c r="D42" s="4" t="s">
        <v>70</v>
      </c>
      <c r="E42" s="4" t="s">
        <v>209</v>
      </c>
      <c r="F42" s="4" t="s">
        <v>210</v>
      </c>
      <c r="G42" s="4" t="s">
        <v>211</v>
      </c>
      <c r="H42" s="4" t="n">
        <v>39</v>
      </c>
      <c r="I42" s="6" t="n">
        <v>27.16</v>
      </c>
      <c r="J42" s="4" t="n">
        <v>71</v>
      </c>
      <c r="K42" s="4" t="n">
        <v>0</v>
      </c>
      <c r="L42" s="6" t="n">
        <v>34.05</v>
      </c>
      <c r="M42" s="6" t="n">
        <v>2894.55</v>
      </c>
      <c r="N42" s="4" t="s">
        <v>21</v>
      </c>
    </row>
    <row r="43" customFormat="false" ht="15" hidden="false" customHeight="false" outlineLevel="0" collapsed="false">
      <c r="A43" s="4" t="s">
        <v>19</v>
      </c>
      <c r="B43" s="4" t="s">
        <v>23</v>
      </c>
      <c r="C43" s="4" t="s">
        <v>67</v>
      </c>
      <c r="D43" s="4" t="s">
        <v>70</v>
      </c>
      <c r="E43" s="4" t="s">
        <v>212</v>
      </c>
      <c r="F43" s="4" t="s">
        <v>213</v>
      </c>
      <c r="G43" s="4" t="s">
        <v>203</v>
      </c>
      <c r="H43" s="4" t="n">
        <v>20</v>
      </c>
      <c r="I43" s="6" t="n">
        <v>22.36</v>
      </c>
      <c r="J43" s="4" t="n">
        <v>25</v>
      </c>
      <c r="K43" s="4" t="n">
        <v>25</v>
      </c>
      <c r="L43" s="6" t="n">
        <v>28.75</v>
      </c>
      <c r="M43" s="6" t="n">
        <v>9.82</v>
      </c>
      <c r="N43" s="4" t="s">
        <v>21</v>
      </c>
    </row>
    <row r="44" customFormat="false" ht="15" hidden="false" customHeight="false" outlineLevel="0" collapsed="false">
      <c r="A44" s="4" t="s">
        <v>19</v>
      </c>
      <c r="B44" s="4" t="s">
        <v>23</v>
      </c>
      <c r="C44" s="4" t="s">
        <v>67</v>
      </c>
      <c r="D44" s="4" t="s">
        <v>70</v>
      </c>
      <c r="E44" s="4" t="s">
        <v>214</v>
      </c>
      <c r="F44" s="4" t="s">
        <v>215</v>
      </c>
      <c r="G44" s="4" t="s">
        <v>192</v>
      </c>
      <c r="H44" s="4" t="n">
        <v>20</v>
      </c>
      <c r="I44" s="6" t="n">
        <v>23.96</v>
      </c>
      <c r="J44" s="4" t="n">
        <v>32</v>
      </c>
      <c r="K44" s="4" t="n">
        <v>30</v>
      </c>
      <c r="L44" s="6" t="n">
        <v>28.72</v>
      </c>
      <c r="M44" s="6" t="n">
        <v>0</v>
      </c>
      <c r="N44" s="4" t="s">
        <v>21</v>
      </c>
    </row>
    <row r="45" customFormat="false" ht="15" hidden="false" customHeight="false" outlineLevel="0" collapsed="false">
      <c r="A45" s="4" t="s">
        <v>19</v>
      </c>
      <c r="B45" s="4" t="s">
        <v>23</v>
      </c>
      <c r="C45" s="4" t="s">
        <v>67</v>
      </c>
      <c r="D45" s="4" t="s">
        <v>70</v>
      </c>
      <c r="E45" s="4" t="s">
        <v>216</v>
      </c>
      <c r="F45" s="4" t="s">
        <v>217</v>
      </c>
      <c r="G45" s="4" t="s">
        <v>192</v>
      </c>
      <c r="H45" s="4" t="n">
        <v>20</v>
      </c>
      <c r="I45" s="6" t="n">
        <v>23.96</v>
      </c>
      <c r="J45" s="4" t="n">
        <v>141</v>
      </c>
      <c r="K45" s="4" t="n">
        <v>0</v>
      </c>
      <c r="L45" s="6" t="n">
        <v>27.71</v>
      </c>
      <c r="M45" s="6" t="n">
        <v>209.3</v>
      </c>
      <c r="N45" s="4" t="s">
        <v>21</v>
      </c>
    </row>
    <row r="46" customFormat="false" ht="15" hidden="false" customHeight="false" outlineLevel="0" collapsed="false">
      <c r="A46" s="4" t="s">
        <v>19</v>
      </c>
      <c r="B46" s="4" t="s">
        <v>23</v>
      </c>
      <c r="C46" s="4" t="s">
        <v>67</v>
      </c>
      <c r="D46" s="4" t="s">
        <v>70</v>
      </c>
      <c r="E46" s="4" t="s">
        <v>218</v>
      </c>
      <c r="F46" s="4" t="s">
        <v>219</v>
      </c>
      <c r="G46" s="4" t="s">
        <v>220</v>
      </c>
      <c r="H46" s="4" t="n">
        <v>10</v>
      </c>
      <c r="I46" s="6" t="n">
        <v>22.36</v>
      </c>
      <c r="J46" s="4" t="n">
        <v>25</v>
      </c>
      <c r="K46" s="4" t="n">
        <v>25</v>
      </c>
      <c r="L46" s="6" t="n">
        <v>22.84</v>
      </c>
      <c r="M46" s="6" t="n">
        <v>2.9</v>
      </c>
      <c r="N46" s="4" t="s">
        <v>21</v>
      </c>
    </row>
    <row r="47" customFormat="false" ht="15" hidden="false" customHeight="false" outlineLevel="0" collapsed="false">
      <c r="A47" s="4" t="s">
        <v>19</v>
      </c>
      <c r="B47" s="4" t="s">
        <v>23</v>
      </c>
      <c r="C47" s="4" t="s">
        <v>67</v>
      </c>
      <c r="D47" s="4" t="s">
        <v>70</v>
      </c>
      <c r="E47" s="4" t="s">
        <v>221</v>
      </c>
      <c r="F47" s="4" t="s">
        <v>222</v>
      </c>
      <c r="G47" s="4" t="s">
        <v>220</v>
      </c>
      <c r="H47" s="4" t="n">
        <v>10</v>
      </c>
      <c r="I47" s="6" t="n">
        <v>22.36</v>
      </c>
      <c r="J47" s="4" t="n">
        <v>19</v>
      </c>
      <c r="K47" s="4" t="n">
        <v>19</v>
      </c>
      <c r="L47" s="6" t="n">
        <v>22.46</v>
      </c>
      <c r="M47" s="6" t="n">
        <v>0</v>
      </c>
      <c r="N47" s="4" t="s">
        <v>21</v>
      </c>
    </row>
    <row r="48" customFormat="false" ht="15" hidden="false" customHeight="false" outlineLevel="0" collapsed="false">
      <c r="A48" s="4" t="s">
        <v>19</v>
      </c>
      <c r="B48" s="4" t="s">
        <v>23</v>
      </c>
      <c r="C48" s="4" t="s">
        <v>67</v>
      </c>
      <c r="D48" s="4" t="s">
        <v>70</v>
      </c>
      <c r="E48" s="4" t="s">
        <v>223</v>
      </c>
      <c r="F48" s="4" t="s">
        <v>224</v>
      </c>
      <c r="G48" s="4" t="s">
        <v>203</v>
      </c>
      <c r="H48" s="4" t="n">
        <v>20</v>
      </c>
      <c r="I48" s="6" t="n">
        <v>22.36</v>
      </c>
      <c r="J48" s="4" t="n">
        <v>31</v>
      </c>
      <c r="K48" s="4" t="n">
        <v>27</v>
      </c>
      <c r="L48" s="6" t="n">
        <v>21.25</v>
      </c>
      <c r="M48" s="6" t="n">
        <v>11.24</v>
      </c>
      <c r="N48" s="4" t="s">
        <v>21</v>
      </c>
    </row>
    <row r="49" customFormat="false" ht="15" hidden="false" customHeight="false" outlineLevel="0" collapsed="false">
      <c r="A49" s="4" t="s">
        <v>19</v>
      </c>
      <c r="B49" s="4" t="s">
        <v>23</v>
      </c>
      <c r="C49" s="4" t="s">
        <v>67</v>
      </c>
      <c r="D49" s="4" t="s">
        <v>70</v>
      </c>
      <c r="E49" s="4" t="s">
        <v>225</v>
      </c>
      <c r="F49" s="4" t="s">
        <v>226</v>
      </c>
      <c r="G49" s="4" t="s">
        <v>203</v>
      </c>
      <c r="H49" s="4" t="n">
        <v>20</v>
      </c>
      <c r="I49" s="6" t="n">
        <v>22.36</v>
      </c>
      <c r="J49" s="4" t="n">
        <v>44</v>
      </c>
      <c r="K49" s="4" t="n">
        <v>8</v>
      </c>
      <c r="L49" s="6" t="n">
        <v>19.2</v>
      </c>
      <c r="M49" s="6" t="n">
        <v>1.47</v>
      </c>
      <c r="N49" s="4" t="s">
        <v>21</v>
      </c>
    </row>
    <row r="50" customFormat="false" ht="15" hidden="false" customHeight="false" outlineLevel="0" collapsed="false">
      <c r="A50" s="4" t="s">
        <v>19</v>
      </c>
      <c r="B50" s="4" t="s">
        <v>23</v>
      </c>
      <c r="C50" s="4" t="s">
        <v>67</v>
      </c>
      <c r="D50" s="4" t="s">
        <v>70</v>
      </c>
      <c r="E50" s="4" t="s">
        <v>227</v>
      </c>
      <c r="F50" s="4" t="s">
        <v>228</v>
      </c>
      <c r="G50" s="4" t="s">
        <v>203</v>
      </c>
      <c r="H50" s="4" t="n">
        <v>20</v>
      </c>
      <c r="I50" s="6" t="n">
        <v>22.36</v>
      </c>
      <c r="J50" s="4" t="n">
        <v>19</v>
      </c>
      <c r="K50" s="4" t="n">
        <v>19</v>
      </c>
      <c r="L50" s="6" t="n">
        <v>19.11</v>
      </c>
      <c r="M50" s="6" t="n">
        <v>5.2</v>
      </c>
      <c r="N50" s="4" t="s">
        <v>21</v>
      </c>
    </row>
    <row r="51" customFormat="false" ht="15" hidden="false" customHeight="false" outlineLevel="0" collapsed="false">
      <c r="A51" s="4" t="s">
        <v>19</v>
      </c>
      <c r="B51" s="4" t="s">
        <v>23</v>
      </c>
      <c r="C51" s="4" t="s">
        <v>67</v>
      </c>
      <c r="D51" s="4" t="s">
        <v>70</v>
      </c>
      <c r="E51" s="4" t="s">
        <v>229</v>
      </c>
      <c r="F51" s="4" t="s">
        <v>230</v>
      </c>
      <c r="G51" s="4" t="s">
        <v>203</v>
      </c>
      <c r="H51" s="4" t="n">
        <v>20</v>
      </c>
      <c r="I51" s="6" t="n">
        <v>22.36</v>
      </c>
      <c r="J51" s="4" t="n">
        <v>31</v>
      </c>
      <c r="K51" s="4" t="n">
        <v>25</v>
      </c>
      <c r="L51" s="6" t="n">
        <v>18.02</v>
      </c>
      <c r="M51" s="6" t="n">
        <v>4.53</v>
      </c>
      <c r="N51" s="4" t="s">
        <v>21</v>
      </c>
    </row>
    <row r="52" customFormat="false" ht="15" hidden="false" customHeight="false" outlineLevel="0" collapsed="false">
      <c r="A52" s="4" t="s">
        <v>19</v>
      </c>
      <c r="B52" s="4" t="s">
        <v>23</v>
      </c>
      <c r="C52" s="4" t="s">
        <v>67</v>
      </c>
      <c r="D52" s="4" t="s">
        <v>70</v>
      </c>
      <c r="E52" s="4" t="s">
        <v>231</v>
      </c>
      <c r="F52" s="4" t="s">
        <v>232</v>
      </c>
      <c r="G52" s="4" t="s">
        <v>233</v>
      </c>
      <c r="H52" s="4" t="n">
        <v>20</v>
      </c>
      <c r="I52" s="6" t="n">
        <v>20.76</v>
      </c>
      <c r="J52" s="4" t="n">
        <v>64</v>
      </c>
      <c r="K52" s="4" t="n">
        <v>0</v>
      </c>
      <c r="L52" s="6" t="n">
        <v>17.78</v>
      </c>
      <c r="M52" s="6" t="n">
        <v>4.28</v>
      </c>
      <c r="N52" s="4" t="s">
        <v>21</v>
      </c>
    </row>
    <row r="53" customFormat="false" ht="15" hidden="false" customHeight="false" outlineLevel="0" collapsed="false">
      <c r="A53" s="4" t="s">
        <v>19</v>
      </c>
      <c r="B53" s="4" t="s">
        <v>23</v>
      </c>
      <c r="C53" s="4" t="s">
        <v>67</v>
      </c>
      <c r="D53" s="4" t="s">
        <v>70</v>
      </c>
      <c r="E53" s="4" t="s">
        <v>234</v>
      </c>
      <c r="F53" s="4" t="s">
        <v>235</v>
      </c>
      <c r="G53" s="4" t="s">
        <v>203</v>
      </c>
      <c r="H53" s="4" t="n">
        <v>20</v>
      </c>
      <c r="I53" s="6" t="n">
        <v>22.36</v>
      </c>
      <c r="J53" s="4" t="n">
        <v>45</v>
      </c>
      <c r="K53" s="4" t="n">
        <v>15</v>
      </c>
      <c r="L53" s="6" t="n">
        <v>17.53</v>
      </c>
      <c r="M53" s="6" t="n">
        <v>0</v>
      </c>
      <c r="N53" s="4" t="s">
        <v>21</v>
      </c>
    </row>
    <row r="54" customFormat="false" ht="15" hidden="false" customHeight="false" outlineLevel="0" collapsed="false">
      <c r="A54" s="4" t="s">
        <v>19</v>
      </c>
      <c r="B54" s="4" t="s">
        <v>23</v>
      </c>
      <c r="C54" s="4" t="s">
        <v>67</v>
      </c>
      <c r="D54" s="4" t="s">
        <v>70</v>
      </c>
      <c r="E54" s="4" t="s">
        <v>236</v>
      </c>
      <c r="F54" s="4" t="s">
        <v>237</v>
      </c>
      <c r="G54" s="4" t="s">
        <v>220</v>
      </c>
      <c r="H54" s="4" t="n">
        <v>10</v>
      </c>
      <c r="I54" s="6" t="n">
        <v>22.36</v>
      </c>
      <c r="J54" s="4" t="n">
        <v>24</v>
      </c>
      <c r="K54" s="4" t="n">
        <v>12</v>
      </c>
      <c r="L54" s="6" t="n">
        <v>15.6</v>
      </c>
      <c r="M54" s="6" t="n">
        <v>8.42</v>
      </c>
      <c r="N54" s="4" t="s">
        <v>21</v>
      </c>
    </row>
    <row r="55" customFormat="false" ht="15" hidden="false" customHeight="false" outlineLevel="0" collapsed="false">
      <c r="A55" s="4" t="s">
        <v>19</v>
      </c>
      <c r="B55" s="4" t="s">
        <v>23</v>
      </c>
      <c r="C55" s="4" t="s">
        <v>67</v>
      </c>
      <c r="D55" s="4" t="s">
        <v>70</v>
      </c>
      <c r="E55" s="4" t="s">
        <v>238</v>
      </c>
      <c r="F55" s="4" t="s">
        <v>239</v>
      </c>
      <c r="G55" s="4" t="s">
        <v>220</v>
      </c>
      <c r="H55" s="4" t="n">
        <v>10</v>
      </c>
      <c r="I55" s="6" t="n">
        <v>22.36</v>
      </c>
      <c r="J55" s="4" t="n">
        <v>16</v>
      </c>
      <c r="K55" s="4" t="n">
        <v>16</v>
      </c>
      <c r="L55" s="6" t="n">
        <v>13.72</v>
      </c>
      <c r="M55" s="6" t="n">
        <v>1.35</v>
      </c>
      <c r="N55" s="4" t="s">
        <v>21</v>
      </c>
    </row>
    <row r="56" customFormat="false" ht="15" hidden="false" customHeight="false" outlineLevel="0" collapsed="false">
      <c r="A56" s="4" t="s">
        <v>19</v>
      </c>
      <c r="B56" s="4" t="s">
        <v>23</v>
      </c>
      <c r="C56" s="4" t="s">
        <v>67</v>
      </c>
      <c r="D56" s="4" t="s">
        <v>70</v>
      </c>
      <c r="E56" s="4" t="s">
        <v>240</v>
      </c>
      <c r="F56" s="4" t="s">
        <v>241</v>
      </c>
      <c r="G56" s="4" t="s">
        <v>242</v>
      </c>
      <c r="H56" s="4" t="n">
        <v>10</v>
      </c>
      <c r="I56" s="6" t="n">
        <v>21.36</v>
      </c>
      <c r="J56" s="4" t="n">
        <v>11</v>
      </c>
      <c r="K56" s="4" t="n">
        <v>11</v>
      </c>
      <c r="L56" s="6" t="n">
        <v>12.33</v>
      </c>
      <c r="M56" s="6" t="n">
        <v>2.27</v>
      </c>
      <c r="N56" s="4" t="s">
        <v>21</v>
      </c>
    </row>
    <row r="57" customFormat="false" ht="15" hidden="false" customHeight="false" outlineLevel="0" collapsed="false">
      <c r="A57" s="4" t="s">
        <v>19</v>
      </c>
      <c r="B57" s="4" t="s">
        <v>23</v>
      </c>
      <c r="C57" s="4" t="s">
        <v>67</v>
      </c>
      <c r="D57" s="4" t="s">
        <v>70</v>
      </c>
      <c r="E57" s="4" t="s">
        <v>243</v>
      </c>
      <c r="F57" s="4" t="s">
        <v>244</v>
      </c>
      <c r="G57" s="4" t="s">
        <v>220</v>
      </c>
      <c r="H57" s="4" t="n">
        <v>10</v>
      </c>
      <c r="I57" s="6" t="n">
        <v>22.36</v>
      </c>
      <c r="J57" s="4" t="n">
        <v>8</v>
      </c>
      <c r="K57" s="4" t="n">
        <v>8</v>
      </c>
      <c r="L57" s="6" t="n">
        <v>11.02</v>
      </c>
      <c r="M57" s="6" t="n">
        <v>5.08</v>
      </c>
      <c r="N57" s="4" t="s">
        <v>21</v>
      </c>
    </row>
    <row r="58" customFormat="false" ht="15" hidden="false" customHeight="false" outlineLevel="0" collapsed="false">
      <c r="A58" s="4" t="s">
        <v>19</v>
      </c>
      <c r="B58" s="4" t="s">
        <v>23</v>
      </c>
      <c r="C58" s="4" t="s">
        <v>67</v>
      </c>
      <c r="D58" s="4" t="s">
        <v>70</v>
      </c>
      <c r="E58" s="4" t="s">
        <v>245</v>
      </c>
      <c r="F58" s="4" t="s">
        <v>246</v>
      </c>
      <c r="G58" s="4" t="s">
        <v>247</v>
      </c>
      <c r="H58" s="4" t="n">
        <v>20</v>
      </c>
      <c r="I58" s="6" t="n">
        <v>22.36</v>
      </c>
      <c r="J58" s="4" t="n">
        <v>53</v>
      </c>
      <c r="K58" s="4" t="n">
        <v>0</v>
      </c>
      <c r="L58" s="6" t="n">
        <v>10.15</v>
      </c>
      <c r="M58" s="6" t="n">
        <v>0</v>
      </c>
      <c r="N58" s="4" t="s">
        <v>21</v>
      </c>
    </row>
    <row r="59" customFormat="false" ht="15" hidden="false" customHeight="false" outlineLevel="0" collapsed="false">
      <c r="A59" s="4" t="s">
        <v>19</v>
      </c>
      <c r="B59" s="4" t="s">
        <v>23</v>
      </c>
      <c r="C59" s="4" t="s">
        <v>67</v>
      </c>
      <c r="D59" s="4" t="s">
        <v>70</v>
      </c>
      <c r="E59" s="4" t="s">
        <v>248</v>
      </c>
      <c r="F59" s="4" t="s">
        <v>249</v>
      </c>
      <c r="G59" s="4" t="s">
        <v>192</v>
      </c>
      <c r="H59" s="4" t="n">
        <v>20</v>
      </c>
      <c r="I59" s="6" t="n">
        <v>23.96</v>
      </c>
      <c r="J59" s="4" t="n">
        <v>10</v>
      </c>
      <c r="K59" s="4" t="n">
        <v>8</v>
      </c>
      <c r="L59" s="6" t="n">
        <v>9.11</v>
      </c>
      <c r="M59" s="6" t="n">
        <v>7.39</v>
      </c>
      <c r="N59" s="4" t="s">
        <v>21</v>
      </c>
    </row>
    <row r="60" customFormat="false" ht="15" hidden="false" customHeight="false" outlineLevel="0" collapsed="false">
      <c r="A60" s="4" t="s">
        <v>19</v>
      </c>
      <c r="B60" s="4" t="s">
        <v>23</v>
      </c>
      <c r="C60" s="4" t="s">
        <v>67</v>
      </c>
      <c r="D60" s="4" t="s">
        <v>70</v>
      </c>
      <c r="E60" s="4" t="s">
        <v>250</v>
      </c>
      <c r="F60" s="4" t="s">
        <v>251</v>
      </c>
      <c r="G60" s="4" t="s">
        <v>195</v>
      </c>
      <c r="H60" s="4" t="n">
        <v>10</v>
      </c>
      <c r="I60" s="6" t="n">
        <v>23.96</v>
      </c>
      <c r="J60" s="4" t="n">
        <v>56</v>
      </c>
      <c r="K60" s="4" t="n">
        <v>0</v>
      </c>
      <c r="L60" s="6" t="n">
        <v>9.11</v>
      </c>
      <c r="M60" s="6" t="n">
        <v>0.9</v>
      </c>
      <c r="N60" s="4" t="s">
        <v>21</v>
      </c>
    </row>
    <row r="61" customFormat="false" ht="15" hidden="false" customHeight="false" outlineLevel="0" collapsed="false">
      <c r="A61" s="4" t="s">
        <v>19</v>
      </c>
      <c r="B61" s="4" t="s">
        <v>23</v>
      </c>
      <c r="C61" s="4" t="s">
        <v>67</v>
      </c>
      <c r="D61" s="4" t="s">
        <v>70</v>
      </c>
      <c r="E61" s="4" t="s">
        <v>252</v>
      </c>
      <c r="F61" s="4" t="s">
        <v>253</v>
      </c>
      <c r="G61" s="4" t="s">
        <v>220</v>
      </c>
      <c r="H61" s="4" t="n">
        <v>10</v>
      </c>
      <c r="I61" s="6" t="n">
        <v>22.36</v>
      </c>
      <c r="J61" s="4" t="n">
        <v>24</v>
      </c>
      <c r="K61" s="4" t="n">
        <v>0</v>
      </c>
      <c r="L61" s="6" t="n">
        <v>6.49</v>
      </c>
      <c r="M61" s="6" t="n">
        <v>0</v>
      </c>
      <c r="N61" s="4" t="s">
        <v>21</v>
      </c>
    </row>
    <row r="62" customFormat="false" ht="15" hidden="false" customHeight="false" outlineLevel="0" collapsed="false">
      <c r="A62" s="4" t="s">
        <v>19</v>
      </c>
      <c r="B62" s="4" t="s">
        <v>23</v>
      </c>
      <c r="C62" s="4" t="s">
        <v>67</v>
      </c>
      <c r="D62" s="4" t="s">
        <v>70</v>
      </c>
      <c r="E62" s="4" t="s">
        <v>254</v>
      </c>
      <c r="F62" s="4" t="s">
        <v>255</v>
      </c>
      <c r="G62" s="4" t="s">
        <v>220</v>
      </c>
      <c r="H62" s="4" t="n">
        <v>10</v>
      </c>
      <c r="I62" s="6" t="n">
        <v>22.36</v>
      </c>
      <c r="J62" s="4" t="n">
        <v>23</v>
      </c>
      <c r="K62" s="4" t="n">
        <v>0</v>
      </c>
      <c r="L62" s="6" t="n">
        <v>4.88</v>
      </c>
      <c r="M62" s="6" t="n">
        <v>45.67</v>
      </c>
      <c r="N62" s="4" t="s">
        <v>21</v>
      </c>
    </row>
    <row r="63" customFormat="false" ht="15" hidden="false" customHeight="false" outlineLevel="0" collapsed="false">
      <c r="A63" s="4" t="s">
        <v>19</v>
      </c>
      <c r="B63" s="4" t="s">
        <v>23</v>
      </c>
      <c r="C63" s="4" t="s">
        <v>67</v>
      </c>
      <c r="D63" s="4" t="s">
        <v>70</v>
      </c>
      <c r="E63" s="4" t="s">
        <v>256</v>
      </c>
      <c r="F63" s="4" t="s">
        <v>257</v>
      </c>
      <c r="G63" s="4" t="s">
        <v>203</v>
      </c>
      <c r="H63" s="4" t="n">
        <v>20</v>
      </c>
      <c r="I63" s="6" t="n">
        <v>22.36</v>
      </c>
      <c r="J63" s="4" t="n">
        <v>4</v>
      </c>
      <c r="K63" s="4" t="n">
        <v>4</v>
      </c>
      <c r="L63" s="6" t="n">
        <v>4.1</v>
      </c>
      <c r="M63" s="6" t="n">
        <v>3.2</v>
      </c>
      <c r="N63" s="4" t="s">
        <v>21</v>
      </c>
    </row>
    <row r="64" customFormat="false" ht="15" hidden="false" customHeight="false" outlineLevel="0" collapsed="false">
      <c r="A64" s="4" t="s">
        <v>19</v>
      </c>
      <c r="B64" s="4" t="s">
        <v>23</v>
      </c>
      <c r="C64" s="4" t="s">
        <v>67</v>
      </c>
      <c r="D64" s="4" t="s">
        <v>70</v>
      </c>
      <c r="E64" s="4" t="s">
        <v>258</v>
      </c>
      <c r="F64" s="4" t="s">
        <v>259</v>
      </c>
      <c r="G64" s="4" t="s">
        <v>195</v>
      </c>
      <c r="H64" s="4" t="n">
        <v>10</v>
      </c>
      <c r="I64" s="6" t="n">
        <v>23.96</v>
      </c>
      <c r="J64" s="4" t="n">
        <v>2</v>
      </c>
      <c r="K64" s="4" t="n">
        <v>2</v>
      </c>
      <c r="L64" s="6" t="n">
        <v>2.41</v>
      </c>
      <c r="M64" s="6" t="n">
        <v>2.39</v>
      </c>
      <c r="N64" s="4" t="s">
        <v>21</v>
      </c>
    </row>
    <row r="65" customFormat="false" ht="15" hidden="false" customHeight="false" outlineLevel="0" collapsed="false">
      <c r="A65" s="4" t="s">
        <v>19</v>
      </c>
      <c r="B65" s="4" t="s">
        <v>23</v>
      </c>
      <c r="C65" s="4" t="s">
        <v>67</v>
      </c>
      <c r="D65" s="4" t="s">
        <v>70</v>
      </c>
      <c r="E65" s="4" t="s">
        <v>260</v>
      </c>
      <c r="F65" s="4" t="s">
        <v>261</v>
      </c>
      <c r="G65" s="4" t="s">
        <v>203</v>
      </c>
      <c r="H65" s="4" t="n">
        <v>20</v>
      </c>
      <c r="I65" s="6" t="n">
        <v>22.36</v>
      </c>
      <c r="J65" s="4" t="n">
        <v>4</v>
      </c>
      <c r="K65" s="4" t="n">
        <v>0</v>
      </c>
      <c r="L65" s="6" t="n">
        <v>0.83</v>
      </c>
      <c r="M65" s="6" t="n">
        <v>1.35</v>
      </c>
      <c r="N65" s="4" t="s">
        <v>21</v>
      </c>
    </row>
    <row r="66" customFormat="false" ht="15" hidden="false" customHeight="false" outlineLevel="0" collapsed="false">
      <c r="A66" s="4" t="s">
        <v>19</v>
      </c>
      <c r="B66" s="4" t="s">
        <v>23</v>
      </c>
      <c r="C66" s="4" t="s">
        <v>67</v>
      </c>
      <c r="D66" s="4" t="s">
        <v>70</v>
      </c>
      <c r="E66" s="4" t="s">
        <v>262</v>
      </c>
      <c r="F66" s="4" t="s">
        <v>263</v>
      </c>
      <c r="G66" s="4" t="s">
        <v>203</v>
      </c>
      <c r="H66" s="4" t="n">
        <v>20</v>
      </c>
      <c r="I66" s="6" t="n">
        <v>22.36</v>
      </c>
      <c r="J66" s="4" t="n">
        <v>3</v>
      </c>
      <c r="K66" s="4" t="n">
        <v>0</v>
      </c>
      <c r="L66" s="6" t="n">
        <v>0.52</v>
      </c>
      <c r="M66" s="6" t="n">
        <v>4.5</v>
      </c>
      <c r="N66" s="4" t="s">
        <v>21</v>
      </c>
    </row>
    <row r="67" customFormat="false" ht="15" hidden="false" customHeight="false" outlineLevel="0" collapsed="false">
      <c r="A67" s="4" t="s">
        <v>19</v>
      </c>
      <c r="B67" s="4" t="s">
        <v>24</v>
      </c>
      <c r="C67" s="4" t="s">
        <v>72</v>
      </c>
      <c r="D67" s="4" t="s">
        <v>75</v>
      </c>
      <c r="E67" s="4" t="s">
        <v>264</v>
      </c>
      <c r="F67" s="4" t="s">
        <v>265</v>
      </c>
      <c r="G67" s="4" t="s">
        <v>266</v>
      </c>
      <c r="H67" s="4" t="n">
        <v>10</v>
      </c>
      <c r="I67" s="6" t="n">
        <v>35.96</v>
      </c>
      <c r="J67" s="4" t="n">
        <v>298</v>
      </c>
      <c r="K67" s="4" t="n">
        <v>279</v>
      </c>
      <c r="L67" s="6" t="n">
        <v>95.93</v>
      </c>
      <c r="M67" s="6" t="n">
        <v>3.25</v>
      </c>
      <c r="N67" s="4" t="s">
        <v>21</v>
      </c>
    </row>
    <row r="68" customFormat="false" ht="15" hidden="false" customHeight="false" outlineLevel="0" collapsed="false">
      <c r="A68" s="4" t="s">
        <v>19</v>
      </c>
      <c r="B68" s="4" t="s">
        <v>24</v>
      </c>
      <c r="C68" s="4" t="s">
        <v>72</v>
      </c>
      <c r="D68" s="4" t="s">
        <v>75</v>
      </c>
      <c r="E68" s="4" t="s">
        <v>267</v>
      </c>
      <c r="F68" s="4" t="s">
        <v>268</v>
      </c>
      <c r="G68" s="4" t="s">
        <v>269</v>
      </c>
      <c r="H68" s="4" t="n">
        <v>10</v>
      </c>
      <c r="I68" s="6" t="n">
        <v>43.96</v>
      </c>
      <c r="J68" s="4" t="n">
        <v>431</v>
      </c>
      <c r="K68" s="4" t="n">
        <v>430</v>
      </c>
      <c r="L68" s="6" t="n">
        <v>80.7</v>
      </c>
      <c r="M68" s="6" t="n">
        <v>2.53</v>
      </c>
      <c r="N68" s="4" t="s">
        <v>21</v>
      </c>
    </row>
    <row r="69" customFormat="false" ht="15" hidden="false" customHeight="false" outlineLevel="0" collapsed="false">
      <c r="A69" s="4" t="s">
        <v>19</v>
      </c>
      <c r="B69" s="4" t="s">
        <v>24</v>
      </c>
      <c r="C69" s="4" t="s">
        <v>72</v>
      </c>
      <c r="D69" s="4" t="s">
        <v>75</v>
      </c>
      <c r="E69" s="4" t="s">
        <v>270</v>
      </c>
      <c r="F69" s="4" t="s">
        <v>271</v>
      </c>
      <c r="G69" s="4" t="s">
        <v>266</v>
      </c>
      <c r="H69" s="4" t="n">
        <v>10</v>
      </c>
      <c r="I69" s="6" t="n">
        <v>35.96</v>
      </c>
      <c r="J69" s="4" t="n">
        <v>217</v>
      </c>
      <c r="K69" s="4" t="n">
        <v>209</v>
      </c>
      <c r="L69" s="6" t="n">
        <v>67.36</v>
      </c>
      <c r="M69" s="6" t="n">
        <v>7.22</v>
      </c>
      <c r="N69" s="4" t="s">
        <v>21</v>
      </c>
    </row>
    <row r="70" customFormat="false" ht="15" hidden="false" customHeight="false" outlineLevel="0" collapsed="false">
      <c r="A70" s="4" t="s">
        <v>19</v>
      </c>
      <c r="B70" s="4" t="s">
        <v>24</v>
      </c>
      <c r="C70" s="4" t="s">
        <v>72</v>
      </c>
      <c r="D70" s="4" t="s">
        <v>75</v>
      </c>
      <c r="E70" s="4" t="s">
        <v>272</v>
      </c>
      <c r="F70" s="4" t="s">
        <v>273</v>
      </c>
      <c r="G70" s="4" t="s">
        <v>274</v>
      </c>
      <c r="H70" s="4" t="n">
        <v>10</v>
      </c>
      <c r="I70" s="6" t="n">
        <v>39.96</v>
      </c>
      <c r="J70" s="4" t="n">
        <v>213</v>
      </c>
      <c r="K70" s="4" t="n">
        <v>209</v>
      </c>
      <c r="L70" s="6" t="n">
        <v>43.99</v>
      </c>
      <c r="M70" s="6" t="n">
        <v>0</v>
      </c>
      <c r="N70" s="4" t="s">
        <v>21</v>
      </c>
    </row>
    <row r="71" customFormat="false" ht="15" hidden="false" customHeight="false" outlineLevel="0" collapsed="false">
      <c r="A71" s="4" t="s">
        <v>19</v>
      </c>
      <c r="B71" s="4" t="s">
        <v>24</v>
      </c>
      <c r="C71" s="4" t="s">
        <v>72</v>
      </c>
      <c r="D71" s="4" t="s">
        <v>75</v>
      </c>
      <c r="E71" s="4" t="s">
        <v>275</v>
      </c>
      <c r="F71" s="4" t="s">
        <v>276</v>
      </c>
      <c r="G71" s="4" t="s">
        <v>266</v>
      </c>
      <c r="H71" s="4" t="n">
        <v>10</v>
      </c>
      <c r="I71" s="6" t="n">
        <v>35.96</v>
      </c>
      <c r="J71" s="4" t="n">
        <v>256</v>
      </c>
      <c r="K71" s="4" t="n">
        <v>208</v>
      </c>
      <c r="L71" s="6" t="n">
        <v>34.96</v>
      </c>
      <c r="M71" s="6" t="n">
        <v>621.11</v>
      </c>
      <c r="N71" s="4" t="s">
        <v>21</v>
      </c>
    </row>
    <row r="72" customFormat="false" ht="15" hidden="false" customHeight="false" outlineLevel="0" collapsed="false">
      <c r="A72" s="4" t="s">
        <v>19</v>
      </c>
      <c r="B72" s="4" t="s">
        <v>24</v>
      </c>
      <c r="C72" s="4" t="s">
        <v>72</v>
      </c>
      <c r="D72" s="4" t="s">
        <v>75</v>
      </c>
      <c r="E72" s="4" t="s">
        <v>277</v>
      </c>
      <c r="F72" s="4" t="s">
        <v>278</v>
      </c>
      <c r="G72" s="4" t="s">
        <v>274</v>
      </c>
      <c r="H72" s="4" t="n">
        <v>10</v>
      </c>
      <c r="I72" s="6" t="n">
        <v>39.96</v>
      </c>
      <c r="J72" s="4" t="n">
        <v>120</v>
      </c>
      <c r="K72" s="4" t="n">
        <v>113</v>
      </c>
      <c r="L72" s="6" t="n">
        <v>24.15</v>
      </c>
      <c r="M72" s="6" t="n">
        <v>1.95</v>
      </c>
      <c r="N72" s="4" t="s">
        <v>21</v>
      </c>
    </row>
    <row r="73" customFormat="false" ht="15" hidden="false" customHeight="false" outlineLevel="0" collapsed="false">
      <c r="A73" s="4" t="s">
        <v>19</v>
      </c>
      <c r="B73" s="4" t="s">
        <v>24</v>
      </c>
      <c r="C73" s="4" t="s">
        <v>72</v>
      </c>
      <c r="D73" s="4" t="s">
        <v>75</v>
      </c>
      <c r="E73" s="4" t="s">
        <v>279</v>
      </c>
      <c r="F73" s="4" t="s">
        <v>280</v>
      </c>
      <c r="G73" s="4" t="s">
        <v>274</v>
      </c>
      <c r="H73" s="4" t="n">
        <v>10</v>
      </c>
      <c r="I73" s="6" t="n">
        <v>39.96</v>
      </c>
      <c r="J73" s="4" t="n">
        <v>150</v>
      </c>
      <c r="K73" s="4" t="n">
        <v>84</v>
      </c>
      <c r="L73" s="6" t="n">
        <v>20.84</v>
      </c>
      <c r="M73" s="6" t="n">
        <v>0</v>
      </c>
      <c r="N73" s="4" t="s">
        <v>21</v>
      </c>
    </row>
    <row r="74" customFormat="false" ht="15" hidden="false" customHeight="false" outlineLevel="0" collapsed="false">
      <c r="A74" s="4" t="s">
        <v>19</v>
      </c>
      <c r="B74" s="4" t="s">
        <v>24</v>
      </c>
      <c r="C74" s="4" t="s">
        <v>72</v>
      </c>
      <c r="D74" s="4" t="s">
        <v>75</v>
      </c>
      <c r="E74" s="4" t="s">
        <v>281</v>
      </c>
      <c r="F74" s="4" t="s">
        <v>282</v>
      </c>
      <c r="G74" s="4" t="s">
        <v>274</v>
      </c>
      <c r="H74" s="4" t="n">
        <v>10</v>
      </c>
      <c r="I74" s="6" t="n">
        <v>39.96</v>
      </c>
      <c r="J74" s="4" t="n">
        <v>109</v>
      </c>
      <c r="K74" s="4" t="n">
        <v>100</v>
      </c>
      <c r="L74" s="6" t="n">
        <v>17.21</v>
      </c>
      <c r="M74" s="6" t="n">
        <v>0.65</v>
      </c>
      <c r="N74" s="4" t="s">
        <v>21</v>
      </c>
    </row>
    <row r="75" customFormat="false" ht="15" hidden="false" customHeight="false" outlineLevel="0" collapsed="false">
      <c r="A75" s="4" t="s">
        <v>19</v>
      </c>
      <c r="B75" s="4" t="s">
        <v>24</v>
      </c>
      <c r="C75" s="4" t="s">
        <v>72</v>
      </c>
      <c r="D75" s="4" t="s">
        <v>75</v>
      </c>
      <c r="E75" s="4" t="s">
        <v>283</v>
      </c>
      <c r="F75" s="4" t="s">
        <v>284</v>
      </c>
      <c r="G75" s="4" t="s">
        <v>274</v>
      </c>
      <c r="H75" s="4" t="n">
        <v>10</v>
      </c>
      <c r="I75" s="6" t="n">
        <v>39.96</v>
      </c>
      <c r="J75" s="4" t="n">
        <v>86</v>
      </c>
      <c r="K75" s="4" t="n">
        <v>85</v>
      </c>
      <c r="L75" s="6" t="n">
        <v>13.79</v>
      </c>
      <c r="M75" s="6" t="n">
        <v>0.9</v>
      </c>
      <c r="N75" s="4" t="s">
        <v>21</v>
      </c>
    </row>
    <row r="76" customFormat="false" ht="15" hidden="false" customHeight="false" outlineLevel="0" collapsed="false">
      <c r="A76" s="4" t="s">
        <v>19</v>
      </c>
      <c r="B76" s="4" t="s">
        <v>24</v>
      </c>
      <c r="C76" s="4" t="s">
        <v>72</v>
      </c>
      <c r="D76" s="4" t="s">
        <v>75</v>
      </c>
      <c r="E76" s="4" t="s">
        <v>285</v>
      </c>
      <c r="F76" s="4" t="s">
        <v>286</v>
      </c>
      <c r="G76" s="4" t="s">
        <v>274</v>
      </c>
      <c r="H76" s="4" t="n">
        <v>10</v>
      </c>
      <c r="I76" s="6" t="n">
        <v>39.96</v>
      </c>
      <c r="J76" s="4" t="n">
        <v>33</v>
      </c>
      <c r="K76" s="4" t="n">
        <v>28</v>
      </c>
      <c r="L76" s="6" t="n">
        <v>6.09</v>
      </c>
      <c r="M76" s="6" t="n">
        <v>0</v>
      </c>
      <c r="N76" s="4" t="s">
        <v>21</v>
      </c>
    </row>
    <row r="77" customFormat="false" ht="15" hidden="false" customHeight="false" outlineLevel="0" collapsed="false">
      <c r="A77" s="4" t="s">
        <v>19</v>
      </c>
      <c r="B77" s="4" t="s">
        <v>24</v>
      </c>
      <c r="C77" s="4" t="s">
        <v>72</v>
      </c>
      <c r="D77" s="4" t="s">
        <v>75</v>
      </c>
      <c r="E77" s="4" t="s">
        <v>287</v>
      </c>
      <c r="F77" s="4" t="s">
        <v>288</v>
      </c>
      <c r="G77" s="4" t="s">
        <v>266</v>
      </c>
      <c r="H77" s="4" t="n">
        <v>10</v>
      </c>
      <c r="I77" s="6" t="n">
        <v>35.96</v>
      </c>
      <c r="J77" s="4" t="n">
        <v>16</v>
      </c>
      <c r="K77" s="4" t="n">
        <v>7</v>
      </c>
      <c r="L77" s="6" t="n">
        <v>1.91</v>
      </c>
      <c r="M77" s="6" t="n">
        <v>6.06</v>
      </c>
      <c r="N77" s="4" t="s">
        <v>21</v>
      </c>
    </row>
    <row r="78" customFormat="false" ht="15" hidden="false" customHeight="false" outlineLevel="0" collapsed="false">
      <c r="A78" s="4" t="s">
        <v>25</v>
      </c>
      <c r="B78" s="4" t="s">
        <v>20</v>
      </c>
      <c r="C78" s="4" t="s">
        <v>77</v>
      </c>
      <c r="D78" s="4" t="s">
        <v>81</v>
      </c>
      <c r="E78" s="4" t="s">
        <v>124</v>
      </c>
      <c r="F78" s="4" t="s">
        <v>125</v>
      </c>
      <c r="G78" s="4" t="s">
        <v>289</v>
      </c>
      <c r="H78" s="4" t="n">
        <v>10</v>
      </c>
      <c r="I78" s="6" t="n">
        <v>79.99</v>
      </c>
      <c r="J78" s="4" t="n">
        <v>49</v>
      </c>
      <c r="K78" s="4" t="n">
        <v>48</v>
      </c>
      <c r="L78" s="6" t="n">
        <v>113.7</v>
      </c>
      <c r="M78" s="6" t="n">
        <v>1375.06</v>
      </c>
      <c r="N78" s="4" t="s">
        <v>26</v>
      </c>
    </row>
    <row r="79" customFormat="false" ht="15" hidden="false" customHeight="false" outlineLevel="0" collapsed="false">
      <c r="A79" s="4" t="s">
        <v>25</v>
      </c>
      <c r="B79" s="4" t="s">
        <v>20</v>
      </c>
      <c r="C79" s="4" t="s">
        <v>77</v>
      </c>
      <c r="D79" s="4" t="s">
        <v>81</v>
      </c>
      <c r="E79" s="4" t="s">
        <v>290</v>
      </c>
      <c r="F79" s="4" t="s">
        <v>291</v>
      </c>
      <c r="G79" s="4" t="s">
        <v>292</v>
      </c>
      <c r="H79" s="4" t="n">
        <v>10</v>
      </c>
      <c r="I79" s="6" t="n">
        <v>79.99</v>
      </c>
      <c r="J79" s="4" t="n">
        <v>11</v>
      </c>
      <c r="K79" s="4" t="n">
        <v>10</v>
      </c>
      <c r="L79" s="6" t="n">
        <v>37.41</v>
      </c>
      <c r="M79" s="6" t="n">
        <v>27.93</v>
      </c>
      <c r="N79" s="4" t="s">
        <v>26</v>
      </c>
    </row>
    <row r="80" customFormat="false" ht="15" hidden="false" customHeight="false" outlineLevel="0" collapsed="false">
      <c r="A80" s="4" t="s">
        <v>25</v>
      </c>
      <c r="B80" s="4" t="s">
        <v>20</v>
      </c>
      <c r="C80" s="4" t="s">
        <v>77</v>
      </c>
      <c r="D80" s="4" t="s">
        <v>81</v>
      </c>
      <c r="E80" s="4" t="s">
        <v>293</v>
      </c>
      <c r="F80" s="4" t="s">
        <v>294</v>
      </c>
      <c r="G80" s="4" t="s">
        <v>295</v>
      </c>
      <c r="H80" s="4" t="n">
        <v>10</v>
      </c>
      <c r="I80" s="6" t="n">
        <v>79.99</v>
      </c>
      <c r="J80" s="4" t="n">
        <v>11</v>
      </c>
      <c r="K80" s="4" t="n">
        <v>11</v>
      </c>
      <c r="L80" s="6" t="n">
        <v>21.44</v>
      </c>
      <c r="M80" s="6" t="n">
        <v>0.5</v>
      </c>
      <c r="N80" s="4" t="s">
        <v>26</v>
      </c>
    </row>
    <row r="81" customFormat="false" ht="15" hidden="false" customHeight="false" outlineLevel="0" collapsed="false">
      <c r="A81" s="4" t="s">
        <v>25</v>
      </c>
      <c r="B81" s="4" t="s">
        <v>20</v>
      </c>
      <c r="C81" s="4" t="s">
        <v>77</v>
      </c>
      <c r="D81" s="4" t="s">
        <v>81</v>
      </c>
      <c r="E81" s="4" t="s">
        <v>296</v>
      </c>
      <c r="F81" s="4" t="s">
        <v>297</v>
      </c>
      <c r="G81" s="4" t="s">
        <v>295</v>
      </c>
      <c r="H81" s="4" t="n">
        <v>10</v>
      </c>
      <c r="I81" s="6" t="n">
        <v>79.99</v>
      </c>
      <c r="J81" s="4" t="n">
        <v>6</v>
      </c>
      <c r="K81" s="4" t="n">
        <v>5</v>
      </c>
      <c r="L81" s="6" t="n">
        <v>9.48</v>
      </c>
      <c r="M81" s="6" t="n">
        <v>32.09</v>
      </c>
      <c r="N81" s="4" t="s">
        <v>26</v>
      </c>
    </row>
    <row r="82" customFormat="false" ht="15" hidden="false" customHeight="false" outlineLevel="0" collapsed="false">
      <c r="A82" s="4" t="s">
        <v>25</v>
      </c>
      <c r="B82" s="4" t="s">
        <v>20</v>
      </c>
      <c r="C82" s="4" t="s">
        <v>77</v>
      </c>
      <c r="D82" s="4" t="s">
        <v>81</v>
      </c>
      <c r="E82" s="4" t="s">
        <v>298</v>
      </c>
      <c r="F82" s="4" t="s">
        <v>299</v>
      </c>
      <c r="G82" s="4" t="s">
        <v>300</v>
      </c>
      <c r="H82" s="4" t="n">
        <v>5</v>
      </c>
      <c r="I82" s="6" t="n">
        <v>80.75</v>
      </c>
      <c r="J82" s="4" t="n">
        <v>12</v>
      </c>
      <c r="K82" s="4" t="n">
        <v>2</v>
      </c>
      <c r="L82" s="6" t="n">
        <v>6.57</v>
      </c>
      <c r="M82" s="6" t="n">
        <v>0</v>
      </c>
      <c r="N82" s="4" t="s">
        <v>26</v>
      </c>
    </row>
    <row r="83" customFormat="false" ht="15" hidden="false" customHeight="false" outlineLevel="0" collapsed="false">
      <c r="A83" s="4" t="s">
        <v>25</v>
      </c>
      <c r="B83" s="4" t="s">
        <v>20</v>
      </c>
      <c r="C83" s="4" t="s">
        <v>77</v>
      </c>
      <c r="D83" s="4" t="s">
        <v>81</v>
      </c>
      <c r="E83" s="4" t="s">
        <v>117</v>
      </c>
      <c r="F83" s="4" t="s">
        <v>118</v>
      </c>
      <c r="G83" s="4" t="s">
        <v>301</v>
      </c>
      <c r="H83" s="4" t="n">
        <v>5</v>
      </c>
      <c r="I83" s="6" t="n">
        <v>68.63</v>
      </c>
      <c r="J83" s="4" t="n">
        <v>1</v>
      </c>
      <c r="K83" s="4" t="n">
        <v>1</v>
      </c>
      <c r="L83" s="6" t="n">
        <v>2.19</v>
      </c>
      <c r="M83" s="6" t="n">
        <v>14.09</v>
      </c>
      <c r="N83" s="4" t="s">
        <v>26</v>
      </c>
    </row>
    <row r="84" customFormat="false" ht="15" hidden="false" customHeight="false" outlineLevel="0" collapsed="false">
      <c r="A84" s="4" t="s">
        <v>25</v>
      </c>
      <c r="B84" s="4" t="s">
        <v>20</v>
      </c>
      <c r="C84" s="4" t="s">
        <v>77</v>
      </c>
      <c r="D84" s="4" t="s">
        <v>81</v>
      </c>
      <c r="E84" s="4" t="s">
        <v>127</v>
      </c>
      <c r="F84" s="4" t="s">
        <v>128</v>
      </c>
      <c r="G84" s="4" t="s">
        <v>302</v>
      </c>
      <c r="H84" s="4" t="n">
        <v>11</v>
      </c>
      <c r="I84" s="6" t="n">
        <v>79.99</v>
      </c>
      <c r="J84" s="4" t="n">
        <v>1</v>
      </c>
      <c r="K84" s="4" t="n">
        <v>1</v>
      </c>
      <c r="L84" s="6" t="n">
        <v>1.42</v>
      </c>
      <c r="M84" s="6" t="n">
        <v>0</v>
      </c>
      <c r="N84" s="4" t="s">
        <v>26</v>
      </c>
    </row>
    <row r="85" customFormat="false" ht="15" hidden="false" customHeight="false" outlineLevel="0" collapsed="false">
      <c r="A85" s="4" t="s">
        <v>25</v>
      </c>
      <c r="B85" s="4" t="s">
        <v>22</v>
      </c>
      <c r="C85" s="4" t="s">
        <v>83</v>
      </c>
      <c r="D85" s="4" t="s">
        <v>85</v>
      </c>
      <c r="E85" s="4" t="s">
        <v>303</v>
      </c>
      <c r="F85" s="4" t="s">
        <v>304</v>
      </c>
      <c r="G85" s="4" t="s">
        <v>305</v>
      </c>
      <c r="H85" s="4" t="n">
        <v>5</v>
      </c>
      <c r="I85" s="6" t="n">
        <v>87.99</v>
      </c>
      <c r="J85" s="4" t="n">
        <v>10</v>
      </c>
      <c r="K85" s="4" t="n">
        <v>5</v>
      </c>
      <c r="L85" s="6" t="n">
        <v>19.24</v>
      </c>
      <c r="M85" s="6" t="n">
        <v>0</v>
      </c>
      <c r="N85" s="4" t="s">
        <v>26</v>
      </c>
    </row>
    <row r="86" customFormat="false" ht="15" hidden="false" customHeight="false" outlineLevel="0" collapsed="false">
      <c r="A86" s="4" t="s">
        <v>25</v>
      </c>
      <c r="B86" s="4" t="s">
        <v>22</v>
      </c>
      <c r="C86" s="4" t="s">
        <v>83</v>
      </c>
      <c r="D86" s="4" t="s">
        <v>85</v>
      </c>
      <c r="E86" s="4" t="s">
        <v>150</v>
      </c>
      <c r="F86" s="4" t="s">
        <v>151</v>
      </c>
      <c r="G86" s="4" t="s">
        <v>306</v>
      </c>
      <c r="H86" s="4" t="n">
        <v>5</v>
      </c>
      <c r="I86" s="6" t="n">
        <v>84.99</v>
      </c>
      <c r="J86" s="4" t="n">
        <v>9</v>
      </c>
      <c r="K86" s="4" t="n">
        <v>8</v>
      </c>
      <c r="L86" s="6" t="n">
        <v>15.19</v>
      </c>
      <c r="M86" s="6" t="n">
        <v>1.86</v>
      </c>
      <c r="N86" s="4" t="s">
        <v>26</v>
      </c>
    </row>
    <row r="87" customFormat="false" ht="15" hidden="false" customHeight="false" outlineLevel="0" collapsed="false">
      <c r="A87" s="4" t="s">
        <v>25</v>
      </c>
      <c r="B87" s="4" t="s">
        <v>22</v>
      </c>
      <c r="C87" s="4" t="s">
        <v>83</v>
      </c>
      <c r="D87" s="4" t="s">
        <v>85</v>
      </c>
      <c r="E87" s="4" t="s">
        <v>307</v>
      </c>
      <c r="F87" s="4" t="s">
        <v>308</v>
      </c>
      <c r="G87" s="4" t="s">
        <v>305</v>
      </c>
      <c r="H87" s="4" t="n">
        <v>5</v>
      </c>
      <c r="I87" s="6" t="n">
        <v>87.99</v>
      </c>
      <c r="J87" s="4" t="n">
        <v>8</v>
      </c>
      <c r="K87" s="4" t="n">
        <v>8</v>
      </c>
      <c r="L87" s="6" t="n">
        <v>13.17</v>
      </c>
      <c r="M87" s="6" t="n">
        <v>0</v>
      </c>
      <c r="N87" s="4" t="s">
        <v>26</v>
      </c>
    </row>
    <row r="88" customFormat="false" ht="15" hidden="false" customHeight="false" outlineLevel="0" collapsed="false">
      <c r="A88" s="4" t="s">
        <v>25</v>
      </c>
      <c r="B88" s="4" t="s">
        <v>22</v>
      </c>
      <c r="C88" s="4" t="s">
        <v>83</v>
      </c>
      <c r="D88" s="4" t="s">
        <v>85</v>
      </c>
      <c r="E88" s="4" t="s">
        <v>309</v>
      </c>
      <c r="F88" s="4" t="s">
        <v>310</v>
      </c>
      <c r="G88" s="4" t="s">
        <v>311</v>
      </c>
      <c r="H88" s="4" t="n">
        <v>7</v>
      </c>
      <c r="I88" s="6" t="n">
        <v>84.99</v>
      </c>
      <c r="J88" s="4" t="n">
        <v>4</v>
      </c>
      <c r="K88" s="4" t="n">
        <v>3</v>
      </c>
      <c r="L88" s="6" t="n">
        <v>4.95</v>
      </c>
      <c r="M88" s="6" t="n">
        <v>4.73</v>
      </c>
      <c r="N88" s="4" t="s">
        <v>26</v>
      </c>
    </row>
    <row r="89" customFormat="false" ht="15" hidden="false" customHeight="false" outlineLevel="0" collapsed="false">
      <c r="A89" s="4" t="s">
        <v>25</v>
      </c>
      <c r="B89" s="4" t="s">
        <v>22</v>
      </c>
      <c r="C89" s="4" t="s">
        <v>83</v>
      </c>
      <c r="D89" s="4" t="s">
        <v>85</v>
      </c>
      <c r="E89" s="4" t="s">
        <v>312</v>
      </c>
      <c r="F89" s="4" t="s">
        <v>313</v>
      </c>
      <c r="G89" s="4" t="s">
        <v>305</v>
      </c>
      <c r="H89" s="4" t="n">
        <v>5</v>
      </c>
      <c r="I89" s="6" t="n">
        <v>87.99</v>
      </c>
      <c r="J89" s="4" t="n">
        <v>1</v>
      </c>
      <c r="K89" s="4" t="n">
        <v>1</v>
      </c>
      <c r="L89" s="6" t="n">
        <v>2.84</v>
      </c>
      <c r="M89" s="6" t="n">
        <v>0</v>
      </c>
      <c r="N89" s="4" t="s">
        <v>26</v>
      </c>
    </row>
    <row r="90" customFormat="false" ht="15" hidden="false" customHeight="false" outlineLevel="0" collapsed="false">
      <c r="A90" s="4" t="s">
        <v>25</v>
      </c>
      <c r="B90" s="4" t="s">
        <v>23</v>
      </c>
      <c r="C90" s="4" t="s">
        <v>87</v>
      </c>
      <c r="D90" s="4" t="s">
        <v>90</v>
      </c>
      <c r="E90" s="4" t="s">
        <v>209</v>
      </c>
      <c r="F90" s="4" t="s">
        <v>210</v>
      </c>
      <c r="G90" s="4" t="s">
        <v>314</v>
      </c>
      <c r="H90" s="4" t="n">
        <v>5</v>
      </c>
      <c r="I90" s="6" t="n">
        <v>42.79</v>
      </c>
      <c r="J90" s="4" t="n">
        <v>2</v>
      </c>
      <c r="K90" s="4" t="n">
        <v>0</v>
      </c>
      <c r="L90" s="6" t="n">
        <v>0.49</v>
      </c>
      <c r="M90" s="6" t="n">
        <v>124.43</v>
      </c>
      <c r="N90" s="4" t="s">
        <v>26</v>
      </c>
    </row>
    <row r="91" customFormat="false" ht="15" hidden="false" customHeight="false" outlineLevel="0" collapsed="false">
      <c r="A91" s="4" t="s">
        <v>25</v>
      </c>
      <c r="B91" s="4" t="s">
        <v>23</v>
      </c>
      <c r="C91" s="4" t="s">
        <v>87</v>
      </c>
      <c r="D91" s="4" t="s">
        <v>90</v>
      </c>
      <c r="E91" s="4" t="s">
        <v>315</v>
      </c>
      <c r="F91" s="4" t="s">
        <v>316</v>
      </c>
      <c r="G91" s="4" t="s">
        <v>317</v>
      </c>
      <c r="H91" s="4" t="n">
        <v>5</v>
      </c>
      <c r="I91" s="6" t="n">
        <v>39.59</v>
      </c>
      <c r="J91" s="4" t="n">
        <v>2</v>
      </c>
      <c r="K91" s="4" t="n">
        <v>0</v>
      </c>
      <c r="L91" s="6" t="n">
        <v>0.21</v>
      </c>
      <c r="M91" s="6" t="n">
        <v>17.36</v>
      </c>
      <c r="N91" s="4" t="s">
        <v>26</v>
      </c>
    </row>
    <row r="92" customFormat="false" ht="15" hidden="false" customHeight="false" outlineLevel="0" collapsed="false">
      <c r="A92" s="4" t="s">
        <v>25</v>
      </c>
      <c r="B92" s="4" t="s">
        <v>27</v>
      </c>
      <c r="C92" s="4" t="s">
        <v>92</v>
      </c>
      <c r="D92" s="4" t="s">
        <v>95</v>
      </c>
      <c r="E92" s="4" t="s">
        <v>318</v>
      </c>
      <c r="F92" s="4" t="s">
        <v>319</v>
      </c>
      <c r="G92" s="4" t="s">
        <v>320</v>
      </c>
      <c r="H92" s="4" t="n">
        <v>5</v>
      </c>
      <c r="I92" s="6" t="n">
        <v>42.74</v>
      </c>
      <c r="J92" s="4" t="n">
        <v>26</v>
      </c>
      <c r="K92" s="4" t="n">
        <v>26</v>
      </c>
      <c r="L92" s="6" t="n">
        <v>33.23</v>
      </c>
      <c r="M92" s="6" t="n">
        <v>74.53</v>
      </c>
      <c r="N92" s="4" t="s">
        <v>26</v>
      </c>
    </row>
    <row r="93" customFormat="false" ht="15" hidden="false" customHeight="false" outlineLevel="0" collapsed="false">
      <c r="A93" s="4" t="s">
        <v>25</v>
      </c>
      <c r="B93" s="4" t="s">
        <v>27</v>
      </c>
      <c r="C93" s="4" t="s">
        <v>92</v>
      </c>
      <c r="D93" s="4" t="s">
        <v>95</v>
      </c>
      <c r="E93" s="4" t="s">
        <v>321</v>
      </c>
      <c r="F93" s="4" t="s">
        <v>322</v>
      </c>
      <c r="G93" s="4" t="s">
        <v>320</v>
      </c>
      <c r="H93" s="4" t="n">
        <v>5</v>
      </c>
      <c r="I93" s="6" t="n">
        <v>42.74</v>
      </c>
      <c r="J93" s="4" t="n">
        <v>22</v>
      </c>
      <c r="K93" s="4" t="n">
        <v>21</v>
      </c>
      <c r="L93" s="6" t="n">
        <v>25</v>
      </c>
      <c r="M93" s="6" t="n">
        <v>42.28</v>
      </c>
      <c r="N93" s="4" t="s">
        <v>26</v>
      </c>
    </row>
    <row r="94" customFormat="false" ht="15" hidden="false" customHeight="false" outlineLevel="0" collapsed="false">
      <c r="A94" s="4" t="s">
        <v>25</v>
      </c>
      <c r="B94" s="4" t="s">
        <v>27</v>
      </c>
      <c r="C94" s="4" t="s">
        <v>92</v>
      </c>
      <c r="D94" s="4" t="s">
        <v>95</v>
      </c>
      <c r="E94" s="4" t="s">
        <v>323</v>
      </c>
      <c r="F94" s="4" t="s">
        <v>324</v>
      </c>
      <c r="G94" s="4" t="s">
        <v>325</v>
      </c>
      <c r="H94" s="4" t="n">
        <v>5</v>
      </c>
      <c r="I94" s="6" t="n">
        <v>42.23</v>
      </c>
      <c r="J94" s="4" t="n">
        <v>16</v>
      </c>
      <c r="K94" s="4" t="n">
        <v>15</v>
      </c>
      <c r="L94" s="6" t="n">
        <v>17.45</v>
      </c>
      <c r="M94" s="6" t="n">
        <v>0</v>
      </c>
      <c r="N94" s="4" t="s">
        <v>26</v>
      </c>
    </row>
    <row r="95" customFormat="false" ht="15" hidden="false" customHeight="false" outlineLevel="0" collapsed="false">
      <c r="A95" s="4" t="s">
        <v>25</v>
      </c>
      <c r="B95" s="4" t="s">
        <v>27</v>
      </c>
      <c r="C95" s="4" t="s">
        <v>92</v>
      </c>
      <c r="D95" s="4" t="s">
        <v>95</v>
      </c>
      <c r="E95" s="4" t="s">
        <v>326</v>
      </c>
      <c r="F95" s="4" t="s">
        <v>327</v>
      </c>
      <c r="G95" s="4" t="s">
        <v>328</v>
      </c>
      <c r="H95" s="4" t="n">
        <v>5</v>
      </c>
      <c r="I95" s="6" t="n">
        <v>34.19</v>
      </c>
      <c r="J95" s="4" t="n">
        <v>5</v>
      </c>
      <c r="K95" s="4" t="n">
        <v>5</v>
      </c>
      <c r="L95" s="6" t="n">
        <v>9.69</v>
      </c>
      <c r="M95" s="6" t="n">
        <v>58.46</v>
      </c>
      <c r="N95" s="4" t="s">
        <v>26</v>
      </c>
    </row>
    <row r="96" customFormat="false" ht="15" hidden="false" customHeight="false" outlineLevel="0" collapsed="false">
      <c r="A96" s="4" t="s">
        <v>25</v>
      </c>
      <c r="B96" s="4" t="s">
        <v>27</v>
      </c>
      <c r="C96" s="4" t="s">
        <v>92</v>
      </c>
      <c r="D96" s="4" t="s">
        <v>95</v>
      </c>
      <c r="E96" s="4" t="s">
        <v>329</v>
      </c>
      <c r="F96" s="4" t="s">
        <v>330</v>
      </c>
      <c r="G96" s="4" t="s">
        <v>331</v>
      </c>
      <c r="H96" s="4" t="n">
        <v>5</v>
      </c>
      <c r="I96" s="6" t="n">
        <v>38.75</v>
      </c>
      <c r="J96" s="4" t="n">
        <v>29</v>
      </c>
      <c r="K96" s="4" t="n">
        <v>25</v>
      </c>
      <c r="L96" s="6" t="n">
        <v>8.95</v>
      </c>
      <c r="M96" s="6" t="n">
        <v>217.24</v>
      </c>
      <c r="N96" s="4" t="s">
        <v>26</v>
      </c>
    </row>
    <row r="97" customFormat="false" ht="15" hidden="false" customHeight="false" outlineLevel="0" collapsed="false">
      <c r="A97" s="4" t="s">
        <v>25</v>
      </c>
      <c r="B97" s="4" t="s">
        <v>27</v>
      </c>
      <c r="C97" s="4" t="s">
        <v>92</v>
      </c>
      <c r="D97" s="4" t="s">
        <v>95</v>
      </c>
      <c r="E97" s="4" t="s">
        <v>332</v>
      </c>
      <c r="F97" s="4" t="s">
        <v>333</v>
      </c>
      <c r="G97" s="4" t="s">
        <v>325</v>
      </c>
      <c r="H97" s="4" t="n">
        <v>5</v>
      </c>
      <c r="I97" s="6" t="n">
        <v>42.23</v>
      </c>
      <c r="J97" s="4" t="n">
        <v>8</v>
      </c>
      <c r="K97" s="4" t="n">
        <v>7</v>
      </c>
      <c r="L97" s="6" t="n">
        <v>8.49</v>
      </c>
      <c r="M97" s="6" t="n">
        <v>2.3</v>
      </c>
      <c r="N97" s="4" t="s">
        <v>26</v>
      </c>
    </row>
    <row r="98" customFormat="false" ht="15" hidden="false" customHeight="false" outlineLevel="0" collapsed="false">
      <c r="A98" s="4" t="s">
        <v>25</v>
      </c>
      <c r="B98" s="4" t="s">
        <v>27</v>
      </c>
      <c r="C98" s="4" t="s">
        <v>92</v>
      </c>
      <c r="D98" s="4" t="s">
        <v>95</v>
      </c>
      <c r="E98" s="4" t="s">
        <v>334</v>
      </c>
      <c r="F98" s="4" t="s">
        <v>335</v>
      </c>
      <c r="G98" s="4" t="s">
        <v>320</v>
      </c>
      <c r="H98" s="4" t="n">
        <v>5</v>
      </c>
      <c r="I98" s="6" t="n">
        <v>42.74</v>
      </c>
      <c r="J98" s="4" t="n">
        <v>4</v>
      </c>
      <c r="K98" s="4" t="n">
        <v>3</v>
      </c>
      <c r="L98" s="6" t="n">
        <v>8.02</v>
      </c>
      <c r="M98" s="6" t="n">
        <v>0</v>
      </c>
      <c r="N98" s="4" t="s">
        <v>26</v>
      </c>
    </row>
    <row r="99" customFormat="false" ht="15" hidden="false" customHeight="false" outlineLevel="0" collapsed="false">
      <c r="A99" s="4" t="s">
        <v>25</v>
      </c>
      <c r="B99" s="4" t="s">
        <v>27</v>
      </c>
      <c r="C99" s="4" t="s">
        <v>92</v>
      </c>
      <c r="D99" s="4" t="s">
        <v>95</v>
      </c>
      <c r="E99" s="4" t="s">
        <v>336</v>
      </c>
      <c r="F99" s="4" t="s">
        <v>337</v>
      </c>
      <c r="G99" s="4" t="s">
        <v>320</v>
      </c>
      <c r="H99" s="4" t="n">
        <v>5</v>
      </c>
      <c r="I99" s="6" t="n">
        <v>42.74</v>
      </c>
      <c r="J99" s="4" t="n">
        <v>12</v>
      </c>
      <c r="K99" s="4" t="n">
        <v>0</v>
      </c>
      <c r="L99" s="6" t="n">
        <v>5.02</v>
      </c>
      <c r="M99" s="6" t="n">
        <v>0</v>
      </c>
      <c r="N99" s="4" t="s">
        <v>26</v>
      </c>
    </row>
    <row r="100" customFormat="false" ht="15" hidden="false" customHeight="false" outlineLevel="0" collapsed="false">
      <c r="A100" s="4" t="s">
        <v>25</v>
      </c>
      <c r="B100" s="4" t="s">
        <v>27</v>
      </c>
      <c r="C100" s="4" t="s">
        <v>92</v>
      </c>
      <c r="D100" s="4" t="s">
        <v>95</v>
      </c>
      <c r="E100" s="4" t="s">
        <v>338</v>
      </c>
      <c r="F100" s="4" t="s">
        <v>339</v>
      </c>
      <c r="G100" s="4" t="s">
        <v>325</v>
      </c>
      <c r="H100" s="4" t="n">
        <v>5</v>
      </c>
      <c r="I100" s="6" t="n">
        <v>42.23</v>
      </c>
      <c r="J100" s="4" t="n">
        <v>14</v>
      </c>
      <c r="K100" s="4" t="n">
        <v>0</v>
      </c>
      <c r="L100" s="6" t="n">
        <v>4.42</v>
      </c>
      <c r="M100" s="6" t="n">
        <v>0</v>
      </c>
      <c r="N100" s="4" t="s">
        <v>26</v>
      </c>
    </row>
    <row r="101" customFormat="false" ht="15" hidden="false" customHeight="false" outlineLevel="0" collapsed="false">
      <c r="A101" s="4" t="s">
        <v>25</v>
      </c>
      <c r="B101" s="4" t="s">
        <v>27</v>
      </c>
      <c r="C101" s="4" t="s">
        <v>92</v>
      </c>
      <c r="D101" s="4" t="s">
        <v>95</v>
      </c>
      <c r="E101" s="4" t="s">
        <v>340</v>
      </c>
      <c r="F101" s="4" t="s">
        <v>341</v>
      </c>
      <c r="G101" s="4" t="s">
        <v>320</v>
      </c>
      <c r="H101" s="4" t="n">
        <v>5</v>
      </c>
      <c r="I101" s="6" t="n">
        <v>42.74</v>
      </c>
      <c r="J101" s="4" t="n">
        <v>13</v>
      </c>
      <c r="K101" s="4" t="n">
        <v>0</v>
      </c>
      <c r="L101" s="6" t="n">
        <v>2.92</v>
      </c>
      <c r="M101" s="6" t="n">
        <v>0</v>
      </c>
      <c r="N101" s="4" t="s">
        <v>26</v>
      </c>
    </row>
  </sheetData>
  <autoFilter ref="A1:N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2026-10-06T13:14:09Z</dcterms:created>
  <dc:creator>openpyxl</dc:creator>
  <dc:description/>
  <dc:language>en-US</dc:language>
  <cp:lastModifiedBy/>
  <dcterms:modified xsi:type="dcterms:W3CDTF">2026-10-06T13:14:09Z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